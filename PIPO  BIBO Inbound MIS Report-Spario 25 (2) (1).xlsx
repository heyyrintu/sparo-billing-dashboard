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ntuMondal\Downloads\"/>
    </mc:Choice>
  </mc:AlternateContent>
  <xr:revisionPtr revIDLastSave="0" documentId="13_ncr:1_{86BF1BBB-DF67-49A9-9C57-FC7EC187FD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turn mis" sheetId="2" r:id="rId1"/>
    <sheet name="PIPO &amp; BIBO Inward" sheetId="1" r:id="rId2"/>
  </sheets>
  <definedNames>
    <definedName name="_xlnm._FilterDatabase" localSheetId="1" hidden="1">'PIPO &amp; BIBO Inward'!$A$1:$Z$408</definedName>
    <definedName name="_xlnm._FilterDatabase" localSheetId="0" hidden="1">'Return mis'!$A$1:$W$15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4" i="1" l="1"/>
  <c r="A102" i="1"/>
  <c r="A103" i="1" s="1"/>
  <c r="A104" i="1" s="1"/>
  <c r="A106" i="1" s="1"/>
  <c r="A107" i="1" s="1"/>
  <c r="A108" i="1" s="1"/>
  <c r="A109" i="1" s="1"/>
  <c r="A110" i="1" s="1"/>
  <c r="A111" i="1" s="1"/>
  <c r="A112" i="1" s="1"/>
  <c r="A113" i="1" s="1"/>
  <c r="A114" i="1" s="1"/>
  <c r="A10" i="2"/>
  <c r="A11" i="2" s="1"/>
  <c r="A12" i="2" s="1"/>
  <c r="A13" i="2" s="1"/>
  <c r="A14" i="2" s="1"/>
  <c r="A15" i="2" s="1"/>
  <c r="A105" i="1" l="1"/>
</calcChain>
</file>

<file path=xl/sharedStrings.xml><?xml version="1.0" encoding="utf-8"?>
<sst xmlns="http://schemas.openxmlformats.org/spreadsheetml/2006/main" count="1306" uniqueCount="423">
  <si>
    <t>S.No.</t>
  </si>
  <si>
    <t>IN.NO</t>
  </si>
  <si>
    <t>Received Date</t>
  </si>
  <si>
    <t>Type</t>
  </si>
  <si>
    <t>Unloading Start</t>
  </si>
  <si>
    <t>End Time</t>
  </si>
  <si>
    <t>Approve Date</t>
  </si>
  <si>
    <t>Received Month</t>
  </si>
  <si>
    <t>Seller Name</t>
  </si>
  <si>
    <t>location</t>
  </si>
  <si>
    <t>STN No./Invoice No.</t>
  </si>
  <si>
    <t>UC GRN NO</t>
  </si>
  <si>
    <t>GRN Date</t>
  </si>
  <si>
    <t>LOGIC GRN NO</t>
  </si>
  <si>
    <t>Current Status</t>
  </si>
  <si>
    <t>Invoice Value</t>
  </si>
  <si>
    <t>Invoice Qty</t>
  </si>
  <si>
    <t>GRN Qty</t>
  </si>
  <si>
    <t>GRN Pending</t>
  </si>
  <si>
    <t>Transporter</t>
  </si>
  <si>
    <t>LR No./E-way Bill No.</t>
  </si>
  <si>
    <t>Vehicle No.</t>
  </si>
  <si>
    <t>Bags/Box</t>
  </si>
  <si>
    <t>Remarks</t>
  </si>
  <si>
    <t>-</t>
  </si>
  <si>
    <t>BIBO</t>
  </si>
  <si>
    <t>Spario Pvt Ltd</t>
  </si>
  <si>
    <t>GRN DONE</t>
  </si>
  <si>
    <t>DL01M7395</t>
  </si>
  <si>
    <t>PIPO</t>
  </si>
  <si>
    <t>HR55AM0634</t>
  </si>
  <si>
    <t>HR55AT4654</t>
  </si>
  <si>
    <t>HR55AR8739</t>
  </si>
  <si>
    <t>HR55AT9767</t>
  </si>
  <si>
    <t>HR55AK1776</t>
  </si>
  <si>
    <t>GRNC-54</t>
  </si>
  <si>
    <t>HR55AL1409</t>
  </si>
  <si>
    <t>REDTAPE LIMITED</t>
  </si>
  <si>
    <t>Delhi</t>
  </si>
  <si>
    <t>FROSCH VENTURES PRIVATE</t>
  </si>
  <si>
    <t>AQUALITE INDUSTRIES PVT.LTD</t>
  </si>
  <si>
    <t>jammu &amp; kashmir</t>
  </si>
  <si>
    <t>OM LOGISTICS LTD</t>
  </si>
  <si>
    <t>Noida</t>
  </si>
  <si>
    <t>GRNC-51</t>
  </si>
  <si>
    <t>GRNC-52</t>
  </si>
  <si>
    <t>Flatkick Designs</t>
  </si>
  <si>
    <t>Nangli Puna</t>
  </si>
  <si>
    <t>KASHIPUR</t>
  </si>
  <si>
    <t>UNNAO</t>
  </si>
  <si>
    <t>HR63E8850</t>
  </si>
  <si>
    <t>Foot Prints India</t>
  </si>
  <si>
    <t>Bahadurgarh</t>
  </si>
  <si>
    <t>HR63F8150</t>
  </si>
  <si>
    <t>VASAK INDUSTRIES PVT LTD</t>
  </si>
  <si>
    <t>DL01MA1098</t>
  </si>
  <si>
    <t>Universal brand group</t>
  </si>
  <si>
    <t>Agra</t>
  </si>
  <si>
    <t>GRNP-38</t>
  </si>
  <si>
    <t>HR55AK3671</t>
  </si>
  <si>
    <t>GRNP-37</t>
  </si>
  <si>
    <t>EXO FOOTWEAR</t>
  </si>
  <si>
    <t>ONSOLE RETAIL</t>
  </si>
  <si>
    <t>GRNC-15</t>
  </si>
  <si>
    <t>GRNP-39</t>
  </si>
  <si>
    <t>Alipur</t>
  </si>
  <si>
    <t>BHADURGARH</t>
  </si>
  <si>
    <t>1/2025-26</t>
  </si>
  <si>
    <t>GRNC-3</t>
  </si>
  <si>
    <t>EXO/25-26/003 .002</t>
  </si>
  <si>
    <t>GRNC-4,GRNC-5</t>
  </si>
  <si>
    <t>43922.88/190620</t>
  </si>
  <si>
    <t>4380/1176</t>
  </si>
  <si>
    <t>HR 55AR 8739</t>
  </si>
  <si>
    <t>IN202526003</t>
  </si>
  <si>
    <t>GRNC-7</t>
  </si>
  <si>
    <t>DLILX4996</t>
  </si>
  <si>
    <t>6/2025-26</t>
  </si>
  <si>
    <t>GRNC-8</t>
  </si>
  <si>
    <t>DLILAJ5688</t>
  </si>
  <si>
    <t>OS/04/2025-26</t>
  </si>
  <si>
    <t>GRNC-11</t>
  </si>
  <si>
    <t>IN2025260004</t>
  </si>
  <si>
    <t>GRNC-10</t>
  </si>
  <si>
    <t>FPI/006/25-26</t>
  </si>
  <si>
    <t>DL1MB1447</t>
  </si>
  <si>
    <t>16/2025-26,17/2025-26</t>
  </si>
  <si>
    <t>GRNC-12,GRNC-13</t>
  </si>
  <si>
    <t>DLILMA1230</t>
  </si>
  <si>
    <t>18/2025-26</t>
  </si>
  <si>
    <t>GRNC-14</t>
  </si>
  <si>
    <t>DL1LAH0376</t>
  </si>
  <si>
    <t>IN2025260007</t>
  </si>
  <si>
    <t>GRNC-18</t>
  </si>
  <si>
    <t>DL1LAX4998</t>
  </si>
  <si>
    <t>FPI/0012/25-26</t>
  </si>
  <si>
    <t>GRNP-41</t>
  </si>
  <si>
    <t>HR55AR2853</t>
  </si>
  <si>
    <t>19/2025-26</t>
  </si>
  <si>
    <t>GRNC-19</t>
  </si>
  <si>
    <t>HR63D1699</t>
  </si>
  <si>
    <t>EXO/25-26/011</t>
  </si>
  <si>
    <t>GRNC-28</t>
  </si>
  <si>
    <t>EXO/25-26/010</t>
  </si>
  <si>
    <t>GRNC-24</t>
  </si>
  <si>
    <t>EXO/25-26/009</t>
  </si>
  <si>
    <t>GRNC-32</t>
  </si>
  <si>
    <t>OS/10/2025-26</t>
  </si>
  <si>
    <t>GRNC-20</t>
  </si>
  <si>
    <t>DM0600003951</t>
  </si>
  <si>
    <t>GRNC-29</t>
  </si>
  <si>
    <t>FPI/0032/25-26</t>
  </si>
  <si>
    <t>HR 63 E 5305</t>
  </si>
  <si>
    <t>IN20252600012</t>
  </si>
  <si>
    <t>GRNC-27</t>
  </si>
  <si>
    <t>28/2025-26</t>
  </si>
  <si>
    <t>GRNC-25</t>
  </si>
  <si>
    <t>DL01LAF1014</t>
  </si>
  <si>
    <t>29/2025-26</t>
  </si>
  <si>
    <t>GRNC-26</t>
  </si>
  <si>
    <t>EXO/25-26/013</t>
  </si>
  <si>
    <t>GRNC-30</t>
  </si>
  <si>
    <t>HR 55AW 9535</t>
  </si>
  <si>
    <t>EXO/25-26/014</t>
  </si>
  <si>
    <t>GRNC-31</t>
  </si>
  <si>
    <t>25-26/3/STO-2</t>
  </si>
  <si>
    <t>STI-2</t>
  </si>
  <si>
    <t>HR 55AK3671</t>
  </si>
  <si>
    <t>HR 39 F0349</t>
  </si>
  <si>
    <t>HR 55V 3577</t>
  </si>
  <si>
    <t>30/2025-26</t>
  </si>
  <si>
    <t>GRNC-33</t>
  </si>
  <si>
    <t>DL01MA3061</t>
  </si>
  <si>
    <t>NARELA</t>
  </si>
  <si>
    <t>OS/12/2025-26</t>
  </si>
  <si>
    <t>GRNC-34</t>
  </si>
  <si>
    <t>HR 55AT9767</t>
  </si>
  <si>
    <t>IN20252600021</t>
  </si>
  <si>
    <t>GRNC-36</t>
  </si>
  <si>
    <t>HR 61 F5547</t>
  </si>
  <si>
    <t>34/2025-26</t>
  </si>
  <si>
    <t>GRNC-35</t>
  </si>
  <si>
    <t>DL 1LY 0422</t>
  </si>
  <si>
    <t>EXO/25-26/016</t>
  </si>
  <si>
    <t>GRNC-37</t>
  </si>
  <si>
    <t>DL ILX 4256</t>
  </si>
  <si>
    <t>EXO/25-26/017</t>
  </si>
  <si>
    <t>GRNC-38</t>
  </si>
  <si>
    <t>25-26/3/STO-03</t>
  </si>
  <si>
    <t>DL01MA6900</t>
  </si>
  <si>
    <t>38/2025-26</t>
  </si>
  <si>
    <t>DL 1LAG 8812</t>
  </si>
  <si>
    <t>EXO/25-26/022</t>
  </si>
  <si>
    <t>GRNC -40</t>
  </si>
  <si>
    <t>DL01MA0899</t>
  </si>
  <si>
    <t>EXO/25-26/024</t>
  </si>
  <si>
    <t>GRNC-41</t>
  </si>
  <si>
    <t>EXO/25-26/023</t>
  </si>
  <si>
    <t>GRNC-42</t>
  </si>
  <si>
    <t>FPI/0073/25-26</t>
  </si>
  <si>
    <t>GRNC-43</t>
  </si>
  <si>
    <t>DL01MB3206</t>
  </si>
  <si>
    <t>GRNC-17</t>
  </si>
  <si>
    <t>HR38AG3643</t>
  </si>
  <si>
    <t>HR55 AG6807</t>
  </si>
  <si>
    <t>IN. No</t>
  </si>
  <si>
    <t>Location</t>
  </si>
  <si>
    <t>Return NO</t>
  </si>
  <si>
    <t>Date</t>
  </si>
  <si>
    <t>Sunshine Trading</t>
  </si>
  <si>
    <t>Kadavanthra</t>
  </si>
  <si>
    <t>DC-001</t>
  </si>
  <si>
    <t>Pending</t>
  </si>
  <si>
    <t>By hand</t>
  </si>
  <si>
    <t>Return Box</t>
  </si>
  <si>
    <t>SHERRY FOOTWEAR</t>
  </si>
  <si>
    <t xml:space="preserve">GHAZIABAD </t>
  </si>
  <si>
    <t>DL01MA2878</t>
  </si>
  <si>
    <t>01 Box empty Received</t>
  </si>
  <si>
    <t>VENUS CORPORATION</t>
  </si>
  <si>
    <t>MAHSANA</t>
  </si>
  <si>
    <t>GST-1526</t>
  </si>
  <si>
    <t>Done</t>
  </si>
  <si>
    <t>DL01MB0112</t>
  </si>
  <si>
    <t>GST-1525</t>
  </si>
  <si>
    <t>DL01MA3659</t>
  </si>
  <si>
    <t>DEE EMM TRADING CO.</t>
  </si>
  <si>
    <t>HARYANA</t>
  </si>
  <si>
    <t>A001168</t>
  </si>
  <si>
    <t>HR55AQ0174</t>
  </si>
  <si>
    <t>02 Box empty Received</t>
  </si>
  <si>
    <t>SAIFY SALES</t>
  </si>
  <si>
    <t>BHOPAL</t>
  </si>
  <si>
    <t>TI-208</t>
  </si>
  <si>
    <t>HR55AK0740</t>
  </si>
  <si>
    <t>03 Box empty Received</t>
  </si>
  <si>
    <t xml:space="preserve">SHERRY FOOTWEAR               </t>
  </si>
  <si>
    <t xml:space="preserve">M.K. TRADERS                </t>
  </si>
  <si>
    <t>JAIPUR</t>
  </si>
  <si>
    <t>DL01MA2872</t>
  </si>
  <si>
    <t>FROSCH INDUSTRIES PVT LTD</t>
  </si>
  <si>
    <t>IN20252600036</t>
  </si>
  <si>
    <t>GRNC-45</t>
  </si>
  <si>
    <t>EX0/25-26/029,30,31</t>
  </si>
  <si>
    <t>GRNC-45,46,47</t>
  </si>
  <si>
    <t>GRNC-49</t>
  </si>
  <si>
    <t>OS/24/2025-26</t>
  </si>
  <si>
    <t>GRNC-50</t>
  </si>
  <si>
    <t>DN00006</t>
  </si>
  <si>
    <t>DN00005</t>
  </si>
  <si>
    <t>EXO/25-26/039</t>
  </si>
  <si>
    <t>EXO/25-26/038</t>
  </si>
  <si>
    <t>DL01LAM6434</t>
  </si>
  <si>
    <t>EXO/25-26/037</t>
  </si>
  <si>
    <t>GRNC-53,</t>
  </si>
  <si>
    <t>IN20252600049</t>
  </si>
  <si>
    <t>HR61EA1740</t>
  </si>
  <si>
    <t>IN202500052</t>
  </si>
  <si>
    <t>OS/31/2025-26</t>
  </si>
  <si>
    <t> GRNP-5</t>
  </si>
  <si>
    <t>GRNP-6</t>
  </si>
  <si>
    <t>UBG/DOM/01/25-26</t>
  </si>
  <si>
    <t>GRNP-7</t>
  </si>
  <si>
    <t>DLO1MB0702</t>
  </si>
  <si>
    <t>FPI/00137/25-26</t>
  </si>
  <si>
    <t>GRNP-8</t>
  </si>
  <si>
    <t>HR63F5208</t>
  </si>
  <si>
    <t>2510500100000253</t>
  </si>
  <si>
    <t>HR38AF1413</t>
  </si>
  <si>
    <t>25-26/3/STO-4</t>
  </si>
  <si>
    <t>DLO1GC9359</t>
  </si>
  <si>
    <t>PITAMPURA</t>
  </si>
  <si>
    <t>SPR/849/25-26</t>
  </si>
  <si>
    <t>63/2025-26</t>
  </si>
  <si>
    <t>64/2025-26</t>
  </si>
  <si>
    <t>DL01LAB1129</t>
  </si>
  <si>
    <t>IN20252600063</t>
  </si>
  <si>
    <t>DL1LX4996</t>
  </si>
  <si>
    <t>DL01LAH8464</t>
  </si>
  <si>
    <t>OS/34/2025-26</t>
  </si>
  <si>
    <t>UK04CB8148</t>
  </si>
  <si>
    <t> GRNC-59</t>
  </si>
  <si>
    <t> GRNC-60</t>
  </si>
  <si>
    <t> GRNC-61</t>
  </si>
  <si>
    <t> GRNC-62</t>
  </si>
  <si>
    <t>IN20252600065</t>
  </si>
  <si>
    <t>HR69E2458</t>
  </si>
  <si>
    <t xml:space="preserve"> </t>
  </si>
  <si>
    <t>GRN-7</t>
  </si>
  <si>
    <t>GRN-6</t>
  </si>
  <si>
    <t>GRN-63</t>
  </si>
  <si>
    <t>VSKDS23020031</t>
  </si>
  <si>
    <t>GRNC-1</t>
  </si>
  <si>
    <t>DLO1MA6332</t>
  </si>
  <si>
    <t>OS/47/2025-26</t>
  </si>
  <si>
    <t>FPI/00165/25-26</t>
  </si>
  <si>
    <t>GRNC-2</t>
  </si>
  <si>
    <t>GRNC-4</t>
  </si>
  <si>
    <t>GURU KRIPA LOGISTICS</t>
  </si>
  <si>
    <t>BANGLADESH</t>
  </si>
  <si>
    <t>BLPL-TB-1R-25</t>
  </si>
  <si>
    <t>HR-38X-5752</t>
  </si>
  <si>
    <t>HR-38W-3388</t>
  </si>
  <si>
    <t>HR-38Z-6389</t>
  </si>
  <si>
    <t>BLPL-JEN-1R-25</t>
  </si>
  <si>
    <t>HR-38Z-0243</t>
  </si>
  <si>
    <t>BLPL-JEN-2R-25</t>
  </si>
  <si>
    <t>HR-38V-5023</t>
  </si>
  <si>
    <t>72/2025-26</t>
  </si>
  <si>
    <t>DL01M9324</t>
  </si>
  <si>
    <t>TSB/0181/25-26</t>
  </si>
  <si>
    <t>GRNC-5</t>
  </si>
  <si>
    <t>GRNC-6</t>
  </si>
  <si>
    <t>14;41</t>
  </si>
  <si>
    <t>VSKDS230200588</t>
  </si>
  <si>
    <t>HR55AM2448</t>
  </si>
  <si>
    <t>73/2025-26</t>
  </si>
  <si>
    <t>DL01LAM5902</t>
  </si>
  <si>
    <t>OS/54/2025-26</t>
  </si>
  <si>
    <t>ESL25RT54</t>
  </si>
  <si>
    <t>HR -38Z-8336</t>
  </si>
  <si>
    <t>BLPL-JEN-3R-25</t>
  </si>
  <si>
    <t>HR-38AE-5734</t>
  </si>
  <si>
    <t>HR-73A-1635</t>
  </si>
  <si>
    <t>HR-38V-4425</t>
  </si>
  <si>
    <t>HR-38V-3963</t>
  </si>
  <si>
    <t>HR-38X-7123</t>
  </si>
  <si>
    <t>HR-38W-6092</t>
  </si>
  <si>
    <t>ESL25RT55</t>
  </si>
  <si>
    <t>HR-38X-3986</t>
  </si>
  <si>
    <t>FPI/00185/26-26</t>
  </si>
  <si>
    <t>RJ-32GD-7282</t>
  </si>
  <si>
    <t>RJ-32GD-7192</t>
  </si>
  <si>
    <t>GRNC-9</t>
  </si>
  <si>
    <t>BLPL-JEN-4R-25</t>
  </si>
  <si>
    <t>HR-38AB-4107</t>
  </si>
  <si>
    <t>NL-01AB-7980</t>
  </si>
  <si>
    <t>BLPL-JEN-5R-25</t>
  </si>
  <si>
    <t>HR-38AF-8729</t>
  </si>
  <si>
    <t>HR-38V-2543</t>
  </si>
  <si>
    <t>OS/57/2025-26</t>
  </si>
  <si>
    <t>VASAK INDUSTRIES PVT LTD (JAMMU)</t>
  </si>
  <si>
    <t>JAMMMU</t>
  </si>
  <si>
    <t>VIPLJ/25-26/870</t>
  </si>
  <si>
    <t>JK21J8152</t>
  </si>
  <si>
    <t>HR38ZV0025</t>
  </si>
  <si>
    <t>0083/2025-26</t>
  </si>
  <si>
    <t xml:space="preserve">VASAK INDUSTRIES PVT LTD </t>
  </si>
  <si>
    <t>GRNC-12</t>
  </si>
  <si>
    <t>GRNC-13</t>
  </si>
  <si>
    <t>IALT-RT-25-13A</t>
  </si>
  <si>
    <t>VIPLJ/25-26/955</t>
  </si>
  <si>
    <t>DL1MA5971</t>
  </si>
  <si>
    <t>VIPLJ/25-26/951</t>
  </si>
  <si>
    <t>VIPLJ/25-26/952</t>
  </si>
  <si>
    <t>GRNC-23</t>
  </si>
  <si>
    <t>GRN DONE BY MEGHA</t>
  </si>
  <si>
    <t>VIPLJ/25-26/933</t>
  </si>
  <si>
    <t>DL1GC9359</t>
  </si>
  <si>
    <t>VIPLJ/25-26/932</t>
  </si>
  <si>
    <t>BLPL-KELO-1R-25</t>
  </si>
  <si>
    <t>HR38W4928</t>
  </si>
  <si>
    <t>HR38V2385</t>
  </si>
  <si>
    <t>GRN PENDING</t>
  </si>
  <si>
    <t>NL-01AB-6743</t>
  </si>
  <si>
    <t>ESL25RT63</t>
  </si>
  <si>
    <t>HR-38Z-7457</t>
  </si>
  <si>
    <t>HR55AJ0288</t>
  </si>
  <si>
    <t>HR55AJ6080</t>
  </si>
  <si>
    <t>UP-14HT-0117</t>
  </si>
  <si>
    <t>HR-38AD-3759</t>
  </si>
  <si>
    <t>20:00AM</t>
  </si>
  <si>
    <t>1:00AM</t>
  </si>
  <si>
    <t>HR-38AF-6386</t>
  </si>
  <si>
    <t>HR38ZV-6858</t>
  </si>
  <si>
    <t>2510500100000945</t>
  </si>
  <si>
    <t>HR55AQ7989</t>
  </si>
  <si>
    <t>BLPL-OZA-1R-25</t>
  </si>
  <si>
    <t>BLPL-MUR-1R-25</t>
  </si>
  <si>
    <t>XP-INDIA</t>
  </si>
  <si>
    <t xml:space="preserve">GRN DONE   </t>
  </si>
  <si>
    <t>GRN -29</t>
  </si>
  <si>
    <t>GRN-30</t>
  </si>
  <si>
    <t>GRN-31</t>
  </si>
  <si>
    <t>GRN -28</t>
  </si>
  <si>
    <t>GRN-32</t>
  </si>
  <si>
    <t>GRN-33</t>
  </si>
  <si>
    <t xml:space="preserve">VASAK INDUSTRIES PVT  LTD </t>
  </si>
  <si>
    <t>FPI/00278/25-26</t>
  </si>
  <si>
    <t>HR63F6982</t>
  </si>
  <si>
    <t>GRN -34</t>
  </si>
  <si>
    <t xml:space="preserve">GRN DONE </t>
  </si>
  <si>
    <t>BLING LEATHER PRODUCTS LIMITED GHONIRAMPUR</t>
  </si>
  <si>
    <t>BLPL-CASE-1R-25</t>
  </si>
  <si>
    <t>GURU KRIPAL LOGISTICS</t>
  </si>
  <si>
    <t>HR-38AK-2525</t>
  </si>
  <si>
    <t>2510500100001147</t>
  </si>
  <si>
    <t>DL01-MA-7149</t>
  </si>
  <si>
    <t>GRN -36</t>
  </si>
  <si>
    <t>GRN -35</t>
  </si>
  <si>
    <t>HR38-X-4404</t>
  </si>
  <si>
    <t>IALT FOOTWEAR LTD</t>
  </si>
  <si>
    <t>IALT-RT-25-13D2</t>
  </si>
  <si>
    <t>HR38-V-9498</t>
  </si>
  <si>
    <t>IALT-RT-25-13D4</t>
  </si>
  <si>
    <t>HR38-AG-9380,HR-38-X-4452,HR38-Z-0938</t>
  </si>
  <si>
    <t>7334,7336, 7335</t>
  </si>
  <si>
    <t>BLPL-OZA-4R-25</t>
  </si>
  <si>
    <t>GRNP-40</t>
  </si>
  <si>
    <t>7340, 7337</t>
  </si>
  <si>
    <t>HR-38-X-1088,UP-14-GT-8683</t>
  </si>
  <si>
    <t>IALT-RT-25-13C</t>
  </si>
  <si>
    <t>FPI/00280/25-26</t>
  </si>
  <si>
    <t>SELF</t>
  </si>
  <si>
    <t>GRNP-42</t>
  </si>
  <si>
    <t>GRNP-43</t>
  </si>
  <si>
    <t>GRNP-44</t>
  </si>
  <si>
    <t>IALT-RT-25-13D1</t>
  </si>
  <si>
    <t>7344/ 7341</t>
  </si>
  <si>
    <t>HR38X6663</t>
  </si>
  <si>
    <t>BLPL-OZA-3R-25</t>
  </si>
  <si>
    <t>HR38Z0480</t>
  </si>
  <si>
    <t>BLPL-PEB-15M-25</t>
  </si>
  <si>
    <t>7358/7359/7361</t>
  </si>
  <si>
    <t>GRN DONE, BUT NOT RECEIVED FULL QTY, GRN DONE BY KANAV( SPARIO)</t>
  </si>
  <si>
    <t>09:22/17:54</t>
  </si>
  <si>
    <t>11:30/16:36</t>
  </si>
  <si>
    <t>FRAME HOUSE FOOTWEAR LTD</t>
  </si>
  <si>
    <t>WE2502002-01</t>
  </si>
  <si>
    <t>GRNP-46</t>
  </si>
  <si>
    <t>HR55AA3245/HR38Z6052/HR38Z6835</t>
  </si>
  <si>
    <t>7332/ 7333/7331</t>
  </si>
  <si>
    <t>HR38W2473/HR38V3415/NL01AK0934</t>
  </si>
  <si>
    <t>11:45/09:40/13:38/10:40</t>
  </si>
  <si>
    <t>14:00/12:05/15:20/12:50</t>
  </si>
  <si>
    <t>WE2502001-01</t>
  </si>
  <si>
    <t>GRNP-45</t>
  </si>
  <si>
    <t>7329/7330/7328/7327</t>
  </si>
  <si>
    <t>HR38Z0116/H38W4979/UP80FT3285/HR38AJ0324</t>
  </si>
  <si>
    <t>13:30/10:15/16:30</t>
  </si>
  <si>
    <t>15:55/12:40/18:20</t>
  </si>
  <si>
    <t>16:45/16:27</t>
  </si>
  <si>
    <t>18:30/18:44</t>
  </si>
  <si>
    <t>15:05/09:40/10:40</t>
  </si>
  <si>
    <t>17:35/11:45/12:55</t>
  </si>
  <si>
    <t>GRNP-48</t>
  </si>
  <si>
    <t>15:30,9:25</t>
  </si>
  <si>
    <t>17:20,13:00</t>
  </si>
  <si>
    <t>IALT-RT-25-13B</t>
  </si>
  <si>
    <t>HR55AH0356/HR38X4452</t>
  </si>
  <si>
    <t>GRNP-49</t>
  </si>
  <si>
    <t>9:30,11:20,17:10</t>
  </si>
  <si>
    <t>11:00,12:40,18:20</t>
  </si>
  <si>
    <t>UBG/DOM/03/25-26</t>
  </si>
  <si>
    <t>EAGLES ROADLINES</t>
  </si>
  <si>
    <t>53,51,52</t>
  </si>
  <si>
    <t>HR55AX3434,HR55AU4326,DL1LAD8827</t>
  </si>
  <si>
    <t>OS/66/2025-26</t>
  </si>
  <si>
    <t>GRNP-47</t>
  </si>
  <si>
    <t>SOUMYA SERVICES</t>
  </si>
  <si>
    <t>GRNP-50</t>
  </si>
  <si>
    <t>IALT-RT-26D6</t>
  </si>
  <si>
    <t>UP80FT3286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</si>
</sst>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[$-409]d\-mmm\-yy;@"/>
    <numFmt numFmtId="166" formatCode="[$-409]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2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2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6" fontId="0" fillId="0" borderId="1" xfId="0" applyNumberFormat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20" fontId="0" fillId="0" borderId="1" xfId="0" applyNumberFormat="1" applyBorder="1"/>
    <xf numFmtId="1" fontId="0" fillId="0" borderId="1" xfId="0" applyNumberFormat="1" applyBorder="1"/>
    <xf numFmtId="2" fontId="2" fillId="2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165" fontId="2" fillId="6" borderId="1" xfId="0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/>
    </xf>
    <xf numFmtId="0" fontId="0" fillId="6" borderId="0" xfId="0" applyFill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12" fontId="3" fillId="6" borderId="1" xfId="0" quotePrefix="1" applyNumberFormat="1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" fontId="3" fillId="6" borderId="1" xfId="0" quotePrefix="1" applyNumberFormat="1" applyFont="1" applyFill="1" applyBorder="1" applyAlignment="1">
      <alignment horizontal="center" vertical="center"/>
    </xf>
    <xf numFmtId="20" fontId="0" fillId="6" borderId="1" xfId="0" applyNumberFormat="1" applyFill="1" applyBorder="1" applyAlignment="1">
      <alignment horizontal="center"/>
    </xf>
    <xf numFmtId="20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3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38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workbookViewId="0">
      <selection activeCell="A16" sqref="A16"/>
    </sheetView>
  </sheetViews>
  <sheetFormatPr defaultRowHeight="14.4" x14ac:dyDescent="0.3"/>
  <cols>
    <col min="1" max="1" width="4.77734375" bestFit="1" customWidth="1"/>
    <col min="2" max="2" width="5.33203125" bestFit="1" customWidth="1"/>
    <col min="3" max="3" width="11.6640625" bestFit="1" customWidth="1"/>
    <col min="4" max="4" width="4.77734375" bestFit="1" customWidth="1"/>
    <col min="5" max="5" width="12.44140625" bestFit="1" customWidth="1"/>
    <col min="6" max="6" width="7.77734375" bestFit="1" customWidth="1"/>
    <col min="7" max="7" width="11" bestFit="1" customWidth="1"/>
    <col min="8" max="8" width="13" bestFit="1" customWidth="1"/>
    <col min="9" max="9" width="22.77734375" bestFit="1" customWidth="1"/>
    <col min="10" max="10" width="10.88671875" bestFit="1" customWidth="1"/>
    <col min="11" max="11" width="15.77734375" bestFit="1" customWidth="1"/>
    <col min="12" max="12" width="8.6640625" bestFit="1" customWidth="1"/>
    <col min="13" max="13" width="4.33203125" bestFit="1" customWidth="1"/>
    <col min="14" max="14" width="10.88671875" bestFit="1" customWidth="1"/>
    <col min="15" max="15" width="9.21875" bestFit="1" customWidth="1"/>
    <col min="16" max="16" width="7.109375" bestFit="1" customWidth="1"/>
    <col min="17" max="17" width="10.77734375" style="35" bestFit="1" customWidth="1"/>
    <col min="18" max="18" width="11.88671875" bestFit="1" customWidth="1"/>
    <col min="19" max="19" width="9.6640625" bestFit="1" customWidth="1"/>
    <col min="20" max="20" width="16.33203125" bestFit="1" customWidth="1"/>
    <col min="21" max="21" width="11.6640625" bestFit="1" customWidth="1"/>
    <col min="22" max="22" width="7.7773437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165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166</v>
      </c>
      <c r="K1" s="1" t="s">
        <v>10</v>
      </c>
      <c r="L1" s="1" t="s">
        <v>167</v>
      </c>
      <c r="M1" s="1" t="s">
        <v>168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14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 x14ac:dyDescent="0.3">
      <c r="A2" s="2">
        <v>1</v>
      </c>
      <c r="B2" s="2">
        <v>120</v>
      </c>
      <c r="C2" s="3">
        <v>45654</v>
      </c>
      <c r="D2" s="2" t="s">
        <v>25</v>
      </c>
      <c r="E2" s="4">
        <v>0.44444444444444442</v>
      </c>
      <c r="F2" s="4">
        <v>0.44791666666666669</v>
      </c>
      <c r="G2" s="5" t="s">
        <v>24</v>
      </c>
      <c r="H2" s="6">
        <v>46015</v>
      </c>
      <c r="I2" s="5" t="s">
        <v>169</v>
      </c>
      <c r="J2" s="5" t="s">
        <v>170</v>
      </c>
      <c r="K2" s="5" t="s">
        <v>171</v>
      </c>
      <c r="L2" s="5" t="s">
        <v>24</v>
      </c>
      <c r="M2" s="5" t="s">
        <v>24</v>
      </c>
      <c r="N2" s="5" t="s">
        <v>24</v>
      </c>
      <c r="O2" s="5">
        <v>18</v>
      </c>
      <c r="P2" s="5">
        <v>0</v>
      </c>
      <c r="Q2" s="5">
        <v>18</v>
      </c>
      <c r="R2" s="5" t="s">
        <v>182</v>
      </c>
      <c r="S2" s="5" t="s">
        <v>24</v>
      </c>
      <c r="T2" s="5" t="s">
        <v>24</v>
      </c>
      <c r="U2" s="5" t="s">
        <v>173</v>
      </c>
      <c r="V2" s="5">
        <v>1</v>
      </c>
      <c r="W2" s="5" t="s">
        <v>174</v>
      </c>
    </row>
    <row r="3" spans="1:23" x14ac:dyDescent="0.3">
      <c r="A3" s="2">
        <v>2</v>
      </c>
      <c r="B3" s="2">
        <v>1</v>
      </c>
      <c r="C3" s="3">
        <v>45665</v>
      </c>
      <c r="D3" s="2" t="s">
        <v>29</v>
      </c>
      <c r="E3" s="4">
        <v>0.4513888888888889</v>
      </c>
      <c r="F3" s="4">
        <v>0.97916666666666663</v>
      </c>
      <c r="G3" s="5" t="s">
        <v>24</v>
      </c>
      <c r="H3" s="6">
        <v>45682</v>
      </c>
      <c r="I3" s="5" t="s">
        <v>175</v>
      </c>
      <c r="J3" s="5" t="s">
        <v>176</v>
      </c>
      <c r="K3" s="5">
        <v>5</v>
      </c>
      <c r="L3" s="5" t="s">
        <v>24</v>
      </c>
      <c r="M3" s="5" t="s">
        <v>24</v>
      </c>
      <c r="N3" s="5">
        <v>717021</v>
      </c>
      <c r="O3" s="5">
        <v>500</v>
      </c>
      <c r="P3" s="5">
        <v>0</v>
      </c>
      <c r="Q3" s="5">
        <v>500</v>
      </c>
      <c r="R3" s="5" t="s">
        <v>172</v>
      </c>
      <c r="S3" s="5" t="s">
        <v>24</v>
      </c>
      <c r="T3" s="5">
        <v>411517030000</v>
      </c>
      <c r="U3" s="5" t="s">
        <v>177</v>
      </c>
      <c r="V3" s="5">
        <v>50</v>
      </c>
      <c r="W3" s="5" t="s">
        <v>178</v>
      </c>
    </row>
    <row r="4" spans="1:23" x14ac:dyDescent="0.3">
      <c r="A4" s="2">
        <v>3</v>
      </c>
      <c r="B4" s="2">
        <v>2</v>
      </c>
      <c r="C4" s="3">
        <v>45673</v>
      </c>
      <c r="D4" s="2" t="s">
        <v>25</v>
      </c>
      <c r="E4" s="4">
        <v>0.5</v>
      </c>
      <c r="F4" s="4">
        <v>0.54166666666666663</v>
      </c>
      <c r="G4" s="5" t="s">
        <v>24</v>
      </c>
      <c r="H4" s="6">
        <v>45682</v>
      </c>
      <c r="I4" s="5" t="s">
        <v>179</v>
      </c>
      <c r="J4" s="5" t="s">
        <v>180</v>
      </c>
      <c r="K4" s="5" t="s">
        <v>181</v>
      </c>
      <c r="L4" s="5" t="s">
        <v>24</v>
      </c>
      <c r="M4" s="5" t="s">
        <v>24</v>
      </c>
      <c r="N4" s="5">
        <v>805149</v>
      </c>
      <c r="O4" s="5">
        <v>1680</v>
      </c>
      <c r="P4" s="5">
        <v>1680</v>
      </c>
      <c r="Q4" s="5">
        <v>0</v>
      </c>
      <c r="R4" s="5" t="s">
        <v>182</v>
      </c>
      <c r="S4" s="5" t="s">
        <v>24</v>
      </c>
      <c r="T4" s="5">
        <v>671840006969</v>
      </c>
      <c r="U4" s="5" t="s">
        <v>183</v>
      </c>
      <c r="V4" s="5">
        <v>41</v>
      </c>
      <c r="W4" s="5" t="s">
        <v>24</v>
      </c>
    </row>
    <row r="5" spans="1:23" x14ac:dyDescent="0.3">
      <c r="A5" s="2">
        <v>4</v>
      </c>
      <c r="B5" s="2">
        <v>2</v>
      </c>
      <c r="C5" s="3">
        <v>45673</v>
      </c>
      <c r="D5" s="2" t="s">
        <v>29</v>
      </c>
      <c r="E5" s="4">
        <v>0.5</v>
      </c>
      <c r="F5" s="4">
        <v>0.54166666666666663</v>
      </c>
      <c r="G5" s="5" t="s">
        <v>24</v>
      </c>
      <c r="H5" s="6">
        <v>45682</v>
      </c>
      <c r="I5" s="5" t="s">
        <v>179</v>
      </c>
      <c r="J5" s="5" t="s">
        <v>180</v>
      </c>
      <c r="K5" s="5" t="s">
        <v>184</v>
      </c>
      <c r="L5" s="5" t="s">
        <v>24</v>
      </c>
      <c r="M5" s="5" t="s">
        <v>24</v>
      </c>
      <c r="N5" s="5">
        <v>61305.84</v>
      </c>
      <c r="O5" s="5">
        <v>55</v>
      </c>
      <c r="P5" s="5">
        <v>55</v>
      </c>
      <c r="Q5" s="5">
        <v>0</v>
      </c>
      <c r="R5" s="5" t="s">
        <v>182</v>
      </c>
      <c r="S5" s="5" t="s">
        <v>24</v>
      </c>
      <c r="T5" s="5">
        <v>681840008504</v>
      </c>
      <c r="U5" s="5" t="s">
        <v>183</v>
      </c>
      <c r="V5" s="5">
        <v>5</v>
      </c>
      <c r="W5" s="5" t="s">
        <v>24</v>
      </c>
    </row>
    <row r="6" spans="1:23" x14ac:dyDescent="0.3">
      <c r="A6" s="2">
        <v>5</v>
      </c>
      <c r="B6" s="2">
        <v>3</v>
      </c>
      <c r="C6" s="3">
        <v>45701</v>
      </c>
      <c r="D6" s="2" t="s">
        <v>29</v>
      </c>
      <c r="E6" s="4">
        <v>0.69791666666666663</v>
      </c>
      <c r="F6" s="4">
        <v>0.89583333333333337</v>
      </c>
      <c r="G6" s="5" t="s">
        <v>24</v>
      </c>
      <c r="H6" s="6">
        <v>45713</v>
      </c>
      <c r="I6" s="5" t="s">
        <v>175</v>
      </c>
      <c r="J6" s="5" t="s">
        <v>176</v>
      </c>
      <c r="K6" s="5">
        <v>7</v>
      </c>
      <c r="L6" s="5" t="s">
        <v>24</v>
      </c>
      <c r="M6" s="5" t="s">
        <v>24</v>
      </c>
      <c r="N6" s="5">
        <v>260544</v>
      </c>
      <c r="O6" s="5">
        <v>160</v>
      </c>
      <c r="P6" s="5">
        <v>0</v>
      </c>
      <c r="Q6" s="5">
        <v>160</v>
      </c>
      <c r="R6" s="5" t="s">
        <v>172</v>
      </c>
      <c r="S6" s="5" t="s">
        <v>24</v>
      </c>
      <c r="T6" s="5">
        <v>751592080486</v>
      </c>
      <c r="U6" s="5" t="s">
        <v>185</v>
      </c>
      <c r="V6" s="5">
        <v>16</v>
      </c>
      <c r="W6" s="5" t="s">
        <v>24</v>
      </c>
    </row>
    <row r="7" spans="1:23" x14ac:dyDescent="0.3">
      <c r="A7" s="2">
        <v>6</v>
      </c>
      <c r="B7" s="2">
        <v>4</v>
      </c>
      <c r="C7" s="3">
        <v>45727</v>
      </c>
      <c r="D7" s="2" t="s">
        <v>29</v>
      </c>
      <c r="E7" s="4">
        <v>0.6875</v>
      </c>
      <c r="F7" s="4">
        <v>0.71180555555555558</v>
      </c>
      <c r="G7" s="5" t="s">
        <v>24</v>
      </c>
      <c r="H7" s="6">
        <v>45741</v>
      </c>
      <c r="I7" s="5" t="s">
        <v>186</v>
      </c>
      <c r="J7" s="5" t="s">
        <v>187</v>
      </c>
      <c r="K7" s="5" t="s">
        <v>188</v>
      </c>
      <c r="L7" s="5" t="s">
        <v>24</v>
      </c>
      <c r="M7" s="5" t="s">
        <v>24</v>
      </c>
      <c r="N7" s="5">
        <v>358511</v>
      </c>
      <c r="O7" s="5">
        <v>250</v>
      </c>
      <c r="P7" s="5">
        <v>0</v>
      </c>
      <c r="Q7" s="5">
        <v>250</v>
      </c>
      <c r="R7" s="5" t="s">
        <v>172</v>
      </c>
      <c r="S7" s="5"/>
      <c r="T7" s="5">
        <v>771507329041</v>
      </c>
      <c r="U7" s="5" t="s">
        <v>189</v>
      </c>
      <c r="V7" s="5">
        <v>25</v>
      </c>
      <c r="W7" s="5" t="s">
        <v>190</v>
      </c>
    </row>
    <row r="8" spans="1:23" x14ac:dyDescent="0.3">
      <c r="A8" s="2">
        <v>7</v>
      </c>
      <c r="B8" s="2">
        <v>5</v>
      </c>
      <c r="C8" s="3">
        <v>45739</v>
      </c>
      <c r="D8" s="2" t="s">
        <v>29</v>
      </c>
      <c r="E8" s="4">
        <v>0.60416666666666663</v>
      </c>
      <c r="F8" s="4">
        <v>0.62847222222222221</v>
      </c>
      <c r="G8" s="5" t="s">
        <v>24</v>
      </c>
      <c r="H8" s="6">
        <v>45741</v>
      </c>
      <c r="I8" s="5" t="s">
        <v>191</v>
      </c>
      <c r="J8" s="5" t="s">
        <v>192</v>
      </c>
      <c r="K8" s="5" t="s">
        <v>193</v>
      </c>
      <c r="L8" s="5" t="s">
        <v>24</v>
      </c>
      <c r="M8" s="5" t="s">
        <v>24</v>
      </c>
      <c r="N8" s="5">
        <v>977077</v>
      </c>
      <c r="O8" s="5">
        <v>600</v>
      </c>
      <c r="P8" s="5">
        <v>0</v>
      </c>
      <c r="Q8" s="5">
        <v>600</v>
      </c>
      <c r="R8" s="5" t="s">
        <v>172</v>
      </c>
      <c r="S8" s="5"/>
      <c r="T8" s="5">
        <v>661874759320</v>
      </c>
      <c r="U8" s="5" t="s">
        <v>194</v>
      </c>
      <c r="V8" s="5">
        <v>60</v>
      </c>
      <c r="W8" s="5" t="s">
        <v>190</v>
      </c>
    </row>
    <row r="9" spans="1:23" x14ac:dyDescent="0.3">
      <c r="A9" s="2">
        <v>8</v>
      </c>
      <c r="B9" s="2">
        <v>6</v>
      </c>
      <c r="C9" s="3">
        <v>45742</v>
      </c>
      <c r="D9" s="2" t="s">
        <v>29</v>
      </c>
      <c r="E9" s="4">
        <v>0.6875</v>
      </c>
      <c r="F9" s="4">
        <v>0.71180555555555558</v>
      </c>
      <c r="G9" s="5" t="s">
        <v>24</v>
      </c>
      <c r="H9" s="6">
        <v>45741</v>
      </c>
      <c r="I9" s="5" t="s">
        <v>175</v>
      </c>
      <c r="J9" s="5" t="s">
        <v>176</v>
      </c>
      <c r="K9" s="5">
        <v>12</v>
      </c>
      <c r="L9" s="5" t="s">
        <v>24</v>
      </c>
      <c r="M9" s="5" t="s">
        <v>24</v>
      </c>
      <c r="N9" s="5">
        <v>2616791</v>
      </c>
      <c r="O9" s="5">
        <v>1520</v>
      </c>
      <c r="P9" s="5">
        <v>0</v>
      </c>
      <c r="Q9" s="5">
        <v>0</v>
      </c>
      <c r="R9" s="5" t="s">
        <v>172</v>
      </c>
      <c r="S9" s="5"/>
      <c r="T9" s="5">
        <v>451547420046</v>
      </c>
      <c r="U9" s="5" t="s">
        <v>34</v>
      </c>
      <c r="V9" s="5">
        <v>152</v>
      </c>
      <c r="W9" s="5" t="s">
        <v>195</v>
      </c>
    </row>
    <row r="10" spans="1:23" x14ac:dyDescent="0.3">
      <c r="A10" s="2">
        <f>A9+1</f>
        <v>9</v>
      </c>
      <c r="B10" s="2">
        <v>7</v>
      </c>
      <c r="C10" s="3">
        <v>45790</v>
      </c>
      <c r="D10" s="2" t="s">
        <v>29</v>
      </c>
      <c r="E10" s="9">
        <v>0.4513888888888889</v>
      </c>
      <c r="F10" s="9">
        <v>0.58333333333333337</v>
      </c>
      <c r="G10" s="7"/>
      <c r="H10" s="6">
        <v>45802</v>
      </c>
      <c r="I10" s="7" t="s">
        <v>196</v>
      </c>
      <c r="J10" s="5" t="s">
        <v>176</v>
      </c>
      <c r="K10" s="7">
        <v>13</v>
      </c>
      <c r="L10" s="5" t="s">
        <v>24</v>
      </c>
      <c r="M10" s="5" t="s">
        <v>24</v>
      </c>
      <c r="N10" s="7"/>
      <c r="O10" s="7">
        <v>460</v>
      </c>
      <c r="P10" s="5">
        <v>0</v>
      </c>
      <c r="Q10" s="7">
        <v>460</v>
      </c>
      <c r="R10" s="5" t="s">
        <v>172</v>
      </c>
      <c r="S10" s="7"/>
      <c r="T10" s="8">
        <v>471547429135</v>
      </c>
      <c r="U10" s="7" t="s">
        <v>199</v>
      </c>
      <c r="V10" s="7">
        <v>46</v>
      </c>
      <c r="W10" s="5" t="s">
        <v>195</v>
      </c>
    </row>
    <row r="11" spans="1:23" x14ac:dyDescent="0.3">
      <c r="A11" s="2">
        <f>A10+1</f>
        <v>10</v>
      </c>
      <c r="B11" s="2">
        <v>7</v>
      </c>
      <c r="C11" s="3">
        <v>45790</v>
      </c>
      <c r="D11" s="2" t="s">
        <v>29</v>
      </c>
      <c r="E11" s="9">
        <v>0.4513888888888889</v>
      </c>
      <c r="F11" s="9">
        <v>0.58333333333333337</v>
      </c>
      <c r="G11" s="7"/>
      <c r="H11" s="6">
        <v>45802</v>
      </c>
      <c r="I11" s="7" t="s">
        <v>196</v>
      </c>
      <c r="J11" s="5" t="s">
        <v>176</v>
      </c>
      <c r="K11" s="7">
        <v>11</v>
      </c>
      <c r="L11" s="5" t="s">
        <v>24</v>
      </c>
      <c r="M11" s="5" t="s">
        <v>24</v>
      </c>
      <c r="N11" s="7"/>
      <c r="O11" s="7">
        <v>400</v>
      </c>
      <c r="P11" s="5">
        <v>0</v>
      </c>
      <c r="Q11" s="7">
        <v>400</v>
      </c>
      <c r="R11" s="5" t="s">
        <v>172</v>
      </c>
      <c r="S11" s="7"/>
      <c r="T11" s="8">
        <v>751527333675</v>
      </c>
      <c r="U11" s="7" t="s">
        <v>199</v>
      </c>
      <c r="V11" s="7">
        <v>40</v>
      </c>
      <c r="W11" s="5" t="s">
        <v>195</v>
      </c>
    </row>
    <row r="12" spans="1:23" x14ac:dyDescent="0.3">
      <c r="A12" s="2">
        <f t="shared" ref="A12:A15" si="0">A11+1</f>
        <v>11</v>
      </c>
      <c r="B12" s="2">
        <v>7</v>
      </c>
      <c r="C12" s="3">
        <v>45790</v>
      </c>
      <c r="D12" s="2" t="s">
        <v>29</v>
      </c>
      <c r="E12" s="9">
        <v>0.4513888888888889</v>
      </c>
      <c r="F12" s="9">
        <v>0.58333333333333337</v>
      </c>
      <c r="G12" s="7"/>
      <c r="H12" s="6">
        <v>45802</v>
      </c>
      <c r="I12" s="7" t="s">
        <v>196</v>
      </c>
      <c r="J12" s="5" t="s">
        <v>176</v>
      </c>
      <c r="K12" s="7">
        <v>14</v>
      </c>
      <c r="L12" s="5" t="s">
        <v>24</v>
      </c>
      <c r="M12" s="5" t="s">
        <v>24</v>
      </c>
      <c r="N12" s="7"/>
      <c r="O12" s="7">
        <v>800</v>
      </c>
      <c r="P12" s="5">
        <v>0</v>
      </c>
      <c r="Q12" s="7">
        <v>800</v>
      </c>
      <c r="R12" s="5" t="s">
        <v>172</v>
      </c>
      <c r="S12" s="7"/>
      <c r="T12" s="8">
        <v>781527333843</v>
      </c>
      <c r="U12" s="7" t="s">
        <v>199</v>
      </c>
      <c r="V12" s="7">
        <v>80</v>
      </c>
      <c r="W12" s="5" t="s">
        <v>190</v>
      </c>
    </row>
    <row r="13" spans="1:23" x14ac:dyDescent="0.3">
      <c r="A13" s="2">
        <f t="shared" si="0"/>
        <v>12</v>
      </c>
      <c r="B13" s="2">
        <v>7</v>
      </c>
      <c r="C13" s="3">
        <v>45790</v>
      </c>
      <c r="D13" s="2" t="s">
        <v>29</v>
      </c>
      <c r="E13" s="9">
        <v>0.4513888888888889</v>
      </c>
      <c r="F13" s="9">
        <v>0.58333333333333337</v>
      </c>
      <c r="G13" s="7"/>
      <c r="H13" s="6">
        <v>45802</v>
      </c>
      <c r="I13" s="7" t="s">
        <v>197</v>
      </c>
      <c r="J13" s="7" t="s">
        <v>198</v>
      </c>
      <c r="K13" s="7">
        <v>3</v>
      </c>
      <c r="L13" s="5" t="s">
        <v>24</v>
      </c>
      <c r="M13" s="5" t="s">
        <v>24</v>
      </c>
      <c r="N13" s="7"/>
      <c r="O13" s="7">
        <v>100</v>
      </c>
      <c r="P13" s="5">
        <v>0</v>
      </c>
      <c r="Q13" s="7">
        <v>100</v>
      </c>
      <c r="R13" s="5" t="s">
        <v>172</v>
      </c>
      <c r="S13" s="7"/>
      <c r="T13" s="8">
        <v>781527333832</v>
      </c>
      <c r="U13" s="7" t="s">
        <v>199</v>
      </c>
      <c r="V13" s="7">
        <v>10</v>
      </c>
      <c r="W13" s="5" t="s">
        <v>190</v>
      </c>
    </row>
    <row r="14" spans="1:23" x14ac:dyDescent="0.3">
      <c r="A14" s="2">
        <f t="shared" si="0"/>
        <v>13</v>
      </c>
      <c r="B14" s="2">
        <v>8</v>
      </c>
      <c r="C14" s="3">
        <v>45813</v>
      </c>
      <c r="D14" s="2" t="s">
        <v>29</v>
      </c>
      <c r="E14" s="4">
        <v>0.5</v>
      </c>
      <c r="F14" s="4">
        <v>0.54166666666666663</v>
      </c>
      <c r="G14" s="11"/>
      <c r="H14" s="6">
        <v>45833</v>
      </c>
      <c r="I14" s="5" t="s">
        <v>186</v>
      </c>
      <c r="J14" s="5" t="s">
        <v>187</v>
      </c>
      <c r="K14" s="11" t="s">
        <v>208</v>
      </c>
      <c r="L14" s="5" t="s">
        <v>24</v>
      </c>
      <c r="M14" s="5" t="s">
        <v>24</v>
      </c>
      <c r="N14" s="11"/>
      <c r="O14" s="11">
        <v>287</v>
      </c>
      <c r="P14" s="5">
        <v>0</v>
      </c>
      <c r="Q14" s="7">
        <v>287</v>
      </c>
      <c r="R14" s="5" t="s">
        <v>172</v>
      </c>
      <c r="S14" s="11"/>
      <c r="T14" s="11" t="s">
        <v>24</v>
      </c>
      <c r="U14" s="7" t="s">
        <v>199</v>
      </c>
      <c r="V14" s="11">
        <v>29</v>
      </c>
      <c r="W14" s="5" t="s">
        <v>195</v>
      </c>
    </row>
    <row r="15" spans="1:23" x14ac:dyDescent="0.3">
      <c r="A15" s="2">
        <f t="shared" si="0"/>
        <v>14</v>
      </c>
      <c r="B15" s="2">
        <v>8</v>
      </c>
      <c r="C15" s="3">
        <v>45813</v>
      </c>
      <c r="D15" s="2" t="s">
        <v>25</v>
      </c>
      <c r="E15" s="4">
        <v>0.5</v>
      </c>
      <c r="F15" s="4">
        <v>0.54166666666666663</v>
      </c>
      <c r="G15" s="11"/>
      <c r="H15" s="6">
        <v>45833</v>
      </c>
      <c r="I15" s="5" t="s">
        <v>186</v>
      </c>
      <c r="J15" s="5" t="s">
        <v>187</v>
      </c>
      <c r="K15" s="11" t="s">
        <v>209</v>
      </c>
      <c r="L15" s="5" t="s">
        <v>24</v>
      </c>
      <c r="M15" s="5" t="s">
        <v>24</v>
      </c>
      <c r="N15" s="11"/>
      <c r="O15" s="7">
        <v>2088</v>
      </c>
      <c r="P15" s="5">
        <v>0</v>
      </c>
      <c r="Q15" s="7">
        <v>2088</v>
      </c>
      <c r="R15" s="5" t="s">
        <v>172</v>
      </c>
      <c r="S15" s="11"/>
      <c r="T15" s="11" t="s">
        <v>24</v>
      </c>
      <c r="U15" s="7" t="s">
        <v>199</v>
      </c>
      <c r="V15" s="7">
        <v>87</v>
      </c>
      <c r="W15" s="5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2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9.33203125" bestFit="1" customWidth="1"/>
    <col min="2" max="2" width="9.77734375" bestFit="1" customWidth="1"/>
    <col min="3" max="3" width="16.21875" style="53" bestFit="1" customWidth="1"/>
    <col min="4" max="4" width="8.88671875" bestFit="1" customWidth="1"/>
    <col min="5" max="6" width="21.21875" bestFit="1" customWidth="1"/>
    <col min="7" max="7" width="15.44140625" bestFit="1" customWidth="1"/>
    <col min="8" max="8" width="17.44140625" bestFit="1" customWidth="1"/>
    <col min="9" max="9" width="43.77734375" bestFit="1" customWidth="1"/>
    <col min="10" max="10" width="15.109375" bestFit="1" customWidth="1"/>
    <col min="11" max="11" width="20.33203125" style="53" bestFit="1" customWidth="1"/>
    <col min="12" max="12" width="14.109375" bestFit="1" customWidth="1"/>
    <col min="13" max="13" width="12.6640625" bestFit="1" customWidth="1"/>
    <col min="14" max="14" width="16.6640625" bestFit="1" customWidth="1"/>
    <col min="15" max="15" width="12.6640625" bestFit="1" customWidth="1"/>
    <col min="16" max="16" width="16.44140625" bestFit="1" customWidth="1"/>
    <col min="17" max="17" width="15.44140625" style="53" bestFit="1" customWidth="1"/>
    <col min="18" max="18" width="13.77734375" style="53" bestFit="1" customWidth="1"/>
    <col min="19" max="19" width="11.6640625" style="48" bestFit="1" customWidth="1"/>
    <col min="20" max="20" width="15.21875" bestFit="1" customWidth="1"/>
    <col min="21" max="21" width="40.109375" bestFit="1" customWidth="1"/>
    <col min="22" max="22" width="20.88671875" style="37" bestFit="1" customWidth="1"/>
    <col min="23" max="23" width="42" bestFit="1" customWidth="1"/>
    <col min="24" max="24" width="14.77734375" style="53" bestFit="1" customWidth="1"/>
    <col min="25" max="25" width="112.21875" bestFit="1" customWidth="1"/>
  </cols>
  <sheetData>
    <row r="1" spans="1:25" x14ac:dyDescent="0.3">
      <c r="A1" s="13" t="s">
        <v>0</v>
      </c>
      <c r="B1" s="13" t="s">
        <v>1</v>
      </c>
      <c r="C1" s="49" t="s">
        <v>2</v>
      </c>
      <c r="D1" s="14" t="s">
        <v>3</v>
      </c>
      <c r="E1" s="15" t="s">
        <v>4</v>
      </c>
      <c r="F1" s="15" t="s">
        <v>5</v>
      </c>
      <c r="G1" s="14" t="s">
        <v>6</v>
      </c>
      <c r="H1" s="16" t="s">
        <v>7</v>
      </c>
      <c r="I1" s="15" t="s">
        <v>8</v>
      </c>
      <c r="J1" s="15" t="s">
        <v>9</v>
      </c>
      <c r="K1" s="54" t="s">
        <v>10</v>
      </c>
      <c r="L1" s="15" t="s">
        <v>11</v>
      </c>
      <c r="M1" s="13" t="s">
        <v>12</v>
      </c>
      <c r="N1" s="15" t="s">
        <v>13</v>
      </c>
      <c r="O1" s="14" t="s">
        <v>12</v>
      </c>
      <c r="P1" s="15" t="s">
        <v>14</v>
      </c>
      <c r="Q1" s="54" t="s">
        <v>15</v>
      </c>
      <c r="R1" s="54" t="s">
        <v>16</v>
      </c>
      <c r="S1" s="44" t="s">
        <v>17</v>
      </c>
      <c r="T1" s="15" t="s">
        <v>18</v>
      </c>
      <c r="U1" s="17" t="s">
        <v>19</v>
      </c>
      <c r="V1" s="36" t="s">
        <v>20</v>
      </c>
      <c r="W1" s="15" t="s">
        <v>21</v>
      </c>
      <c r="X1" s="54" t="s">
        <v>22</v>
      </c>
      <c r="Y1" s="15" t="s">
        <v>23</v>
      </c>
    </row>
    <row r="2" spans="1:25" x14ac:dyDescent="0.3">
      <c r="A2" s="18">
        <v>282</v>
      </c>
      <c r="B2" s="18">
        <v>189</v>
      </c>
      <c r="C2" s="50">
        <v>45749</v>
      </c>
      <c r="D2" s="19" t="s">
        <v>25</v>
      </c>
      <c r="E2" s="20">
        <v>0.6118055555555556</v>
      </c>
      <c r="F2" s="20">
        <v>0.62291666666666667</v>
      </c>
      <c r="G2" s="19" t="s">
        <v>24</v>
      </c>
      <c r="H2" s="21">
        <v>45748</v>
      </c>
      <c r="I2" s="18" t="s">
        <v>39</v>
      </c>
      <c r="J2" s="18" t="s">
        <v>38</v>
      </c>
      <c r="K2" s="56" t="s">
        <v>67</v>
      </c>
      <c r="L2" s="18" t="s">
        <v>24</v>
      </c>
      <c r="M2" s="19">
        <v>45749</v>
      </c>
      <c r="N2" s="22" t="s">
        <v>68</v>
      </c>
      <c r="O2" s="19">
        <v>45749</v>
      </c>
      <c r="P2" s="18" t="s">
        <v>27</v>
      </c>
      <c r="Q2" s="55">
        <v>211761</v>
      </c>
      <c r="R2" s="55">
        <v>936</v>
      </c>
      <c r="S2" s="45">
        <v>936</v>
      </c>
      <c r="T2" s="18">
        <v>0</v>
      </c>
      <c r="U2" s="23"/>
      <c r="V2" s="31">
        <v>711510989496</v>
      </c>
      <c r="W2" s="18" t="s">
        <v>31</v>
      </c>
      <c r="X2" s="55">
        <v>39</v>
      </c>
      <c r="Y2" s="18" t="s">
        <v>24</v>
      </c>
    </row>
    <row r="3" spans="1:25" x14ac:dyDescent="0.3">
      <c r="A3" s="18">
        <v>283</v>
      </c>
      <c r="B3" s="18">
        <v>190</v>
      </c>
      <c r="C3" s="50">
        <v>45749</v>
      </c>
      <c r="D3" s="19" t="s">
        <v>25</v>
      </c>
      <c r="E3" s="20">
        <v>0.56944444444444442</v>
      </c>
      <c r="F3" s="20">
        <v>0.63194444444444442</v>
      </c>
      <c r="G3" s="19" t="s">
        <v>24</v>
      </c>
      <c r="H3" s="21">
        <v>45748</v>
      </c>
      <c r="I3" s="18" t="s">
        <v>61</v>
      </c>
      <c r="J3" s="18" t="s">
        <v>38</v>
      </c>
      <c r="K3" s="56" t="s">
        <v>69</v>
      </c>
      <c r="L3" s="18" t="s">
        <v>24</v>
      </c>
      <c r="M3" s="22" t="s">
        <v>24</v>
      </c>
      <c r="N3" s="22" t="s">
        <v>70</v>
      </c>
      <c r="O3" s="19">
        <v>45753</v>
      </c>
      <c r="P3" s="18" t="s">
        <v>27</v>
      </c>
      <c r="Q3" s="55" t="s">
        <v>71</v>
      </c>
      <c r="R3" s="55" t="s">
        <v>72</v>
      </c>
      <c r="S3" s="45" t="s">
        <v>72</v>
      </c>
      <c r="T3" s="18">
        <v>0</v>
      </c>
      <c r="U3" s="23" t="s">
        <v>24</v>
      </c>
      <c r="V3" s="31" t="s">
        <v>24</v>
      </c>
      <c r="W3" s="18" t="s">
        <v>73</v>
      </c>
      <c r="X3" s="55">
        <v>193</v>
      </c>
      <c r="Y3" s="18" t="s">
        <v>24</v>
      </c>
    </row>
    <row r="4" spans="1:25" x14ac:dyDescent="0.3">
      <c r="A4" s="18">
        <v>284</v>
      </c>
      <c r="B4" s="18">
        <v>191</v>
      </c>
      <c r="C4" s="50">
        <v>45751</v>
      </c>
      <c r="D4" s="19" t="s">
        <v>25</v>
      </c>
      <c r="E4" s="20">
        <v>0.5</v>
      </c>
      <c r="F4" s="20">
        <v>0.52777777777777779</v>
      </c>
      <c r="G4" s="19" t="s">
        <v>24</v>
      </c>
      <c r="H4" s="21">
        <v>45748</v>
      </c>
      <c r="I4" s="18" t="s">
        <v>46</v>
      </c>
      <c r="J4" s="18" t="s">
        <v>38</v>
      </c>
      <c r="K4" s="56" t="s">
        <v>74</v>
      </c>
      <c r="L4" s="18" t="s">
        <v>24</v>
      </c>
      <c r="M4" s="22" t="s">
        <v>24</v>
      </c>
      <c r="N4" s="22" t="s">
        <v>75</v>
      </c>
      <c r="O4" s="19">
        <v>45753</v>
      </c>
      <c r="P4" s="18" t="s">
        <v>27</v>
      </c>
      <c r="Q4" s="55">
        <v>560952</v>
      </c>
      <c r="R4" s="55">
        <v>1890</v>
      </c>
      <c r="S4" s="45">
        <v>1890</v>
      </c>
      <c r="T4" s="18">
        <v>0</v>
      </c>
      <c r="U4" s="23" t="s">
        <v>24</v>
      </c>
      <c r="V4" s="31">
        <v>781516033983</v>
      </c>
      <c r="W4" s="18" t="s">
        <v>76</v>
      </c>
      <c r="X4" s="55">
        <v>105</v>
      </c>
      <c r="Y4" s="18" t="s">
        <v>24</v>
      </c>
    </row>
    <row r="5" spans="1:25" x14ac:dyDescent="0.3">
      <c r="A5" s="18">
        <v>285</v>
      </c>
      <c r="B5" s="18">
        <v>192</v>
      </c>
      <c r="C5" s="50">
        <v>45751</v>
      </c>
      <c r="D5" s="19" t="s">
        <v>25</v>
      </c>
      <c r="E5" s="20">
        <v>0.41666666666666669</v>
      </c>
      <c r="F5" s="20">
        <v>0.4548611111111111</v>
      </c>
      <c r="G5" s="19" t="s">
        <v>24</v>
      </c>
      <c r="H5" s="21">
        <v>45748</v>
      </c>
      <c r="I5" s="18" t="s">
        <v>39</v>
      </c>
      <c r="J5" s="18" t="s">
        <v>38</v>
      </c>
      <c r="K5" s="56" t="s">
        <v>77</v>
      </c>
      <c r="L5" s="18" t="s">
        <v>24</v>
      </c>
      <c r="M5" s="22" t="s">
        <v>24</v>
      </c>
      <c r="N5" s="22" t="s">
        <v>78</v>
      </c>
      <c r="O5" s="19">
        <v>45753</v>
      </c>
      <c r="P5" s="18" t="s">
        <v>27</v>
      </c>
      <c r="Q5" s="55">
        <v>264499</v>
      </c>
      <c r="R5" s="55">
        <v>1152</v>
      </c>
      <c r="S5" s="45">
        <v>1152</v>
      </c>
      <c r="T5" s="18" t="s">
        <v>24</v>
      </c>
      <c r="U5" s="23" t="s">
        <v>24</v>
      </c>
      <c r="V5" s="31">
        <v>341972591803</v>
      </c>
      <c r="W5" s="18" t="s">
        <v>79</v>
      </c>
      <c r="X5" s="55">
        <v>48</v>
      </c>
      <c r="Y5" s="18" t="s">
        <v>24</v>
      </c>
    </row>
    <row r="6" spans="1:25" x14ac:dyDescent="0.3">
      <c r="A6" s="18">
        <v>286</v>
      </c>
      <c r="B6" s="18">
        <v>193</v>
      </c>
      <c r="C6" s="50">
        <v>45754</v>
      </c>
      <c r="D6" s="19" t="s">
        <v>25</v>
      </c>
      <c r="E6" s="20">
        <v>0.56944444444444442</v>
      </c>
      <c r="F6" s="20">
        <v>0.63194444444444442</v>
      </c>
      <c r="G6" s="19" t="s">
        <v>24</v>
      </c>
      <c r="H6" s="21">
        <v>45748</v>
      </c>
      <c r="I6" s="18" t="s">
        <v>62</v>
      </c>
      <c r="J6" s="18" t="s">
        <v>38</v>
      </c>
      <c r="K6" s="56" t="s">
        <v>80</v>
      </c>
      <c r="L6" s="18" t="s">
        <v>24</v>
      </c>
      <c r="M6" s="22" t="s">
        <v>24</v>
      </c>
      <c r="N6" s="22" t="s">
        <v>81</v>
      </c>
      <c r="O6" s="19">
        <v>45756</v>
      </c>
      <c r="P6" s="18" t="s">
        <v>27</v>
      </c>
      <c r="Q6" s="55">
        <v>575232</v>
      </c>
      <c r="R6" s="55">
        <v>2400</v>
      </c>
      <c r="S6" s="45">
        <v>2400</v>
      </c>
      <c r="T6" s="18">
        <v>0</v>
      </c>
      <c r="U6" s="23" t="s">
        <v>24</v>
      </c>
      <c r="V6" s="31">
        <v>741516922551</v>
      </c>
      <c r="W6" s="18" t="s">
        <v>32</v>
      </c>
      <c r="X6" s="55">
        <v>100</v>
      </c>
      <c r="Y6" s="18" t="s">
        <v>24</v>
      </c>
    </row>
    <row r="7" spans="1:25" x14ac:dyDescent="0.3">
      <c r="A7" s="18">
        <v>287</v>
      </c>
      <c r="B7" s="18">
        <v>194</v>
      </c>
      <c r="C7" s="50">
        <v>45754</v>
      </c>
      <c r="D7" s="19" t="s">
        <v>25</v>
      </c>
      <c r="E7" s="20">
        <v>0.6118055555555556</v>
      </c>
      <c r="F7" s="20">
        <v>0.62291666666666667</v>
      </c>
      <c r="G7" s="19" t="s">
        <v>24</v>
      </c>
      <c r="H7" s="21">
        <v>45748</v>
      </c>
      <c r="I7" s="18" t="s">
        <v>46</v>
      </c>
      <c r="J7" s="18" t="s">
        <v>38</v>
      </c>
      <c r="K7" s="56" t="s">
        <v>82</v>
      </c>
      <c r="L7" s="18" t="s">
        <v>24</v>
      </c>
      <c r="M7" s="22" t="s">
        <v>24</v>
      </c>
      <c r="N7" s="22" t="s">
        <v>83</v>
      </c>
      <c r="O7" s="19">
        <v>45756</v>
      </c>
      <c r="P7" s="18" t="s">
        <v>27</v>
      </c>
      <c r="Q7" s="55">
        <v>555609.59999999998</v>
      </c>
      <c r="R7" s="55">
        <v>1872</v>
      </c>
      <c r="S7" s="45">
        <v>1872</v>
      </c>
      <c r="T7" s="18">
        <v>0</v>
      </c>
      <c r="U7" s="23" t="s">
        <v>24</v>
      </c>
      <c r="V7" s="31">
        <v>741517105838</v>
      </c>
      <c r="W7" s="18" t="s">
        <v>33</v>
      </c>
      <c r="X7" s="55">
        <v>104</v>
      </c>
      <c r="Y7" s="18" t="s">
        <v>24</v>
      </c>
    </row>
    <row r="8" spans="1:25" x14ac:dyDescent="0.3">
      <c r="A8" s="18">
        <v>288</v>
      </c>
      <c r="B8" s="18">
        <v>195</v>
      </c>
      <c r="C8" s="50">
        <v>45757</v>
      </c>
      <c r="D8" s="19" t="s">
        <v>25</v>
      </c>
      <c r="E8" s="20">
        <v>0.41666666666666669</v>
      </c>
      <c r="F8" s="20">
        <v>0.52777777777777779</v>
      </c>
      <c r="G8" s="19" t="s">
        <v>24</v>
      </c>
      <c r="H8" s="21">
        <v>45748</v>
      </c>
      <c r="I8" s="18" t="s">
        <v>51</v>
      </c>
      <c r="J8" s="18" t="s">
        <v>52</v>
      </c>
      <c r="K8" s="56" t="s">
        <v>84</v>
      </c>
      <c r="L8" s="18" t="s">
        <v>24</v>
      </c>
      <c r="M8" s="22" t="s">
        <v>24</v>
      </c>
      <c r="N8" s="18"/>
      <c r="O8" s="19">
        <v>45763</v>
      </c>
      <c r="P8" s="18" t="s">
        <v>27</v>
      </c>
      <c r="Q8" s="55">
        <v>1319539</v>
      </c>
      <c r="R8" s="55">
        <v>5160</v>
      </c>
      <c r="S8" s="45">
        <v>5160</v>
      </c>
      <c r="T8" s="18">
        <v>0</v>
      </c>
      <c r="U8" s="23" t="s">
        <v>24</v>
      </c>
      <c r="V8" s="31" t="s">
        <v>24</v>
      </c>
      <c r="W8" s="18" t="s">
        <v>85</v>
      </c>
      <c r="X8" s="55">
        <v>215</v>
      </c>
      <c r="Y8" s="18" t="s">
        <v>24</v>
      </c>
    </row>
    <row r="9" spans="1:25" x14ac:dyDescent="0.3">
      <c r="A9" s="18">
        <v>289</v>
      </c>
      <c r="B9" s="18">
        <v>196</v>
      </c>
      <c r="C9" s="50">
        <v>45759</v>
      </c>
      <c r="D9" s="19" t="s">
        <v>25</v>
      </c>
      <c r="E9" s="20">
        <v>0.56944444444444442</v>
      </c>
      <c r="F9" s="20">
        <v>0.63194444444444442</v>
      </c>
      <c r="G9" s="19" t="s">
        <v>24</v>
      </c>
      <c r="H9" s="21">
        <v>45748</v>
      </c>
      <c r="I9" s="18" t="s">
        <v>39</v>
      </c>
      <c r="J9" s="18" t="s">
        <v>38</v>
      </c>
      <c r="K9" s="56" t="s">
        <v>86</v>
      </c>
      <c r="L9" s="18" t="s">
        <v>24</v>
      </c>
      <c r="M9" s="22" t="s">
        <v>24</v>
      </c>
      <c r="N9" s="18" t="s">
        <v>87</v>
      </c>
      <c r="O9" s="19">
        <v>45759</v>
      </c>
      <c r="P9" s="18" t="s">
        <v>27</v>
      </c>
      <c r="Q9" s="63">
        <v>25092032400</v>
      </c>
      <c r="R9" s="63">
        <v>1224144</v>
      </c>
      <c r="S9" s="45">
        <v>1224144</v>
      </c>
      <c r="T9" s="29">
        <v>0</v>
      </c>
      <c r="U9" s="23" t="s">
        <v>24</v>
      </c>
      <c r="V9" s="31">
        <v>381978243632</v>
      </c>
      <c r="W9" s="18" t="s">
        <v>88</v>
      </c>
      <c r="X9" s="55">
        <v>57</v>
      </c>
      <c r="Y9" s="18" t="s">
        <v>24</v>
      </c>
    </row>
    <row r="10" spans="1:25" x14ac:dyDescent="0.3">
      <c r="A10" s="18">
        <v>290</v>
      </c>
      <c r="B10" s="18">
        <v>197</v>
      </c>
      <c r="C10" s="50">
        <v>45759</v>
      </c>
      <c r="D10" s="19" t="s">
        <v>25</v>
      </c>
      <c r="E10" s="20">
        <v>0.56944444444444442</v>
      </c>
      <c r="F10" s="20">
        <v>0.63194444444444442</v>
      </c>
      <c r="G10" s="19" t="s">
        <v>24</v>
      </c>
      <c r="H10" s="21">
        <v>45748</v>
      </c>
      <c r="I10" s="18" t="s">
        <v>39</v>
      </c>
      <c r="J10" s="18" t="s">
        <v>38</v>
      </c>
      <c r="K10" s="56" t="s">
        <v>89</v>
      </c>
      <c r="L10" s="18" t="s">
        <v>24</v>
      </c>
      <c r="M10" s="22" t="s">
        <v>24</v>
      </c>
      <c r="N10" s="18" t="s">
        <v>90</v>
      </c>
      <c r="O10" s="19">
        <v>45759</v>
      </c>
      <c r="P10" s="18" t="s">
        <v>27</v>
      </c>
      <c r="Q10" s="55">
        <v>156600</v>
      </c>
      <c r="R10" s="55">
        <v>696</v>
      </c>
      <c r="S10" s="45">
        <v>696</v>
      </c>
      <c r="T10" s="18">
        <v>0</v>
      </c>
      <c r="U10" s="23" t="s">
        <v>24</v>
      </c>
      <c r="V10" s="31">
        <v>381978243632</v>
      </c>
      <c r="W10" s="18" t="s">
        <v>91</v>
      </c>
      <c r="X10" s="55">
        <v>29</v>
      </c>
      <c r="Y10" s="18" t="s">
        <v>24</v>
      </c>
    </row>
    <row r="11" spans="1:25" x14ac:dyDescent="0.3">
      <c r="A11" s="18">
        <v>291</v>
      </c>
      <c r="B11" s="18">
        <v>198</v>
      </c>
      <c r="C11" s="50">
        <v>45762</v>
      </c>
      <c r="D11" s="19" t="s">
        <v>25</v>
      </c>
      <c r="E11" s="20">
        <v>0.41666666666666669</v>
      </c>
      <c r="F11" s="20">
        <v>0.52777777777777779</v>
      </c>
      <c r="G11" s="19" t="s">
        <v>24</v>
      </c>
      <c r="H11" s="21">
        <v>45748</v>
      </c>
      <c r="I11" s="18" t="s">
        <v>46</v>
      </c>
      <c r="J11" s="18" t="s">
        <v>38</v>
      </c>
      <c r="K11" s="56" t="s">
        <v>92</v>
      </c>
      <c r="L11" s="18" t="s">
        <v>24</v>
      </c>
      <c r="M11" s="22" t="s">
        <v>24</v>
      </c>
      <c r="N11" s="22" t="s">
        <v>93</v>
      </c>
      <c r="O11" s="19">
        <v>45763</v>
      </c>
      <c r="P11" s="18" t="s">
        <v>27</v>
      </c>
      <c r="Q11" s="55">
        <v>563687</v>
      </c>
      <c r="R11" s="55">
        <v>2112</v>
      </c>
      <c r="S11" s="45">
        <v>2112</v>
      </c>
      <c r="T11" s="18">
        <v>0</v>
      </c>
      <c r="U11" s="23" t="s">
        <v>24</v>
      </c>
      <c r="V11" s="31">
        <v>721519100682</v>
      </c>
      <c r="W11" s="18" t="s">
        <v>94</v>
      </c>
      <c r="X11" s="55">
        <v>105</v>
      </c>
      <c r="Y11" s="18" t="s">
        <v>24</v>
      </c>
    </row>
    <row r="12" spans="1:25" x14ac:dyDescent="0.3">
      <c r="A12" s="18">
        <v>292</v>
      </c>
      <c r="B12" s="18">
        <v>199</v>
      </c>
      <c r="C12" s="50">
        <v>45762</v>
      </c>
      <c r="D12" s="19" t="s">
        <v>25</v>
      </c>
      <c r="E12" s="20">
        <v>0.6118055555555556</v>
      </c>
      <c r="F12" s="20">
        <v>0.63194444444444442</v>
      </c>
      <c r="G12" s="19" t="s">
        <v>24</v>
      </c>
      <c r="H12" s="21">
        <v>45748</v>
      </c>
      <c r="I12" s="18" t="s">
        <v>51</v>
      </c>
      <c r="J12" s="18" t="s">
        <v>66</v>
      </c>
      <c r="K12" s="56" t="s">
        <v>95</v>
      </c>
      <c r="L12" s="18" t="s">
        <v>24</v>
      </c>
      <c r="M12" s="22" t="s">
        <v>24</v>
      </c>
      <c r="N12" s="22" t="s">
        <v>24</v>
      </c>
      <c r="O12" s="19">
        <v>45768</v>
      </c>
      <c r="P12" s="18" t="s">
        <v>27</v>
      </c>
      <c r="Q12" s="55">
        <v>1293089</v>
      </c>
      <c r="R12" s="55">
        <v>5088</v>
      </c>
      <c r="S12" s="45">
        <v>5088</v>
      </c>
      <c r="T12" s="18">
        <v>0</v>
      </c>
      <c r="U12" s="23" t="s">
        <v>24</v>
      </c>
      <c r="V12" s="31" t="s">
        <v>24</v>
      </c>
      <c r="W12" s="18" t="s">
        <v>50</v>
      </c>
      <c r="X12" s="55">
        <v>212</v>
      </c>
      <c r="Y12" s="18"/>
    </row>
    <row r="13" spans="1:25" x14ac:dyDescent="0.3">
      <c r="A13" s="18">
        <v>293</v>
      </c>
      <c r="B13" s="18">
        <v>200</v>
      </c>
      <c r="C13" s="50">
        <v>45762</v>
      </c>
      <c r="D13" s="19" t="s">
        <v>29</v>
      </c>
      <c r="E13" s="20">
        <v>0.56944444444444442</v>
      </c>
      <c r="F13" s="20">
        <v>0.63194444444444442</v>
      </c>
      <c r="G13" s="19" t="s">
        <v>24</v>
      </c>
      <c r="H13" s="21">
        <v>45748</v>
      </c>
      <c r="I13" s="18" t="s">
        <v>37</v>
      </c>
      <c r="J13" s="28" t="s">
        <v>43</v>
      </c>
      <c r="K13" s="57">
        <v>2410500100001710</v>
      </c>
      <c r="L13" s="18" t="s">
        <v>24</v>
      </c>
      <c r="M13" s="22" t="s">
        <v>24</v>
      </c>
      <c r="N13" s="22" t="s">
        <v>96</v>
      </c>
      <c r="O13" s="19">
        <v>45766</v>
      </c>
      <c r="P13" s="18" t="s">
        <v>27</v>
      </c>
      <c r="Q13" s="55">
        <v>196990</v>
      </c>
      <c r="R13" s="55">
        <v>140</v>
      </c>
      <c r="S13" s="45">
        <v>140</v>
      </c>
      <c r="T13" s="18">
        <v>0</v>
      </c>
      <c r="U13" s="23" t="s">
        <v>24</v>
      </c>
      <c r="V13" s="31" t="s">
        <v>24</v>
      </c>
      <c r="W13" s="18" t="s">
        <v>97</v>
      </c>
      <c r="X13" s="55">
        <v>14</v>
      </c>
      <c r="Y13" s="18" t="s">
        <v>24</v>
      </c>
    </row>
    <row r="14" spans="1:25" x14ac:dyDescent="0.3">
      <c r="A14" s="18">
        <v>294</v>
      </c>
      <c r="B14" s="18">
        <v>201</v>
      </c>
      <c r="C14" s="50">
        <v>45764</v>
      </c>
      <c r="D14" s="19" t="s">
        <v>25</v>
      </c>
      <c r="E14" s="20">
        <v>0.56944444444444442</v>
      </c>
      <c r="F14" s="20">
        <v>0.63194444444444442</v>
      </c>
      <c r="G14" s="19" t="s">
        <v>24</v>
      </c>
      <c r="H14" s="21">
        <v>45748</v>
      </c>
      <c r="I14" s="18" t="s">
        <v>54</v>
      </c>
      <c r="J14" s="18" t="s">
        <v>41</v>
      </c>
      <c r="K14" s="56" t="s">
        <v>98</v>
      </c>
      <c r="L14" s="18" t="s">
        <v>24</v>
      </c>
      <c r="M14" s="22" t="s">
        <v>24</v>
      </c>
      <c r="N14" s="22" t="s">
        <v>99</v>
      </c>
      <c r="O14" s="19">
        <v>45768</v>
      </c>
      <c r="P14" s="18" t="s">
        <v>27</v>
      </c>
      <c r="Q14" s="55">
        <v>325114</v>
      </c>
      <c r="R14" s="55">
        <v>1416</v>
      </c>
      <c r="S14" s="45">
        <v>1416</v>
      </c>
      <c r="T14" s="18">
        <v>0</v>
      </c>
      <c r="U14" s="23" t="s">
        <v>24</v>
      </c>
      <c r="V14" s="31" t="s">
        <v>24</v>
      </c>
      <c r="W14" s="18" t="s">
        <v>100</v>
      </c>
      <c r="X14" s="55">
        <v>59</v>
      </c>
      <c r="Y14" s="18" t="s">
        <v>24</v>
      </c>
    </row>
    <row r="15" spans="1:25" x14ac:dyDescent="0.3">
      <c r="A15" s="18">
        <v>295</v>
      </c>
      <c r="B15" s="18">
        <v>202</v>
      </c>
      <c r="C15" s="50">
        <v>45771</v>
      </c>
      <c r="D15" s="19" t="s">
        <v>25</v>
      </c>
      <c r="E15" s="20">
        <v>0.42708333333333331</v>
      </c>
      <c r="F15" s="20">
        <v>0.46527777777777779</v>
      </c>
      <c r="G15" s="19"/>
      <c r="H15" s="21">
        <v>45748</v>
      </c>
      <c r="I15" s="18" t="s">
        <v>54</v>
      </c>
      <c r="J15" s="18" t="s">
        <v>38</v>
      </c>
      <c r="K15" s="58" t="s">
        <v>101</v>
      </c>
      <c r="L15" s="18" t="s">
        <v>24</v>
      </c>
      <c r="M15" s="22" t="s">
        <v>24</v>
      </c>
      <c r="N15" s="22" t="s">
        <v>102</v>
      </c>
      <c r="O15" s="19">
        <v>45779</v>
      </c>
      <c r="P15" s="18" t="s">
        <v>27</v>
      </c>
      <c r="Q15" s="55">
        <v>269862</v>
      </c>
      <c r="R15" s="55">
        <v>1656</v>
      </c>
      <c r="S15" s="45">
        <v>1656</v>
      </c>
      <c r="T15" s="18">
        <v>0</v>
      </c>
      <c r="U15" s="23"/>
      <c r="V15" s="31">
        <v>731521871782</v>
      </c>
      <c r="W15" s="18" t="s">
        <v>31</v>
      </c>
      <c r="X15" s="55" t="s">
        <v>24</v>
      </c>
      <c r="Y15" s="18" t="s">
        <v>24</v>
      </c>
    </row>
    <row r="16" spans="1:25" x14ac:dyDescent="0.3">
      <c r="A16" s="18">
        <v>296</v>
      </c>
      <c r="B16" s="18">
        <v>202</v>
      </c>
      <c r="C16" s="50">
        <v>45771</v>
      </c>
      <c r="D16" s="19" t="s">
        <v>25</v>
      </c>
      <c r="E16" s="20">
        <v>0.42708333333333331</v>
      </c>
      <c r="F16" s="20">
        <v>0.46527777777777779</v>
      </c>
      <c r="G16" s="19"/>
      <c r="H16" s="21">
        <v>45748</v>
      </c>
      <c r="I16" s="18" t="s">
        <v>54</v>
      </c>
      <c r="J16" s="18" t="s">
        <v>38</v>
      </c>
      <c r="K16" s="58" t="s">
        <v>103</v>
      </c>
      <c r="L16" s="18" t="s">
        <v>24</v>
      </c>
      <c r="M16" s="22" t="s">
        <v>24</v>
      </c>
      <c r="N16" s="22" t="s">
        <v>104</v>
      </c>
      <c r="O16" s="19">
        <v>45772</v>
      </c>
      <c r="P16" s="18" t="s">
        <v>27</v>
      </c>
      <c r="Q16" s="55">
        <v>110477</v>
      </c>
      <c r="R16" s="55">
        <v>576</v>
      </c>
      <c r="S16" s="45">
        <v>576</v>
      </c>
      <c r="T16" s="18">
        <v>0</v>
      </c>
      <c r="U16" s="23"/>
      <c r="V16" s="31">
        <v>731521871782</v>
      </c>
      <c r="W16" s="18" t="s">
        <v>31</v>
      </c>
      <c r="X16" s="55" t="s">
        <v>24</v>
      </c>
      <c r="Y16" s="18" t="s">
        <v>24</v>
      </c>
    </row>
    <row r="17" spans="1:25" x14ac:dyDescent="0.3">
      <c r="A17" s="18">
        <v>297</v>
      </c>
      <c r="B17" s="18">
        <v>202</v>
      </c>
      <c r="C17" s="50">
        <v>45771</v>
      </c>
      <c r="D17" s="19" t="s">
        <v>25</v>
      </c>
      <c r="E17" s="20">
        <v>0.42708333333333331</v>
      </c>
      <c r="F17" s="20">
        <v>0.46527777777777779</v>
      </c>
      <c r="G17" s="19"/>
      <c r="H17" s="21">
        <v>45748</v>
      </c>
      <c r="I17" s="18" t="s">
        <v>54</v>
      </c>
      <c r="J17" s="18" t="s">
        <v>38</v>
      </c>
      <c r="K17" s="58" t="s">
        <v>105</v>
      </c>
      <c r="L17" s="18" t="s">
        <v>24</v>
      </c>
      <c r="M17" s="22" t="s">
        <v>24</v>
      </c>
      <c r="N17" s="22" t="s">
        <v>106</v>
      </c>
      <c r="O17" s="19">
        <v>45780</v>
      </c>
      <c r="P17" s="18" t="s">
        <v>27</v>
      </c>
      <c r="Q17" s="55">
        <v>14456.88</v>
      </c>
      <c r="R17" s="55">
        <v>1368</v>
      </c>
      <c r="S17" s="45">
        <v>1368</v>
      </c>
      <c r="T17" s="18">
        <v>0</v>
      </c>
      <c r="U17" s="23"/>
      <c r="V17" s="31">
        <v>731521871782</v>
      </c>
      <c r="W17" s="18" t="s">
        <v>31</v>
      </c>
      <c r="X17" s="55">
        <v>125</v>
      </c>
      <c r="Y17" s="18" t="s">
        <v>24</v>
      </c>
    </row>
    <row r="18" spans="1:25" x14ac:dyDescent="0.3">
      <c r="A18" s="18">
        <v>298</v>
      </c>
      <c r="B18" s="18">
        <v>203</v>
      </c>
      <c r="C18" s="50">
        <v>45771</v>
      </c>
      <c r="D18" s="19" t="s">
        <v>25</v>
      </c>
      <c r="E18" s="20">
        <v>0.6875</v>
      </c>
      <c r="F18" s="20">
        <v>0.70833333333333337</v>
      </c>
      <c r="G18" s="19"/>
      <c r="H18" s="21">
        <v>45748</v>
      </c>
      <c r="I18" s="18" t="s">
        <v>54</v>
      </c>
      <c r="J18" s="18" t="s">
        <v>38</v>
      </c>
      <c r="K18" s="56" t="s">
        <v>107</v>
      </c>
      <c r="L18" s="18" t="s">
        <v>24</v>
      </c>
      <c r="M18" s="22" t="s">
        <v>24</v>
      </c>
      <c r="N18" s="22" t="s">
        <v>108</v>
      </c>
      <c r="O18" s="19">
        <v>45772</v>
      </c>
      <c r="P18" s="18" t="s">
        <v>27</v>
      </c>
      <c r="Q18" s="55">
        <v>44651.519999999997</v>
      </c>
      <c r="R18" s="55">
        <v>2304</v>
      </c>
      <c r="S18" s="45">
        <v>2304</v>
      </c>
      <c r="T18" s="18">
        <v>0</v>
      </c>
      <c r="U18" s="23"/>
      <c r="V18" s="31">
        <v>781521966038</v>
      </c>
      <c r="W18" s="18" t="s">
        <v>59</v>
      </c>
      <c r="X18" s="55">
        <v>96</v>
      </c>
      <c r="Y18" s="18" t="s">
        <v>24</v>
      </c>
    </row>
    <row r="19" spans="1:25" x14ac:dyDescent="0.3">
      <c r="A19" s="18">
        <v>299</v>
      </c>
      <c r="B19" s="18">
        <v>204</v>
      </c>
      <c r="C19" s="50">
        <v>45772</v>
      </c>
      <c r="D19" s="19" t="s">
        <v>25</v>
      </c>
      <c r="E19" s="20">
        <v>0.66666666666666663</v>
      </c>
      <c r="F19" s="20">
        <v>0.69027777777777777</v>
      </c>
      <c r="G19" s="19"/>
      <c r="H19" s="21">
        <v>45748</v>
      </c>
      <c r="I19" s="18" t="s">
        <v>40</v>
      </c>
      <c r="J19" s="18" t="s">
        <v>38</v>
      </c>
      <c r="K19" s="56" t="s">
        <v>109</v>
      </c>
      <c r="L19" s="22"/>
      <c r="M19" s="22"/>
      <c r="N19" s="18" t="s">
        <v>110</v>
      </c>
      <c r="O19" s="19">
        <v>45780</v>
      </c>
      <c r="P19" s="18" t="s">
        <v>27</v>
      </c>
      <c r="Q19" s="55">
        <v>687488.51</v>
      </c>
      <c r="R19" s="55">
        <v>2544</v>
      </c>
      <c r="S19" s="45">
        <v>2544</v>
      </c>
      <c r="T19" s="18">
        <v>0</v>
      </c>
      <c r="U19" s="23" t="s">
        <v>24</v>
      </c>
      <c r="V19" s="31">
        <v>301986131721</v>
      </c>
      <c r="W19" s="18" t="s">
        <v>36</v>
      </c>
      <c r="X19" s="55">
        <v>106</v>
      </c>
      <c r="Y19" s="18" t="s">
        <v>24</v>
      </c>
    </row>
    <row r="20" spans="1:25" x14ac:dyDescent="0.3">
      <c r="A20" s="18">
        <v>300</v>
      </c>
      <c r="B20" s="18">
        <v>205</v>
      </c>
      <c r="C20" s="50">
        <v>45777</v>
      </c>
      <c r="D20" s="19" t="s">
        <v>25</v>
      </c>
      <c r="E20" s="20">
        <v>0.56944444444444442</v>
      </c>
      <c r="F20" s="20">
        <v>0.63194444444444442</v>
      </c>
      <c r="G20" s="19"/>
      <c r="H20" s="21">
        <v>45748</v>
      </c>
      <c r="I20" s="18" t="s">
        <v>51</v>
      </c>
      <c r="J20" s="18" t="s">
        <v>52</v>
      </c>
      <c r="K20" s="56" t="s">
        <v>111</v>
      </c>
      <c r="L20" s="18" t="s">
        <v>24</v>
      </c>
      <c r="M20" s="22"/>
      <c r="N20" s="30" t="s">
        <v>202</v>
      </c>
      <c r="O20" s="19">
        <v>45811</v>
      </c>
      <c r="P20" s="18" t="s">
        <v>27</v>
      </c>
      <c r="Q20" s="55">
        <v>951821</v>
      </c>
      <c r="R20" s="55">
        <v>3840</v>
      </c>
      <c r="S20" s="45">
        <v>3840</v>
      </c>
      <c r="T20" s="18"/>
      <c r="U20" s="23"/>
      <c r="V20" s="31" t="s">
        <v>24</v>
      </c>
      <c r="W20" s="18" t="s">
        <v>112</v>
      </c>
      <c r="X20" s="55">
        <v>160</v>
      </c>
      <c r="Y20" s="18"/>
    </row>
    <row r="21" spans="1:25" x14ac:dyDescent="0.3">
      <c r="A21" s="18">
        <v>301</v>
      </c>
      <c r="B21" s="18">
        <v>206</v>
      </c>
      <c r="C21" s="50">
        <v>45777</v>
      </c>
      <c r="D21" s="19" t="s">
        <v>25</v>
      </c>
      <c r="E21" s="20">
        <v>0.6875</v>
      </c>
      <c r="F21" s="20">
        <v>0.70833333333333337</v>
      </c>
      <c r="G21" s="19"/>
      <c r="H21" s="21">
        <v>45748</v>
      </c>
      <c r="I21" s="18" t="s">
        <v>46</v>
      </c>
      <c r="J21" s="18" t="s">
        <v>38</v>
      </c>
      <c r="K21" s="56" t="s">
        <v>113</v>
      </c>
      <c r="L21" s="18" t="s">
        <v>24</v>
      </c>
      <c r="M21" s="22"/>
      <c r="N21" s="18" t="s">
        <v>114</v>
      </c>
      <c r="O21" s="19">
        <v>45779</v>
      </c>
      <c r="P21" s="18" t="s">
        <v>27</v>
      </c>
      <c r="Q21" s="55">
        <v>438963.84</v>
      </c>
      <c r="R21" s="55">
        <v>1548</v>
      </c>
      <c r="S21" s="45">
        <v>1548</v>
      </c>
      <c r="T21" s="18">
        <v>0</v>
      </c>
      <c r="U21" s="23"/>
      <c r="V21" s="31" t="s">
        <v>24</v>
      </c>
      <c r="W21" s="18" t="s">
        <v>31</v>
      </c>
      <c r="X21" s="55">
        <v>82</v>
      </c>
      <c r="Y21" s="18" t="s">
        <v>24</v>
      </c>
    </row>
    <row r="22" spans="1:25" x14ac:dyDescent="0.3">
      <c r="A22" s="18">
        <v>302</v>
      </c>
      <c r="B22" s="18">
        <v>207</v>
      </c>
      <c r="C22" s="50">
        <v>45777</v>
      </c>
      <c r="D22" s="19" t="s">
        <v>25</v>
      </c>
      <c r="E22" s="20">
        <v>0.41666666666666669</v>
      </c>
      <c r="F22" s="20">
        <v>0.52777777777777779</v>
      </c>
      <c r="G22" s="19"/>
      <c r="H22" s="21">
        <v>45748</v>
      </c>
      <c r="I22" s="18" t="s">
        <v>39</v>
      </c>
      <c r="J22" s="18" t="s">
        <v>38</v>
      </c>
      <c r="K22" s="56" t="s">
        <v>115</v>
      </c>
      <c r="L22" s="18" t="s">
        <v>24</v>
      </c>
      <c r="M22" s="22"/>
      <c r="N22" s="22" t="s">
        <v>116</v>
      </c>
      <c r="O22" s="19">
        <v>45777</v>
      </c>
      <c r="P22" s="18" t="s">
        <v>27</v>
      </c>
      <c r="Q22" s="55">
        <v>82656</v>
      </c>
      <c r="R22" s="55">
        <v>360</v>
      </c>
      <c r="S22" s="45">
        <v>360</v>
      </c>
      <c r="T22" s="18">
        <v>0</v>
      </c>
      <c r="U22" s="23"/>
      <c r="V22" s="31"/>
      <c r="W22" s="18" t="s">
        <v>117</v>
      </c>
      <c r="X22" s="55">
        <v>26</v>
      </c>
      <c r="Y22" s="18" t="s">
        <v>24</v>
      </c>
    </row>
    <row r="23" spans="1:25" x14ac:dyDescent="0.3">
      <c r="A23" s="18">
        <v>303</v>
      </c>
      <c r="B23" s="18">
        <v>207</v>
      </c>
      <c r="C23" s="50">
        <v>45777</v>
      </c>
      <c r="D23" s="19" t="s">
        <v>25</v>
      </c>
      <c r="E23" s="20">
        <v>0.41666666666666669</v>
      </c>
      <c r="F23" s="20">
        <v>0.52777777777777779</v>
      </c>
      <c r="G23" s="19"/>
      <c r="H23" s="21">
        <v>45748</v>
      </c>
      <c r="I23" s="18" t="s">
        <v>39</v>
      </c>
      <c r="J23" s="18" t="s">
        <v>38</v>
      </c>
      <c r="K23" s="56" t="s">
        <v>118</v>
      </c>
      <c r="L23" s="18"/>
      <c r="M23" s="22"/>
      <c r="N23" s="22" t="s">
        <v>119</v>
      </c>
      <c r="O23" s="19">
        <v>45777</v>
      </c>
      <c r="P23" s="18" t="s">
        <v>27</v>
      </c>
      <c r="Q23" s="55">
        <v>66528</v>
      </c>
      <c r="R23" s="55">
        <v>264</v>
      </c>
      <c r="S23" s="45">
        <v>264</v>
      </c>
      <c r="T23" s="18">
        <v>0</v>
      </c>
      <c r="U23" s="23"/>
      <c r="V23" s="31"/>
      <c r="W23" s="18" t="s">
        <v>117</v>
      </c>
      <c r="X23" s="55" t="s">
        <v>24</v>
      </c>
      <c r="Y23" s="18" t="s">
        <v>24</v>
      </c>
    </row>
    <row r="24" spans="1:25" x14ac:dyDescent="0.3">
      <c r="A24" s="18">
        <v>304</v>
      </c>
      <c r="B24" s="18">
        <v>208</v>
      </c>
      <c r="C24" s="50">
        <v>45779</v>
      </c>
      <c r="D24" s="19" t="s">
        <v>25</v>
      </c>
      <c r="E24" s="20">
        <v>0.42708333333333331</v>
      </c>
      <c r="F24" s="20">
        <v>0.52777777777777779</v>
      </c>
      <c r="G24" s="24"/>
      <c r="H24" s="21">
        <v>45778</v>
      </c>
      <c r="I24" s="18" t="s">
        <v>61</v>
      </c>
      <c r="J24" s="18" t="s">
        <v>38</v>
      </c>
      <c r="K24" s="56" t="s">
        <v>120</v>
      </c>
      <c r="L24" s="18" t="s">
        <v>24</v>
      </c>
      <c r="M24" s="26"/>
      <c r="N24" s="12" t="s">
        <v>121</v>
      </c>
      <c r="O24" s="19">
        <v>45780</v>
      </c>
      <c r="P24" s="18" t="s">
        <v>27</v>
      </c>
      <c r="Q24" s="55">
        <v>288360</v>
      </c>
      <c r="R24" s="55">
        <v>1804</v>
      </c>
      <c r="S24" s="46">
        <v>1804</v>
      </c>
      <c r="T24" s="12">
        <v>0</v>
      </c>
      <c r="U24" s="27"/>
      <c r="V24" s="34"/>
      <c r="W24" s="12" t="s">
        <v>122</v>
      </c>
      <c r="X24" s="55">
        <v>172</v>
      </c>
      <c r="Y24" s="12"/>
    </row>
    <row r="25" spans="1:25" x14ac:dyDescent="0.3">
      <c r="A25" s="18">
        <v>304</v>
      </c>
      <c r="B25" s="18">
        <v>208</v>
      </c>
      <c r="C25" s="50">
        <v>45779</v>
      </c>
      <c r="D25" s="19" t="s">
        <v>25</v>
      </c>
      <c r="E25" s="20">
        <v>0.42708333333333331</v>
      </c>
      <c r="F25" s="20">
        <v>0.52777777777777779</v>
      </c>
      <c r="G25" s="24"/>
      <c r="H25" s="21">
        <v>45778</v>
      </c>
      <c r="I25" s="18" t="s">
        <v>61</v>
      </c>
      <c r="J25" s="18" t="s">
        <v>38</v>
      </c>
      <c r="K25" s="56" t="s">
        <v>123</v>
      </c>
      <c r="L25" s="12"/>
      <c r="M25" s="26"/>
      <c r="N25" s="12" t="s">
        <v>124</v>
      </c>
      <c r="O25" s="19">
        <v>45780</v>
      </c>
      <c r="P25" s="18" t="s">
        <v>27</v>
      </c>
      <c r="Q25" s="55">
        <v>667430</v>
      </c>
      <c r="R25" s="55">
        <v>3324</v>
      </c>
      <c r="S25" s="46">
        <v>3324</v>
      </c>
      <c r="T25" s="12">
        <v>0</v>
      </c>
      <c r="U25" s="27"/>
      <c r="V25" s="34"/>
      <c r="W25" s="12" t="s">
        <v>122</v>
      </c>
      <c r="X25" s="55" t="s">
        <v>24</v>
      </c>
      <c r="Y25" s="12"/>
    </row>
    <row r="26" spans="1:25" x14ac:dyDescent="0.3">
      <c r="A26" s="18">
        <v>305</v>
      </c>
      <c r="B26" s="18">
        <v>209</v>
      </c>
      <c r="C26" s="50">
        <v>45780</v>
      </c>
      <c r="D26" s="19" t="s">
        <v>25</v>
      </c>
      <c r="E26" s="20">
        <v>0.42708333333333331</v>
      </c>
      <c r="F26" s="20">
        <v>0.70833333333333337</v>
      </c>
      <c r="G26" s="19"/>
      <c r="H26" s="21">
        <v>45778</v>
      </c>
      <c r="I26" s="18" t="s">
        <v>26</v>
      </c>
      <c r="J26" s="18" t="s">
        <v>65</v>
      </c>
      <c r="K26" s="56" t="s">
        <v>125</v>
      </c>
      <c r="L26" s="18" t="s">
        <v>24</v>
      </c>
      <c r="M26" s="18" t="s">
        <v>24</v>
      </c>
      <c r="N26" s="30" t="s">
        <v>126</v>
      </c>
      <c r="O26" s="19">
        <v>45784</v>
      </c>
      <c r="P26" s="18" t="s">
        <v>27</v>
      </c>
      <c r="Q26" s="55">
        <v>436680.96000000002</v>
      </c>
      <c r="R26" s="55">
        <v>1224</v>
      </c>
      <c r="S26" s="45">
        <v>1224</v>
      </c>
      <c r="T26" s="18">
        <v>0</v>
      </c>
      <c r="U26" s="23"/>
      <c r="V26" s="31">
        <v>741524760055</v>
      </c>
      <c r="W26" s="18" t="s">
        <v>127</v>
      </c>
      <c r="X26" s="55">
        <v>51</v>
      </c>
      <c r="Y26" s="18"/>
    </row>
    <row r="27" spans="1:25" x14ac:dyDescent="0.3">
      <c r="A27" s="18">
        <v>306</v>
      </c>
      <c r="B27" s="18">
        <v>210</v>
      </c>
      <c r="C27" s="50">
        <v>45782</v>
      </c>
      <c r="D27" s="19" t="s">
        <v>29</v>
      </c>
      <c r="E27" s="20">
        <v>0.41666666666666669</v>
      </c>
      <c r="F27" s="20">
        <v>0.63194444444444442</v>
      </c>
      <c r="G27" s="19"/>
      <c r="H27" s="21">
        <v>45778</v>
      </c>
      <c r="I27" s="18" t="s">
        <v>37</v>
      </c>
      <c r="J27" s="18" t="s">
        <v>48</v>
      </c>
      <c r="K27" s="59">
        <v>251050010000020</v>
      </c>
      <c r="L27" s="18" t="s">
        <v>24</v>
      </c>
      <c r="M27" s="18" t="s">
        <v>24</v>
      </c>
      <c r="N27" s="18" t="s">
        <v>90</v>
      </c>
      <c r="O27" s="18" t="s">
        <v>24</v>
      </c>
      <c r="P27" s="18" t="s">
        <v>27</v>
      </c>
      <c r="Q27" s="55">
        <v>1541864.2</v>
      </c>
      <c r="R27" s="55">
        <v>1660</v>
      </c>
      <c r="S27" s="45">
        <v>0</v>
      </c>
      <c r="T27" s="18">
        <v>0</v>
      </c>
      <c r="U27" s="23"/>
      <c r="V27" s="31">
        <v>461563414604</v>
      </c>
      <c r="W27" s="18" t="s">
        <v>128</v>
      </c>
      <c r="X27" s="55">
        <v>166</v>
      </c>
      <c r="Y27" s="18"/>
    </row>
    <row r="28" spans="1:25" x14ac:dyDescent="0.3">
      <c r="A28" s="18">
        <v>307</v>
      </c>
      <c r="B28" s="18">
        <v>211</v>
      </c>
      <c r="C28" s="50">
        <v>45782</v>
      </c>
      <c r="D28" s="19" t="s">
        <v>29</v>
      </c>
      <c r="E28" s="20">
        <v>0.41666666666666669</v>
      </c>
      <c r="F28" s="20">
        <v>0.63194444444444442</v>
      </c>
      <c r="G28" s="19"/>
      <c r="H28" s="21">
        <v>45778</v>
      </c>
      <c r="I28" s="18" t="s">
        <v>37</v>
      </c>
      <c r="J28" s="18" t="s">
        <v>48</v>
      </c>
      <c r="K28" s="57">
        <v>251050010000020</v>
      </c>
      <c r="L28" s="18" t="s">
        <v>24</v>
      </c>
      <c r="M28" s="18" t="s">
        <v>24</v>
      </c>
      <c r="N28" s="18" t="s">
        <v>63</v>
      </c>
      <c r="O28" s="18" t="s">
        <v>24</v>
      </c>
      <c r="P28" s="18" t="s">
        <v>27</v>
      </c>
      <c r="Q28" s="55">
        <v>3184699.8</v>
      </c>
      <c r="R28" s="55">
        <v>2940</v>
      </c>
      <c r="S28" s="45">
        <v>0</v>
      </c>
      <c r="T28" s="18">
        <v>0</v>
      </c>
      <c r="U28" s="23"/>
      <c r="V28" s="31"/>
      <c r="W28" s="18" t="s">
        <v>129</v>
      </c>
      <c r="X28" s="55">
        <v>294</v>
      </c>
      <c r="Y28" s="18"/>
    </row>
    <row r="29" spans="1:25" x14ac:dyDescent="0.3">
      <c r="A29" s="18">
        <v>308</v>
      </c>
      <c r="B29" s="18">
        <v>212</v>
      </c>
      <c r="C29" s="50">
        <v>45782</v>
      </c>
      <c r="D29" s="19" t="s">
        <v>25</v>
      </c>
      <c r="E29" s="20">
        <v>0.41666666666666669</v>
      </c>
      <c r="F29" s="20">
        <v>0.52777777777777779</v>
      </c>
      <c r="G29" s="19"/>
      <c r="H29" s="21">
        <v>45778</v>
      </c>
      <c r="I29" s="18" t="s">
        <v>39</v>
      </c>
      <c r="J29" s="18" t="s">
        <v>38</v>
      </c>
      <c r="K29" s="57" t="s">
        <v>130</v>
      </c>
      <c r="L29" s="18" t="s">
        <v>24</v>
      </c>
      <c r="M29" s="18" t="s">
        <v>24</v>
      </c>
      <c r="N29" s="18" t="s">
        <v>131</v>
      </c>
      <c r="O29" s="19">
        <v>45784</v>
      </c>
      <c r="P29" s="18" t="s">
        <v>27</v>
      </c>
      <c r="Q29" s="55">
        <v>699360</v>
      </c>
      <c r="R29" s="55">
        <v>2256</v>
      </c>
      <c r="S29" s="45">
        <v>2256</v>
      </c>
      <c r="T29" s="18">
        <v>0</v>
      </c>
      <c r="U29" s="23"/>
      <c r="V29" s="31">
        <v>361993345917</v>
      </c>
      <c r="W29" s="18" t="s">
        <v>132</v>
      </c>
      <c r="X29" s="55">
        <v>94</v>
      </c>
      <c r="Y29" s="18"/>
    </row>
    <row r="30" spans="1:25" x14ac:dyDescent="0.3">
      <c r="A30" s="18">
        <v>309</v>
      </c>
      <c r="B30" s="18">
        <v>213</v>
      </c>
      <c r="C30" s="50">
        <v>45783</v>
      </c>
      <c r="D30" s="19" t="s">
        <v>25</v>
      </c>
      <c r="E30" s="20">
        <v>0.41666666666666669</v>
      </c>
      <c r="F30" s="20">
        <v>0.52777777777777779</v>
      </c>
      <c r="G30" s="19"/>
      <c r="H30" s="21">
        <v>45778</v>
      </c>
      <c r="I30" s="18" t="s">
        <v>62</v>
      </c>
      <c r="J30" s="18" t="s">
        <v>133</v>
      </c>
      <c r="K30" s="56" t="s">
        <v>134</v>
      </c>
      <c r="L30" s="18" t="s">
        <v>24</v>
      </c>
      <c r="M30" s="18" t="s">
        <v>24</v>
      </c>
      <c r="N30" s="18" t="s">
        <v>135</v>
      </c>
      <c r="O30" s="19">
        <v>45784</v>
      </c>
      <c r="P30" s="18" t="s">
        <v>27</v>
      </c>
      <c r="Q30" s="55">
        <v>872579</v>
      </c>
      <c r="R30" s="55">
        <v>2736</v>
      </c>
      <c r="S30" s="45">
        <v>2736</v>
      </c>
      <c r="T30" s="18">
        <v>0</v>
      </c>
      <c r="U30" s="23"/>
      <c r="V30" s="31"/>
      <c r="W30" s="18" t="s">
        <v>136</v>
      </c>
      <c r="X30" s="55">
        <v>114</v>
      </c>
      <c r="Y30" s="18"/>
    </row>
    <row r="31" spans="1:25" x14ac:dyDescent="0.3">
      <c r="A31" s="18">
        <v>310</v>
      </c>
      <c r="B31" s="18">
        <v>214</v>
      </c>
      <c r="C31" s="50">
        <v>45790</v>
      </c>
      <c r="D31" s="19" t="s">
        <v>25</v>
      </c>
      <c r="E31" s="20">
        <v>0.65972222222222221</v>
      </c>
      <c r="F31" s="20">
        <v>0.69791666666666663</v>
      </c>
      <c r="G31" s="19"/>
      <c r="H31" s="21">
        <v>45778</v>
      </c>
      <c r="I31" s="18" t="s">
        <v>54</v>
      </c>
      <c r="J31" s="18" t="s">
        <v>38</v>
      </c>
      <c r="K31" s="56" t="s">
        <v>137</v>
      </c>
      <c r="L31" s="18" t="s">
        <v>24</v>
      </c>
      <c r="M31" s="18" t="s">
        <v>24</v>
      </c>
      <c r="N31" s="18" t="s">
        <v>138</v>
      </c>
      <c r="O31" s="19">
        <v>45791</v>
      </c>
      <c r="P31" s="18" t="s">
        <v>27</v>
      </c>
      <c r="Q31" s="55">
        <v>332496</v>
      </c>
      <c r="R31" s="55">
        <v>1548</v>
      </c>
      <c r="S31" s="45">
        <v>1548</v>
      </c>
      <c r="T31" s="18">
        <v>0</v>
      </c>
      <c r="U31" s="23"/>
      <c r="V31" s="31">
        <v>731527265004</v>
      </c>
      <c r="W31" s="18" t="s">
        <v>139</v>
      </c>
      <c r="X31" s="55">
        <v>69</v>
      </c>
      <c r="Y31" s="18"/>
    </row>
    <row r="32" spans="1:25" x14ac:dyDescent="0.3">
      <c r="A32" s="18">
        <v>311</v>
      </c>
      <c r="B32" s="18">
        <v>215</v>
      </c>
      <c r="C32" s="50">
        <v>45790</v>
      </c>
      <c r="D32" s="19" t="s">
        <v>25</v>
      </c>
      <c r="E32" s="20">
        <v>0.41666666666666669</v>
      </c>
      <c r="F32" s="20">
        <v>0.52777777777777779</v>
      </c>
      <c r="G32" s="24"/>
      <c r="H32" s="21">
        <v>45778</v>
      </c>
      <c r="I32" s="18" t="s">
        <v>39</v>
      </c>
      <c r="J32" s="18" t="s">
        <v>38</v>
      </c>
      <c r="K32" s="56" t="s">
        <v>140</v>
      </c>
      <c r="L32" s="18" t="s">
        <v>24</v>
      </c>
      <c r="M32" s="18" t="s">
        <v>24</v>
      </c>
      <c r="N32" s="18" t="s">
        <v>141</v>
      </c>
      <c r="O32" s="19">
        <v>45791</v>
      </c>
      <c r="P32" s="18" t="s">
        <v>27</v>
      </c>
      <c r="Q32" s="55">
        <v>174989</v>
      </c>
      <c r="R32" s="55">
        <v>504</v>
      </c>
      <c r="S32" s="46">
        <v>504</v>
      </c>
      <c r="T32" s="18">
        <v>0</v>
      </c>
      <c r="U32" s="27"/>
      <c r="V32" s="34">
        <v>341998664697</v>
      </c>
      <c r="W32" s="12" t="s">
        <v>142</v>
      </c>
      <c r="X32" s="55">
        <v>21</v>
      </c>
      <c r="Y32" s="12"/>
    </row>
    <row r="33" spans="1:25" x14ac:dyDescent="0.3">
      <c r="A33" s="18">
        <v>312</v>
      </c>
      <c r="B33" s="18">
        <v>216</v>
      </c>
      <c r="C33" s="50">
        <v>45792</v>
      </c>
      <c r="D33" s="19" t="s">
        <v>25</v>
      </c>
      <c r="E33" s="20">
        <v>0.41666666666666669</v>
      </c>
      <c r="F33" s="20">
        <v>0.52777777777777779</v>
      </c>
      <c r="G33" s="24"/>
      <c r="H33" s="21">
        <v>45778</v>
      </c>
      <c r="I33" s="18" t="s">
        <v>61</v>
      </c>
      <c r="J33" s="18" t="s">
        <v>38</v>
      </c>
      <c r="K33" s="56" t="s">
        <v>143</v>
      </c>
      <c r="L33" s="18" t="s">
        <v>24</v>
      </c>
      <c r="M33" s="18" t="s">
        <v>24</v>
      </c>
      <c r="N33" s="12" t="s">
        <v>144</v>
      </c>
      <c r="O33" s="19">
        <v>45794</v>
      </c>
      <c r="P33" s="18" t="s">
        <v>27</v>
      </c>
      <c r="Q33" s="55">
        <v>577597</v>
      </c>
      <c r="R33" s="55">
        <v>2820</v>
      </c>
      <c r="S33" s="46">
        <v>2820</v>
      </c>
      <c r="T33" s="12">
        <v>0</v>
      </c>
      <c r="U33" s="27"/>
      <c r="V33" s="34">
        <v>701527914024</v>
      </c>
      <c r="W33" s="12" t="s">
        <v>145</v>
      </c>
      <c r="X33" s="55">
        <v>153</v>
      </c>
      <c r="Y33" s="12"/>
    </row>
    <row r="34" spans="1:25" x14ac:dyDescent="0.3">
      <c r="A34" s="18">
        <v>313</v>
      </c>
      <c r="B34" s="18">
        <v>216</v>
      </c>
      <c r="C34" s="50">
        <v>45792</v>
      </c>
      <c r="D34" s="19" t="s">
        <v>25</v>
      </c>
      <c r="E34" s="20">
        <v>0.41666666666666669</v>
      </c>
      <c r="F34" s="20">
        <v>0.52777777777777779</v>
      </c>
      <c r="G34" s="24"/>
      <c r="H34" s="21">
        <v>45778</v>
      </c>
      <c r="I34" s="18" t="s">
        <v>61</v>
      </c>
      <c r="J34" s="18" t="s">
        <v>38</v>
      </c>
      <c r="K34" s="56" t="s">
        <v>146</v>
      </c>
      <c r="L34" s="18" t="s">
        <v>24</v>
      </c>
      <c r="M34" s="18" t="s">
        <v>24</v>
      </c>
      <c r="N34" s="12" t="s">
        <v>147</v>
      </c>
      <c r="O34" s="19">
        <v>45794</v>
      </c>
      <c r="P34" s="18" t="s">
        <v>27</v>
      </c>
      <c r="Q34" s="55">
        <v>178618</v>
      </c>
      <c r="R34" s="55">
        <v>972</v>
      </c>
      <c r="S34" s="46">
        <v>972</v>
      </c>
      <c r="T34" s="12">
        <v>0</v>
      </c>
      <c r="U34" s="27"/>
      <c r="V34" s="34">
        <v>701527914024</v>
      </c>
      <c r="W34" s="12" t="s">
        <v>145</v>
      </c>
      <c r="X34" s="55" t="s">
        <v>24</v>
      </c>
      <c r="Y34" s="12"/>
    </row>
    <row r="35" spans="1:25" x14ac:dyDescent="0.3">
      <c r="A35" s="18">
        <v>314</v>
      </c>
      <c r="B35" s="18">
        <v>217</v>
      </c>
      <c r="C35" s="50">
        <v>45798</v>
      </c>
      <c r="D35" s="19" t="s">
        <v>25</v>
      </c>
      <c r="E35" s="20">
        <v>0.38541666666666669</v>
      </c>
      <c r="F35" s="20">
        <v>0.40972222222222221</v>
      </c>
      <c r="G35" s="19"/>
      <c r="H35" s="21">
        <v>45778</v>
      </c>
      <c r="I35" s="18" t="s">
        <v>26</v>
      </c>
      <c r="J35" s="18" t="s">
        <v>47</v>
      </c>
      <c r="K35" s="56" t="s">
        <v>148</v>
      </c>
      <c r="L35" s="18" t="s">
        <v>24</v>
      </c>
      <c r="M35" s="22" t="s">
        <v>24</v>
      </c>
      <c r="N35" s="18"/>
      <c r="O35" s="19"/>
      <c r="P35" s="18" t="s">
        <v>27</v>
      </c>
      <c r="Q35" s="55">
        <v>390220.48</v>
      </c>
      <c r="R35" s="55">
        <v>984</v>
      </c>
      <c r="S35" s="45">
        <v>984</v>
      </c>
      <c r="T35" s="18">
        <v>0</v>
      </c>
      <c r="U35" s="23"/>
      <c r="V35" s="31">
        <v>392003879238</v>
      </c>
      <c r="W35" s="18" t="s">
        <v>149</v>
      </c>
      <c r="X35" s="55">
        <v>41</v>
      </c>
      <c r="Y35" s="18"/>
    </row>
    <row r="36" spans="1:25" x14ac:dyDescent="0.3">
      <c r="A36" s="18">
        <v>315</v>
      </c>
      <c r="B36" s="18">
        <v>218</v>
      </c>
      <c r="C36" s="50">
        <v>45799</v>
      </c>
      <c r="D36" s="19" t="s">
        <v>25</v>
      </c>
      <c r="E36" s="20">
        <v>0.38541666666666669</v>
      </c>
      <c r="F36" s="20">
        <v>0.40972222222222221</v>
      </c>
      <c r="G36" s="19"/>
      <c r="H36" s="21">
        <v>45778</v>
      </c>
      <c r="I36" s="18" t="s">
        <v>39</v>
      </c>
      <c r="J36" s="18" t="s">
        <v>38</v>
      </c>
      <c r="K36" s="56" t="s">
        <v>150</v>
      </c>
      <c r="L36" s="18"/>
      <c r="M36" s="22"/>
      <c r="N36" s="18"/>
      <c r="O36" s="19">
        <v>45801</v>
      </c>
      <c r="P36" s="18" t="s">
        <v>27</v>
      </c>
      <c r="Q36" s="55">
        <v>198374</v>
      </c>
      <c r="R36" s="55">
        <v>864</v>
      </c>
      <c r="S36" s="45">
        <v>864</v>
      </c>
      <c r="T36" s="18">
        <v>0</v>
      </c>
      <c r="U36" s="23"/>
      <c r="V36" s="31">
        <v>362004921922</v>
      </c>
      <c r="W36" s="18" t="s">
        <v>151</v>
      </c>
      <c r="X36" s="55">
        <v>36</v>
      </c>
      <c r="Y36" s="18"/>
    </row>
    <row r="37" spans="1:25" x14ac:dyDescent="0.3">
      <c r="A37" s="18">
        <v>316</v>
      </c>
      <c r="B37" s="18">
        <v>219</v>
      </c>
      <c r="C37" s="50">
        <v>45800</v>
      </c>
      <c r="D37" s="19" t="s">
        <v>25</v>
      </c>
      <c r="E37" s="20">
        <v>0.59513888888888888</v>
      </c>
      <c r="F37" s="20">
        <v>0.6875</v>
      </c>
      <c r="G37" s="19"/>
      <c r="H37" s="21">
        <v>45778</v>
      </c>
      <c r="I37" s="18" t="s">
        <v>61</v>
      </c>
      <c r="J37" s="18" t="s">
        <v>38</v>
      </c>
      <c r="K37" s="56" t="s">
        <v>152</v>
      </c>
      <c r="L37" s="18"/>
      <c r="M37" s="26"/>
      <c r="N37" s="18" t="s">
        <v>153</v>
      </c>
      <c r="O37" s="19">
        <v>45801</v>
      </c>
      <c r="P37" s="18" t="s">
        <v>27</v>
      </c>
      <c r="Q37" s="55">
        <v>446826</v>
      </c>
      <c r="R37" s="55">
        <v>2232</v>
      </c>
      <c r="S37" s="45">
        <v>2232</v>
      </c>
      <c r="T37" s="18">
        <v>0</v>
      </c>
      <c r="U37" s="23"/>
      <c r="V37" s="31"/>
      <c r="W37" s="18" t="s">
        <v>154</v>
      </c>
      <c r="X37" s="55">
        <v>183</v>
      </c>
      <c r="Y37" s="18"/>
    </row>
    <row r="38" spans="1:25" x14ac:dyDescent="0.3">
      <c r="A38" s="18">
        <v>317</v>
      </c>
      <c r="B38" s="18">
        <v>219</v>
      </c>
      <c r="C38" s="50">
        <v>45800</v>
      </c>
      <c r="D38" s="19" t="s">
        <v>25</v>
      </c>
      <c r="E38" s="20">
        <v>0.59513888888888888</v>
      </c>
      <c r="F38" s="20">
        <v>0.6875</v>
      </c>
      <c r="G38" s="19"/>
      <c r="H38" s="21">
        <v>45778</v>
      </c>
      <c r="I38" s="18" t="s">
        <v>61</v>
      </c>
      <c r="J38" s="18" t="s">
        <v>38</v>
      </c>
      <c r="K38" s="56" t="s">
        <v>155</v>
      </c>
      <c r="L38" s="18"/>
      <c r="M38" s="26"/>
      <c r="N38" s="18" t="s">
        <v>156</v>
      </c>
      <c r="O38" s="19">
        <v>45801</v>
      </c>
      <c r="P38" s="18" t="s">
        <v>27</v>
      </c>
      <c r="Q38" s="55">
        <v>487872</v>
      </c>
      <c r="R38" s="55">
        <v>2628</v>
      </c>
      <c r="S38" s="45">
        <v>2628</v>
      </c>
      <c r="T38" s="18">
        <v>0</v>
      </c>
      <c r="U38" s="23"/>
      <c r="V38" s="31"/>
      <c r="W38" s="18" t="s">
        <v>154</v>
      </c>
      <c r="X38" s="55" t="s">
        <v>24</v>
      </c>
      <c r="Y38" s="18"/>
    </row>
    <row r="39" spans="1:25" x14ac:dyDescent="0.3">
      <c r="A39" s="18">
        <v>318</v>
      </c>
      <c r="B39" s="18">
        <v>219</v>
      </c>
      <c r="C39" s="50">
        <v>45800</v>
      </c>
      <c r="D39" s="19" t="s">
        <v>25</v>
      </c>
      <c r="E39" s="20">
        <v>0.59513888888888888</v>
      </c>
      <c r="F39" s="20">
        <v>0.6875</v>
      </c>
      <c r="G39" s="19"/>
      <c r="H39" s="21">
        <v>45778</v>
      </c>
      <c r="I39" s="18" t="s">
        <v>61</v>
      </c>
      <c r="J39" s="18" t="s">
        <v>38</v>
      </c>
      <c r="K39" s="56" t="s">
        <v>157</v>
      </c>
      <c r="L39" s="18"/>
      <c r="M39" s="26"/>
      <c r="N39" s="18" t="s">
        <v>158</v>
      </c>
      <c r="O39" s="19">
        <v>45801</v>
      </c>
      <c r="P39" s="18" t="s">
        <v>27</v>
      </c>
      <c r="Q39" s="55">
        <v>63786</v>
      </c>
      <c r="R39" s="55">
        <v>396</v>
      </c>
      <c r="S39" s="45">
        <v>396</v>
      </c>
      <c r="T39" s="18">
        <v>0</v>
      </c>
      <c r="U39" s="23"/>
      <c r="V39" s="31"/>
      <c r="W39" s="18" t="s">
        <v>154</v>
      </c>
      <c r="X39" s="55" t="s">
        <v>24</v>
      </c>
      <c r="Y39" s="18"/>
    </row>
    <row r="40" spans="1:25" x14ac:dyDescent="0.3">
      <c r="A40" s="18">
        <v>319</v>
      </c>
      <c r="B40" s="18">
        <v>220</v>
      </c>
      <c r="C40" s="50">
        <v>45803</v>
      </c>
      <c r="D40" s="19" t="s">
        <v>25</v>
      </c>
      <c r="E40" s="20">
        <v>0.65972222222222221</v>
      </c>
      <c r="F40" s="20">
        <v>0.69791666666666663</v>
      </c>
      <c r="G40" s="24"/>
      <c r="H40" s="21">
        <v>45778</v>
      </c>
      <c r="I40" s="18" t="s">
        <v>51</v>
      </c>
      <c r="J40" s="18" t="s">
        <v>66</v>
      </c>
      <c r="K40" s="57" t="s">
        <v>159</v>
      </c>
      <c r="L40" s="12"/>
      <c r="M40" s="26"/>
      <c r="N40" s="12" t="s">
        <v>160</v>
      </c>
      <c r="O40" s="19">
        <v>45804</v>
      </c>
      <c r="P40" s="18" t="s">
        <v>27</v>
      </c>
      <c r="Q40" s="55">
        <v>1044288</v>
      </c>
      <c r="R40" s="55">
        <v>4200</v>
      </c>
      <c r="S40" s="46">
        <v>4200</v>
      </c>
      <c r="T40" s="18">
        <v>0</v>
      </c>
      <c r="U40" s="27"/>
      <c r="V40" s="34"/>
      <c r="W40" s="12" t="s">
        <v>161</v>
      </c>
      <c r="X40" s="55">
        <v>175</v>
      </c>
      <c r="Y40" s="12"/>
    </row>
    <row r="41" spans="1:25" x14ac:dyDescent="0.3">
      <c r="A41" s="18">
        <v>320</v>
      </c>
      <c r="B41" s="18">
        <v>221</v>
      </c>
      <c r="C41" s="50">
        <v>45807</v>
      </c>
      <c r="D41" s="19" t="s">
        <v>29</v>
      </c>
      <c r="E41" s="20">
        <v>0.65972222222222221</v>
      </c>
      <c r="F41" s="20">
        <v>0.69791666666666663</v>
      </c>
      <c r="G41" s="24"/>
      <c r="H41" s="21">
        <v>45778</v>
      </c>
      <c r="I41" s="18" t="s">
        <v>37</v>
      </c>
      <c r="J41" s="18" t="s">
        <v>48</v>
      </c>
      <c r="K41" s="59">
        <v>251050010000353</v>
      </c>
      <c r="L41" s="12"/>
      <c r="M41" s="26"/>
      <c r="N41" s="12" t="s">
        <v>162</v>
      </c>
      <c r="O41" s="19">
        <v>45808</v>
      </c>
      <c r="P41" s="18" t="s">
        <v>27</v>
      </c>
      <c r="Q41" s="55">
        <v>1803216.9</v>
      </c>
      <c r="R41" s="55">
        <v>1733</v>
      </c>
      <c r="S41" s="46">
        <v>1733</v>
      </c>
      <c r="T41" s="12">
        <v>0</v>
      </c>
      <c r="U41" s="27"/>
      <c r="V41" s="34"/>
      <c r="W41" s="12" t="s">
        <v>163</v>
      </c>
      <c r="X41" s="55">
        <v>175</v>
      </c>
      <c r="Y41" s="12"/>
    </row>
    <row r="42" spans="1:25" x14ac:dyDescent="0.3">
      <c r="A42" s="18">
        <v>321</v>
      </c>
      <c r="B42" s="18">
        <v>222</v>
      </c>
      <c r="C42" s="50">
        <v>45807</v>
      </c>
      <c r="D42" s="19" t="s">
        <v>29</v>
      </c>
      <c r="E42" s="20">
        <v>0.65972222222222221</v>
      </c>
      <c r="F42" s="20">
        <v>0.69791666666666663</v>
      </c>
      <c r="G42" s="24"/>
      <c r="H42" s="21">
        <v>45778</v>
      </c>
      <c r="I42" s="18" t="s">
        <v>37</v>
      </c>
      <c r="J42" s="18" t="s">
        <v>48</v>
      </c>
      <c r="K42" s="59">
        <v>251050010000352</v>
      </c>
      <c r="L42" s="12"/>
      <c r="M42" s="26"/>
      <c r="N42" s="12" t="s">
        <v>93</v>
      </c>
      <c r="O42" s="19">
        <v>45808</v>
      </c>
      <c r="P42" s="18" t="s">
        <v>27</v>
      </c>
      <c r="Q42" s="55">
        <v>2121826.92</v>
      </c>
      <c r="R42" s="55">
        <v>1917</v>
      </c>
      <c r="S42" s="46">
        <v>1917</v>
      </c>
      <c r="T42" s="12">
        <v>0</v>
      </c>
      <c r="U42" s="27"/>
      <c r="V42" s="34"/>
      <c r="W42" s="12" t="s">
        <v>164</v>
      </c>
      <c r="X42" s="55">
        <v>192</v>
      </c>
      <c r="Y42" s="12"/>
    </row>
    <row r="43" spans="1:25" x14ac:dyDescent="0.3">
      <c r="A43" s="18">
        <v>322</v>
      </c>
      <c r="B43" s="18">
        <v>223</v>
      </c>
      <c r="C43" s="50">
        <v>45811</v>
      </c>
      <c r="D43" s="19" t="s">
        <v>25</v>
      </c>
      <c r="E43" s="25">
        <v>0.4513888888888889</v>
      </c>
      <c r="F43" s="25">
        <v>0.47916666666666669</v>
      </c>
      <c r="G43" s="12"/>
      <c r="H43" s="21">
        <v>45809</v>
      </c>
      <c r="I43" s="18" t="s">
        <v>54</v>
      </c>
      <c r="J43" s="18" t="s">
        <v>38</v>
      </c>
      <c r="K43" s="55" t="s">
        <v>203</v>
      </c>
      <c r="L43" s="12"/>
      <c r="M43" s="12"/>
      <c r="N43" s="12" t="s">
        <v>204</v>
      </c>
      <c r="O43" s="19">
        <v>45814</v>
      </c>
      <c r="P43" s="18" t="s">
        <v>27</v>
      </c>
      <c r="Q43" s="55">
        <v>138888</v>
      </c>
      <c r="R43" s="55">
        <v>3960</v>
      </c>
      <c r="S43" s="46">
        <v>3960</v>
      </c>
      <c r="T43" s="12">
        <v>0</v>
      </c>
      <c r="U43" s="12"/>
      <c r="V43" s="34">
        <v>74153339</v>
      </c>
      <c r="W43" s="12" t="s">
        <v>154</v>
      </c>
      <c r="X43" s="55">
        <v>146</v>
      </c>
      <c r="Y43" s="12"/>
    </row>
    <row r="44" spans="1:25" x14ac:dyDescent="0.3">
      <c r="A44" s="18">
        <v>323</v>
      </c>
      <c r="B44" s="18">
        <v>224</v>
      </c>
      <c r="C44" s="50">
        <v>45811</v>
      </c>
      <c r="D44" s="19" t="s">
        <v>25</v>
      </c>
      <c r="E44" s="20">
        <v>0.70833333333333337</v>
      </c>
      <c r="F44" s="20">
        <v>0.75</v>
      </c>
      <c r="G44" s="18"/>
      <c r="H44" s="21">
        <v>45809</v>
      </c>
      <c r="I44" s="18" t="s">
        <v>200</v>
      </c>
      <c r="J44" s="18" t="s">
        <v>133</v>
      </c>
      <c r="K44" s="55" t="s">
        <v>201</v>
      </c>
      <c r="L44" s="18"/>
      <c r="M44" s="18"/>
      <c r="N44" s="18" t="s">
        <v>205</v>
      </c>
      <c r="O44" s="18" t="s">
        <v>24</v>
      </c>
      <c r="P44" s="18" t="s">
        <v>27</v>
      </c>
      <c r="Q44" s="64">
        <v>64739.519999999997</v>
      </c>
      <c r="R44" s="55">
        <v>3048</v>
      </c>
      <c r="S44" s="45">
        <v>3048</v>
      </c>
      <c r="T44" s="18">
        <v>0</v>
      </c>
      <c r="U44" s="18"/>
      <c r="V44" s="31">
        <v>771533529264</v>
      </c>
      <c r="W44" s="18" t="s">
        <v>30</v>
      </c>
      <c r="X44" s="55">
        <v>127</v>
      </c>
      <c r="Y44" s="18"/>
    </row>
    <row r="45" spans="1:25" x14ac:dyDescent="0.3">
      <c r="A45" s="18">
        <v>324</v>
      </c>
      <c r="B45" s="18">
        <v>225</v>
      </c>
      <c r="C45" s="50">
        <v>45820</v>
      </c>
      <c r="D45" s="19" t="s">
        <v>25</v>
      </c>
      <c r="E45" s="25">
        <v>0.41666666666666669</v>
      </c>
      <c r="F45" s="25">
        <v>0.43611111111111112</v>
      </c>
      <c r="G45" s="12"/>
      <c r="H45" s="21">
        <v>45809</v>
      </c>
      <c r="I45" s="18" t="s">
        <v>54</v>
      </c>
      <c r="J45" s="18" t="s">
        <v>133</v>
      </c>
      <c r="K45" s="55" t="s">
        <v>206</v>
      </c>
      <c r="L45" s="12"/>
      <c r="M45" s="12"/>
      <c r="N45" s="12" t="s">
        <v>207</v>
      </c>
      <c r="O45" s="19">
        <v>45821</v>
      </c>
      <c r="P45" s="18" t="s">
        <v>27</v>
      </c>
      <c r="Q45" s="55">
        <v>960046</v>
      </c>
      <c r="R45" s="55">
        <v>3192</v>
      </c>
      <c r="S45" s="46">
        <v>3192</v>
      </c>
      <c r="T45" s="18">
        <v>0</v>
      </c>
      <c r="U45" s="12"/>
      <c r="V45" s="34">
        <v>731535788775</v>
      </c>
      <c r="W45" s="12" t="s">
        <v>31</v>
      </c>
      <c r="X45" s="55">
        <v>133</v>
      </c>
      <c r="Y45" s="12"/>
    </row>
    <row r="46" spans="1:25" x14ac:dyDescent="0.3">
      <c r="A46" s="18">
        <v>325</v>
      </c>
      <c r="B46" s="18">
        <v>226</v>
      </c>
      <c r="C46" s="50">
        <v>45822</v>
      </c>
      <c r="D46" s="19" t="s">
        <v>25</v>
      </c>
      <c r="E46" s="25">
        <v>0.72916666666666663</v>
      </c>
      <c r="F46" s="25">
        <v>0.73750000000000004</v>
      </c>
      <c r="G46" s="12"/>
      <c r="H46" s="21">
        <v>45809</v>
      </c>
      <c r="I46" s="18" t="s">
        <v>54</v>
      </c>
      <c r="J46" s="18" t="s">
        <v>133</v>
      </c>
      <c r="K46" s="55" t="s">
        <v>211</v>
      </c>
      <c r="L46" s="12"/>
      <c r="M46" s="12"/>
      <c r="N46" s="12" t="s">
        <v>44</v>
      </c>
      <c r="O46" s="19">
        <v>45824</v>
      </c>
      <c r="P46" s="18" t="s">
        <v>27</v>
      </c>
      <c r="Q46" s="55">
        <v>41207</v>
      </c>
      <c r="R46" s="55">
        <v>216</v>
      </c>
      <c r="S46" s="46">
        <v>216</v>
      </c>
      <c r="T46" s="12">
        <v>0</v>
      </c>
      <c r="U46" s="12"/>
      <c r="V46" s="34">
        <v>791536525658</v>
      </c>
      <c r="W46" s="12" t="s">
        <v>212</v>
      </c>
      <c r="X46" s="55">
        <v>7</v>
      </c>
      <c r="Y46" s="12"/>
    </row>
    <row r="47" spans="1:25" x14ac:dyDescent="0.3">
      <c r="A47" s="18">
        <v>326</v>
      </c>
      <c r="B47" s="18">
        <v>226</v>
      </c>
      <c r="C47" s="50">
        <v>45822</v>
      </c>
      <c r="D47" s="19" t="s">
        <v>25</v>
      </c>
      <c r="E47" s="25">
        <v>0.72916666666666663</v>
      </c>
      <c r="F47" s="25">
        <v>0.73750000000000004</v>
      </c>
      <c r="G47" s="12"/>
      <c r="H47" s="21">
        <v>45809</v>
      </c>
      <c r="I47" s="18" t="s">
        <v>54</v>
      </c>
      <c r="J47" s="18" t="s">
        <v>133</v>
      </c>
      <c r="K47" s="55" t="s">
        <v>213</v>
      </c>
      <c r="L47" s="12"/>
      <c r="M47" s="12"/>
      <c r="N47" s="12" t="s">
        <v>45</v>
      </c>
      <c r="O47" s="19">
        <v>45824</v>
      </c>
      <c r="P47" s="18" t="s">
        <v>27</v>
      </c>
      <c r="Q47" s="55">
        <v>74834</v>
      </c>
      <c r="R47" s="55">
        <v>396</v>
      </c>
      <c r="S47" s="46">
        <v>396</v>
      </c>
      <c r="T47" s="12">
        <v>0</v>
      </c>
      <c r="U47" s="12"/>
      <c r="V47" s="34">
        <v>791536525658</v>
      </c>
      <c r="W47" s="12" t="s">
        <v>212</v>
      </c>
      <c r="X47" s="55">
        <v>14</v>
      </c>
      <c r="Y47" s="12"/>
    </row>
    <row r="48" spans="1:25" x14ac:dyDescent="0.3">
      <c r="A48" s="18">
        <v>327</v>
      </c>
      <c r="B48" s="18">
        <v>226</v>
      </c>
      <c r="C48" s="50">
        <v>45822</v>
      </c>
      <c r="D48" s="19" t="s">
        <v>25</v>
      </c>
      <c r="E48" s="25">
        <v>0.72916666666666663</v>
      </c>
      <c r="F48" s="25">
        <v>0.73750000000000004</v>
      </c>
      <c r="G48" s="12"/>
      <c r="H48" s="21">
        <v>45809</v>
      </c>
      <c r="I48" s="18" t="s">
        <v>54</v>
      </c>
      <c r="J48" s="18" t="s">
        <v>133</v>
      </c>
      <c r="K48" s="55" t="s">
        <v>210</v>
      </c>
      <c r="L48" s="12"/>
      <c r="M48" s="12"/>
      <c r="N48" s="12" t="s">
        <v>214</v>
      </c>
      <c r="O48" s="19">
        <v>45824</v>
      </c>
      <c r="P48" s="18" t="s">
        <v>27</v>
      </c>
      <c r="Q48" s="55">
        <v>48841</v>
      </c>
      <c r="R48" s="55">
        <v>300</v>
      </c>
      <c r="S48" s="46">
        <v>300</v>
      </c>
      <c r="T48" s="12">
        <v>0</v>
      </c>
      <c r="U48" s="12"/>
      <c r="V48" s="34">
        <v>791536525658</v>
      </c>
      <c r="W48" s="12" t="s">
        <v>212</v>
      </c>
      <c r="X48" s="55">
        <v>10</v>
      </c>
      <c r="Y48" s="12"/>
    </row>
    <row r="49" spans="1:25" x14ac:dyDescent="0.3">
      <c r="A49" s="18">
        <v>328</v>
      </c>
      <c r="B49" s="18">
        <v>227</v>
      </c>
      <c r="C49" s="50">
        <v>45827</v>
      </c>
      <c r="D49" s="19" t="s">
        <v>25</v>
      </c>
      <c r="E49" s="20">
        <v>0.41666666666666669</v>
      </c>
      <c r="F49" s="20">
        <v>0.52777777777777779</v>
      </c>
      <c r="G49" s="18"/>
      <c r="H49" s="21">
        <v>45809</v>
      </c>
      <c r="I49" s="18" t="s">
        <v>39</v>
      </c>
      <c r="J49" s="18" t="s">
        <v>133</v>
      </c>
      <c r="K49" s="55" t="s">
        <v>215</v>
      </c>
      <c r="L49" s="18"/>
      <c r="M49" s="18"/>
      <c r="N49" s="18" t="s">
        <v>35</v>
      </c>
      <c r="O49" s="19">
        <v>45831</v>
      </c>
      <c r="P49" s="18" t="s">
        <v>27</v>
      </c>
      <c r="Q49" s="55">
        <v>743400</v>
      </c>
      <c r="R49" s="55">
        <v>4200</v>
      </c>
      <c r="S49" s="45">
        <v>4200</v>
      </c>
      <c r="T49" s="18">
        <v>0</v>
      </c>
      <c r="U49" s="18"/>
      <c r="V49" s="31">
        <v>701537636501</v>
      </c>
      <c r="W49" s="18" t="s">
        <v>216</v>
      </c>
      <c r="X49" s="55">
        <v>175</v>
      </c>
      <c r="Y49" s="18"/>
    </row>
    <row r="50" spans="1:25" x14ac:dyDescent="0.3">
      <c r="A50" s="18">
        <v>329</v>
      </c>
      <c r="B50" s="18">
        <v>228</v>
      </c>
      <c r="C50" s="50">
        <v>45832</v>
      </c>
      <c r="D50" s="19" t="s">
        <v>25</v>
      </c>
      <c r="E50" s="20">
        <v>0.41666666666666669</v>
      </c>
      <c r="F50" s="20">
        <v>0.52777777777777779</v>
      </c>
      <c r="G50" s="18"/>
      <c r="H50" s="21">
        <v>45809</v>
      </c>
      <c r="I50" s="18" t="s">
        <v>200</v>
      </c>
      <c r="J50" s="18" t="s">
        <v>133</v>
      </c>
      <c r="K50" s="55" t="s">
        <v>217</v>
      </c>
      <c r="L50" s="18"/>
      <c r="M50" s="18"/>
      <c r="N50" s="18" t="s">
        <v>220</v>
      </c>
      <c r="O50" s="32">
        <v>45839</v>
      </c>
      <c r="P50" s="18" t="s">
        <v>27</v>
      </c>
      <c r="Q50" s="55">
        <v>79012</v>
      </c>
      <c r="R50" s="55">
        <v>3720</v>
      </c>
      <c r="S50" s="45">
        <v>3720</v>
      </c>
      <c r="T50" s="18">
        <v>0</v>
      </c>
      <c r="U50" s="18"/>
      <c r="V50" s="31">
        <v>731538886311</v>
      </c>
      <c r="W50" s="18" t="s">
        <v>33</v>
      </c>
      <c r="X50" s="55">
        <v>155</v>
      </c>
      <c r="Y50" s="18"/>
    </row>
    <row r="51" spans="1:25" x14ac:dyDescent="0.3">
      <c r="A51" s="18">
        <v>330</v>
      </c>
      <c r="B51" s="18">
        <v>229</v>
      </c>
      <c r="C51" s="50">
        <v>45833</v>
      </c>
      <c r="D51" s="19" t="s">
        <v>25</v>
      </c>
      <c r="E51" s="25">
        <v>0.41666666666666669</v>
      </c>
      <c r="F51" s="25">
        <v>0.43611111111111112</v>
      </c>
      <c r="G51" s="12"/>
      <c r="H51" s="21">
        <v>45809</v>
      </c>
      <c r="I51" s="18" t="s">
        <v>54</v>
      </c>
      <c r="J51" s="18" t="s">
        <v>133</v>
      </c>
      <c r="K51" s="55" t="s">
        <v>218</v>
      </c>
      <c r="L51" s="12"/>
      <c r="M51" s="12"/>
      <c r="N51" s="12" t="s">
        <v>219</v>
      </c>
      <c r="O51" s="33">
        <v>45838</v>
      </c>
      <c r="P51" s="18" t="s">
        <v>27</v>
      </c>
      <c r="Q51" s="55">
        <v>40890</v>
      </c>
      <c r="R51" s="55">
        <v>2976</v>
      </c>
      <c r="S51" s="46">
        <v>2976</v>
      </c>
      <c r="T51" s="12">
        <v>0</v>
      </c>
      <c r="U51" s="12"/>
      <c r="V51" s="34">
        <v>761539291252</v>
      </c>
      <c r="W51" s="12" t="s">
        <v>31</v>
      </c>
      <c r="X51" s="55">
        <v>124</v>
      </c>
      <c r="Y51" s="12"/>
    </row>
    <row r="52" spans="1:25" x14ac:dyDescent="0.3">
      <c r="A52" s="18">
        <v>331</v>
      </c>
      <c r="B52" s="18">
        <v>230</v>
      </c>
      <c r="C52" s="51">
        <v>45835</v>
      </c>
      <c r="D52" s="19" t="s">
        <v>25</v>
      </c>
      <c r="E52" s="25">
        <v>0.4513888888888889</v>
      </c>
      <c r="F52" s="25">
        <v>0.47916666666666669</v>
      </c>
      <c r="G52" s="12"/>
      <c r="H52" s="21">
        <v>45809</v>
      </c>
      <c r="I52" s="18" t="s">
        <v>54</v>
      </c>
      <c r="J52" s="18" t="s">
        <v>133</v>
      </c>
      <c r="K52" s="55" t="s">
        <v>221</v>
      </c>
      <c r="L52" s="12"/>
      <c r="M52" s="12"/>
      <c r="N52" s="12" t="s">
        <v>222</v>
      </c>
      <c r="O52" s="33">
        <v>45839</v>
      </c>
      <c r="P52" s="18" t="s">
        <v>27</v>
      </c>
      <c r="Q52" s="55">
        <v>1532160</v>
      </c>
      <c r="R52" s="55">
        <v>3600</v>
      </c>
      <c r="S52" s="46">
        <v>3600</v>
      </c>
      <c r="T52" s="12">
        <v>0</v>
      </c>
      <c r="U52" s="12"/>
      <c r="V52" s="34">
        <v>411585131856</v>
      </c>
      <c r="W52" s="12" t="s">
        <v>223</v>
      </c>
      <c r="X52" s="55">
        <v>150</v>
      </c>
      <c r="Y52" s="12"/>
    </row>
    <row r="53" spans="1:25" x14ac:dyDescent="0.3">
      <c r="A53" s="18">
        <v>332</v>
      </c>
      <c r="B53" s="18">
        <v>231</v>
      </c>
      <c r="C53" s="51">
        <v>45838</v>
      </c>
      <c r="D53" s="19" t="s">
        <v>25</v>
      </c>
      <c r="E53" s="25">
        <v>0.8125</v>
      </c>
      <c r="F53" s="25">
        <v>0.83333333333333337</v>
      </c>
      <c r="G53" s="12"/>
      <c r="H53" s="21">
        <v>45809</v>
      </c>
      <c r="I53" s="18" t="s">
        <v>54</v>
      </c>
      <c r="J53" s="18" t="s">
        <v>133</v>
      </c>
      <c r="K53" s="55" t="s">
        <v>224</v>
      </c>
      <c r="L53" s="12"/>
      <c r="M53" s="12"/>
      <c r="N53" s="12" t="s">
        <v>225</v>
      </c>
      <c r="O53" s="33">
        <v>45839</v>
      </c>
      <c r="P53" s="18" t="s">
        <v>27</v>
      </c>
      <c r="Q53" s="55">
        <v>310464</v>
      </c>
      <c r="R53" s="55">
        <v>1176</v>
      </c>
      <c r="S53" s="46">
        <v>1176</v>
      </c>
      <c r="T53" s="12">
        <v>0</v>
      </c>
      <c r="U53" s="12"/>
      <c r="V53" s="34">
        <v>411585131856</v>
      </c>
      <c r="W53" s="12" t="s">
        <v>226</v>
      </c>
      <c r="X53" s="55">
        <v>49</v>
      </c>
      <c r="Y53" s="12"/>
    </row>
    <row r="54" spans="1:25" x14ac:dyDescent="0.3">
      <c r="A54" s="18">
        <v>333</v>
      </c>
      <c r="B54" s="18">
        <v>232</v>
      </c>
      <c r="C54" s="51">
        <v>45840</v>
      </c>
      <c r="D54" s="19" t="s">
        <v>29</v>
      </c>
      <c r="E54" s="20">
        <v>0.41666666666666669</v>
      </c>
      <c r="F54" s="20">
        <v>0.45833333333333331</v>
      </c>
      <c r="G54" s="18"/>
      <c r="H54" s="21">
        <v>45839</v>
      </c>
      <c r="I54" s="18" t="s">
        <v>37</v>
      </c>
      <c r="J54" s="18" t="s">
        <v>43</v>
      </c>
      <c r="K54" s="55" t="s">
        <v>227</v>
      </c>
      <c r="L54" s="18"/>
      <c r="M54" s="18"/>
      <c r="N54" s="18" t="s">
        <v>248</v>
      </c>
      <c r="O54" s="32">
        <v>45850</v>
      </c>
      <c r="P54" s="18" t="s">
        <v>27</v>
      </c>
      <c r="Q54" s="55">
        <v>1190795.74</v>
      </c>
      <c r="R54" s="55">
        <v>1077</v>
      </c>
      <c r="S54" s="45">
        <v>1077</v>
      </c>
      <c r="T54" s="18">
        <v>109</v>
      </c>
      <c r="U54" s="18"/>
      <c r="V54" s="31">
        <v>431587185844</v>
      </c>
      <c r="W54" s="18" t="s">
        <v>228</v>
      </c>
      <c r="X54" s="55">
        <v>109</v>
      </c>
      <c r="Y54" s="18"/>
    </row>
    <row r="55" spans="1:25" x14ac:dyDescent="0.3">
      <c r="A55" s="18">
        <v>334</v>
      </c>
      <c r="B55" s="18">
        <v>233</v>
      </c>
      <c r="C55" s="51">
        <v>45841</v>
      </c>
      <c r="D55" s="19" t="s">
        <v>25</v>
      </c>
      <c r="E55" s="20">
        <v>0.44861111111111113</v>
      </c>
      <c r="F55" s="20">
        <v>0.54861111111111116</v>
      </c>
      <c r="G55" s="18"/>
      <c r="H55" s="21">
        <v>45839</v>
      </c>
      <c r="I55" s="18" t="s">
        <v>26</v>
      </c>
      <c r="J55" s="18" t="s">
        <v>24</v>
      </c>
      <c r="K55" s="55" t="s">
        <v>229</v>
      </c>
      <c r="L55" s="18"/>
      <c r="M55" s="18"/>
      <c r="N55" s="18" t="s">
        <v>24</v>
      </c>
      <c r="O55" s="18" t="s">
        <v>24</v>
      </c>
      <c r="P55" s="18" t="s">
        <v>27</v>
      </c>
      <c r="Q55" s="55">
        <v>101151</v>
      </c>
      <c r="R55" s="55">
        <v>22</v>
      </c>
      <c r="S55" s="45"/>
      <c r="T55" s="18">
        <v>22</v>
      </c>
      <c r="U55" s="18"/>
      <c r="V55" s="31">
        <v>771541631423</v>
      </c>
      <c r="W55" s="18" t="s">
        <v>230</v>
      </c>
      <c r="X55" s="55">
        <v>22</v>
      </c>
      <c r="Y55" s="18" t="s">
        <v>247</v>
      </c>
    </row>
    <row r="56" spans="1:25" x14ac:dyDescent="0.3">
      <c r="A56" s="18">
        <v>335</v>
      </c>
      <c r="B56" s="18">
        <v>234</v>
      </c>
      <c r="C56" s="51">
        <v>45841</v>
      </c>
      <c r="D56" s="19" t="s">
        <v>25</v>
      </c>
      <c r="E56" s="25">
        <v>0.88888888888888884</v>
      </c>
      <c r="F56" s="25">
        <v>0.89722222222222225</v>
      </c>
      <c r="G56" s="12"/>
      <c r="H56" s="21">
        <v>45839</v>
      </c>
      <c r="I56" s="18" t="s">
        <v>54</v>
      </c>
      <c r="J56" s="18" t="s">
        <v>231</v>
      </c>
      <c r="K56" s="55" t="s">
        <v>232</v>
      </c>
      <c r="L56" s="12"/>
      <c r="M56" s="12"/>
      <c r="N56" s="12" t="s">
        <v>243</v>
      </c>
      <c r="O56" s="33">
        <v>45848</v>
      </c>
      <c r="P56" s="18" t="s">
        <v>27</v>
      </c>
      <c r="Q56" s="55">
        <v>191197</v>
      </c>
      <c r="R56" s="55">
        <v>37</v>
      </c>
      <c r="S56" s="46">
        <v>37</v>
      </c>
      <c r="T56" s="12">
        <v>0</v>
      </c>
      <c r="U56" s="12"/>
      <c r="V56" s="34">
        <v>322033225244</v>
      </c>
      <c r="W56" s="12" t="s">
        <v>238</v>
      </c>
      <c r="X56" s="55">
        <v>37</v>
      </c>
      <c r="Y56" s="12"/>
    </row>
    <row r="57" spans="1:25" x14ac:dyDescent="0.3">
      <c r="A57" s="18">
        <v>336</v>
      </c>
      <c r="B57" s="18">
        <v>235</v>
      </c>
      <c r="C57" s="51">
        <v>45842</v>
      </c>
      <c r="D57" s="19" t="s">
        <v>25</v>
      </c>
      <c r="E57" s="25">
        <v>0.49305555555555558</v>
      </c>
      <c r="F57" s="25">
        <v>0.51111111111111107</v>
      </c>
      <c r="G57" s="12"/>
      <c r="H57" s="21">
        <v>45839</v>
      </c>
      <c r="I57" s="18" t="s">
        <v>54</v>
      </c>
      <c r="J57" s="18" t="s">
        <v>231</v>
      </c>
      <c r="K57" s="55" t="s">
        <v>236</v>
      </c>
      <c r="L57" s="12"/>
      <c r="M57" s="12"/>
      <c r="N57" s="12" t="s">
        <v>244</v>
      </c>
      <c r="O57" s="33">
        <v>45848</v>
      </c>
      <c r="P57" s="18" t="s">
        <v>27</v>
      </c>
      <c r="Q57" s="55">
        <v>461502.71999999997</v>
      </c>
      <c r="R57" s="55">
        <v>97</v>
      </c>
      <c r="S57" s="46">
        <v>97</v>
      </c>
      <c r="T57" s="12">
        <v>0</v>
      </c>
      <c r="U57" s="12"/>
      <c r="V57" s="34">
        <v>741541907804</v>
      </c>
      <c r="W57" s="12" t="s">
        <v>237</v>
      </c>
      <c r="X57" s="55">
        <v>97</v>
      </c>
      <c r="Y57" s="12"/>
    </row>
    <row r="58" spans="1:25" x14ac:dyDescent="0.3">
      <c r="A58" s="18">
        <v>337</v>
      </c>
      <c r="B58" s="18">
        <v>236</v>
      </c>
      <c r="C58" s="51">
        <v>45846</v>
      </c>
      <c r="D58" s="19" t="s">
        <v>25</v>
      </c>
      <c r="E58" s="25">
        <v>0.70833333333333337</v>
      </c>
      <c r="F58" s="25">
        <v>0.75</v>
      </c>
      <c r="G58" s="12"/>
      <c r="H58" s="21">
        <v>45839</v>
      </c>
      <c r="I58" s="18" t="s">
        <v>54</v>
      </c>
      <c r="J58" s="18" t="s">
        <v>133</v>
      </c>
      <c r="K58" s="55" t="s">
        <v>233</v>
      </c>
      <c r="L58" s="12"/>
      <c r="M58" s="12"/>
      <c r="N58" s="12" t="s">
        <v>242</v>
      </c>
      <c r="O58" s="33">
        <v>45848</v>
      </c>
      <c r="P58" s="18" t="s">
        <v>27</v>
      </c>
      <c r="Q58" s="55">
        <v>171120</v>
      </c>
      <c r="R58" s="55">
        <v>46</v>
      </c>
      <c r="S58" s="46">
        <v>46</v>
      </c>
      <c r="T58" s="12">
        <v>0</v>
      </c>
      <c r="U58" s="12"/>
      <c r="V58" s="34">
        <v>392036975417</v>
      </c>
      <c r="W58" s="12" t="s">
        <v>235</v>
      </c>
      <c r="X58" s="55">
        <v>46</v>
      </c>
      <c r="Y58" s="12"/>
    </row>
    <row r="59" spans="1:25" x14ac:dyDescent="0.3">
      <c r="A59" s="18">
        <v>338</v>
      </c>
      <c r="B59" s="18">
        <v>237</v>
      </c>
      <c r="C59" s="51">
        <v>45846</v>
      </c>
      <c r="D59" s="19" t="s">
        <v>25</v>
      </c>
      <c r="E59" s="25">
        <v>0.70833333333333337</v>
      </c>
      <c r="F59" s="25">
        <v>0.75</v>
      </c>
      <c r="G59" s="12"/>
      <c r="H59" s="21">
        <v>45839</v>
      </c>
      <c r="I59" s="18" t="s">
        <v>54</v>
      </c>
      <c r="J59" s="18" t="s">
        <v>133</v>
      </c>
      <c r="K59" s="55" t="s">
        <v>234</v>
      </c>
      <c r="L59" s="12"/>
      <c r="M59" s="12"/>
      <c r="N59" s="12" t="s">
        <v>241</v>
      </c>
      <c r="O59" s="33">
        <v>45848</v>
      </c>
      <c r="P59" s="18" t="s">
        <v>27</v>
      </c>
      <c r="Q59" s="55">
        <v>252960</v>
      </c>
      <c r="R59" s="55">
        <v>34</v>
      </c>
      <c r="S59" s="46">
        <v>34</v>
      </c>
      <c r="T59" s="12">
        <v>0</v>
      </c>
      <c r="U59" s="12"/>
      <c r="V59" s="34">
        <v>392036975417</v>
      </c>
      <c r="W59" s="12" t="s">
        <v>235</v>
      </c>
      <c r="X59" s="55">
        <v>34</v>
      </c>
      <c r="Y59" s="12"/>
    </row>
    <row r="60" spans="1:25" x14ac:dyDescent="0.3">
      <c r="A60" s="18">
        <v>339</v>
      </c>
      <c r="B60" s="18">
        <v>238</v>
      </c>
      <c r="C60" s="51">
        <v>45846</v>
      </c>
      <c r="D60" s="19" t="s">
        <v>25</v>
      </c>
      <c r="E60" s="20">
        <v>0.40972222222222221</v>
      </c>
      <c r="F60" s="20">
        <v>0.45555555555555555</v>
      </c>
      <c r="G60" s="18"/>
      <c r="H60" s="21">
        <v>45839</v>
      </c>
      <c r="I60" s="18" t="s">
        <v>54</v>
      </c>
      <c r="J60" s="18" t="s">
        <v>231</v>
      </c>
      <c r="K60" s="55" t="s">
        <v>239</v>
      </c>
      <c r="L60" s="18"/>
      <c r="M60" s="18"/>
      <c r="N60" s="18" t="s">
        <v>252</v>
      </c>
      <c r="O60" s="32">
        <v>45855</v>
      </c>
      <c r="P60" s="18" t="s">
        <v>27</v>
      </c>
      <c r="Q60" s="55">
        <v>2664</v>
      </c>
      <c r="R60" s="55">
        <v>111</v>
      </c>
      <c r="S60" s="45">
        <v>111</v>
      </c>
      <c r="T60" s="12">
        <v>0</v>
      </c>
      <c r="U60" s="18"/>
      <c r="V60" s="31">
        <v>731542763004</v>
      </c>
      <c r="W60" s="18" t="s">
        <v>34</v>
      </c>
      <c r="X60" s="55">
        <v>111</v>
      </c>
      <c r="Y60" s="18"/>
    </row>
    <row r="61" spans="1:25" x14ac:dyDescent="0.3">
      <c r="A61" s="18">
        <v>340</v>
      </c>
      <c r="B61" s="18">
        <v>239</v>
      </c>
      <c r="C61" s="51">
        <v>45847</v>
      </c>
      <c r="D61" s="19" t="s">
        <v>29</v>
      </c>
      <c r="E61" s="20">
        <v>0.54166666666666663</v>
      </c>
      <c r="F61" s="20">
        <v>0.5625</v>
      </c>
      <c r="G61" s="18"/>
      <c r="H61" s="21">
        <v>45839</v>
      </c>
      <c r="I61" s="18" t="s">
        <v>37</v>
      </c>
      <c r="J61" s="18" t="s">
        <v>43</v>
      </c>
      <c r="K61" s="55">
        <v>2510500100000520</v>
      </c>
      <c r="L61" s="18"/>
      <c r="M61" s="18"/>
      <c r="N61" s="18" t="s">
        <v>249</v>
      </c>
      <c r="O61" s="32">
        <v>45850</v>
      </c>
      <c r="P61" s="18" t="s">
        <v>27</v>
      </c>
      <c r="Q61" s="55">
        <v>209548.36</v>
      </c>
      <c r="R61" s="55">
        <v>203</v>
      </c>
      <c r="S61" s="45">
        <v>203</v>
      </c>
      <c r="T61" s="18">
        <v>0</v>
      </c>
      <c r="U61" s="18"/>
      <c r="V61" s="31">
        <v>441586293899</v>
      </c>
      <c r="W61" s="18" t="s">
        <v>240</v>
      </c>
      <c r="X61" s="55">
        <v>21</v>
      </c>
      <c r="Y61" s="18"/>
    </row>
    <row r="62" spans="1:25" x14ac:dyDescent="0.3">
      <c r="A62" s="18">
        <v>341</v>
      </c>
      <c r="B62" s="18">
        <v>240</v>
      </c>
      <c r="C62" s="51">
        <v>45848</v>
      </c>
      <c r="D62" s="19" t="s">
        <v>25</v>
      </c>
      <c r="E62" s="20">
        <v>0.54166666666666663</v>
      </c>
      <c r="F62" s="20">
        <v>0.55763888888888891</v>
      </c>
      <c r="G62" s="18"/>
      <c r="H62" s="21">
        <v>45839</v>
      </c>
      <c r="I62" s="18" t="s">
        <v>54</v>
      </c>
      <c r="J62" s="18" t="s">
        <v>231</v>
      </c>
      <c r="K62" s="55" t="s">
        <v>245</v>
      </c>
      <c r="L62" s="18"/>
      <c r="M62" s="18"/>
      <c r="N62" s="18" t="s">
        <v>250</v>
      </c>
      <c r="O62" s="32">
        <v>45853</v>
      </c>
      <c r="P62" s="18" t="s">
        <v>27</v>
      </c>
      <c r="Q62" s="55">
        <v>6117.12</v>
      </c>
      <c r="R62" s="55">
        <v>12</v>
      </c>
      <c r="S62" s="45">
        <v>12</v>
      </c>
      <c r="T62" s="18">
        <v>0</v>
      </c>
      <c r="U62" s="18"/>
      <c r="V62" s="31">
        <v>771542384021</v>
      </c>
      <c r="W62" s="18" t="s">
        <v>246</v>
      </c>
      <c r="X62" s="55">
        <v>12</v>
      </c>
      <c r="Y62" s="18"/>
    </row>
    <row r="63" spans="1:25" x14ac:dyDescent="0.3">
      <c r="A63" s="18">
        <v>342</v>
      </c>
      <c r="B63" s="18">
        <v>241</v>
      </c>
      <c r="C63" s="51">
        <v>45849</v>
      </c>
      <c r="D63" s="19" t="s">
        <v>29</v>
      </c>
      <c r="E63" s="20">
        <v>0.54166666666666663</v>
      </c>
      <c r="F63" s="20">
        <v>0.55763888888888891</v>
      </c>
      <c r="G63" s="18"/>
      <c r="H63" s="21">
        <v>45839</v>
      </c>
      <c r="I63" s="18" t="s">
        <v>258</v>
      </c>
      <c r="J63" s="18" t="s">
        <v>259</v>
      </c>
      <c r="K63" s="55" t="s">
        <v>260</v>
      </c>
      <c r="L63" s="18"/>
      <c r="M63" s="18"/>
      <c r="N63" s="18"/>
      <c r="O63" s="32" t="s">
        <v>24</v>
      </c>
      <c r="P63" s="18" t="s">
        <v>27</v>
      </c>
      <c r="Q63" s="55">
        <v>122100</v>
      </c>
      <c r="R63" s="55">
        <v>5100</v>
      </c>
      <c r="S63" s="45"/>
      <c r="T63" s="18">
        <v>5100</v>
      </c>
      <c r="U63" s="18"/>
      <c r="V63" s="31">
        <v>771542384021</v>
      </c>
      <c r="W63" s="18" t="s">
        <v>261</v>
      </c>
      <c r="X63" s="55">
        <v>425</v>
      </c>
      <c r="Y63" s="18" t="s">
        <v>316</v>
      </c>
    </row>
    <row r="64" spans="1:25" x14ac:dyDescent="0.3">
      <c r="A64" s="18">
        <v>342</v>
      </c>
      <c r="B64" s="18">
        <v>241</v>
      </c>
      <c r="C64" s="51">
        <v>45850</v>
      </c>
      <c r="D64" s="19" t="s">
        <v>25</v>
      </c>
      <c r="E64" s="25">
        <v>0.85763888888888884</v>
      </c>
      <c r="F64" s="25">
        <v>0.87152777777777779</v>
      </c>
      <c r="G64" s="12"/>
      <c r="H64" s="21">
        <v>45839</v>
      </c>
      <c r="I64" s="18" t="s">
        <v>54</v>
      </c>
      <c r="J64" s="18" t="s">
        <v>231</v>
      </c>
      <c r="K64" s="55" t="s">
        <v>251</v>
      </c>
      <c r="L64" s="12"/>
      <c r="M64" s="12"/>
      <c r="N64" s="18" t="s">
        <v>256</v>
      </c>
      <c r="O64" s="32">
        <v>45855</v>
      </c>
      <c r="P64" s="18" t="s">
        <v>27</v>
      </c>
      <c r="Q64" s="55">
        <v>808604</v>
      </c>
      <c r="R64" s="55">
        <v>89</v>
      </c>
      <c r="S64" s="45">
        <v>89</v>
      </c>
      <c r="T64" s="18">
        <v>0</v>
      </c>
      <c r="U64" s="12"/>
      <c r="V64" s="31">
        <v>761544072738</v>
      </c>
      <c r="W64" s="18" t="s">
        <v>253</v>
      </c>
      <c r="X64" s="55">
        <v>89</v>
      </c>
      <c r="Y64" s="18"/>
    </row>
    <row r="65" spans="1:25" x14ac:dyDescent="0.3">
      <c r="A65" s="18">
        <v>343</v>
      </c>
      <c r="B65" s="18">
        <v>242</v>
      </c>
      <c r="C65" s="51">
        <v>45850</v>
      </c>
      <c r="D65" s="19" t="s">
        <v>29</v>
      </c>
      <c r="E65" s="25">
        <v>0.58333333333333337</v>
      </c>
      <c r="F65" s="25">
        <v>0.87152777777777779</v>
      </c>
      <c r="G65" s="12"/>
      <c r="H65" s="21">
        <v>45839</v>
      </c>
      <c r="I65" s="18" t="s">
        <v>258</v>
      </c>
      <c r="J65" s="18" t="s">
        <v>259</v>
      </c>
      <c r="K65" s="55" t="s">
        <v>260</v>
      </c>
      <c r="L65" s="12"/>
      <c r="M65" s="12"/>
      <c r="N65" s="18"/>
      <c r="O65" s="32" t="s">
        <v>24</v>
      </c>
      <c r="P65" s="18" t="s">
        <v>27</v>
      </c>
      <c r="Q65" s="55">
        <v>122100</v>
      </c>
      <c r="R65" s="55">
        <v>4884</v>
      </c>
      <c r="S65" s="45"/>
      <c r="T65" s="18">
        <v>4884</v>
      </c>
      <c r="U65" s="12"/>
      <c r="V65" s="31">
        <v>441590280283</v>
      </c>
      <c r="W65" s="18" t="s">
        <v>262</v>
      </c>
      <c r="X65" s="55">
        <v>407</v>
      </c>
      <c r="Y65" s="18" t="s">
        <v>316</v>
      </c>
    </row>
    <row r="66" spans="1:25" x14ac:dyDescent="0.3">
      <c r="A66" s="18">
        <v>343</v>
      </c>
      <c r="B66" s="18">
        <v>242</v>
      </c>
      <c r="C66" s="51">
        <v>45850</v>
      </c>
      <c r="D66" s="19" t="s">
        <v>29</v>
      </c>
      <c r="E66" s="25">
        <v>0.75</v>
      </c>
      <c r="F66" s="25">
        <v>0.81944444444444442</v>
      </c>
      <c r="G66" s="12"/>
      <c r="H66" s="21">
        <v>45839</v>
      </c>
      <c r="I66" s="18" t="s">
        <v>258</v>
      </c>
      <c r="J66" s="18" t="s">
        <v>259</v>
      </c>
      <c r="K66" s="55" t="s">
        <v>260</v>
      </c>
      <c r="L66" s="12"/>
      <c r="M66" s="12"/>
      <c r="N66" s="18"/>
      <c r="O66" s="32" t="s">
        <v>24</v>
      </c>
      <c r="P66" s="18" t="s">
        <v>27</v>
      </c>
      <c r="Q66" s="55">
        <v>122100</v>
      </c>
      <c r="R66" s="55">
        <v>5016</v>
      </c>
      <c r="S66" s="45"/>
      <c r="T66" s="18">
        <v>5016</v>
      </c>
      <c r="U66" s="12"/>
      <c r="V66" s="31">
        <v>44159028</v>
      </c>
      <c r="W66" s="18" t="s">
        <v>263</v>
      </c>
      <c r="X66" s="55">
        <v>418</v>
      </c>
      <c r="Y66" s="18" t="s">
        <v>316</v>
      </c>
    </row>
    <row r="67" spans="1:25" x14ac:dyDescent="0.3">
      <c r="A67" s="18">
        <v>344</v>
      </c>
      <c r="B67" s="18">
        <v>243</v>
      </c>
      <c r="C67" s="51">
        <v>45852</v>
      </c>
      <c r="D67" s="19" t="s">
        <v>29</v>
      </c>
      <c r="E67" s="25">
        <v>0.75</v>
      </c>
      <c r="F67" s="25">
        <v>0.87152777777777779</v>
      </c>
      <c r="G67" s="12"/>
      <c r="H67" s="21">
        <v>45839</v>
      </c>
      <c r="I67" s="18" t="s">
        <v>258</v>
      </c>
      <c r="J67" s="18" t="s">
        <v>259</v>
      </c>
      <c r="K67" s="55" t="s">
        <v>266</v>
      </c>
      <c r="L67" s="12"/>
      <c r="M67" s="12"/>
      <c r="N67" s="18"/>
      <c r="O67" s="32" t="s">
        <v>24</v>
      </c>
      <c r="P67" s="18" t="s">
        <v>27</v>
      </c>
      <c r="Q67" s="55">
        <v>48554</v>
      </c>
      <c r="R67" s="55">
        <v>6120</v>
      </c>
      <c r="S67" s="45"/>
      <c r="T67" s="18">
        <v>6120</v>
      </c>
      <c r="U67" s="12"/>
      <c r="V67" s="31">
        <v>431590033668</v>
      </c>
      <c r="W67" s="18" t="s">
        <v>267</v>
      </c>
      <c r="X67" s="55">
        <v>510</v>
      </c>
      <c r="Y67" s="18" t="s">
        <v>316</v>
      </c>
    </row>
    <row r="68" spans="1:25" x14ac:dyDescent="0.3">
      <c r="A68" s="18">
        <v>344</v>
      </c>
      <c r="B68" s="18">
        <v>243</v>
      </c>
      <c r="C68" s="51">
        <v>45853</v>
      </c>
      <c r="D68" s="19" t="s">
        <v>29</v>
      </c>
      <c r="E68" s="25">
        <v>0.70833333333333337</v>
      </c>
      <c r="F68" s="25">
        <v>0.94444444444444442</v>
      </c>
      <c r="G68" s="12"/>
      <c r="H68" s="21">
        <v>45839</v>
      </c>
      <c r="I68" s="18" t="s">
        <v>258</v>
      </c>
      <c r="J68" s="18" t="s">
        <v>259</v>
      </c>
      <c r="K68" s="55" t="s">
        <v>264</v>
      </c>
      <c r="L68" s="12"/>
      <c r="M68" s="12"/>
      <c r="N68" s="18"/>
      <c r="O68" s="32" t="s">
        <v>24</v>
      </c>
      <c r="P68" s="18" t="s">
        <v>27</v>
      </c>
      <c r="Q68" s="55">
        <v>448558</v>
      </c>
      <c r="R68" s="55">
        <v>6108</v>
      </c>
      <c r="S68" s="45"/>
      <c r="T68" s="18">
        <v>6108</v>
      </c>
      <c r="U68" s="12"/>
      <c r="V68" s="31">
        <v>491591523690</v>
      </c>
      <c r="W68" s="18" t="s">
        <v>265</v>
      </c>
      <c r="X68" s="55">
        <v>509</v>
      </c>
      <c r="Y68" s="18" t="s">
        <v>316</v>
      </c>
    </row>
    <row r="69" spans="1:25" x14ac:dyDescent="0.3">
      <c r="A69" s="18">
        <v>343</v>
      </c>
      <c r="B69" s="18">
        <v>242</v>
      </c>
      <c r="C69" s="51">
        <v>45854</v>
      </c>
      <c r="D69" s="19" t="s">
        <v>25</v>
      </c>
      <c r="E69" s="25">
        <v>0.4861111111111111</v>
      </c>
      <c r="F69" s="25">
        <v>0.51041666666666663</v>
      </c>
      <c r="G69" s="12"/>
      <c r="H69" s="21">
        <v>45839</v>
      </c>
      <c r="I69" s="18" t="s">
        <v>54</v>
      </c>
      <c r="J69" s="18" t="s">
        <v>231</v>
      </c>
      <c r="K69" s="55" t="s">
        <v>254</v>
      </c>
      <c r="L69" s="12"/>
      <c r="M69" s="12"/>
      <c r="N69" s="18" t="s">
        <v>68</v>
      </c>
      <c r="O69" s="33">
        <v>45861</v>
      </c>
      <c r="P69" s="18" t="s">
        <v>27</v>
      </c>
      <c r="Q69" s="55">
        <v>938945</v>
      </c>
      <c r="R69" s="55">
        <v>140</v>
      </c>
      <c r="S69" s="45">
        <v>140</v>
      </c>
      <c r="T69" s="18">
        <v>0</v>
      </c>
      <c r="U69" s="12"/>
      <c r="V69" s="31">
        <v>741544926343</v>
      </c>
      <c r="W69" s="18" t="s">
        <v>59</v>
      </c>
      <c r="X69" s="55">
        <v>140</v>
      </c>
      <c r="Y69" s="18"/>
    </row>
    <row r="70" spans="1:25" x14ac:dyDescent="0.3">
      <c r="A70" s="18">
        <v>344</v>
      </c>
      <c r="B70" s="18">
        <v>243</v>
      </c>
      <c r="C70" s="51">
        <v>45855</v>
      </c>
      <c r="D70" s="19" t="s">
        <v>25</v>
      </c>
      <c r="E70" s="25">
        <v>0.75</v>
      </c>
      <c r="F70" s="25">
        <v>0.77083333333333337</v>
      </c>
      <c r="G70" s="12"/>
      <c r="H70" s="21">
        <v>45839</v>
      </c>
      <c r="I70" s="18" t="s">
        <v>54</v>
      </c>
      <c r="J70" s="18" t="s">
        <v>231</v>
      </c>
      <c r="K70" s="55" t="s">
        <v>255</v>
      </c>
      <c r="L70" s="12"/>
      <c r="M70" s="12"/>
      <c r="N70" s="18" t="s">
        <v>257</v>
      </c>
      <c r="O70" s="33">
        <v>45862</v>
      </c>
      <c r="P70" s="18" t="s">
        <v>27</v>
      </c>
      <c r="Q70" s="55">
        <v>709740</v>
      </c>
      <c r="R70" s="55">
        <v>107</v>
      </c>
      <c r="S70" s="45">
        <v>107</v>
      </c>
      <c r="T70" s="18">
        <v>0</v>
      </c>
      <c r="U70" s="12"/>
      <c r="V70" s="31">
        <v>342043187208</v>
      </c>
      <c r="W70" s="18" t="s">
        <v>53</v>
      </c>
      <c r="X70" s="55">
        <v>107</v>
      </c>
      <c r="Y70" s="18"/>
    </row>
    <row r="71" spans="1:25" x14ac:dyDescent="0.3">
      <c r="A71" s="18">
        <v>345</v>
      </c>
      <c r="B71" s="18">
        <v>244</v>
      </c>
      <c r="C71" s="51">
        <v>45861</v>
      </c>
      <c r="D71" s="19" t="s">
        <v>25</v>
      </c>
      <c r="E71" s="25">
        <v>0.64930555555555558</v>
      </c>
      <c r="F71" s="9">
        <v>0.69097222222222221</v>
      </c>
      <c r="G71" s="7"/>
      <c r="H71" s="21">
        <v>45839</v>
      </c>
      <c r="I71" s="18" t="s">
        <v>54</v>
      </c>
      <c r="J71" s="18" t="s">
        <v>231</v>
      </c>
      <c r="K71" s="55" t="s">
        <v>268</v>
      </c>
      <c r="L71" s="7"/>
      <c r="M71" s="7"/>
      <c r="N71" s="18" t="s">
        <v>271</v>
      </c>
      <c r="O71" s="32">
        <v>45867</v>
      </c>
      <c r="P71" s="18" t="s">
        <v>27</v>
      </c>
      <c r="Q71" s="55">
        <v>290160</v>
      </c>
      <c r="R71" s="62">
        <v>936</v>
      </c>
      <c r="S71" s="47">
        <v>936</v>
      </c>
      <c r="T71" s="7">
        <v>0</v>
      </c>
      <c r="U71" s="7"/>
      <c r="V71" s="31">
        <v>352048717058</v>
      </c>
      <c r="W71" s="18" t="s">
        <v>269</v>
      </c>
      <c r="X71" s="55">
        <v>39</v>
      </c>
      <c r="Y71" s="18"/>
    </row>
    <row r="72" spans="1:25" x14ac:dyDescent="0.3">
      <c r="A72" s="18">
        <v>346</v>
      </c>
      <c r="B72" s="18">
        <v>245</v>
      </c>
      <c r="C72" s="51">
        <v>45861</v>
      </c>
      <c r="D72" s="19" t="s">
        <v>25</v>
      </c>
      <c r="E72" s="9">
        <v>0.41666666666666669</v>
      </c>
      <c r="F72" s="9">
        <v>0.44791666666666669</v>
      </c>
      <c r="G72" s="7"/>
      <c r="H72" s="21">
        <v>45839</v>
      </c>
      <c r="I72" s="18" t="s">
        <v>54</v>
      </c>
      <c r="J72" s="18" t="s">
        <v>231</v>
      </c>
      <c r="K72" s="55" t="s">
        <v>270</v>
      </c>
      <c r="L72" s="7"/>
      <c r="M72" s="7"/>
      <c r="N72" s="18" t="s">
        <v>272</v>
      </c>
      <c r="O72" s="32">
        <v>45867</v>
      </c>
      <c r="P72" s="18" t="s">
        <v>27</v>
      </c>
      <c r="Q72" s="55">
        <v>745006</v>
      </c>
      <c r="R72" s="55">
        <v>1968</v>
      </c>
      <c r="S72" s="45">
        <v>1968</v>
      </c>
      <c r="T72" s="18">
        <v>0</v>
      </c>
      <c r="U72" s="7"/>
      <c r="V72" s="31">
        <v>172517993343769</v>
      </c>
      <c r="W72" s="18" t="s">
        <v>59</v>
      </c>
      <c r="X72" s="55">
        <v>82</v>
      </c>
      <c r="Y72" s="18"/>
    </row>
    <row r="73" spans="1:25" x14ac:dyDescent="0.3">
      <c r="A73" s="18">
        <v>347</v>
      </c>
      <c r="B73" s="18">
        <v>246</v>
      </c>
      <c r="C73" s="51">
        <v>45865</v>
      </c>
      <c r="D73" s="19" t="s">
        <v>29</v>
      </c>
      <c r="E73" s="39">
        <v>0.70833333333333337</v>
      </c>
      <c r="F73" s="39">
        <v>7.916666666666667</v>
      </c>
      <c r="G73" s="40"/>
      <c r="H73" s="21">
        <v>45839</v>
      </c>
      <c r="I73" s="18" t="s">
        <v>258</v>
      </c>
      <c r="J73" s="18" t="s">
        <v>259</v>
      </c>
      <c r="K73" s="55" t="s">
        <v>279</v>
      </c>
      <c r="L73" s="40"/>
      <c r="M73" s="40"/>
      <c r="N73" s="18" t="s">
        <v>24</v>
      </c>
      <c r="O73" s="32" t="s">
        <v>24</v>
      </c>
      <c r="P73" s="18" t="s">
        <v>27</v>
      </c>
      <c r="Q73" s="55">
        <v>60228</v>
      </c>
      <c r="R73" s="55">
        <v>5208</v>
      </c>
      <c r="S73" s="45"/>
      <c r="T73" s="18">
        <v>5208</v>
      </c>
      <c r="U73" s="40"/>
      <c r="V73" s="31">
        <v>491596082493</v>
      </c>
      <c r="W73" s="18" t="s">
        <v>280</v>
      </c>
      <c r="X73" s="55">
        <v>434</v>
      </c>
      <c r="Y73" s="18" t="s">
        <v>316</v>
      </c>
    </row>
    <row r="74" spans="1:25" x14ac:dyDescent="0.3">
      <c r="A74" s="18">
        <v>348</v>
      </c>
      <c r="B74" s="18">
        <v>247</v>
      </c>
      <c r="C74" s="51">
        <v>45865</v>
      </c>
      <c r="D74" s="19" t="s">
        <v>29</v>
      </c>
      <c r="E74" s="9">
        <v>7.916666666666667</v>
      </c>
      <c r="F74" s="9">
        <v>8.3333333333333329E-2</v>
      </c>
      <c r="G74" s="7"/>
      <c r="H74" s="21">
        <v>45839</v>
      </c>
      <c r="I74" s="18" t="s">
        <v>258</v>
      </c>
      <c r="J74" s="18" t="s">
        <v>259</v>
      </c>
      <c r="K74" s="60" t="s">
        <v>281</v>
      </c>
      <c r="L74" s="7"/>
      <c r="M74" s="7"/>
      <c r="N74" s="18" t="s">
        <v>24</v>
      </c>
      <c r="O74" s="32" t="s">
        <v>24</v>
      </c>
      <c r="P74" s="18" t="s">
        <v>27</v>
      </c>
      <c r="Q74" s="55">
        <v>55427</v>
      </c>
      <c r="R74" s="55">
        <v>6972</v>
      </c>
      <c r="S74" s="45"/>
      <c r="T74" s="18">
        <v>6972</v>
      </c>
      <c r="U74" s="7"/>
      <c r="V74" s="31">
        <v>491592423836</v>
      </c>
      <c r="W74" s="18" t="s">
        <v>282</v>
      </c>
      <c r="X74" s="55">
        <v>455</v>
      </c>
      <c r="Y74" s="18" t="s">
        <v>316</v>
      </c>
    </row>
    <row r="75" spans="1:25" x14ac:dyDescent="0.3">
      <c r="A75" s="18">
        <v>349</v>
      </c>
      <c r="B75" s="18">
        <v>248</v>
      </c>
      <c r="C75" s="51">
        <v>45866</v>
      </c>
      <c r="D75" s="19" t="s">
        <v>29</v>
      </c>
      <c r="E75" s="9">
        <v>0.62013888888888891</v>
      </c>
      <c r="F75" s="9">
        <v>0.73819444444444449</v>
      </c>
      <c r="G75" s="7"/>
      <c r="H75" s="21">
        <v>45839</v>
      </c>
      <c r="I75" s="18" t="s">
        <v>258</v>
      </c>
      <c r="J75" s="18" t="s">
        <v>259</v>
      </c>
      <c r="K75" s="60" t="s">
        <v>279</v>
      </c>
      <c r="L75" s="7"/>
      <c r="M75" s="7"/>
      <c r="N75" s="18" t="s">
        <v>24</v>
      </c>
      <c r="O75" s="32" t="s">
        <v>24</v>
      </c>
      <c r="P75" s="18" t="s">
        <v>27</v>
      </c>
      <c r="Q75" s="55">
        <v>60228</v>
      </c>
      <c r="R75" s="55">
        <v>4908</v>
      </c>
      <c r="S75" s="45"/>
      <c r="T75" s="18">
        <v>4908</v>
      </c>
      <c r="U75" s="7"/>
      <c r="V75" s="31">
        <v>491596082493</v>
      </c>
      <c r="W75" s="18" t="s">
        <v>283</v>
      </c>
      <c r="X75" s="55">
        <v>409</v>
      </c>
      <c r="Y75" s="18" t="s">
        <v>316</v>
      </c>
    </row>
    <row r="76" spans="1:25" x14ac:dyDescent="0.3">
      <c r="A76" s="18">
        <v>350</v>
      </c>
      <c r="B76" s="18">
        <v>249</v>
      </c>
      <c r="C76" s="51">
        <v>45866</v>
      </c>
      <c r="D76" s="19" t="s">
        <v>29</v>
      </c>
      <c r="E76" s="9">
        <v>0.75</v>
      </c>
      <c r="F76" s="9">
        <v>0.83333333333333337</v>
      </c>
      <c r="G76" s="7"/>
      <c r="H76" s="21">
        <v>45839</v>
      </c>
      <c r="I76" s="18" t="s">
        <v>258</v>
      </c>
      <c r="J76" s="18" t="s">
        <v>259</v>
      </c>
      <c r="K76" s="60" t="s">
        <v>279</v>
      </c>
      <c r="L76" s="7"/>
      <c r="M76" s="7"/>
      <c r="N76" s="18" t="s">
        <v>24</v>
      </c>
      <c r="O76" s="32" t="s">
        <v>24</v>
      </c>
      <c r="P76" s="18" t="s">
        <v>27</v>
      </c>
      <c r="Q76" s="55">
        <v>60228</v>
      </c>
      <c r="R76" s="55">
        <v>4800</v>
      </c>
      <c r="S76" s="45"/>
      <c r="T76" s="18">
        <v>4800</v>
      </c>
      <c r="U76" s="7"/>
      <c r="V76" s="31">
        <v>491596082493</v>
      </c>
      <c r="W76" s="18" t="s">
        <v>284</v>
      </c>
      <c r="X76" s="55">
        <v>400</v>
      </c>
      <c r="Y76" s="18" t="s">
        <v>316</v>
      </c>
    </row>
    <row r="77" spans="1:25" x14ac:dyDescent="0.3">
      <c r="A77" s="18">
        <v>351</v>
      </c>
      <c r="B77" s="18">
        <v>250</v>
      </c>
      <c r="C77" s="51">
        <v>45867</v>
      </c>
      <c r="D77" s="19" t="s">
        <v>25</v>
      </c>
      <c r="E77" s="9">
        <v>0.53125</v>
      </c>
      <c r="F77" s="7" t="s">
        <v>273</v>
      </c>
      <c r="G77" s="7"/>
      <c r="H77" s="21">
        <v>45839</v>
      </c>
      <c r="I77" s="18" t="s">
        <v>54</v>
      </c>
      <c r="J77" s="18" t="s">
        <v>231</v>
      </c>
      <c r="K77" s="55" t="s">
        <v>274</v>
      </c>
      <c r="L77" s="7"/>
      <c r="M77" s="7"/>
      <c r="N77" s="18" t="s">
        <v>75</v>
      </c>
      <c r="O77" s="32">
        <v>45868</v>
      </c>
      <c r="P77" s="18" t="s">
        <v>27</v>
      </c>
      <c r="Q77" s="55">
        <v>1532160</v>
      </c>
      <c r="R77" s="55">
        <v>150</v>
      </c>
      <c r="S77" s="45">
        <v>0</v>
      </c>
      <c r="T77" s="18">
        <v>150</v>
      </c>
      <c r="U77" s="7"/>
      <c r="V77" s="8">
        <v>491598594376</v>
      </c>
      <c r="W77" s="18" t="s">
        <v>275</v>
      </c>
      <c r="X77" s="55">
        <v>150</v>
      </c>
      <c r="Y77" s="7"/>
    </row>
    <row r="78" spans="1:25" x14ac:dyDescent="0.3">
      <c r="A78" s="18">
        <v>352</v>
      </c>
      <c r="B78" s="18">
        <v>251</v>
      </c>
      <c r="C78" s="51">
        <v>45867</v>
      </c>
      <c r="D78" s="19" t="s">
        <v>25</v>
      </c>
      <c r="E78" s="9">
        <v>0.69097222222222221</v>
      </c>
      <c r="F78" s="9">
        <v>0.70138888888888884</v>
      </c>
      <c r="G78" s="7"/>
      <c r="H78" s="21">
        <v>45839</v>
      </c>
      <c r="I78" s="18" t="s">
        <v>54</v>
      </c>
      <c r="J78" s="18" t="s">
        <v>231</v>
      </c>
      <c r="K78" s="55" t="s">
        <v>276</v>
      </c>
      <c r="L78" s="7"/>
      <c r="M78" s="7"/>
      <c r="N78" s="18" t="s">
        <v>78</v>
      </c>
      <c r="O78" s="32">
        <v>45868</v>
      </c>
      <c r="P78" s="18" t="s">
        <v>27</v>
      </c>
      <c r="Q78" s="55">
        <v>111600</v>
      </c>
      <c r="R78" s="55">
        <v>30</v>
      </c>
      <c r="S78" s="45">
        <v>0</v>
      </c>
      <c r="T78" s="18">
        <v>30</v>
      </c>
      <c r="U78" s="7"/>
      <c r="V78" s="8">
        <v>382051510667</v>
      </c>
      <c r="W78" s="18" t="s">
        <v>277</v>
      </c>
      <c r="X78" s="55">
        <v>30</v>
      </c>
      <c r="Y78" s="7"/>
    </row>
    <row r="79" spans="1:25" x14ac:dyDescent="0.3">
      <c r="A79" s="18">
        <v>353</v>
      </c>
      <c r="B79" s="18">
        <v>252</v>
      </c>
      <c r="C79" s="51">
        <v>45867</v>
      </c>
      <c r="D79" s="19" t="s">
        <v>25</v>
      </c>
      <c r="E79" s="9">
        <v>0.70138888888888884</v>
      </c>
      <c r="F79" s="9">
        <v>0.73402777777777772</v>
      </c>
      <c r="G79" s="7"/>
      <c r="H79" s="21">
        <v>45839</v>
      </c>
      <c r="I79" s="18" t="s">
        <v>54</v>
      </c>
      <c r="J79" s="18" t="s">
        <v>231</v>
      </c>
      <c r="K79" s="55" t="s">
        <v>278</v>
      </c>
      <c r="L79" s="7"/>
      <c r="M79" s="7"/>
      <c r="N79" s="18" t="s">
        <v>293</v>
      </c>
      <c r="O79" s="38">
        <v>45875</v>
      </c>
      <c r="P79" s="18" t="s">
        <v>27</v>
      </c>
      <c r="Q79" s="55">
        <v>881637</v>
      </c>
      <c r="R79" s="55">
        <v>122</v>
      </c>
      <c r="S79" s="45">
        <v>0</v>
      </c>
      <c r="T79" s="18">
        <v>122</v>
      </c>
      <c r="U79" s="7"/>
      <c r="V79" s="8">
        <v>761548517053</v>
      </c>
      <c r="W79" s="18" t="s">
        <v>33</v>
      </c>
      <c r="X79" s="55">
        <v>122</v>
      </c>
      <c r="Y79" s="7"/>
    </row>
    <row r="80" spans="1:25" x14ac:dyDescent="0.3">
      <c r="A80" s="18">
        <v>354</v>
      </c>
      <c r="B80" s="18">
        <v>253</v>
      </c>
      <c r="C80" s="51">
        <v>45868</v>
      </c>
      <c r="D80" s="19" t="s">
        <v>29</v>
      </c>
      <c r="E80" s="9">
        <v>0.4</v>
      </c>
      <c r="F80" s="9">
        <v>0.52083333333333337</v>
      </c>
      <c r="G80" s="7"/>
      <c r="H80" s="21">
        <v>45839</v>
      </c>
      <c r="I80" s="18" t="s">
        <v>258</v>
      </c>
      <c r="J80" s="18" t="s">
        <v>259</v>
      </c>
      <c r="K80" s="60" t="s">
        <v>279</v>
      </c>
      <c r="L80" s="7"/>
      <c r="M80" s="7"/>
      <c r="N80" s="18" t="s">
        <v>24</v>
      </c>
      <c r="O80" s="7" t="s">
        <v>24</v>
      </c>
      <c r="P80" s="18" t="s">
        <v>27</v>
      </c>
      <c r="Q80" s="55">
        <v>60228</v>
      </c>
      <c r="R80" s="55">
        <v>4668</v>
      </c>
      <c r="S80" s="47"/>
      <c r="T80" s="18">
        <v>4668</v>
      </c>
      <c r="U80" s="7"/>
      <c r="V80" s="8">
        <v>49156082493</v>
      </c>
      <c r="W80" s="18" t="s">
        <v>285</v>
      </c>
      <c r="X80" s="55">
        <v>389</v>
      </c>
      <c r="Y80" s="18" t="s">
        <v>316</v>
      </c>
    </row>
    <row r="81" spans="1:25" x14ac:dyDescent="0.3">
      <c r="A81" s="18">
        <v>355</v>
      </c>
      <c r="B81" s="18">
        <v>254</v>
      </c>
      <c r="C81" s="51">
        <v>45868</v>
      </c>
      <c r="D81" s="19" t="s">
        <v>29</v>
      </c>
      <c r="E81" s="9">
        <v>0.58333333333333337</v>
      </c>
      <c r="F81" s="9">
        <v>0.74305555555555558</v>
      </c>
      <c r="G81" s="7"/>
      <c r="H81" s="21">
        <v>45839</v>
      </c>
      <c r="I81" s="18" t="s">
        <v>258</v>
      </c>
      <c r="J81" s="18" t="s">
        <v>259</v>
      </c>
      <c r="K81" s="60" t="s">
        <v>279</v>
      </c>
      <c r="L81" s="7"/>
      <c r="M81" s="7"/>
      <c r="N81" s="18" t="s">
        <v>24</v>
      </c>
      <c r="O81" s="7" t="s">
        <v>24</v>
      </c>
      <c r="P81" s="18" t="s">
        <v>27</v>
      </c>
      <c r="Q81" s="55">
        <v>60228</v>
      </c>
      <c r="R81" s="55">
        <v>4896</v>
      </c>
      <c r="S81" s="47"/>
      <c r="T81" s="18">
        <v>4896</v>
      </c>
      <c r="U81" s="7"/>
      <c r="V81" s="8">
        <v>49156082493</v>
      </c>
      <c r="W81" s="18" t="s">
        <v>286</v>
      </c>
      <c r="X81" s="55">
        <v>408</v>
      </c>
      <c r="Y81" s="18" t="s">
        <v>316</v>
      </c>
    </row>
    <row r="82" spans="1:25" x14ac:dyDescent="0.3">
      <c r="A82" s="18">
        <v>356</v>
      </c>
      <c r="B82" s="18">
        <v>255</v>
      </c>
      <c r="C82" s="51">
        <v>45868</v>
      </c>
      <c r="D82" s="19" t="s">
        <v>29</v>
      </c>
      <c r="E82" s="9">
        <v>0.68055555555555558</v>
      </c>
      <c r="F82" s="9">
        <v>0.80555555555555558</v>
      </c>
      <c r="G82" s="7"/>
      <c r="H82" s="21">
        <v>45839</v>
      </c>
      <c r="I82" s="18" t="s">
        <v>258</v>
      </c>
      <c r="J82" s="18" t="s">
        <v>259</v>
      </c>
      <c r="K82" s="60" t="s">
        <v>279</v>
      </c>
      <c r="L82" s="7"/>
      <c r="M82" s="7"/>
      <c r="N82" s="18" t="s">
        <v>24</v>
      </c>
      <c r="O82" s="7" t="s">
        <v>24</v>
      </c>
      <c r="P82" s="18" t="s">
        <v>27</v>
      </c>
      <c r="Q82" s="55">
        <v>60228</v>
      </c>
      <c r="R82" s="55">
        <v>4800</v>
      </c>
      <c r="S82" s="47"/>
      <c r="T82" s="18">
        <v>4800</v>
      </c>
      <c r="U82" s="7"/>
      <c r="V82" s="8">
        <v>49156082493</v>
      </c>
      <c r="W82" s="18" t="s">
        <v>287</v>
      </c>
      <c r="X82" s="55">
        <v>400</v>
      </c>
      <c r="Y82" s="18" t="s">
        <v>316</v>
      </c>
    </row>
    <row r="83" spans="1:25" x14ac:dyDescent="0.3">
      <c r="A83" s="18">
        <v>357</v>
      </c>
      <c r="B83" s="18">
        <v>256</v>
      </c>
      <c r="C83" s="51">
        <v>45868</v>
      </c>
      <c r="D83" s="19" t="s">
        <v>29</v>
      </c>
      <c r="E83" s="9">
        <v>0.39930555555555558</v>
      </c>
      <c r="F83" s="9">
        <v>0.4861111111111111</v>
      </c>
      <c r="G83" s="7"/>
      <c r="H83" s="21">
        <v>45839</v>
      </c>
      <c r="I83" s="18" t="s">
        <v>258</v>
      </c>
      <c r="J83" s="18" t="s">
        <v>259</v>
      </c>
      <c r="K83" s="60" t="s">
        <v>288</v>
      </c>
      <c r="L83" s="7"/>
      <c r="M83" s="7"/>
      <c r="N83" s="18" t="s">
        <v>24</v>
      </c>
      <c r="O83" s="7" t="s">
        <v>24</v>
      </c>
      <c r="P83" s="18" t="s">
        <v>27</v>
      </c>
      <c r="Q83" s="55">
        <v>30323</v>
      </c>
      <c r="R83" s="55">
        <v>1920</v>
      </c>
      <c r="S83" s="47"/>
      <c r="T83" s="18">
        <v>1920</v>
      </c>
      <c r="U83" s="7"/>
      <c r="V83" s="8">
        <v>49156082493</v>
      </c>
      <c r="W83" s="18" t="s">
        <v>289</v>
      </c>
      <c r="X83" s="55">
        <v>160</v>
      </c>
      <c r="Y83" s="18" t="s">
        <v>316</v>
      </c>
    </row>
    <row r="84" spans="1:25" x14ac:dyDescent="0.3">
      <c r="A84" s="18">
        <v>358</v>
      </c>
      <c r="B84" s="18">
        <v>257</v>
      </c>
      <c r="C84" s="51">
        <v>45870</v>
      </c>
      <c r="D84" s="19" t="s">
        <v>25</v>
      </c>
      <c r="E84" s="9">
        <v>0.39930555555555558</v>
      </c>
      <c r="F84" s="9">
        <v>0.4861111111111111</v>
      </c>
      <c r="G84" s="7"/>
      <c r="H84" s="21">
        <v>45870</v>
      </c>
      <c r="I84" s="18" t="s">
        <v>54</v>
      </c>
      <c r="J84" s="18" t="s">
        <v>231</v>
      </c>
      <c r="K84" s="60" t="s">
        <v>290</v>
      </c>
      <c r="L84" s="7"/>
      <c r="M84" s="7"/>
      <c r="N84" s="18" t="s">
        <v>83</v>
      </c>
      <c r="O84" s="38">
        <v>45879</v>
      </c>
      <c r="P84" s="18" t="s">
        <v>27</v>
      </c>
      <c r="Q84" s="55">
        <v>3624</v>
      </c>
      <c r="R84" s="55">
        <v>0</v>
      </c>
      <c r="S84" s="45">
        <v>136</v>
      </c>
      <c r="T84" s="18">
        <v>0</v>
      </c>
      <c r="U84" s="7"/>
      <c r="V84" s="31">
        <v>491591523690</v>
      </c>
      <c r="W84" s="18" t="s">
        <v>53</v>
      </c>
      <c r="X84" s="55">
        <v>136</v>
      </c>
      <c r="Y84" s="7"/>
    </row>
    <row r="85" spans="1:25" x14ac:dyDescent="0.3">
      <c r="A85" s="18">
        <v>359</v>
      </c>
      <c r="B85" s="18">
        <v>258</v>
      </c>
      <c r="C85" s="51">
        <v>45871</v>
      </c>
      <c r="D85" s="19" t="s">
        <v>29</v>
      </c>
      <c r="E85" s="9">
        <v>0.51736111111111116</v>
      </c>
      <c r="F85" s="9">
        <v>0.60069444444444442</v>
      </c>
      <c r="G85" s="7"/>
      <c r="H85" s="21">
        <v>45870</v>
      </c>
      <c r="I85" s="18" t="s">
        <v>258</v>
      </c>
      <c r="J85" s="18" t="s">
        <v>259</v>
      </c>
      <c r="K85" s="60" t="s">
        <v>288</v>
      </c>
      <c r="L85" s="7"/>
      <c r="M85" s="7"/>
      <c r="N85" s="18" t="s">
        <v>24</v>
      </c>
      <c r="O85" s="7" t="s">
        <v>24</v>
      </c>
      <c r="P85" s="18" t="s">
        <v>27</v>
      </c>
      <c r="Q85" s="55">
        <v>13567.78</v>
      </c>
      <c r="R85" s="55">
        <v>2944</v>
      </c>
      <c r="S85" s="47"/>
      <c r="T85" s="18">
        <v>2944</v>
      </c>
      <c r="U85" s="7"/>
      <c r="V85" s="8">
        <v>431596493994</v>
      </c>
      <c r="W85" s="18" t="s">
        <v>292</v>
      </c>
      <c r="X85" s="55">
        <v>539</v>
      </c>
      <c r="Y85" s="18" t="s">
        <v>316</v>
      </c>
    </row>
    <row r="86" spans="1:25" x14ac:dyDescent="0.3">
      <c r="A86" s="18">
        <v>360</v>
      </c>
      <c r="B86" s="18">
        <v>259</v>
      </c>
      <c r="C86" s="51">
        <v>45871</v>
      </c>
      <c r="D86" s="19" t="s">
        <v>29</v>
      </c>
      <c r="E86" s="9">
        <v>0.66319444444444442</v>
      </c>
      <c r="F86" s="9">
        <v>0.75</v>
      </c>
      <c r="G86" s="7"/>
      <c r="H86" s="21">
        <v>45870</v>
      </c>
      <c r="I86" s="18" t="s">
        <v>258</v>
      </c>
      <c r="J86" s="18" t="s">
        <v>259</v>
      </c>
      <c r="K86" s="60" t="s">
        <v>288</v>
      </c>
      <c r="L86" s="7"/>
      <c r="M86" s="7"/>
      <c r="N86" s="18" t="s">
        <v>24</v>
      </c>
      <c r="O86" s="7" t="s">
        <v>24</v>
      </c>
      <c r="P86" s="18" t="s">
        <v>27</v>
      </c>
      <c r="Q86" s="55">
        <v>13567.78</v>
      </c>
      <c r="R86" s="55">
        <v>2944</v>
      </c>
      <c r="S86" s="47"/>
      <c r="T86" s="18">
        <v>2944</v>
      </c>
      <c r="U86" s="7"/>
      <c r="V86" s="8">
        <v>431596493994</v>
      </c>
      <c r="W86" s="18" t="s">
        <v>291</v>
      </c>
      <c r="X86" s="55">
        <v>545</v>
      </c>
      <c r="Y86" s="18" t="s">
        <v>316</v>
      </c>
    </row>
    <row r="87" spans="1:25" x14ac:dyDescent="0.3">
      <c r="A87" s="18">
        <v>361</v>
      </c>
      <c r="B87" s="18">
        <v>260</v>
      </c>
      <c r="C87" s="51">
        <v>45874</v>
      </c>
      <c r="D87" s="19" t="s">
        <v>29</v>
      </c>
      <c r="E87" s="9">
        <v>0.56944444444444442</v>
      </c>
      <c r="F87" s="9">
        <v>0.69236111111111109</v>
      </c>
      <c r="G87" s="7"/>
      <c r="H87" s="21">
        <v>45870</v>
      </c>
      <c r="I87" s="18" t="s">
        <v>258</v>
      </c>
      <c r="J87" s="18" t="s">
        <v>259</v>
      </c>
      <c r="K87" s="60" t="s">
        <v>294</v>
      </c>
      <c r="L87" s="7"/>
      <c r="M87" s="7"/>
      <c r="N87" s="18" t="s">
        <v>24</v>
      </c>
      <c r="O87" s="7" t="s">
        <v>24</v>
      </c>
      <c r="P87" s="18" t="s">
        <v>27</v>
      </c>
      <c r="Q87" s="55">
        <v>80160</v>
      </c>
      <c r="R87" s="55">
        <v>9600</v>
      </c>
      <c r="S87" s="47"/>
      <c r="T87" s="18">
        <v>9600</v>
      </c>
      <c r="U87" s="7"/>
      <c r="V87" s="8">
        <v>401600419069</v>
      </c>
      <c r="W87" s="18" t="s">
        <v>295</v>
      </c>
      <c r="X87" s="55">
        <v>400</v>
      </c>
      <c r="Y87" s="18" t="s">
        <v>316</v>
      </c>
    </row>
    <row r="88" spans="1:25" x14ac:dyDescent="0.3">
      <c r="A88" s="18">
        <v>362</v>
      </c>
      <c r="B88" s="18">
        <v>261</v>
      </c>
      <c r="C88" s="51">
        <v>45874</v>
      </c>
      <c r="D88" s="19" t="s">
        <v>29</v>
      </c>
      <c r="E88" s="9">
        <v>0.69305555555555554</v>
      </c>
      <c r="F88" s="9">
        <v>0.79166666666666663</v>
      </c>
      <c r="G88" s="7"/>
      <c r="H88" s="21">
        <v>45870</v>
      </c>
      <c r="I88" s="18" t="s">
        <v>258</v>
      </c>
      <c r="J88" s="18" t="s">
        <v>259</v>
      </c>
      <c r="K88" s="60" t="s">
        <v>294</v>
      </c>
      <c r="L88" s="7"/>
      <c r="M88" s="7"/>
      <c r="N88" s="18" t="s">
        <v>24</v>
      </c>
      <c r="O88" s="7" t="s">
        <v>24</v>
      </c>
      <c r="P88" s="18" t="s">
        <v>27</v>
      </c>
      <c r="Q88" s="55">
        <v>80160</v>
      </c>
      <c r="R88" s="55">
        <v>9600</v>
      </c>
      <c r="S88" s="47"/>
      <c r="T88" s="18">
        <v>9600</v>
      </c>
      <c r="U88" s="7"/>
      <c r="V88" s="8">
        <v>401600419069</v>
      </c>
      <c r="W88" s="18" t="s">
        <v>296</v>
      </c>
      <c r="X88" s="55">
        <v>400</v>
      </c>
      <c r="Y88" s="18" t="s">
        <v>316</v>
      </c>
    </row>
    <row r="89" spans="1:25" x14ac:dyDescent="0.3">
      <c r="A89" s="18">
        <v>363</v>
      </c>
      <c r="B89" s="18">
        <v>262</v>
      </c>
      <c r="C89" s="51">
        <v>45880</v>
      </c>
      <c r="D89" s="19" t="s">
        <v>29</v>
      </c>
      <c r="E89" s="9">
        <v>0.39930555555555558</v>
      </c>
      <c r="F89" s="9">
        <v>0.4861111111111111</v>
      </c>
      <c r="G89" s="7"/>
      <c r="H89" s="21">
        <v>45870</v>
      </c>
      <c r="I89" s="18" t="s">
        <v>258</v>
      </c>
      <c r="J89" s="18" t="s">
        <v>259</v>
      </c>
      <c r="K89" s="60" t="s">
        <v>297</v>
      </c>
      <c r="L89" s="7"/>
      <c r="M89" s="7"/>
      <c r="N89" s="18" t="s">
        <v>24</v>
      </c>
      <c r="O89" s="7" t="s">
        <v>24</v>
      </c>
      <c r="P89" s="18" t="s">
        <v>27</v>
      </c>
      <c r="Q89" s="55">
        <v>80160</v>
      </c>
      <c r="R89" s="55">
        <v>4800</v>
      </c>
      <c r="S89" s="47"/>
      <c r="T89" s="18">
        <v>4800</v>
      </c>
      <c r="U89" s="7"/>
      <c r="V89" s="8">
        <v>461703134633</v>
      </c>
      <c r="W89" s="18" t="s">
        <v>298</v>
      </c>
      <c r="X89" s="55">
        <v>400</v>
      </c>
      <c r="Y89" s="18" t="s">
        <v>316</v>
      </c>
    </row>
    <row r="90" spans="1:25" x14ac:dyDescent="0.3">
      <c r="A90" s="18">
        <v>364</v>
      </c>
      <c r="B90" s="18">
        <v>263</v>
      </c>
      <c r="C90" s="51">
        <v>45882</v>
      </c>
      <c r="D90" s="19" t="s">
        <v>29</v>
      </c>
      <c r="E90" s="9">
        <v>0.56597222222222221</v>
      </c>
      <c r="F90" s="9">
        <v>0.74305555555555558</v>
      </c>
      <c r="G90" s="7"/>
      <c r="H90" s="21">
        <v>45870</v>
      </c>
      <c r="I90" s="18" t="s">
        <v>258</v>
      </c>
      <c r="J90" s="18" t="s">
        <v>259</v>
      </c>
      <c r="K90" s="60" t="s">
        <v>297</v>
      </c>
      <c r="L90" s="7"/>
      <c r="M90" s="7"/>
      <c r="N90" s="18" t="s">
        <v>24</v>
      </c>
      <c r="O90" s="7" t="s">
        <v>24</v>
      </c>
      <c r="P90" s="18" t="s">
        <v>27</v>
      </c>
      <c r="Q90" s="55">
        <v>80160</v>
      </c>
      <c r="R90" s="55">
        <v>4800</v>
      </c>
      <c r="S90" s="47"/>
      <c r="T90" s="18">
        <v>4800</v>
      </c>
      <c r="U90" s="7"/>
      <c r="V90" s="8">
        <v>461703134633</v>
      </c>
      <c r="W90" s="18" t="s">
        <v>299</v>
      </c>
      <c r="X90" s="55">
        <v>400</v>
      </c>
      <c r="Y90" s="18" t="s">
        <v>316</v>
      </c>
    </row>
    <row r="91" spans="1:25" x14ac:dyDescent="0.3">
      <c r="A91" s="18">
        <v>365</v>
      </c>
      <c r="B91" s="18">
        <v>264</v>
      </c>
      <c r="C91" s="51">
        <v>45883</v>
      </c>
      <c r="D91" s="19" t="s">
        <v>25</v>
      </c>
      <c r="E91" s="9">
        <v>0.72222222222222221</v>
      </c>
      <c r="F91" s="9">
        <v>0.76388888888888884</v>
      </c>
      <c r="G91" s="7"/>
      <c r="H91" s="21">
        <v>45870</v>
      </c>
      <c r="I91" s="18" t="s">
        <v>54</v>
      </c>
      <c r="J91" s="18" t="s">
        <v>231</v>
      </c>
      <c r="K91" s="60" t="s">
        <v>300</v>
      </c>
      <c r="L91" s="7"/>
      <c r="M91" s="7"/>
      <c r="N91" s="18" t="s">
        <v>308</v>
      </c>
      <c r="O91" s="38">
        <v>45893</v>
      </c>
      <c r="P91" s="18" t="s">
        <v>27</v>
      </c>
      <c r="Q91" s="55">
        <v>3336</v>
      </c>
      <c r="R91" s="55">
        <v>139</v>
      </c>
      <c r="S91" s="45">
        <v>139</v>
      </c>
      <c r="T91" s="18">
        <v>0</v>
      </c>
      <c r="U91" s="7"/>
      <c r="V91" s="8">
        <v>711552894819</v>
      </c>
      <c r="W91" s="18" t="s">
        <v>31</v>
      </c>
      <c r="X91" s="55">
        <v>139</v>
      </c>
      <c r="Y91" s="7"/>
    </row>
    <row r="92" spans="1:25" x14ac:dyDescent="0.3">
      <c r="A92" s="18">
        <v>366</v>
      </c>
      <c r="B92" s="18">
        <v>265</v>
      </c>
      <c r="C92" s="52">
        <v>45891</v>
      </c>
      <c r="D92" s="19" t="s">
        <v>25</v>
      </c>
      <c r="E92" s="9">
        <v>0.56944444444444442</v>
      </c>
      <c r="F92" s="9">
        <v>0.62152777777777779</v>
      </c>
      <c r="G92" s="7"/>
      <c r="H92" s="21">
        <v>45870</v>
      </c>
      <c r="I92" s="18" t="s">
        <v>301</v>
      </c>
      <c r="J92" s="18" t="s">
        <v>302</v>
      </c>
      <c r="K92" s="60" t="s">
        <v>303</v>
      </c>
      <c r="L92" s="7"/>
      <c r="M92" s="7"/>
      <c r="N92" s="18" t="s">
        <v>309</v>
      </c>
      <c r="O92" s="38">
        <v>45894</v>
      </c>
      <c r="P92" s="18" t="s">
        <v>27</v>
      </c>
      <c r="Q92" s="55">
        <v>1968</v>
      </c>
      <c r="R92" s="55">
        <v>1968</v>
      </c>
      <c r="S92" s="45">
        <v>1968</v>
      </c>
      <c r="T92" s="18">
        <v>0</v>
      </c>
      <c r="U92" s="7"/>
      <c r="V92" s="8">
        <v>392065937350</v>
      </c>
      <c r="W92" s="18" t="s">
        <v>304</v>
      </c>
      <c r="X92" s="55">
        <v>82</v>
      </c>
      <c r="Y92" s="7"/>
    </row>
    <row r="93" spans="1:25" x14ac:dyDescent="0.3">
      <c r="A93" s="7">
        <v>367</v>
      </c>
      <c r="B93" s="7">
        <v>266</v>
      </c>
      <c r="C93" s="52">
        <v>45892</v>
      </c>
      <c r="D93" s="19" t="s">
        <v>29</v>
      </c>
      <c r="E93" s="9">
        <v>0.72916666666666663</v>
      </c>
      <c r="F93" s="9">
        <v>0.75</v>
      </c>
      <c r="G93" s="7"/>
      <c r="H93" s="21">
        <v>45870</v>
      </c>
      <c r="I93" s="18" t="s">
        <v>258</v>
      </c>
      <c r="J93" s="18" t="s">
        <v>259</v>
      </c>
      <c r="K93" s="60" t="s">
        <v>310</v>
      </c>
      <c r="L93" s="7"/>
      <c r="M93" s="7"/>
      <c r="N93" s="7"/>
      <c r="O93" s="7"/>
      <c r="P93" s="18" t="s">
        <v>27</v>
      </c>
      <c r="Q93" s="62">
        <v>600</v>
      </c>
      <c r="R93" s="55">
        <v>600</v>
      </c>
      <c r="S93" s="45">
        <v>4992</v>
      </c>
      <c r="T93" s="18">
        <v>600</v>
      </c>
      <c r="U93" s="7"/>
      <c r="V93" s="8">
        <v>461608521731</v>
      </c>
      <c r="W93" s="18" t="s">
        <v>305</v>
      </c>
      <c r="X93" s="55">
        <v>50</v>
      </c>
      <c r="Y93" s="18" t="s">
        <v>316</v>
      </c>
    </row>
    <row r="94" spans="1:25" x14ac:dyDescent="0.3">
      <c r="A94" s="7">
        <v>368</v>
      </c>
      <c r="B94" s="7">
        <v>267</v>
      </c>
      <c r="C94" s="52">
        <v>45892</v>
      </c>
      <c r="D94" s="19" t="s">
        <v>25</v>
      </c>
      <c r="E94" s="9">
        <v>0.71527777777777779</v>
      </c>
      <c r="F94" s="9">
        <v>0.78125</v>
      </c>
      <c r="G94" s="7"/>
      <c r="H94" s="21">
        <v>45870</v>
      </c>
      <c r="I94" s="18" t="s">
        <v>307</v>
      </c>
      <c r="J94" s="18" t="s">
        <v>231</v>
      </c>
      <c r="K94" s="60" t="s">
        <v>306</v>
      </c>
      <c r="L94" s="7"/>
      <c r="M94" s="7"/>
      <c r="N94" s="18" t="s">
        <v>81</v>
      </c>
      <c r="O94" s="38">
        <v>45893</v>
      </c>
      <c r="P94" s="18" t="s">
        <v>27</v>
      </c>
      <c r="Q94" s="55">
        <v>4992</v>
      </c>
      <c r="R94" s="55">
        <v>4992</v>
      </c>
      <c r="S94" s="45">
        <v>4992</v>
      </c>
      <c r="T94" s="18">
        <v>0</v>
      </c>
      <c r="U94" s="7"/>
      <c r="V94" s="8">
        <v>791554923636</v>
      </c>
      <c r="W94" s="18" t="s">
        <v>55</v>
      </c>
      <c r="X94" s="55">
        <v>208</v>
      </c>
      <c r="Y94" s="7"/>
    </row>
    <row r="95" spans="1:25" x14ac:dyDescent="0.3">
      <c r="A95" s="12">
        <v>369</v>
      </c>
      <c r="B95" s="12">
        <v>268</v>
      </c>
      <c r="C95" s="51">
        <v>45894</v>
      </c>
      <c r="D95" s="19" t="s">
        <v>29</v>
      </c>
      <c r="E95" s="25">
        <v>0.4375</v>
      </c>
      <c r="F95" s="25">
        <v>0.66666666666666663</v>
      </c>
      <c r="G95" s="12"/>
      <c r="H95" s="21">
        <v>45870</v>
      </c>
      <c r="I95" s="18" t="s">
        <v>258</v>
      </c>
      <c r="J95" s="18" t="s">
        <v>259</v>
      </c>
      <c r="K95" s="61" t="s">
        <v>310</v>
      </c>
      <c r="L95" s="12"/>
      <c r="M95" s="12"/>
      <c r="N95" s="12"/>
      <c r="O95" s="12"/>
      <c r="P95" s="18" t="s">
        <v>27</v>
      </c>
      <c r="Q95" s="55">
        <v>7200</v>
      </c>
      <c r="R95" s="55">
        <v>7200</v>
      </c>
      <c r="S95" s="46"/>
      <c r="T95" s="12"/>
      <c r="U95" s="12"/>
      <c r="V95" s="34">
        <v>461608521731</v>
      </c>
      <c r="W95" s="18" t="s">
        <v>334</v>
      </c>
      <c r="X95" s="55">
        <v>550</v>
      </c>
      <c r="Y95" s="18" t="s">
        <v>316</v>
      </c>
    </row>
    <row r="96" spans="1:25" x14ac:dyDescent="0.3">
      <c r="A96" s="7">
        <v>370</v>
      </c>
      <c r="B96" s="7">
        <v>269</v>
      </c>
      <c r="C96" s="51">
        <v>45902</v>
      </c>
      <c r="D96" s="19" t="s">
        <v>25</v>
      </c>
      <c r="E96" s="9">
        <v>0.64097222222222228</v>
      </c>
      <c r="F96" s="9">
        <v>0.66041666666666665</v>
      </c>
      <c r="G96" s="7"/>
      <c r="H96" s="21">
        <v>45901</v>
      </c>
      <c r="I96" s="18" t="s">
        <v>301</v>
      </c>
      <c r="J96" s="18" t="s">
        <v>41</v>
      </c>
      <c r="K96" s="60" t="s">
        <v>311</v>
      </c>
      <c r="L96" s="7"/>
      <c r="M96" s="7"/>
      <c r="N96" s="18" t="s">
        <v>315</v>
      </c>
      <c r="O96" s="38">
        <v>45904</v>
      </c>
      <c r="P96" s="18" t="s">
        <v>27</v>
      </c>
      <c r="Q96" s="55">
        <v>240</v>
      </c>
      <c r="R96" s="55">
        <v>240</v>
      </c>
      <c r="S96" s="45">
        <v>240</v>
      </c>
      <c r="T96" s="7">
        <v>0</v>
      </c>
      <c r="U96" s="7"/>
      <c r="V96" s="8">
        <v>372073848952</v>
      </c>
      <c r="W96" s="18" t="s">
        <v>312</v>
      </c>
      <c r="X96" s="55">
        <v>10</v>
      </c>
      <c r="Y96" s="7"/>
    </row>
    <row r="97" spans="1:25" x14ac:dyDescent="0.3">
      <c r="A97" s="7">
        <v>371</v>
      </c>
      <c r="B97" s="7">
        <v>269</v>
      </c>
      <c r="C97" s="51">
        <v>45902</v>
      </c>
      <c r="D97" s="19" t="s">
        <v>25</v>
      </c>
      <c r="E97" s="9">
        <v>0.64097222222222228</v>
      </c>
      <c r="F97" s="9">
        <v>0.66041666666666665</v>
      </c>
      <c r="G97" s="7"/>
      <c r="H97" s="21">
        <v>45901</v>
      </c>
      <c r="I97" s="18" t="s">
        <v>301</v>
      </c>
      <c r="J97" s="18" t="s">
        <v>41</v>
      </c>
      <c r="K97" s="60" t="s">
        <v>313</v>
      </c>
      <c r="L97" s="7"/>
      <c r="M97" s="7"/>
      <c r="N97" s="18" t="s">
        <v>104</v>
      </c>
      <c r="O97" s="38">
        <v>45904</v>
      </c>
      <c r="P97" s="18" t="s">
        <v>27</v>
      </c>
      <c r="Q97" s="55">
        <v>1896</v>
      </c>
      <c r="R97" s="55">
        <v>1896</v>
      </c>
      <c r="S97" s="45">
        <v>1896</v>
      </c>
      <c r="T97" s="7">
        <v>0</v>
      </c>
      <c r="U97" s="7"/>
      <c r="V97" s="8">
        <v>372073848952</v>
      </c>
      <c r="W97" s="18" t="s">
        <v>312</v>
      </c>
      <c r="X97" s="55">
        <v>79</v>
      </c>
      <c r="Y97" s="7"/>
    </row>
    <row r="98" spans="1:25" x14ac:dyDescent="0.3">
      <c r="A98" s="7">
        <v>372</v>
      </c>
      <c r="B98" s="7">
        <v>269</v>
      </c>
      <c r="C98" s="51">
        <v>45902</v>
      </c>
      <c r="D98" s="19" t="s">
        <v>25</v>
      </c>
      <c r="E98" s="9">
        <v>0.64097222222222228</v>
      </c>
      <c r="F98" s="9">
        <v>0.66041666666666665</v>
      </c>
      <c r="G98" s="7"/>
      <c r="H98" s="21">
        <v>45901</v>
      </c>
      <c r="I98" s="18" t="s">
        <v>301</v>
      </c>
      <c r="J98" s="18" t="s">
        <v>41</v>
      </c>
      <c r="K98" s="60" t="s">
        <v>314</v>
      </c>
      <c r="L98" s="7"/>
      <c r="M98" s="7"/>
      <c r="N98" s="18" t="s">
        <v>116</v>
      </c>
      <c r="O98" s="38">
        <v>45904</v>
      </c>
      <c r="P98" s="18" t="s">
        <v>27</v>
      </c>
      <c r="Q98" s="55">
        <v>1968</v>
      </c>
      <c r="R98" s="55">
        <v>1968</v>
      </c>
      <c r="S98" s="45">
        <v>1968</v>
      </c>
      <c r="T98" s="7">
        <v>0</v>
      </c>
      <c r="U98" s="7"/>
      <c r="V98" s="8">
        <v>332073849841</v>
      </c>
      <c r="W98" s="18" t="s">
        <v>312</v>
      </c>
      <c r="X98" s="55">
        <v>82</v>
      </c>
      <c r="Y98" s="7"/>
    </row>
    <row r="99" spans="1:25" x14ac:dyDescent="0.3">
      <c r="A99" s="7">
        <v>373</v>
      </c>
      <c r="B99" s="7">
        <v>270</v>
      </c>
      <c r="C99" s="51">
        <v>45906</v>
      </c>
      <c r="D99" s="19" t="s">
        <v>25</v>
      </c>
      <c r="E99" s="9">
        <v>0.56597222222222221</v>
      </c>
      <c r="F99" s="9">
        <v>0.59722222222222221</v>
      </c>
      <c r="G99" s="7"/>
      <c r="H99" s="21">
        <v>45901</v>
      </c>
      <c r="I99" s="18" t="s">
        <v>301</v>
      </c>
      <c r="J99" s="18" t="s">
        <v>41</v>
      </c>
      <c r="K99" s="60" t="s">
        <v>317</v>
      </c>
      <c r="L99" s="7"/>
      <c r="M99" s="7"/>
      <c r="N99" s="18" t="s">
        <v>119</v>
      </c>
      <c r="O99" s="38">
        <v>45906</v>
      </c>
      <c r="P99" s="18" t="s">
        <v>27</v>
      </c>
      <c r="Q99" s="55">
        <v>600</v>
      </c>
      <c r="R99" s="55">
        <v>600</v>
      </c>
      <c r="S99" s="45">
        <v>600</v>
      </c>
      <c r="T99" s="7">
        <v>0</v>
      </c>
      <c r="U99" s="7"/>
      <c r="V99" s="8">
        <v>332071906614</v>
      </c>
      <c r="W99" s="18" t="s">
        <v>318</v>
      </c>
      <c r="X99" s="55">
        <v>25</v>
      </c>
      <c r="Y99" s="7"/>
    </row>
    <row r="100" spans="1:25" x14ac:dyDescent="0.3">
      <c r="A100" s="7">
        <v>373</v>
      </c>
      <c r="B100" s="7">
        <v>270</v>
      </c>
      <c r="C100" s="51">
        <v>45906</v>
      </c>
      <c r="D100" s="19" t="s">
        <v>25</v>
      </c>
      <c r="E100" s="9">
        <v>0.56597222222222221</v>
      </c>
      <c r="F100" s="9">
        <v>0.59722222222222221</v>
      </c>
      <c r="G100" s="7"/>
      <c r="H100" s="21">
        <v>45901</v>
      </c>
      <c r="I100" s="18" t="s">
        <v>301</v>
      </c>
      <c r="J100" s="18" t="s">
        <v>41</v>
      </c>
      <c r="K100" s="60" t="s">
        <v>319</v>
      </c>
      <c r="L100" s="7"/>
      <c r="M100" s="7"/>
      <c r="N100" s="7" t="s">
        <v>114</v>
      </c>
      <c r="O100" s="38">
        <v>45909</v>
      </c>
      <c r="P100" s="18" t="s">
        <v>27</v>
      </c>
      <c r="Q100" s="55">
        <v>600</v>
      </c>
      <c r="R100" s="55">
        <v>840</v>
      </c>
      <c r="S100" s="45">
        <v>840</v>
      </c>
      <c r="T100" s="7">
        <v>0</v>
      </c>
      <c r="U100" s="7"/>
      <c r="V100" s="8">
        <v>362071906303</v>
      </c>
      <c r="W100" s="18" t="s">
        <v>318</v>
      </c>
      <c r="X100" s="55">
        <v>35</v>
      </c>
      <c r="Y100" s="7"/>
    </row>
    <row r="101" spans="1:25" x14ac:dyDescent="0.3">
      <c r="A101" s="7">
        <v>374</v>
      </c>
      <c r="B101" s="7">
        <v>271</v>
      </c>
      <c r="C101" s="51">
        <v>45910</v>
      </c>
      <c r="D101" s="19" t="s">
        <v>29</v>
      </c>
      <c r="E101" s="9">
        <v>0.85416666666666663</v>
      </c>
      <c r="F101" s="9">
        <v>6.5972222222222224E-2</v>
      </c>
      <c r="G101" s="7"/>
      <c r="H101" s="21">
        <v>45901</v>
      </c>
      <c r="I101" s="18" t="s">
        <v>258</v>
      </c>
      <c r="J101" s="18" t="s">
        <v>259</v>
      </c>
      <c r="K101" s="60" t="s">
        <v>320</v>
      </c>
      <c r="L101" s="7"/>
      <c r="M101" s="7"/>
      <c r="N101" s="18" t="s">
        <v>341</v>
      </c>
      <c r="O101" s="32">
        <v>45923</v>
      </c>
      <c r="P101" s="18" t="s">
        <v>27</v>
      </c>
      <c r="Q101" s="62">
        <v>5160</v>
      </c>
      <c r="R101" s="62">
        <v>5160</v>
      </c>
      <c r="S101" s="47">
        <v>0</v>
      </c>
      <c r="T101" s="7">
        <v>5160</v>
      </c>
      <c r="U101" s="7"/>
      <c r="V101" s="8">
        <v>461614376477</v>
      </c>
      <c r="W101" s="18" t="s">
        <v>321</v>
      </c>
      <c r="X101" s="55">
        <v>430</v>
      </c>
      <c r="Y101" s="18" t="s">
        <v>340</v>
      </c>
    </row>
    <row r="102" spans="1:25" x14ac:dyDescent="0.3">
      <c r="A102" s="7">
        <f>A101+1</f>
        <v>375</v>
      </c>
      <c r="B102" s="7">
        <v>272</v>
      </c>
      <c r="C102" s="51">
        <v>45910</v>
      </c>
      <c r="D102" s="19" t="s">
        <v>29</v>
      </c>
      <c r="E102" s="9">
        <v>8.6805555555555552E-2</v>
      </c>
      <c r="F102" s="9">
        <v>0.17708333333333334</v>
      </c>
      <c r="G102" s="7"/>
      <c r="H102" s="21">
        <v>45901</v>
      </c>
      <c r="I102" s="18" t="s">
        <v>258</v>
      </c>
      <c r="J102" s="18" t="s">
        <v>259</v>
      </c>
      <c r="K102" s="60" t="s">
        <v>320</v>
      </c>
      <c r="L102" s="7"/>
      <c r="M102" s="7"/>
      <c r="N102" s="18" t="s">
        <v>341</v>
      </c>
      <c r="O102" s="32">
        <v>45923</v>
      </c>
      <c r="P102" s="18" t="s">
        <v>27</v>
      </c>
      <c r="Q102" s="62">
        <v>5196</v>
      </c>
      <c r="R102" s="62">
        <v>5196</v>
      </c>
      <c r="S102" s="47">
        <v>0</v>
      </c>
      <c r="T102" s="7">
        <v>5196</v>
      </c>
      <c r="U102" s="7"/>
      <c r="V102" s="8">
        <v>461614376477</v>
      </c>
      <c r="W102" s="18" t="s">
        <v>322</v>
      </c>
      <c r="X102" s="55">
        <v>433</v>
      </c>
      <c r="Y102" s="18" t="s">
        <v>340</v>
      </c>
    </row>
    <row r="103" spans="1:25" x14ac:dyDescent="0.3">
      <c r="A103" s="7">
        <f t="shared" ref="A103:A114" si="0">A102+1</f>
        <v>376</v>
      </c>
      <c r="B103" s="7">
        <v>273</v>
      </c>
      <c r="C103" s="51">
        <v>45911</v>
      </c>
      <c r="D103" s="19" t="s">
        <v>29</v>
      </c>
      <c r="E103" s="9">
        <v>0.81944444444444442</v>
      </c>
      <c r="F103" s="9">
        <v>0.90277777777777779</v>
      </c>
      <c r="G103" s="7"/>
      <c r="H103" s="21">
        <v>45901</v>
      </c>
      <c r="I103" s="18" t="s">
        <v>258</v>
      </c>
      <c r="J103" s="18" t="s">
        <v>259</v>
      </c>
      <c r="K103" s="60" t="s">
        <v>320</v>
      </c>
      <c r="L103" s="7"/>
      <c r="M103" s="7"/>
      <c r="N103" s="18" t="s">
        <v>341</v>
      </c>
      <c r="O103" s="32">
        <v>45923</v>
      </c>
      <c r="P103" s="18" t="s">
        <v>27</v>
      </c>
      <c r="Q103" s="62">
        <v>5244</v>
      </c>
      <c r="R103" s="62">
        <v>5244</v>
      </c>
      <c r="S103" s="47">
        <v>0</v>
      </c>
      <c r="T103" s="7">
        <v>5244</v>
      </c>
      <c r="U103" s="7"/>
      <c r="V103" s="8">
        <v>461614376477</v>
      </c>
      <c r="W103" s="18" t="s">
        <v>324</v>
      </c>
      <c r="X103" s="55">
        <v>437</v>
      </c>
      <c r="Y103" s="18" t="s">
        <v>340</v>
      </c>
    </row>
    <row r="104" spans="1:25" x14ac:dyDescent="0.3">
      <c r="A104" s="7">
        <f t="shared" si="0"/>
        <v>377</v>
      </c>
      <c r="B104" s="7">
        <v>274</v>
      </c>
      <c r="C104" s="51">
        <v>45911</v>
      </c>
      <c r="D104" s="19" t="s">
        <v>29</v>
      </c>
      <c r="E104" s="9">
        <v>0.90625</v>
      </c>
      <c r="F104" s="9">
        <v>0.54166666666666663</v>
      </c>
      <c r="G104" s="7"/>
      <c r="H104" s="21">
        <v>45901</v>
      </c>
      <c r="I104" s="18" t="s">
        <v>258</v>
      </c>
      <c r="J104" s="18" t="s">
        <v>259</v>
      </c>
      <c r="K104" s="60" t="s">
        <v>325</v>
      </c>
      <c r="L104" s="7"/>
      <c r="M104" s="7"/>
      <c r="N104" s="18" t="s">
        <v>342</v>
      </c>
      <c r="O104" s="32">
        <v>45923</v>
      </c>
      <c r="P104" s="18" t="s">
        <v>27</v>
      </c>
      <c r="Q104" s="62">
        <v>3420</v>
      </c>
      <c r="R104" s="62">
        <v>3420</v>
      </c>
      <c r="S104" s="47">
        <v>0</v>
      </c>
      <c r="T104" s="7">
        <f>X104*12</f>
        <v>3420</v>
      </c>
      <c r="U104" s="7"/>
      <c r="V104" s="8">
        <v>401615197006</v>
      </c>
      <c r="W104" s="18" t="s">
        <v>326</v>
      </c>
      <c r="X104" s="55">
        <v>285</v>
      </c>
      <c r="Y104" s="18" t="s">
        <v>27</v>
      </c>
    </row>
    <row r="105" spans="1:25" x14ac:dyDescent="0.3">
      <c r="A105" s="7">
        <f t="shared" si="0"/>
        <v>378</v>
      </c>
      <c r="B105" s="7">
        <v>274</v>
      </c>
      <c r="C105" s="51">
        <v>45911</v>
      </c>
      <c r="D105" s="19" t="s">
        <v>29</v>
      </c>
      <c r="E105" s="9">
        <v>0.90625</v>
      </c>
      <c r="F105" s="9">
        <v>0.54166666666666663</v>
      </c>
      <c r="G105" s="7"/>
      <c r="H105" s="21">
        <v>45901</v>
      </c>
      <c r="I105" s="18" t="s">
        <v>258</v>
      </c>
      <c r="J105" s="18" t="s">
        <v>259</v>
      </c>
      <c r="K105" s="60" t="s">
        <v>337</v>
      </c>
      <c r="L105" s="7"/>
      <c r="M105" s="7"/>
      <c r="N105" s="18" t="s">
        <v>343</v>
      </c>
      <c r="O105" s="32">
        <v>45923</v>
      </c>
      <c r="P105" s="18" t="s">
        <v>27</v>
      </c>
      <c r="Q105" s="62">
        <v>1968</v>
      </c>
      <c r="R105" s="62">
        <v>1968</v>
      </c>
      <c r="S105" s="47">
        <v>0</v>
      </c>
      <c r="T105" s="7">
        <v>1968</v>
      </c>
      <c r="U105" s="7"/>
      <c r="V105" s="8">
        <v>401615197006</v>
      </c>
      <c r="W105" s="18" t="s">
        <v>326</v>
      </c>
      <c r="X105" s="55">
        <v>164</v>
      </c>
      <c r="Y105" s="18" t="s">
        <v>27</v>
      </c>
    </row>
    <row r="106" spans="1:25" x14ac:dyDescent="0.3">
      <c r="A106" s="7">
        <f>A104+1</f>
        <v>378</v>
      </c>
      <c r="B106" s="7">
        <v>275</v>
      </c>
      <c r="C106" s="51">
        <v>45911</v>
      </c>
      <c r="D106" s="19" t="s">
        <v>29</v>
      </c>
      <c r="E106" s="9">
        <v>0.54861111111111116</v>
      </c>
      <c r="F106" s="9">
        <v>0.125</v>
      </c>
      <c r="G106" s="7"/>
      <c r="H106" s="21">
        <v>45901</v>
      </c>
      <c r="I106" s="18" t="s">
        <v>258</v>
      </c>
      <c r="J106" s="18" t="s">
        <v>259</v>
      </c>
      <c r="K106" s="60" t="s">
        <v>337</v>
      </c>
      <c r="L106" s="7"/>
      <c r="M106" s="7"/>
      <c r="N106" s="18" t="s">
        <v>343</v>
      </c>
      <c r="O106" s="32">
        <v>45923</v>
      </c>
      <c r="P106" s="18" t="s">
        <v>27</v>
      </c>
      <c r="Q106" s="62">
        <v>4776</v>
      </c>
      <c r="R106" s="62">
        <v>4776</v>
      </c>
      <c r="S106" s="47">
        <v>0</v>
      </c>
      <c r="T106" s="7">
        <v>4776</v>
      </c>
      <c r="U106" s="7"/>
      <c r="V106" s="8">
        <v>401615197006</v>
      </c>
      <c r="W106" s="18" t="s">
        <v>326</v>
      </c>
      <c r="X106" s="55">
        <v>398</v>
      </c>
      <c r="Y106" s="18" t="s">
        <v>27</v>
      </c>
    </row>
    <row r="107" spans="1:25" x14ac:dyDescent="0.3">
      <c r="A107" s="7">
        <f t="shared" si="0"/>
        <v>379</v>
      </c>
      <c r="B107" s="7">
        <v>275</v>
      </c>
      <c r="C107" s="51">
        <v>45912</v>
      </c>
      <c r="D107" s="19" t="s">
        <v>29</v>
      </c>
      <c r="E107" s="9">
        <v>0.84027777777777779</v>
      </c>
      <c r="F107" s="9">
        <v>0.92361111111111116</v>
      </c>
      <c r="G107" s="7"/>
      <c r="H107" s="21">
        <v>45901</v>
      </c>
      <c r="I107" s="18" t="s">
        <v>339</v>
      </c>
      <c r="J107" s="18" t="s">
        <v>259</v>
      </c>
      <c r="K107" s="62">
        <v>4295952</v>
      </c>
      <c r="L107" s="7"/>
      <c r="M107" s="7"/>
      <c r="N107" s="18" t="s">
        <v>24</v>
      </c>
      <c r="O107" s="18" t="s">
        <v>24</v>
      </c>
      <c r="P107" s="18" t="s">
        <v>323</v>
      </c>
      <c r="Q107" s="62">
        <v>3600</v>
      </c>
      <c r="R107" s="62">
        <v>3600</v>
      </c>
      <c r="S107" s="47">
        <v>0</v>
      </c>
      <c r="T107" s="7">
        <v>3600</v>
      </c>
      <c r="U107" s="7"/>
      <c r="V107" s="8">
        <v>401616276247</v>
      </c>
      <c r="W107" s="18" t="s">
        <v>327</v>
      </c>
      <c r="X107" s="55">
        <v>300</v>
      </c>
      <c r="Y107" s="18" t="s">
        <v>259</v>
      </c>
    </row>
    <row r="108" spans="1:25" x14ac:dyDescent="0.3">
      <c r="A108" s="7">
        <f t="shared" si="0"/>
        <v>380</v>
      </c>
      <c r="B108" s="7">
        <v>275</v>
      </c>
      <c r="C108" s="51">
        <v>45912</v>
      </c>
      <c r="D108" s="19" t="s">
        <v>29</v>
      </c>
      <c r="E108" s="9">
        <v>0.92708333333333337</v>
      </c>
      <c r="F108" s="9">
        <v>4.1666666666666664E-2</v>
      </c>
      <c r="G108" s="7"/>
      <c r="H108" s="21">
        <v>45901</v>
      </c>
      <c r="I108" s="18" t="s">
        <v>339</v>
      </c>
      <c r="J108" s="18" t="s">
        <v>259</v>
      </c>
      <c r="K108" s="62">
        <v>4273246</v>
      </c>
      <c r="L108" s="7"/>
      <c r="M108" s="7"/>
      <c r="N108" s="18" t="s">
        <v>24</v>
      </c>
      <c r="O108" s="18" t="s">
        <v>24</v>
      </c>
      <c r="P108" s="18" t="s">
        <v>323</v>
      </c>
      <c r="Q108" s="55">
        <v>4020</v>
      </c>
      <c r="R108" s="55">
        <v>4020</v>
      </c>
      <c r="S108" s="47">
        <v>0</v>
      </c>
      <c r="T108" s="18">
        <v>4020</v>
      </c>
      <c r="U108" s="7"/>
      <c r="V108" s="8">
        <v>441615967740</v>
      </c>
      <c r="W108" s="18" t="s">
        <v>328</v>
      </c>
      <c r="X108" s="55">
        <v>335</v>
      </c>
      <c r="Y108" s="18" t="s">
        <v>259</v>
      </c>
    </row>
    <row r="109" spans="1:25" x14ac:dyDescent="0.3">
      <c r="A109" s="7">
        <f t="shared" si="0"/>
        <v>381</v>
      </c>
      <c r="B109" s="7">
        <v>275</v>
      </c>
      <c r="C109" s="51">
        <v>45913</v>
      </c>
      <c r="D109" s="19" t="s">
        <v>29</v>
      </c>
      <c r="E109" s="9">
        <v>4.1666666666666664E-2</v>
      </c>
      <c r="F109" s="9">
        <v>0.125</v>
      </c>
      <c r="G109" s="7"/>
      <c r="H109" s="21">
        <v>45901</v>
      </c>
      <c r="I109" s="18" t="s">
        <v>339</v>
      </c>
      <c r="J109" s="18" t="s">
        <v>259</v>
      </c>
      <c r="K109" s="62">
        <v>4295952</v>
      </c>
      <c r="L109" s="7"/>
      <c r="M109" s="7"/>
      <c r="N109" s="18" t="s">
        <v>24</v>
      </c>
      <c r="O109" s="18" t="s">
        <v>24</v>
      </c>
      <c r="P109" s="18" t="s">
        <v>323</v>
      </c>
      <c r="Q109" s="62">
        <v>4188</v>
      </c>
      <c r="R109" s="62">
        <v>4188</v>
      </c>
      <c r="S109" s="47">
        <v>0</v>
      </c>
      <c r="T109" s="7">
        <v>4188</v>
      </c>
      <c r="U109" s="7"/>
      <c r="V109" s="8">
        <v>401616276247</v>
      </c>
      <c r="W109" s="7">
        <v>401616276247</v>
      </c>
      <c r="X109" s="55">
        <v>349</v>
      </c>
      <c r="Y109" s="18" t="s">
        <v>259</v>
      </c>
    </row>
    <row r="110" spans="1:25" x14ac:dyDescent="0.3">
      <c r="A110" s="7">
        <f t="shared" si="0"/>
        <v>382</v>
      </c>
      <c r="B110" s="7">
        <v>275</v>
      </c>
      <c r="C110" s="51">
        <v>45913</v>
      </c>
      <c r="D110" s="19" t="s">
        <v>29</v>
      </c>
      <c r="E110" s="9" t="s">
        <v>331</v>
      </c>
      <c r="F110" s="9">
        <v>0.91666666666666663</v>
      </c>
      <c r="G110" s="7"/>
      <c r="H110" s="21">
        <v>45901</v>
      </c>
      <c r="I110" s="18" t="s">
        <v>258</v>
      </c>
      <c r="J110" s="18" t="s">
        <v>259</v>
      </c>
      <c r="K110" s="62" t="s">
        <v>338</v>
      </c>
      <c r="L110" s="7"/>
      <c r="M110" s="7"/>
      <c r="N110" s="18" t="s">
        <v>345</v>
      </c>
      <c r="O110" s="32">
        <v>45924</v>
      </c>
      <c r="P110" s="18" t="s">
        <v>27</v>
      </c>
      <c r="Q110" s="62">
        <v>4584</v>
      </c>
      <c r="R110" s="62">
        <v>4584</v>
      </c>
      <c r="S110" s="47">
        <v>0</v>
      </c>
      <c r="T110" s="7">
        <v>4584</v>
      </c>
      <c r="U110" s="7"/>
      <c r="V110" s="8">
        <v>411616459937</v>
      </c>
      <c r="W110" s="18" t="s">
        <v>329</v>
      </c>
      <c r="X110" s="55">
        <v>382</v>
      </c>
      <c r="Y110" s="18" t="s">
        <v>351</v>
      </c>
    </row>
    <row r="111" spans="1:25" x14ac:dyDescent="0.3">
      <c r="A111" s="7">
        <f t="shared" si="0"/>
        <v>383</v>
      </c>
      <c r="B111" s="7">
        <v>275</v>
      </c>
      <c r="C111" s="51">
        <v>45913</v>
      </c>
      <c r="D111" s="19" t="s">
        <v>29</v>
      </c>
      <c r="E111" s="9">
        <v>0.92361111111111116</v>
      </c>
      <c r="F111" s="9">
        <v>0.98958333333333337</v>
      </c>
      <c r="G111" s="7"/>
      <c r="H111" s="21">
        <v>45901</v>
      </c>
      <c r="I111" s="18" t="s">
        <v>258</v>
      </c>
      <c r="J111" s="18" t="s">
        <v>259</v>
      </c>
      <c r="K111" s="62" t="s">
        <v>338</v>
      </c>
      <c r="L111" s="7"/>
      <c r="M111" s="7"/>
      <c r="N111" s="18" t="s">
        <v>345</v>
      </c>
      <c r="O111" s="32">
        <v>45924</v>
      </c>
      <c r="P111" s="18" t="s">
        <v>27</v>
      </c>
      <c r="Q111" s="62">
        <v>6636</v>
      </c>
      <c r="R111" s="62">
        <v>6636</v>
      </c>
      <c r="S111" s="47">
        <v>0</v>
      </c>
      <c r="T111" s="7">
        <v>6636</v>
      </c>
      <c r="U111" s="7"/>
      <c r="V111" s="8">
        <v>411616459937</v>
      </c>
      <c r="W111" s="18" t="s">
        <v>330</v>
      </c>
      <c r="X111" s="55">
        <v>553</v>
      </c>
      <c r="Y111" s="18" t="s">
        <v>351</v>
      </c>
    </row>
    <row r="112" spans="1:25" x14ac:dyDescent="0.3">
      <c r="A112" s="7">
        <f t="shared" si="0"/>
        <v>384</v>
      </c>
      <c r="B112" s="7">
        <v>275</v>
      </c>
      <c r="C112" s="51">
        <v>45914</v>
      </c>
      <c r="D112" s="19" t="s">
        <v>29</v>
      </c>
      <c r="E112" s="7" t="s">
        <v>332</v>
      </c>
      <c r="F112" s="9">
        <v>0.125</v>
      </c>
      <c r="G112" s="7"/>
      <c r="H112" s="21">
        <v>45901</v>
      </c>
      <c r="I112" s="18" t="s">
        <v>258</v>
      </c>
      <c r="J112" s="18" t="s">
        <v>259</v>
      </c>
      <c r="K112" s="62" t="s">
        <v>337</v>
      </c>
      <c r="L112" s="7"/>
      <c r="M112" s="7"/>
      <c r="N112" s="18" t="s">
        <v>346</v>
      </c>
      <c r="O112" s="32">
        <v>45925</v>
      </c>
      <c r="P112" s="18" t="s">
        <v>27</v>
      </c>
      <c r="Q112" s="62">
        <v>4656</v>
      </c>
      <c r="R112" s="62">
        <v>4656</v>
      </c>
      <c r="S112" s="47">
        <v>0</v>
      </c>
      <c r="T112" s="7">
        <v>4656</v>
      </c>
      <c r="U112" s="7"/>
      <c r="V112" s="8">
        <v>421615386176</v>
      </c>
      <c r="W112" s="18" t="s">
        <v>333</v>
      </c>
      <c r="X112" s="55">
        <v>388</v>
      </c>
      <c r="Y112" s="18" t="s">
        <v>351</v>
      </c>
    </row>
    <row r="113" spans="1:25" x14ac:dyDescent="0.3">
      <c r="A113" s="7">
        <f t="shared" si="0"/>
        <v>385</v>
      </c>
      <c r="B113" s="7">
        <v>275</v>
      </c>
      <c r="C113" s="51">
        <v>45916</v>
      </c>
      <c r="D113" s="19" t="s">
        <v>29</v>
      </c>
      <c r="E113" s="9">
        <v>0.50694444444444442</v>
      </c>
      <c r="F113" s="9">
        <v>0.53472222222222221</v>
      </c>
      <c r="G113" s="7"/>
      <c r="H113" s="21">
        <v>45901</v>
      </c>
      <c r="I113" s="18" t="s">
        <v>37</v>
      </c>
      <c r="J113" s="18" t="s">
        <v>43</v>
      </c>
      <c r="K113" s="62" t="s">
        <v>335</v>
      </c>
      <c r="L113" s="7"/>
      <c r="M113" s="7"/>
      <c r="N113" s="18" t="s">
        <v>344</v>
      </c>
      <c r="O113" s="32">
        <v>45922</v>
      </c>
      <c r="P113" s="18" t="s">
        <v>27</v>
      </c>
      <c r="Q113" s="62">
        <v>631755.72</v>
      </c>
      <c r="R113" s="62">
        <v>631755.72</v>
      </c>
      <c r="S113" s="47">
        <v>0</v>
      </c>
      <c r="T113" s="7">
        <v>804</v>
      </c>
      <c r="U113" s="7"/>
      <c r="V113" s="8">
        <v>431617016740</v>
      </c>
      <c r="W113" s="7" t="s">
        <v>336</v>
      </c>
      <c r="X113" s="55">
        <v>81</v>
      </c>
      <c r="Y113" s="18" t="s">
        <v>351</v>
      </c>
    </row>
    <row r="114" spans="1:25" x14ac:dyDescent="0.3">
      <c r="A114" s="7">
        <f t="shared" si="0"/>
        <v>386</v>
      </c>
      <c r="B114" s="7">
        <v>276</v>
      </c>
      <c r="C114" s="52">
        <v>45926</v>
      </c>
      <c r="D114" s="19" t="s">
        <v>25</v>
      </c>
      <c r="E114" s="9">
        <v>0.76180555555555551</v>
      </c>
      <c r="F114" s="9">
        <v>0.83333333333333337</v>
      </c>
      <c r="G114" s="7"/>
      <c r="H114" s="21">
        <v>45901</v>
      </c>
      <c r="I114" s="18" t="s">
        <v>347</v>
      </c>
      <c r="J114" s="18" t="s">
        <v>52</v>
      </c>
      <c r="K114" s="62" t="s">
        <v>348</v>
      </c>
      <c r="L114" s="7"/>
      <c r="M114" s="7"/>
      <c r="N114" s="18" t="s">
        <v>350</v>
      </c>
      <c r="O114" s="32">
        <v>45927</v>
      </c>
      <c r="P114" s="18" t="s">
        <v>27</v>
      </c>
      <c r="Q114" s="62">
        <v>6336</v>
      </c>
      <c r="R114" s="62">
        <v>6336</v>
      </c>
      <c r="S114" s="47">
        <v>6336</v>
      </c>
      <c r="T114" s="7">
        <v>0</v>
      </c>
      <c r="U114" s="7"/>
      <c r="V114" s="8">
        <v>372091858936</v>
      </c>
      <c r="W114" s="18" t="s">
        <v>349</v>
      </c>
      <c r="X114" s="55">
        <v>264</v>
      </c>
      <c r="Y114" s="18" t="s">
        <v>351</v>
      </c>
    </row>
    <row r="115" spans="1:25" x14ac:dyDescent="0.3">
      <c r="A115" s="12">
        <v>387</v>
      </c>
      <c r="B115" s="12">
        <v>277</v>
      </c>
      <c r="C115" s="51">
        <v>45930</v>
      </c>
      <c r="D115" s="19" t="s">
        <v>29</v>
      </c>
      <c r="E115" s="9">
        <v>0.65625</v>
      </c>
      <c r="F115" s="9">
        <v>0.78472222222222221</v>
      </c>
      <c r="G115" s="7"/>
      <c r="H115" s="21">
        <v>45901</v>
      </c>
      <c r="I115" s="18" t="s">
        <v>352</v>
      </c>
      <c r="J115" s="18" t="s">
        <v>259</v>
      </c>
      <c r="K115" s="62" t="s">
        <v>353</v>
      </c>
      <c r="L115" s="7"/>
      <c r="M115" s="41">
        <v>45933</v>
      </c>
      <c r="N115" s="18" t="s">
        <v>359</v>
      </c>
      <c r="O115" s="41">
        <v>45933</v>
      </c>
      <c r="P115" s="18" t="s">
        <v>27</v>
      </c>
      <c r="Q115" s="65">
        <v>40491</v>
      </c>
      <c r="R115" s="62">
        <v>4908</v>
      </c>
      <c r="S115" s="47">
        <v>4908</v>
      </c>
      <c r="T115" s="7">
        <v>0</v>
      </c>
      <c r="U115" s="7" t="s">
        <v>354</v>
      </c>
      <c r="V115" s="8">
        <v>7322</v>
      </c>
      <c r="W115" s="18" t="s">
        <v>355</v>
      </c>
      <c r="X115" s="55">
        <v>409</v>
      </c>
      <c r="Y115" s="18" t="s">
        <v>351</v>
      </c>
    </row>
    <row r="116" spans="1:25" x14ac:dyDescent="0.3">
      <c r="A116" s="12">
        <v>388</v>
      </c>
      <c r="B116" s="12">
        <v>278</v>
      </c>
      <c r="C116" s="51">
        <v>45931</v>
      </c>
      <c r="D116" s="19" t="s">
        <v>29</v>
      </c>
      <c r="E116" s="9">
        <v>0.76597222222222228</v>
      </c>
      <c r="F116" s="9">
        <v>0.80208333333333337</v>
      </c>
      <c r="G116" s="7"/>
      <c r="H116" s="38">
        <v>45955</v>
      </c>
      <c r="I116" s="18" t="s">
        <v>37</v>
      </c>
      <c r="J116" s="18" t="s">
        <v>49</v>
      </c>
      <c r="K116" s="62" t="s">
        <v>356</v>
      </c>
      <c r="L116" s="7"/>
      <c r="M116" s="41">
        <v>45933</v>
      </c>
      <c r="N116" s="18" t="s">
        <v>358</v>
      </c>
      <c r="O116" s="41">
        <v>45933</v>
      </c>
      <c r="P116" s="18" t="s">
        <v>27</v>
      </c>
      <c r="Q116" s="62">
        <v>1706211.96</v>
      </c>
      <c r="R116" s="62">
        <v>2172</v>
      </c>
      <c r="S116" s="47">
        <v>2172</v>
      </c>
      <c r="T116" s="7">
        <v>0</v>
      </c>
      <c r="U116" s="7" t="s">
        <v>42</v>
      </c>
      <c r="V116" s="8">
        <v>471627802722</v>
      </c>
      <c r="W116" s="18" t="s">
        <v>357</v>
      </c>
      <c r="X116" s="55">
        <v>218</v>
      </c>
      <c r="Y116" s="18" t="s">
        <v>351</v>
      </c>
    </row>
    <row r="117" spans="1:25" x14ac:dyDescent="0.3">
      <c r="A117" s="7">
        <v>389</v>
      </c>
      <c r="B117" s="7">
        <v>279</v>
      </c>
      <c r="C117" s="51">
        <v>45934</v>
      </c>
      <c r="D117" s="19" t="s">
        <v>29</v>
      </c>
      <c r="E117" s="9">
        <v>0.65069444444444446</v>
      </c>
      <c r="F117" s="9">
        <v>0.75347222222222221</v>
      </c>
      <c r="G117" s="7"/>
      <c r="H117" s="38">
        <v>45955</v>
      </c>
      <c r="I117" s="18" t="s">
        <v>361</v>
      </c>
      <c r="J117" s="18" t="s">
        <v>259</v>
      </c>
      <c r="K117" s="62" t="s">
        <v>362</v>
      </c>
      <c r="L117" s="7"/>
      <c r="M117" s="41">
        <v>45935</v>
      </c>
      <c r="N117" s="18" t="s">
        <v>60</v>
      </c>
      <c r="O117" s="41">
        <v>45935</v>
      </c>
      <c r="P117" s="18" t="s">
        <v>27</v>
      </c>
      <c r="Q117" s="62">
        <v>8794195.1999999993</v>
      </c>
      <c r="R117" s="62">
        <v>9600</v>
      </c>
      <c r="S117" s="47">
        <v>9600</v>
      </c>
      <c r="T117" s="7">
        <v>0</v>
      </c>
      <c r="U117" s="7" t="s">
        <v>354</v>
      </c>
      <c r="V117" s="8">
        <v>7339</v>
      </c>
      <c r="W117" s="18" t="s">
        <v>360</v>
      </c>
      <c r="X117" s="55">
        <v>470</v>
      </c>
      <c r="Y117" s="18" t="s">
        <v>351</v>
      </c>
    </row>
    <row r="118" spans="1:25" x14ac:dyDescent="0.3">
      <c r="A118" s="7">
        <v>390</v>
      </c>
      <c r="B118" s="7">
        <v>280</v>
      </c>
      <c r="C118" s="51">
        <v>45935</v>
      </c>
      <c r="D118" s="19" t="s">
        <v>29</v>
      </c>
      <c r="E118" s="9">
        <v>0.5</v>
      </c>
      <c r="F118" s="9">
        <v>0.64583333333333337</v>
      </c>
      <c r="G118" s="7"/>
      <c r="H118" s="38">
        <v>45955</v>
      </c>
      <c r="I118" s="18" t="s">
        <v>361</v>
      </c>
      <c r="J118" s="18" t="s">
        <v>259</v>
      </c>
      <c r="K118" s="62" t="s">
        <v>364</v>
      </c>
      <c r="L118" s="7"/>
      <c r="M118" s="41">
        <v>45936</v>
      </c>
      <c r="N118" s="18" t="s">
        <v>58</v>
      </c>
      <c r="O118" s="41">
        <v>45936</v>
      </c>
      <c r="P118" s="18" t="s">
        <v>27</v>
      </c>
      <c r="Q118" s="65">
        <v>57600</v>
      </c>
      <c r="R118" s="62">
        <v>7200</v>
      </c>
      <c r="S118" s="47">
        <v>7200</v>
      </c>
      <c r="T118" s="7">
        <v>0</v>
      </c>
      <c r="U118" s="7" t="s">
        <v>354</v>
      </c>
      <c r="V118" s="8">
        <v>7342</v>
      </c>
      <c r="W118" s="18" t="s">
        <v>363</v>
      </c>
      <c r="X118" s="55">
        <v>470</v>
      </c>
      <c r="Y118" s="18" t="s">
        <v>351</v>
      </c>
    </row>
    <row r="119" spans="1:25" x14ac:dyDescent="0.3">
      <c r="A119" s="7">
        <v>391</v>
      </c>
      <c r="B119" s="7">
        <v>281</v>
      </c>
      <c r="C119" s="51">
        <v>45936</v>
      </c>
      <c r="D119" s="19" t="s">
        <v>29</v>
      </c>
      <c r="E119" s="7" t="s">
        <v>399</v>
      </c>
      <c r="F119" s="7" t="s">
        <v>400</v>
      </c>
      <c r="G119" s="7"/>
      <c r="H119" s="38">
        <v>45955</v>
      </c>
      <c r="I119" s="18" t="s">
        <v>352</v>
      </c>
      <c r="J119" s="18" t="s">
        <v>259</v>
      </c>
      <c r="K119" s="62" t="s">
        <v>367</v>
      </c>
      <c r="L119" s="7"/>
      <c r="M119" s="41">
        <v>45937</v>
      </c>
      <c r="N119" s="18" t="s">
        <v>64</v>
      </c>
      <c r="O119" s="41">
        <v>45937</v>
      </c>
      <c r="P119" s="18" t="s">
        <v>27</v>
      </c>
      <c r="Q119" s="62">
        <v>621046.72</v>
      </c>
      <c r="R119" s="62">
        <v>13416</v>
      </c>
      <c r="S119" s="47">
        <v>13416</v>
      </c>
      <c r="T119" s="7">
        <v>0</v>
      </c>
      <c r="U119" s="7" t="s">
        <v>354</v>
      </c>
      <c r="V119" s="8" t="s">
        <v>366</v>
      </c>
      <c r="W119" s="18" t="s">
        <v>365</v>
      </c>
      <c r="X119" s="55">
        <v>1118</v>
      </c>
      <c r="Y119" s="18" t="s">
        <v>351</v>
      </c>
    </row>
    <row r="120" spans="1:25" x14ac:dyDescent="0.3">
      <c r="A120" s="7">
        <v>392</v>
      </c>
      <c r="B120" s="7">
        <v>282</v>
      </c>
      <c r="C120" s="51">
        <v>45937</v>
      </c>
      <c r="D120" s="19" t="s">
        <v>29</v>
      </c>
      <c r="E120" s="7" t="s">
        <v>401</v>
      </c>
      <c r="F120" s="7" t="s">
        <v>402</v>
      </c>
      <c r="G120" s="7"/>
      <c r="H120" s="38">
        <v>45955</v>
      </c>
      <c r="I120" s="18" t="s">
        <v>361</v>
      </c>
      <c r="J120" s="18" t="s">
        <v>259</v>
      </c>
      <c r="K120" s="62" t="s">
        <v>371</v>
      </c>
      <c r="L120" s="7"/>
      <c r="M120" s="41">
        <v>45938</v>
      </c>
      <c r="N120" s="18" t="s">
        <v>368</v>
      </c>
      <c r="O120" s="41">
        <v>45938</v>
      </c>
      <c r="P120" s="18" t="s">
        <v>27</v>
      </c>
      <c r="Q120" s="62">
        <v>6452233.2599999998</v>
      </c>
      <c r="R120" s="62">
        <v>7200</v>
      </c>
      <c r="S120" s="47">
        <v>7200</v>
      </c>
      <c r="T120" s="7">
        <v>0</v>
      </c>
      <c r="U120" s="7" t="s">
        <v>354</v>
      </c>
      <c r="V120" s="8" t="s">
        <v>369</v>
      </c>
      <c r="W120" s="18" t="s">
        <v>370</v>
      </c>
      <c r="X120" s="55">
        <v>600</v>
      </c>
      <c r="Y120" s="18" t="s">
        <v>351</v>
      </c>
    </row>
    <row r="121" spans="1:25" x14ac:dyDescent="0.3">
      <c r="A121" s="7">
        <v>393</v>
      </c>
      <c r="B121" s="7">
        <v>283</v>
      </c>
      <c r="C121" s="51">
        <v>45928</v>
      </c>
      <c r="D121" s="19" t="s">
        <v>25</v>
      </c>
      <c r="E121" s="9">
        <v>0.70138888888888884</v>
      </c>
      <c r="F121" s="9">
        <v>0.73611111111111116</v>
      </c>
      <c r="G121" s="33">
        <v>45938</v>
      </c>
      <c r="H121" s="21">
        <v>45901</v>
      </c>
      <c r="I121" s="18" t="s">
        <v>51</v>
      </c>
      <c r="J121" s="18" t="s">
        <v>52</v>
      </c>
      <c r="K121" s="62" t="s">
        <v>372</v>
      </c>
      <c r="L121" s="7"/>
      <c r="M121" s="41">
        <v>45939</v>
      </c>
      <c r="N121" s="18" t="s">
        <v>96</v>
      </c>
      <c r="O121" s="41">
        <v>45939</v>
      </c>
      <c r="P121" s="18" t="s">
        <v>27</v>
      </c>
      <c r="Q121" s="62">
        <v>1501038</v>
      </c>
      <c r="R121" s="62">
        <v>6168</v>
      </c>
      <c r="S121" s="47">
        <v>6168</v>
      </c>
      <c r="T121" s="7">
        <v>0</v>
      </c>
      <c r="U121" s="7" t="s">
        <v>373</v>
      </c>
      <c r="V121" s="8">
        <v>332092610509</v>
      </c>
      <c r="W121" s="18" t="s">
        <v>349</v>
      </c>
      <c r="X121" s="55">
        <v>257</v>
      </c>
      <c r="Y121" s="18" t="s">
        <v>351</v>
      </c>
    </row>
    <row r="122" spans="1:25" x14ac:dyDescent="0.3">
      <c r="A122" s="7">
        <v>394</v>
      </c>
      <c r="B122" s="7">
        <v>284</v>
      </c>
      <c r="C122" s="51">
        <v>45938</v>
      </c>
      <c r="D122" s="19" t="s">
        <v>29</v>
      </c>
      <c r="E122" s="9">
        <v>0.3923611111111111</v>
      </c>
      <c r="F122" s="9">
        <v>0.51388888888888884</v>
      </c>
      <c r="G122" s="33">
        <v>45938</v>
      </c>
      <c r="H122" s="38">
        <v>45955</v>
      </c>
      <c r="I122" s="18" t="s">
        <v>361</v>
      </c>
      <c r="J122" s="18" t="s">
        <v>259</v>
      </c>
      <c r="K122" s="62" t="s">
        <v>377</v>
      </c>
      <c r="L122" s="7"/>
      <c r="M122" s="41">
        <v>45941</v>
      </c>
      <c r="N122" s="18" t="s">
        <v>374</v>
      </c>
      <c r="O122" s="41">
        <v>45941</v>
      </c>
      <c r="P122" s="18" t="s">
        <v>27</v>
      </c>
      <c r="Q122" s="66">
        <v>8375808</v>
      </c>
      <c r="R122" s="62">
        <v>9600</v>
      </c>
      <c r="S122" s="47">
        <v>9600</v>
      </c>
      <c r="T122" s="7">
        <v>0</v>
      </c>
      <c r="U122" s="7" t="s">
        <v>354</v>
      </c>
      <c r="V122" s="8" t="s">
        <v>378</v>
      </c>
      <c r="W122" s="18" t="s">
        <v>379</v>
      </c>
      <c r="X122" s="55">
        <v>460</v>
      </c>
      <c r="Y122" s="18" t="s">
        <v>351</v>
      </c>
    </row>
    <row r="123" spans="1:25" x14ac:dyDescent="0.3">
      <c r="A123" s="7">
        <v>395</v>
      </c>
      <c r="B123" s="7">
        <v>285</v>
      </c>
      <c r="C123" s="51">
        <v>45939</v>
      </c>
      <c r="D123" s="19" t="s">
        <v>29</v>
      </c>
      <c r="E123" s="9">
        <v>0.68055555555555558</v>
      </c>
      <c r="F123" s="9">
        <v>0.74305555555555558</v>
      </c>
      <c r="G123" s="33">
        <v>45939</v>
      </c>
      <c r="H123" s="38">
        <v>45955</v>
      </c>
      <c r="I123" s="18" t="s">
        <v>352</v>
      </c>
      <c r="J123" s="18" t="s">
        <v>259</v>
      </c>
      <c r="K123" s="62" t="s">
        <v>380</v>
      </c>
      <c r="L123" s="7"/>
      <c r="M123" s="41">
        <v>45941</v>
      </c>
      <c r="N123" s="18" t="s">
        <v>375</v>
      </c>
      <c r="O123" s="41">
        <v>45941</v>
      </c>
      <c r="P123" s="18" t="s">
        <v>27</v>
      </c>
      <c r="Q123" s="66">
        <v>9249052.0800000001</v>
      </c>
      <c r="R123" s="62">
        <v>8664</v>
      </c>
      <c r="S123" s="47">
        <v>8664</v>
      </c>
      <c r="T123" s="7">
        <v>0</v>
      </c>
      <c r="U123" s="7" t="s">
        <v>354</v>
      </c>
      <c r="V123" s="8">
        <v>7324</v>
      </c>
      <c r="W123" s="18" t="s">
        <v>381</v>
      </c>
      <c r="X123" s="55">
        <v>361</v>
      </c>
      <c r="Y123" s="18" t="s">
        <v>351</v>
      </c>
    </row>
    <row r="124" spans="1:25" x14ac:dyDescent="0.3">
      <c r="A124" s="7">
        <v>396</v>
      </c>
      <c r="B124" s="7">
        <v>286</v>
      </c>
      <c r="C124" s="51">
        <v>45945</v>
      </c>
      <c r="D124" s="19" t="s">
        <v>29</v>
      </c>
      <c r="E124" s="9" t="s">
        <v>403</v>
      </c>
      <c r="F124" s="9" t="s">
        <v>404</v>
      </c>
      <c r="G124" s="33">
        <v>45945</v>
      </c>
      <c r="H124" s="38">
        <v>45955</v>
      </c>
      <c r="I124" s="18" t="s">
        <v>352</v>
      </c>
      <c r="J124" s="18" t="s">
        <v>259</v>
      </c>
      <c r="K124" s="62" t="s">
        <v>382</v>
      </c>
      <c r="L124" s="7"/>
      <c r="M124" s="33">
        <v>45944</v>
      </c>
      <c r="N124" s="18" t="s">
        <v>376</v>
      </c>
      <c r="O124" s="33">
        <v>45944</v>
      </c>
      <c r="P124" s="18" t="s">
        <v>27</v>
      </c>
      <c r="Q124" s="62">
        <v>17857450.449999999</v>
      </c>
      <c r="R124" s="62">
        <v>18540</v>
      </c>
      <c r="S124" s="47">
        <v>18540</v>
      </c>
      <c r="T124" s="7">
        <v>0</v>
      </c>
      <c r="U124" s="7" t="s">
        <v>354</v>
      </c>
      <c r="V124" s="8" t="s">
        <v>383</v>
      </c>
      <c r="W124" s="18" t="s">
        <v>390</v>
      </c>
      <c r="X124" s="62">
        <v>1154</v>
      </c>
      <c r="Y124" s="18" t="s">
        <v>384</v>
      </c>
    </row>
    <row r="125" spans="1:25" x14ac:dyDescent="0.3">
      <c r="A125" s="7">
        <v>397</v>
      </c>
      <c r="B125" s="7">
        <v>287</v>
      </c>
      <c r="C125" s="51">
        <v>45941</v>
      </c>
      <c r="D125" s="19" t="s">
        <v>29</v>
      </c>
      <c r="E125" s="7" t="s">
        <v>393</v>
      </c>
      <c r="F125" s="7" t="s">
        <v>394</v>
      </c>
      <c r="G125" s="33">
        <v>45944</v>
      </c>
      <c r="H125" s="38">
        <v>45955</v>
      </c>
      <c r="I125" s="18" t="s">
        <v>387</v>
      </c>
      <c r="J125" s="18" t="s">
        <v>259</v>
      </c>
      <c r="K125" s="62" t="s">
        <v>395</v>
      </c>
      <c r="L125" s="7"/>
      <c r="M125" s="33">
        <v>45944</v>
      </c>
      <c r="N125" s="18" t="s">
        <v>396</v>
      </c>
      <c r="O125" s="33">
        <v>45944</v>
      </c>
      <c r="P125" s="18" t="s">
        <v>27</v>
      </c>
      <c r="Q125" s="62">
        <v>13156560</v>
      </c>
      <c r="R125" s="62">
        <v>21600</v>
      </c>
      <c r="S125" s="47">
        <v>21600</v>
      </c>
      <c r="T125" s="7">
        <v>0</v>
      </c>
      <c r="U125" s="7" t="s">
        <v>354</v>
      </c>
      <c r="V125" s="18" t="s">
        <v>397</v>
      </c>
      <c r="W125" s="18" t="s">
        <v>398</v>
      </c>
      <c r="X125" s="62">
        <v>1800</v>
      </c>
      <c r="Y125" s="18" t="s">
        <v>351</v>
      </c>
    </row>
    <row r="126" spans="1:25" x14ac:dyDescent="0.3">
      <c r="A126" s="7">
        <v>398</v>
      </c>
      <c r="B126" s="7">
        <v>288</v>
      </c>
      <c r="C126" s="51">
        <v>45943</v>
      </c>
      <c r="D126" s="19" t="s">
        <v>29</v>
      </c>
      <c r="E126" s="7" t="s">
        <v>385</v>
      </c>
      <c r="F126" s="7" t="s">
        <v>386</v>
      </c>
      <c r="G126" s="33">
        <v>45943</v>
      </c>
      <c r="H126" s="38">
        <v>45955</v>
      </c>
      <c r="I126" s="18" t="s">
        <v>387</v>
      </c>
      <c r="J126" s="18" t="s">
        <v>259</v>
      </c>
      <c r="K126" s="62" t="s">
        <v>388</v>
      </c>
      <c r="L126" s="7"/>
      <c r="M126" s="33">
        <v>45945</v>
      </c>
      <c r="N126" s="18" t="s">
        <v>389</v>
      </c>
      <c r="O126" s="33">
        <v>45945</v>
      </c>
      <c r="P126" s="18" t="s">
        <v>27</v>
      </c>
      <c r="Q126" s="62">
        <v>8577216</v>
      </c>
      <c r="R126" s="62">
        <v>14400</v>
      </c>
      <c r="S126" s="47">
        <v>14400</v>
      </c>
      <c r="T126" s="7">
        <v>0</v>
      </c>
      <c r="U126" s="7" t="s">
        <v>354</v>
      </c>
      <c r="V126" s="8" t="s">
        <v>391</v>
      </c>
      <c r="W126" s="18" t="s">
        <v>392</v>
      </c>
      <c r="X126" s="62">
        <v>1200</v>
      </c>
      <c r="Y126" s="18" t="s">
        <v>351</v>
      </c>
    </row>
    <row r="127" spans="1:25" x14ac:dyDescent="0.3">
      <c r="A127" s="7">
        <v>399</v>
      </c>
      <c r="B127" s="7">
        <v>289</v>
      </c>
      <c r="C127" s="51">
        <v>45929</v>
      </c>
      <c r="D127" s="19" t="s">
        <v>25</v>
      </c>
      <c r="E127" s="9">
        <v>0.41666666666666669</v>
      </c>
      <c r="F127" s="9">
        <v>0.625</v>
      </c>
      <c r="G127" s="33"/>
      <c r="H127" s="21">
        <v>45901</v>
      </c>
      <c r="I127" s="18" t="s">
        <v>62</v>
      </c>
      <c r="J127" s="18" t="s">
        <v>38</v>
      </c>
      <c r="K127" s="62" t="s">
        <v>417</v>
      </c>
      <c r="L127" s="7"/>
      <c r="M127" s="33">
        <v>45954</v>
      </c>
      <c r="N127" s="18" t="s">
        <v>418</v>
      </c>
      <c r="O127" s="33">
        <v>45954</v>
      </c>
      <c r="P127" s="18" t="s">
        <v>27</v>
      </c>
      <c r="Q127" s="62">
        <v>1293327</v>
      </c>
      <c r="R127" s="62">
        <v>4632</v>
      </c>
      <c r="S127" s="47">
        <v>4632</v>
      </c>
      <c r="T127" s="7">
        <v>0</v>
      </c>
      <c r="U127" s="7" t="s">
        <v>419</v>
      </c>
      <c r="V127" s="8">
        <v>711566058964</v>
      </c>
      <c r="W127" s="18" t="s">
        <v>28</v>
      </c>
      <c r="X127" s="62">
        <v>193</v>
      </c>
      <c r="Y127" s="18" t="s">
        <v>351</v>
      </c>
    </row>
    <row r="128" spans="1:25" x14ac:dyDescent="0.3">
      <c r="A128" s="7">
        <v>400</v>
      </c>
      <c r="B128" s="7">
        <v>290</v>
      </c>
      <c r="C128" s="51">
        <v>45955</v>
      </c>
      <c r="D128" s="19" t="s">
        <v>29</v>
      </c>
      <c r="E128" s="7" t="s">
        <v>406</v>
      </c>
      <c r="F128" s="7" t="s">
        <v>407</v>
      </c>
      <c r="G128" s="33">
        <v>45959</v>
      </c>
      <c r="H128" s="38">
        <v>45959</v>
      </c>
      <c r="I128" s="18" t="s">
        <v>361</v>
      </c>
      <c r="J128" s="18" t="s">
        <v>259</v>
      </c>
      <c r="K128" s="62" t="s">
        <v>408</v>
      </c>
      <c r="L128" s="7"/>
      <c r="M128" s="33">
        <v>45959</v>
      </c>
      <c r="N128" s="18" t="s">
        <v>405</v>
      </c>
      <c r="O128" s="33">
        <v>45959</v>
      </c>
      <c r="P128" s="18" t="s">
        <v>27</v>
      </c>
      <c r="Q128" s="65">
        <v>61920</v>
      </c>
      <c r="R128" s="62">
        <v>7200</v>
      </c>
      <c r="S128" s="47">
        <v>7200</v>
      </c>
      <c r="T128" s="7">
        <v>0</v>
      </c>
      <c r="U128" s="7" t="s">
        <v>354</v>
      </c>
      <c r="V128" s="8">
        <v>74217420</v>
      </c>
      <c r="W128" s="18" t="s">
        <v>409</v>
      </c>
      <c r="X128" s="62">
        <v>600</v>
      </c>
      <c r="Y128" s="18" t="s">
        <v>351</v>
      </c>
    </row>
    <row r="129" spans="1:25" x14ac:dyDescent="0.3">
      <c r="A129" s="7">
        <v>401</v>
      </c>
      <c r="B129" s="7">
        <v>291</v>
      </c>
      <c r="C129" s="51">
        <v>45940</v>
      </c>
      <c r="D129" s="19" t="s">
        <v>25</v>
      </c>
      <c r="E129" s="7" t="s">
        <v>411</v>
      </c>
      <c r="F129" s="7" t="s">
        <v>412</v>
      </c>
      <c r="G129" s="33">
        <v>45959</v>
      </c>
      <c r="H129" s="38">
        <v>45959</v>
      </c>
      <c r="I129" s="18" t="s">
        <v>56</v>
      </c>
      <c r="J129" s="18" t="s">
        <v>57</v>
      </c>
      <c r="K129" s="62" t="s">
        <v>413</v>
      </c>
      <c r="L129" s="7"/>
      <c r="M129" s="33">
        <v>45959</v>
      </c>
      <c r="N129" s="18" t="s">
        <v>410</v>
      </c>
      <c r="O129" s="33">
        <v>45959</v>
      </c>
      <c r="P129" s="18" t="s">
        <v>27</v>
      </c>
      <c r="Q129" s="62">
        <v>3694950</v>
      </c>
      <c r="R129" s="62">
        <v>9000</v>
      </c>
      <c r="S129" s="47">
        <v>9000</v>
      </c>
      <c r="T129" s="7">
        <v>0</v>
      </c>
      <c r="U129" s="7" t="s">
        <v>414</v>
      </c>
      <c r="V129" s="8" t="s">
        <v>415</v>
      </c>
      <c r="W129" s="18" t="s">
        <v>416</v>
      </c>
      <c r="X129" s="62">
        <v>375</v>
      </c>
      <c r="Y129" s="18" t="s">
        <v>351</v>
      </c>
    </row>
    <row r="130" spans="1:25" x14ac:dyDescent="0.3">
      <c r="A130" s="7">
        <v>402</v>
      </c>
      <c r="B130" s="7">
        <v>292</v>
      </c>
      <c r="C130" s="51">
        <v>45965</v>
      </c>
      <c r="D130" s="19" t="s">
        <v>25</v>
      </c>
      <c r="E130" s="42">
        <v>0.70833333333333337</v>
      </c>
      <c r="F130" s="42">
        <v>0.78125</v>
      </c>
      <c r="G130" s="33">
        <v>45965</v>
      </c>
      <c r="H130" s="38">
        <v>45965</v>
      </c>
      <c r="I130" s="18" t="s">
        <v>361</v>
      </c>
      <c r="J130" s="18" t="s">
        <v>259</v>
      </c>
      <c r="K130" s="62" t="s">
        <v>421</v>
      </c>
      <c r="L130" s="11"/>
      <c r="M130" s="33">
        <v>45966</v>
      </c>
      <c r="N130" s="18" t="s">
        <v>420</v>
      </c>
      <c r="O130" s="33">
        <v>45965</v>
      </c>
      <c r="P130" s="18" t="s">
        <v>27</v>
      </c>
      <c r="Q130" s="67">
        <v>42120</v>
      </c>
      <c r="R130" s="62">
        <v>7200</v>
      </c>
      <c r="S130" s="47">
        <v>7200</v>
      </c>
      <c r="T130" s="7">
        <v>0</v>
      </c>
      <c r="U130" s="7" t="s">
        <v>354</v>
      </c>
      <c r="V130" s="43">
        <v>7465</v>
      </c>
      <c r="W130" s="18" t="s">
        <v>422</v>
      </c>
      <c r="X130" s="62">
        <v>600</v>
      </c>
      <c r="Y130" s="18" t="s">
        <v>351</v>
      </c>
    </row>
    <row r="298" spans="1:25" s="10" customFormat="1" x14ac:dyDescent="0.3">
      <c r="A298"/>
      <c r="B298"/>
      <c r="C298" s="53"/>
      <c r="D298"/>
      <c r="E298"/>
      <c r="F298"/>
      <c r="G298"/>
      <c r="H298"/>
      <c r="I298"/>
      <c r="J298"/>
      <c r="K298" s="53"/>
      <c r="L298"/>
      <c r="M298"/>
      <c r="N298"/>
      <c r="O298"/>
      <c r="P298"/>
      <c r="Q298" s="53"/>
      <c r="R298" s="53"/>
      <c r="S298" s="48"/>
      <c r="T298"/>
      <c r="U298"/>
      <c r="V298" s="37"/>
      <c r="W298"/>
      <c r="X298" s="53"/>
      <c r="Y298"/>
    </row>
    <row r="314" spans="1:25" s="10" customFormat="1" x14ac:dyDescent="0.3">
      <c r="A314"/>
      <c r="B314"/>
      <c r="C314" s="53"/>
      <c r="D314"/>
      <c r="E314"/>
      <c r="F314"/>
      <c r="G314"/>
      <c r="H314"/>
      <c r="I314"/>
      <c r="J314"/>
      <c r="K314" s="53"/>
      <c r="L314"/>
      <c r="M314"/>
      <c r="N314"/>
      <c r="O314"/>
      <c r="P314"/>
      <c r="Q314" s="53"/>
      <c r="R314" s="53"/>
      <c r="S314" s="48"/>
      <c r="T314"/>
      <c r="U314"/>
      <c r="V314" s="37"/>
      <c r="W314"/>
      <c r="X314" s="53"/>
      <c r="Y314"/>
    </row>
    <row r="322" spans="1:25" s="10" customFormat="1" x14ac:dyDescent="0.3">
      <c r="A322"/>
      <c r="B322"/>
      <c r="C322" s="53"/>
      <c r="D322"/>
      <c r="E322"/>
      <c r="F322"/>
      <c r="G322"/>
      <c r="H322"/>
      <c r="I322"/>
      <c r="J322"/>
      <c r="K322" s="53"/>
      <c r="L322"/>
      <c r="M322"/>
      <c r="N322"/>
      <c r="O322"/>
      <c r="P322"/>
      <c r="Q322" s="53"/>
      <c r="R322" s="53"/>
      <c r="S322" s="48"/>
      <c r="T322"/>
      <c r="U322"/>
      <c r="V322" s="37"/>
      <c r="W322"/>
      <c r="X322" s="53"/>
      <c r="Y322"/>
    </row>
    <row r="327" spans="1:25" s="10" customFormat="1" x14ac:dyDescent="0.3">
      <c r="A327"/>
      <c r="B327"/>
      <c r="C327" s="53"/>
      <c r="D327"/>
      <c r="E327"/>
      <c r="F327"/>
      <c r="G327"/>
      <c r="H327"/>
      <c r="I327"/>
      <c r="J327"/>
      <c r="K327" s="53"/>
      <c r="L327"/>
      <c r="M327"/>
      <c r="N327"/>
      <c r="O327"/>
      <c r="P327"/>
      <c r="Q327" s="53"/>
      <c r="R327" s="53"/>
      <c r="S327" s="48"/>
      <c r="T327"/>
      <c r="U327"/>
      <c r="V327" s="37"/>
      <c r="W327"/>
      <c r="X327" s="53"/>
      <c r="Y327"/>
    </row>
    <row r="328" spans="1:25" s="10" customFormat="1" x14ac:dyDescent="0.3">
      <c r="A328"/>
      <c r="B328"/>
      <c r="C328" s="53"/>
      <c r="D328"/>
      <c r="E328"/>
      <c r="F328"/>
      <c r="G328"/>
      <c r="H328"/>
      <c r="I328"/>
      <c r="J328"/>
      <c r="K328" s="53"/>
      <c r="L328"/>
      <c r="M328"/>
      <c r="N328"/>
      <c r="O328"/>
      <c r="P328"/>
      <c r="Q328" s="53"/>
      <c r="R328" s="53"/>
      <c r="S328" s="48"/>
      <c r="T328"/>
      <c r="U328"/>
      <c r="V328" s="37"/>
      <c r="W328"/>
      <c r="X328" s="53"/>
      <c r="Y328"/>
    </row>
    <row r="332" spans="1:25" s="10" customFormat="1" x14ac:dyDescent="0.3">
      <c r="A332"/>
      <c r="B332"/>
      <c r="C332" s="53"/>
      <c r="D332"/>
      <c r="E332"/>
      <c r="F332"/>
      <c r="G332"/>
      <c r="H332"/>
      <c r="I332"/>
      <c r="J332"/>
      <c r="K332" s="53"/>
      <c r="L332"/>
      <c r="M332"/>
      <c r="N332"/>
      <c r="O332"/>
      <c r="P332"/>
      <c r="Q332" s="53"/>
      <c r="R332" s="53"/>
      <c r="S332" s="48"/>
      <c r="T332"/>
      <c r="U332"/>
      <c r="V332" s="37"/>
      <c r="W332"/>
      <c r="X332" s="53"/>
      <c r="Y332"/>
    </row>
    <row r="333" spans="1:25" s="10" customFormat="1" x14ac:dyDescent="0.3">
      <c r="A333"/>
      <c r="B333"/>
      <c r="C333" s="53"/>
      <c r="D333"/>
      <c r="E333"/>
      <c r="F333"/>
      <c r="G333"/>
      <c r="H333"/>
      <c r="I333"/>
      <c r="J333"/>
      <c r="K333" s="53"/>
      <c r="L333"/>
      <c r="M333"/>
      <c r="N333"/>
      <c r="O333"/>
      <c r="P333"/>
      <c r="Q333" s="53"/>
      <c r="R333" s="53"/>
      <c r="S333" s="48"/>
      <c r="T333"/>
      <c r="U333"/>
      <c r="V333" s="37"/>
      <c r="W333"/>
      <c r="X333" s="53"/>
      <c r="Y333"/>
    </row>
    <row r="338" spans="1:26" s="10" customFormat="1" x14ac:dyDescent="0.3">
      <c r="A338"/>
      <c r="B338"/>
      <c r="C338" s="53"/>
      <c r="D338"/>
      <c r="E338"/>
      <c r="F338"/>
      <c r="G338"/>
      <c r="H338"/>
      <c r="I338"/>
      <c r="J338"/>
      <c r="K338" s="53"/>
      <c r="L338"/>
      <c r="M338"/>
      <c r="N338"/>
      <c r="O338"/>
      <c r="P338"/>
      <c r="Q338" s="53"/>
      <c r="R338" s="53"/>
      <c r="S338" s="48"/>
      <c r="T338"/>
      <c r="U338"/>
      <c r="V338" s="37"/>
      <c r="W338"/>
      <c r="X338" s="53"/>
      <c r="Y338"/>
    </row>
    <row r="339" spans="1:26" s="10" customFormat="1" x14ac:dyDescent="0.3">
      <c r="A339"/>
      <c r="B339"/>
      <c r="C339" s="53"/>
      <c r="D339"/>
      <c r="E339"/>
      <c r="F339"/>
      <c r="G339"/>
      <c r="H339"/>
      <c r="I339"/>
      <c r="J339"/>
      <c r="K339" s="53"/>
      <c r="L339"/>
      <c r="M339"/>
      <c r="N339"/>
      <c r="O339"/>
      <c r="P339"/>
      <c r="Q339" s="53"/>
      <c r="R339" s="53"/>
      <c r="S339" s="48"/>
      <c r="T339"/>
      <c r="U339"/>
      <c r="V339" s="37"/>
      <c r="W339"/>
      <c r="X339" s="53"/>
      <c r="Y339"/>
    </row>
    <row r="340" spans="1:26" s="10" customFormat="1" x14ac:dyDescent="0.3">
      <c r="A340"/>
      <c r="B340"/>
      <c r="C340" s="53"/>
      <c r="D340"/>
      <c r="E340"/>
      <c r="F340"/>
      <c r="G340"/>
      <c r="H340"/>
      <c r="I340"/>
      <c r="J340"/>
      <c r="K340" s="53"/>
      <c r="L340"/>
      <c r="M340"/>
      <c r="N340"/>
      <c r="O340"/>
      <c r="P340"/>
      <c r="Q340" s="53"/>
      <c r="R340" s="53"/>
      <c r="S340" s="48"/>
      <c r="T340"/>
      <c r="U340"/>
      <c r="V340" s="37"/>
      <c r="W340"/>
      <c r="X340" s="53"/>
      <c r="Y340"/>
    </row>
    <row r="341" spans="1:26" s="10" customFormat="1" x14ac:dyDescent="0.3">
      <c r="A341"/>
      <c r="B341"/>
      <c r="C341" s="53"/>
      <c r="D341"/>
      <c r="E341"/>
      <c r="F341"/>
      <c r="G341"/>
      <c r="H341"/>
      <c r="I341"/>
      <c r="J341"/>
      <c r="K341" s="53"/>
      <c r="L341"/>
      <c r="M341"/>
      <c r="N341"/>
      <c r="O341"/>
      <c r="P341"/>
      <c r="Q341" s="53"/>
      <c r="R341" s="53"/>
      <c r="S341" s="48"/>
      <c r="T341"/>
      <c r="U341"/>
      <c r="V341" s="37"/>
      <c r="W341"/>
      <c r="X341" s="53"/>
      <c r="Y341"/>
    </row>
    <row r="351" spans="1:26" s="10" customFormat="1" x14ac:dyDescent="0.3">
      <c r="A351"/>
      <c r="B351"/>
      <c r="C351" s="53"/>
      <c r="D351"/>
      <c r="E351"/>
      <c r="F351"/>
      <c r="G351"/>
      <c r="H351"/>
      <c r="I351"/>
      <c r="J351"/>
      <c r="K351" s="53"/>
      <c r="L351"/>
      <c r="M351"/>
      <c r="N351"/>
      <c r="O351"/>
      <c r="P351"/>
      <c r="Q351" s="53"/>
      <c r="R351" s="53"/>
      <c r="S351" s="48"/>
      <c r="T351"/>
      <c r="U351"/>
      <c r="V351" s="37"/>
      <c r="W351"/>
      <c r="X351" s="53"/>
      <c r="Y351"/>
    </row>
    <row r="352" spans="1:26" x14ac:dyDescent="0.3">
      <c r="Z352" s="10"/>
    </row>
  </sheetData>
  <conditionalFormatting sqref="K77:K79 K1:K73 K84:K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 mis</vt:lpstr>
      <vt:lpstr>PIPO &amp; BIBO Inward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Logitech Drona</dc:creator>
  <cp:lastModifiedBy>Rintu Mondal</cp:lastModifiedBy>
  <dcterms:created xsi:type="dcterms:W3CDTF">2025-06-03T04:54:46Z</dcterms:created>
  <dcterms:modified xsi:type="dcterms:W3CDTF">2025-11-14T15:35:27Z</dcterms:modified>
</cp:coreProperties>
</file>
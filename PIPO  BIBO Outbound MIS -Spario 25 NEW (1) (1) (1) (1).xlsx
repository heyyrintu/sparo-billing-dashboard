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RintuMondal\Downloads\"/>
    </mc:Choice>
  </mc:AlternateContent>
  <xr:revisionPtr revIDLastSave="0" documentId="13_ncr:1_{28C4894A-E09B-4BF2-83E7-4928850A41BE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Sheet1" sheetId="2" state="hidden" r:id="rId1"/>
    <sheet name="Outward MIS" sheetId="1" r:id="rId2"/>
    <sheet name="Sheet2" sheetId="3" r:id="rId3"/>
  </sheets>
  <definedNames>
    <definedName name="_xlnm._FilterDatabase" localSheetId="1" hidden="1">'Outward MIS'!$A$2:$W$1382</definedName>
  </definedName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" i="1" l="1"/>
  <c r="M1" i="1"/>
  <c r="A1001" i="1"/>
  <c r="A1003" i="1" s="1"/>
  <c r="A1005" i="1" s="1"/>
  <c r="A1007" i="1" s="1"/>
  <c r="A1009" i="1" s="1"/>
  <c r="A1011" i="1" s="1"/>
  <c r="A1013" i="1" s="1"/>
  <c r="A1015" i="1" s="1"/>
  <c r="A1017" i="1" s="1"/>
  <c r="A1019" i="1" s="1"/>
  <c r="A1021" i="1" s="1"/>
  <c r="A1023" i="1" s="1"/>
  <c r="A1025" i="1" s="1"/>
  <c r="L897" i="1" l="1"/>
  <c r="A5" i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8" i="1" s="1"/>
  <c r="A870" i="1" s="1"/>
  <c r="A872" i="1" s="1"/>
  <c r="A874" i="1" s="1"/>
  <c r="A876" i="1" s="1"/>
  <c r="A878" i="1" s="1"/>
  <c r="A880" i="1" s="1"/>
  <c r="A882" i="1" s="1"/>
  <c r="A884" i="1" s="1"/>
  <c r="A886" i="1" s="1"/>
  <c r="A888" i="1" s="1"/>
  <c r="A890" i="1" s="1"/>
  <c r="A892" i="1" s="1"/>
  <c r="A894" i="1" s="1"/>
  <c r="A896" i="1" s="1"/>
  <c r="A898" i="1" s="1"/>
  <c r="A900" i="1" s="1"/>
  <c r="A902" i="1" s="1"/>
  <c r="A904" i="1" s="1"/>
  <c r="A906" i="1" s="1"/>
  <c r="A908" i="1" s="1"/>
  <c r="A910" i="1" s="1"/>
  <c r="A912" i="1" s="1"/>
  <c r="A914" i="1" s="1"/>
  <c r="A916" i="1" s="1"/>
  <c r="A918" i="1" s="1"/>
  <c r="A920" i="1" s="1"/>
  <c r="A922" i="1" s="1"/>
  <c r="A924" i="1" s="1"/>
  <c r="A926" i="1" s="1"/>
  <c r="A928" i="1" s="1"/>
  <c r="A930" i="1" s="1"/>
  <c r="A932" i="1" s="1"/>
  <c r="A934" i="1" s="1"/>
  <c r="A936" i="1" s="1"/>
  <c r="A938" i="1" s="1"/>
  <c r="A940" i="1" s="1"/>
  <c r="A942" i="1" s="1"/>
  <c r="A944" i="1" s="1"/>
  <c r="A946" i="1" s="1"/>
  <c r="A948" i="1" s="1"/>
  <c r="A950" i="1" s="1"/>
  <c r="A952" i="1" s="1"/>
  <c r="A954" i="1" s="1"/>
  <c r="A956" i="1" s="1"/>
  <c r="A958" i="1" s="1"/>
  <c r="A960" i="1" s="1"/>
  <c r="A962" i="1" s="1"/>
  <c r="A964" i="1" s="1"/>
  <c r="A966" i="1" s="1"/>
  <c r="A968" i="1" s="1"/>
  <c r="A970" i="1" s="1"/>
  <c r="A972" i="1" s="1"/>
  <c r="A974" i="1" s="1"/>
  <c r="A976" i="1" s="1"/>
  <c r="A978" i="1" s="1"/>
  <c r="A980" i="1" s="1"/>
  <c r="A982" i="1" s="1"/>
  <c r="A984" i="1" s="1"/>
  <c r="A986" i="1" s="1"/>
  <c r="A988" i="1" s="1"/>
  <c r="A990" i="1" s="1"/>
  <c r="A992" i="1" s="1"/>
  <c r="A994" i="1" s="1"/>
  <c r="A996" i="1" s="1"/>
  <c r="A998" i="1" s="1"/>
  <c r="A1000" i="1" s="1"/>
  <c r="A1002" i="1" s="1"/>
  <c r="A1004" i="1" s="1"/>
  <c r="A1006" i="1" s="1"/>
  <c r="A1008" i="1" s="1"/>
  <c r="A1010" i="1" s="1"/>
  <c r="A1012" i="1" s="1"/>
  <c r="A1014" i="1" s="1"/>
  <c r="A1016" i="1" s="1"/>
  <c r="A1018" i="1" s="1"/>
  <c r="A1020" i="1" s="1"/>
  <c r="A1022" i="1" s="1"/>
  <c r="A1024" i="1" s="1"/>
  <c r="A867" i="1" l="1"/>
  <c r="A869" i="1" s="1"/>
  <c r="A871" i="1" s="1"/>
  <c r="A873" i="1" s="1"/>
  <c r="A875" i="1" s="1"/>
  <c r="A877" i="1" s="1"/>
  <c r="A879" i="1" s="1"/>
  <c r="A881" i="1" s="1"/>
  <c r="A883" i="1" s="1"/>
  <c r="A885" i="1" s="1"/>
  <c r="A887" i="1" s="1"/>
  <c r="A889" i="1" s="1"/>
  <c r="A891" i="1" s="1"/>
  <c r="A893" i="1" s="1"/>
  <c r="A895" i="1" s="1"/>
  <c r="A897" i="1" s="1"/>
  <c r="A899" i="1" s="1"/>
  <c r="A901" i="1" s="1"/>
  <c r="A903" i="1" s="1"/>
  <c r="A905" i="1" s="1"/>
  <c r="A907" i="1" s="1"/>
  <c r="A909" i="1" s="1"/>
  <c r="A911" i="1" s="1"/>
  <c r="A913" i="1" s="1"/>
  <c r="A915" i="1" s="1"/>
  <c r="A917" i="1" s="1"/>
  <c r="A919" i="1" s="1"/>
  <c r="A921" i="1" s="1"/>
  <c r="A923" i="1" s="1"/>
  <c r="A925" i="1" s="1"/>
  <c r="A927" i="1" s="1"/>
  <c r="A929" i="1" s="1"/>
  <c r="A931" i="1" s="1"/>
  <c r="A933" i="1" s="1"/>
  <c r="A935" i="1" s="1"/>
  <c r="A937" i="1" s="1"/>
  <c r="A939" i="1" s="1"/>
  <c r="A941" i="1" s="1"/>
  <c r="A943" i="1" s="1"/>
  <c r="A945" i="1" s="1"/>
  <c r="A947" i="1" s="1"/>
  <c r="A949" i="1" s="1"/>
  <c r="A951" i="1" s="1"/>
  <c r="A953" i="1" s="1"/>
  <c r="A955" i="1" s="1"/>
  <c r="A957" i="1" s="1"/>
  <c r="A959" i="1" s="1"/>
  <c r="A961" i="1" s="1"/>
  <c r="A963" i="1" s="1"/>
  <c r="A965" i="1" s="1"/>
  <c r="A967" i="1" s="1"/>
  <c r="A969" i="1" s="1"/>
  <c r="A971" i="1" s="1"/>
  <c r="A973" i="1" s="1"/>
  <c r="A975" i="1" s="1"/>
  <c r="A977" i="1" s="1"/>
  <c r="A979" i="1" s="1"/>
  <c r="A981" i="1" s="1"/>
  <c r="A983" i="1" s="1"/>
  <c r="A985" i="1" s="1"/>
  <c r="A987" i="1" s="1"/>
  <c r="A989" i="1" s="1"/>
  <c r="A991" i="1" s="1"/>
  <c r="A993" i="1" s="1"/>
  <c r="A995" i="1" s="1"/>
  <c r="A997" i="1" s="1"/>
</calcChain>
</file>

<file path=xl/sharedStrings.xml><?xml version="1.0" encoding="utf-8"?>
<sst xmlns="http://schemas.openxmlformats.org/spreadsheetml/2006/main" count="14723" uniqueCount="2935">
  <si>
    <t>Sr. No.</t>
  </si>
  <si>
    <t>Out. No.</t>
  </si>
  <si>
    <t>Type</t>
  </si>
  <si>
    <t>PSO No.</t>
  </si>
  <si>
    <t>PSO Date</t>
  </si>
  <si>
    <t>Party Name</t>
  </si>
  <si>
    <t>Invoice No.</t>
  </si>
  <si>
    <t>Invoice Date</t>
  </si>
  <si>
    <t>Order Qty</t>
  </si>
  <si>
    <t>Invoice Qty</t>
  </si>
  <si>
    <t>No. Of Box</t>
  </si>
  <si>
    <t>Dispatched Date</t>
  </si>
  <si>
    <t>To</t>
  </si>
  <si>
    <t>Transportes</t>
  </si>
  <si>
    <t>Vehicle Number</t>
  </si>
  <si>
    <t>Vehicle Type</t>
  </si>
  <si>
    <t>LR NO.</t>
  </si>
  <si>
    <t>Status</t>
  </si>
  <si>
    <t>REMARKS</t>
  </si>
  <si>
    <t>-</t>
  </si>
  <si>
    <t>PIPO</t>
  </si>
  <si>
    <t>Delhi</t>
  </si>
  <si>
    <t>Dispatched</t>
  </si>
  <si>
    <t>BIBO</t>
  </si>
  <si>
    <t>RAJSHREE INNOVATIONS PRIVATE LIMITED -KANPUR</t>
  </si>
  <si>
    <t>Drona Logitech Pvt Ltd</t>
  </si>
  <si>
    <t>HR63D2341</t>
  </si>
  <si>
    <t>PICKUP</t>
  </si>
  <si>
    <t>SHERRY FOOTWEAR               -GHAZIABAD</t>
  </si>
  <si>
    <t>2425/5/TI-2</t>
  </si>
  <si>
    <t>DL01LX0952</t>
  </si>
  <si>
    <t>14 FT</t>
  </si>
  <si>
    <t>2425/5/TI-8</t>
  </si>
  <si>
    <t>ARJAN SALES CORPORATION       -CHNADIGARH</t>
  </si>
  <si>
    <t>2425/5/TI-4</t>
  </si>
  <si>
    <t>KUKREJA TRADERS-NEW           -LUDHIANA</t>
  </si>
  <si>
    <t>2425/5/TI-3</t>
  </si>
  <si>
    <t>DL01LY8949</t>
  </si>
  <si>
    <t>2425/5/TI-1</t>
  </si>
  <si>
    <t>SANJANA FOOTWEAR              -SAHARANPUR</t>
  </si>
  <si>
    <t>2425/5/TI-14</t>
  </si>
  <si>
    <t>VEDA ASSOCIATES               -HYDERABAD</t>
  </si>
  <si>
    <t>2425/5/TI-6</t>
  </si>
  <si>
    <t>J K ENTERPRISES               -DELHI</t>
  </si>
  <si>
    <t>2425/5/TI-13</t>
  </si>
  <si>
    <t>2425/5/TI-9</t>
  </si>
  <si>
    <t>HR55AS7055</t>
  </si>
  <si>
    <t>SHIVA TRADERS-HIMACHAL PRADESH -SOLAN</t>
  </si>
  <si>
    <t>2425/5/TI-11</t>
  </si>
  <si>
    <t>VILIP INC                     -AGRA</t>
  </si>
  <si>
    <t>2425/5/TI-7</t>
  </si>
  <si>
    <t>AURORA RUBBERS NEW            -PATIALA</t>
  </si>
  <si>
    <t>2425/5/TI-12</t>
  </si>
  <si>
    <t>RUDRA TRADING COMPANY         -DELHI</t>
  </si>
  <si>
    <t>2425/5/TI-10</t>
  </si>
  <si>
    <t>2425/5/TI-18</t>
  </si>
  <si>
    <t>2425/5/TI-20</t>
  </si>
  <si>
    <t>2425/5/TI-19</t>
  </si>
  <si>
    <t>SHREEJI SALES                 -GUJARAT</t>
  </si>
  <si>
    <t>2425/5/TI-15</t>
  </si>
  <si>
    <t>DL01MA6889</t>
  </si>
  <si>
    <t>2425/5/TI-17</t>
  </si>
  <si>
    <t>DL01LX1182</t>
  </si>
  <si>
    <t>2425/5/TI-22</t>
  </si>
  <si>
    <t>M.K. TRADERS                  -JAIPUR</t>
  </si>
  <si>
    <t>2425/5/TI-21</t>
  </si>
  <si>
    <t>MITTAL TRADERS                -ABMALA</t>
  </si>
  <si>
    <t>2425/5/TI-16</t>
  </si>
  <si>
    <t>SHRI SHYAM JEE TRADERS        -SONIPAT</t>
  </si>
  <si>
    <t>2425/5/TI-24</t>
  </si>
  <si>
    <t>2425/5/TI-25</t>
  </si>
  <si>
    <t>2425/5/TI-26</t>
  </si>
  <si>
    <t>WSO 22</t>
  </si>
  <si>
    <t>2425/5/TI-28</t>
  </si>
  <si>
    <t>2425/5/TI-34</t>
  </si>
  <si>
    <t>2425/5/TI-30</t>
  </si>
  <si>
    <t>WSO 23</t>
  </si>
  <si>
    <t>2425/5/TI-29</t>
  </si>
  <si>
    <t>2425/5/TI-31</t>
  </si>
  <si>
    <t>2425/5/TI-32</t>
  </si>
  <si>
    <t>2425/5/TI-36</t>
  </si>
  <si>
    <t>HR55AL3199</t>
  </si>
  <si>
    <t>17 FT</t>
  </si>
  <si>
    <t>WSO 24</t>
  </si>
  <si>
    <t>VENUS CORPORATION             -MAHSANA</t>
  </si>
  <si>
    <t>2425/5/TI-33</t>
  </si>
  <si>
    <t>WSO 26</t>
  </si>
  <si>
    <t>2425/5/TI-35</t>
  </si>
  <si>
    <t>WSO 28</t>
  </si>
  <si>
    <t>EQBAL BOOT HOUSE              -PALAMU</t>
  </si>
  <si>
    <t>2425/5/TI-39</t>
  </si>
  <si>
    <t>WSO 25</t>
  </si>
  <si>
    <t>2425/5/TI-38</t>
  </si>
  <si>
    <t>WSO 29</t>
  </si>
  <si>
    <t>2425/5/TI-37</t>
  </si>
  <si>
    <t>2425/5/TI-40</t>
  </si>
  <si>
    <t>2425/5/TI-41</t>
  </si>
  <si>
    <t>PSO 32</t>
  </si>
  <si>
    <t>2425/5/TI-47</t>
  </si>
  <si>
    <t>Jaipur</t>
  </si>
  <si>
    <t>VIJAY LAXMI TRANSPORT COMPANY</t>
  </si>
  <si>
    <t>DL01MB0112</t>
  </si>
  <si>
    <t>22 FT</t>
  </si>
  <si>
    <t>DIRECT VEHICLE</t>
  </si>
  <si>
    <t>VEHICLE ARRANGE BY CUSTOMER</t>
  </si>
  <si>
    <t>PSO 29</t>
  </si>
  <si>
    <t>2425/5/TI-48</t>
  </si>
  <si>
    <t>PSO 18</t>
  </si>
  <si>
    <t>PSO 33</t>
  </si>
  <si>
    <t>2425/5/TI-50</t>
  </si>
  <si>
    <t>PSO 30</t>
  </si>
  <si>
    <t>2425/5/TI-51</t>
  </si>
  <si>
    <t>PSO 16</t>
  </si>
  <si>
    <t>R.C. SETIA &amp; SONS             -HANUMANGARH</t>
  </si>
  <si>
    <t>DEE EMM TRADING CO.           -HISAR</t>
  </si>
  <si>
    <t>WSO 30</t>
  </si>
  <si>
    <t>PSO 17</t>
  </si>
  <si>
    <t>DELHI BOOT HOUSE              -KARNAL</t>
  </si>
  <si>
    <t>BMR TRADING CO.               -FARIDABAD</t>
  </si>
  <si>
    <t>AMAN SHOES AND APPARELS       -JAMMU</t>
  </si>
  <si>
    <t>FA TRADE LINK                 -BAREILLY</t>
  </si>
  <si>
    <t>MAHESH SHOE COMPANY           -BHIWANI</t>
  </si>
  <si>
    <t>SAIFY SALES                   -BHOPAL</t>
  </si>
  <si>
    <t>NETRASHA ENTERPRISES          -GWALIOR</t>
  </si>
  <si>
    <t>DL01MA3659</t>
  </si>
  <si>
    <t>DL01MA2872</t>
  </si>
  <si>
    <t>32 FT</t>
  </si>
  <si>
    <t>HR61E0283</t>
  </si>
  <si>
    <t>SHUBH AGENCIES                -JODHPUR</t>
  </si>
  <si>
    <t>ZAPPOS TRADERS                -SRINAGAR</t>
  </si>
  <si>
    <t>SAUDAGAR SHOE MART            -PATNA</t>
  </si>
  <si>
    <t>TEJAM LEATHERS                -PUNE</t>
  </si>
  <si>
    <t>FLYING FEET                   -UDAIPUR</t>
  </si>
  <si>
    <t>NAMIT ENTERPRISES             -DELHI</t>
  </si>
  <si>
    <t>WSO 49</t>
  </si>
  <si>
    <t>DL1MA3659</t>
  </si>
  <si>
    <t>22FT</t>
  </si>
  <si>
    <t>MILAAP TRADING COMPANY        -BOKARO</t>
  </si>
  <si>
    <t>HR 61 E O283</t>
  </si>
  <si>
    <t>WSO 72</t>
  </si>
  <si>
    <t>DL01GC9359</t>
  </si>
  <si>
    <t>DL1GC9359</t>
  </si>
  <si>
    <t>PSO 206</t>
  </si>
  <si>
    <t>2425/5/TI-294</t>
  </si>
  <si>
    <t>DL01MA6900</t>
  </si>
  <si>
    <t>PSO 201</t>
  </si>
  <si>
    <t>2425/5/TI-293</t>
  </si>
  <si>
    <t>WSO 77 , 78</t>
  </si>
  <si>
    <t>2425/5/TI-303</t>
  </si>
  <si>
    <t>PL01MA6900</t>
  </si>
  <si>
    <t>PSO 213</t>
  </si>
  <si>
    <t>2425/5/TI-298</t>
  </si>
  <si>
    <t>PSO 210</t>
  </si>
  <si>
    <t>2425/5/TI-296</t>
  </si>
  <si>
    <t>PSO 204</t>
  </si>
  <si>
    <t>2425/5/TI-301</t>
  </si>
  <si>
    <t>PSO 203</t>
  </si>
  <si>
    <t>2425/5/TI-300</t>
  </si>
  <si>
    <t>PSO 207</t>
  </si>
  <si>
    <t>2425/5/TI-299</t>
  </si>
  <si>
    <t>PSO 205</t>
  </si>
  <si>
    <t>2425/5/TI-302</t>
  </si>
  <si>
    <t>PSO 212</t>
  </si>
  <si>
    <t>2425/5/TI-297</t>
  </si>
  <si>
    <t>PSO 209</t>
  </si>
  <si>
    <t>2425/5/TI-295</t>
  </si>
  <si>
    <t>WSO80</t>
  </si>
  <si>
    <t>2425/5/TI-310</t>
  </si>
  <si>
    <t>WSO79</t>
  </si>
  <si>
    <t>2425/5/TI-309</t>
  </si>
  <si>
    <t>PSO 211</t>
  </si>
  <si>
    <t>2425/5/TI-311</t>
  </si>
  <si>
    <t>WSO 82</t>
  </si>
  <si>
    <t>2425/5/TI-305</t>
  </si>
  <si>
    <t>WSO76</t>
  </si>
  <si>
    <t>2425/5/TI-306</t>
  </si>
  <si>
    <t>WSO75</t>
  </si>
  <si>
    <t>2425/5/TI-307</t>
  </si>
  <si>
    <t>WSO72</t>
  </si>
  <si>
    <t>2425/5/TI-308</t>
  </si>
  <si>
    <t>PSO 202</t>
  </si>
  <si>
    <t>2425/5/TI-315</t>
  </si>
  <si>
    <t>DL01GL9359</t>
  </si>
  <si>
    <t>WSO83</t>
  </si>
  <si>
    <t>2425/5/TI-317</t>
  </si>
  <si>
    <t>PSO 220</t>
  </si>
  <si>
    <t>2425/5/TI-316</t>
  </si>
  <si>
    <t>PSO 199</t>
  </si>
  <si>
    <t>2425/5/TI-314</t>
  </si>
  <si>
    <t>PSO 200</t>
  </si>
  <si>
    <t>2425/5/TI-312</t>
  </si>
  <si>
    <t>PSO 195</t>
  </si>
  <si>
    <t>2425/5/TI-313</t>
  </si>
  <si>
    <t>PSO 127</t>
  </si>
  <si>
    <t>2425/5/TI-211</t>
  </si>
  <si>
    <t>PSO 121</t>
  </si>
  <si>
    <t>2425/5/TI-209</t>
  </si>
  <si>
    <t>PSO 128</t>
  </si>
  <si>
    <t>2425/5/TI-212</t>
  </si>
  <si>
    <t>PSO 126</t>
  </si>
  <si>
    <t>2425/5/TI-210</t>
  </si>
  <si>
    <t>PSO 119</t>
  </si>
  <si>
    <t>2425/5/TI-208</t>
  </si>
  <si>
    <t>PSO 145</t>
  </si>
  <si>
    <t>2425/5/TI-196</t>
  </si>
  <si>
    <t>WSO 65</t>
  </si>
  <si>
    <t>2425/5/TI-221</t>
  </si>
  <si>
    <t>WSO 64</t>
  </si>
  <si>
    <t>2425/5/TI-220</t>
  </si>
  <si>
    <t>PSO 134</t>
  </si>
  <si>
    <t>2425/5/TI-217</t>
  </si>
  <si>
    <t>2425/5/TI-226</t>
  </si>
  <si>
    <t>PSO 135</t>
  </si>
  <si>
    <t>2425/5/TI-225</t>
  </si>
  <si>
    <t>PSO 142</t>
  </si>
  <si>
    <t>2425/5/TI-193</t>
  </si>
  <si>
    <t>PSO 146</t>
  </si>
  <si>
    <t>2425/5/TI-197</t>
  </si>
  <si>
    <t>PSO 140</t>
  </si>
  <si>
    <t>2425/5/TI-218</t>
  </si>
  <si>
    <t>PSO 136</t>
  </si>
  <si>
    <t>2425/5/TI-224</t>
  </si>
  <si>
    <t>PSO 132</t>
  </si>
  <si>
    <t>2425/5/TI-216</t>
  </si>
  <si>
    <t>PSO 144</t>
  </si>
  <si>
    <t>2425/5/TI-195</t>
  </si>
  <si>
    <t>WSO 67</t>
  </si>
  <si>
    <t>2425/5/TI-222</t>
  </si>
  <si>
    <t>PSO 221</t>
  </si>
  <si>
    <t>2425/5/TI-318</t>
  </si>
  <si>
    <t>WSO 89</t>
  </si>
  <si>
    <t>2425/5/TI-321</t>
  </si>
  <si>
    <t>PSO 222</t>
  </si>
  <si>
    <t>2425/5/TI-319</t>
  </si>
  <si>
    <t>WSO 85</t>
  </si>
  <si>
    <t>2425/5/TI-322</t>
  </si>
  <si>
    <t>PSO 216</t>
  </si>
  <si>
    <t>2425/5/TI-324</t>
  </si>
  <si>
    <t>WSO 86</t>
  </si>
  <si>
    <t>2425/5/TI-326</t>
  </si>
  <si>
    <t>WSO 90</t>
  </si>
  <si>
    <t>2425/5/TI-327</t>
  </si>
  <si>
    <t>PSO 239</t>
  </si>
  <si>
    <t>2425/5/TI-325</t>
  </si>
  <si>
    <t>PSO 238</t>
  </si>
  <si>
    <t>2425/5/TI-320</t>
  </si>
  <si>
    <t>WSO 88</t>
  </si>
  <si>
    <t>S H PATEL AND CO              -LATUR</t>
  </si>
  <si>
    <t>2425/5/TI-328</t>
  </si>
  <si>
    <t>PSO 217</t>
  </si>
  <si>
    <t>2425/5/TI-331</t>
  </si>
  <si>
    <t>PSO 223</t>
  </si>
  <si>
    <t>2425/5/TI-329</t>
  </si>
  <si>
    <t>PSO 226</t>
  </si>
  <si>
    <t>2425/5/TI-330</t>
  </si>
  <si>
    <t>PSO 224</t>
  </si>
  <si>
    <t>2425/5/TI-334</t>
  </si>
  <si>
    <t>PSO 215</t>
  </si>
  <si>
    <t>2425/5/TI-335</t>
  </si>
  <si>
    <t>PSO 219</t>
  </si>
  <si>
    <t>2425/5/TI-333</t>
  </si>
  <si>
    <t>PSO 218</t>
  </si>
  <si>
    <t>2425/5/TI-332</t>
  </si>
  <si>
    <t>SS 2</t>
  </si>
  <si>
    <t>2425/5/STO-4</t>
  </si>
  <si>
    <t>HR55AM0634</t>
  </si>
  <si>
    <t>2425/5/TI-223</t>
  </si>
  <si>
    <t>DL01MA0359</t>
  </si>
  <si>
    <t>PSO 141</t>
  </si>
  <si>
    <t>2425/5/TI-231</t>
  </si>
  <si>
    <t>PSO 131</t>
  </si>
  <si>
    <t>2425/5/TI-229</t>
  </si>
  <si>
    <t>PSO 108</t>
  </si>
  <si>
    <t>2425/5/TI-232</t>
  </si>
  <si>
    <t>2425/5/TI-230</t>
  </si>
  <si>
    <t>PSO 138</t>
  </si>
  <si>
    <t>2425/5/TI-228</t>
  </si>
  <si>
    <t>PSO 229</t>
  </si>
  <si>
    <t>2425/5/TI-338</t>
  </si>
  <si>
    <t>PSO 234</t>
  </si>
  <si>
    <t>2425/5/TI-343</t>
  </si>
  <si>
    <t>PSO 241</t>
  </si>
  <si>
    <t>2425/5/TI-345</t>
  </si>
  <si>
    <t>PSO 230</t>
  </si>
  <si>
    <t>2425/5/TI-339</t>
  </si>
  <si>
    <t>PSO 227</t>
  </si>
  <si>
    <t>2425/5/TI-337</t>
  </si>
  <si>
    <t xml:space="preserve">52 Box loaded </t>
  </si>
  <si>
    <t>PSO 231</t>
  </si>
  <si>
    <t>2425/5/TI-342</t>
  </si>
  <si>
    <t>PSO 232</t>
  </si>
  <si>
    <t>2425/5/TI-336</t>
  </si>
  <si>
    <t>PSO 236</t>
  </si>
  <si>
    <t>2425/5/TI-341</t>
  </si>
  <si>
    <t>PSO 244</t>
  </si>
  <si>
    <t>2425/5/TI-347</t>
  </si>
  <si>
    <t>PSO 225</t>
  </si>
  <si>
    <t>2425/5/TI-346</t>
  </si>
  <si>
    <t>PSO 233</t>
  </si>
  <si>
    <t>2425/5/TI-340</t>
  </si>
  <si>
    <t>PSO 228</t>
  </si>
  <si>
    <t>2425/5/TI-344</t>
  </si>
  <si>
    <t>WSO 95</t>
  </si>
  <si>
    <t>2425/5/TI-351</t>
  </si>
  <si>
    <t>WSO 101</t>
  </si>
  <si>
    <t>2425/5/TI-356</t>
  </si>
  <si>
    <t>WSO 87</t>
  </si>
  <si>
    <t>2425/5/TI-360</t>
  </si>
  <si>
    <t>WSO 100</t>
  </si>
  <si>
    <t>2425/5/TI-355</t>
  </si>
  <si>
    <t>WSO 91</t>
  </si>
  <si>
    <t>2425/5/TI-348</t>
  </si>
  <si>
    <t>WSO 94</t>
  </si>
  <si>
    <t>2425/5/TI-350</t>
  </si>
  <si>
    <t>WSO 92</t>
  </si>
  <si>
    <t>2425/5/TI-349</t>
  </si>
  <si>
    <t>PSO 235</t>
  </si>
  <si>
    <t>2425/5/TI-362</t>
  </si>
  <si>
    <t>PSO 237</t>
  </si>
  <si>
    <t>2425/5/TI-353</t>
  </si>
  <si>
    <t>WSO 96</t>
  </si>
  <si>
    <t>2425/5/TI-357</t>
  </si>
  <si>
    <t>WSO 99</t>
  </si>
  <si>
    <t>2425/5/TI-354</t>
  </si>
  <si>
    <t>WSO 93</t>
  </si>
  <si>
    <t>2425/5/TI-358</t>
  </si>
  <si>
    <t>WSO 97</t>
  </si>
  <si>
    <t>2425/5/TI-359</t>
  </si>
  <si>
    <t>PSO 240</t>
  </si>
  <si>
    <t>2425/5/TI-352</t>
  </si>
  <si>
    <t>PSO 250</t>
  </si>
  <si>
    <t>2425/5/TI-372</t>
  </si>
  <si>
    <t>PSO 247</t>
  </si>
  <si>
    <t>2425/5/TI-367</t>
  </si>
  <si>
    <t>PSO 243</t>
  </si>
  <si>
    <t>2425/5/TI-361</t>
  </si>
  <si>
    <t>PSO 251</t>
  </si>
  <si>
    <t>2425/5/TI-371</t>
  </si>
  <si>
    <t>PSO 249</t>
  </si>
  <si>
    <t>2425/5/TI-369</t>
  </si>
  <si>
    <t>PSO 248</t>
  </si>
  <si>
    <t>2425/5/TI-368</t>
  </si>
  <si>
    <t>PSO 242</t>
  </si>
  <si>
    <t>2425/5/TI-364</t>
  </si>
  <si>
    <t>PSO 246</t>
  </si>
  <si>
    <t>2425/5/TI-366</t>
  </si>
  <si>
    <t>WSO 105</t>
  </si>
  <si>
    <t>2425/5/TI-373</t>
  </si>
  <si>
    <t>2425/5/TI-370</t>
  </si>
  <si>
    <t>WSO 98</t>
  </si>
  <si>
    <t>BHUSHAN SHOES                 -NAGPUR</t>
  </si>
  <si>
    <t>2425/5/TI-374</t>
  </si>
  <si>
    <t>WSO 102</t>
  </si>
  <si>
    <t>2425/5/TI-363</t>
  </si>
  <si>
    <t>PSO 245</t>
  </si>
  <si>
    <t>2425/5/TI-365</t>
  </si>
  <si>
    <t>WSO 112</t>
  </si>
  <si>
    <t>2425/5/TI-383</t>
  </si>
  <si>
    <t>WSO 113</t>
  </si>
  <si>
    <t>2425/5/TI-384</t>
  </si>
  <si>
    <t>WSO 106</t>
  </si>
  <si>
    <t>2425/5/TI-377</t>
  </si>
  <si>
    <t>WSO 109</t>
  </si>
  <si>
    <t>2425/5/TI-380</t>
  </si>
  <si>
    <t>WSO 110</t>
  </si>
  <si>
    <t>2425/5/TI-378</t>
  </si>
  <si>
    <t>WSO 108</t>
  </si>
  <si>
    <t>2425/5/TI-382</t>
  </si>
  <si>
    <t>WSO 7,18,38,44,69,74,93,103</t>
  </si>
  <si>
    <t>2425/5/TI-381</t>
  </si>
  <si>
    <t>WSO 111</t>
  </si>
  <si>
    <t>2425/5/TI-379</t>
  </si>
  <si>
    <t>WSO 103</t>
  </si>
  <si>
    <t>2425/5/TI-375</t>
  </si>
  <si>
    <t>WSO 104</t>
  </si>
  <si>
    <t>2425/5/TI-376</t>
  </si>
  <si>
    <t>WSO 16</t>
  </si>
  <si>
    <t>2425/5/TI-390</t>
  </si>
  <si>
    <t>DL1MB0112</t>
  </si>
  <si>
    <t>2425/5/TI-394</t>
  </si>
  <si>
    <t>WSO 122</t>
  </si>
  <si>
    <t>2425/5/TI-393</t>
  </si>
  <si>
    <t>WSO 121</t>
  </si>
  <si>
    <t>2425/5/TI-392</t>
  </si>
  <si>
    <t>2425/5/TI-387</t>
  </si>
  <si>
    <t>2425/5/TI-386</t>
  </si>
  <si>
    <t>WSO 119</t>
  </si>
  <si>
    <t>2425/5/TI-391</t>
  </si>
  <si>
    <t>WSO 117</t>
  </si>
  <si>
    <t>2425/5/TI-385</t>
  </si>
  <si>
    <t>WSO 83</t>
  </si>
  <si>
    <t>2425/5/TI-389</t>
  </si>
  <si>
    <t>WSO 118</t>
  </si>
  <si>
    <t>2425/5/TI-388</t>
  </si>
  <si>
    <t>WSO 123</t>
  </si>
  <si>
    <t>2425/5/TI-395</t>
  </si>
  <si>
    <t>WSO 124</t>
  </si>
  <si>
    <t>2425/5/TI-399</t>
  </si>
  <si>
    <t>WSO 127</t>
  </si>
  <si>
    <t>2425/5/TI-401</t>
  </si>
  <si>
    <t>WSO 129</t>
  </si>
  <si>
    <t>2425/5/TI-402</t>
  </si>
  <si>
    <t>WSO 130</t>
  </si>
  <si>
    <t>2425/5/TI-403</t>
  </si>
  <si>
    <t>WSO 126</t>
  </si>
  <si>
    <t>2425/5/TI-400</t>
  </si>
  <si>
    <t>WSO 125</t>
  </si>
  <si>
    <t>2425/5/TI-405</t>
  </si>
  <si>
    <t>WSO 128</t>
  </si>
  <si>
    <t>2425/5/TI-406</t>
  </si>
  <si>
    <t>WSO 120</t>
  </si>
  <si>
    <t>2425/5/TI-398</t>
  </si>
  <si>
    <t>WSO 116</t>
  </si>
  <si>
    <t>2425/5/TI-397</t>
  </si>
  <si>
    <t>WSO 115</t>
  </si>
  <si>
    <t>2425/5/TI-396</t>
  </si>
  <si>
    <t>SSO 4</t>
  </si>
  <si>
    <t>2425/5/STO-5</t>
  </si>
  <si>
    <t>HR55AT9767</t>
  </si>
  <si>
    <t>SSO 3</t>
  </si>
  <si>
    <t>2425/5/TI-404</t>
  </si>
  <si>
    <t>SSO 5</t>
  </si>
  <si>
    <t>2425/5/TI-407</t>
  </si>
  <si>
    <t>SSO 6</t>
  </si>
  <si>
    <t>2425/5/TI-408</t>
  </si>
  <si>
    <t>PSO 263</t>
  </si>
  <si>
    <t>2425/5/TI-414</t>
  </si>
  <si>
    <t>PSO 256</t>
  </si>
  <si>
    <t>2425/5/TI-415</t>
  </si>
  <si>
    <t>PSO 260</t>
  </si>
  <si>
    <t>2425/5/TI-416</t>
  </si>
  <si>
    <t>PSO 258</t>
  </si>
  <si>
    <t>2425/5/TI-417</t>
  </si>
  <si>
    <t>PSO 261</t>
  </si>
  <si>
    <t>2425/5/TI-418</t>
  </si>
  <si>
    <t>PSO 265</t>
  </si>
  <si>
    <t>2425/5/TI-411</t>
  </si>
  <si>
    <t>PSO 266</t>
  </si>
  <si>
    <t>2425/5/TI-412</t>
  </si>
  <si>
    <t>PSO 274</t>
  </si>
  <si>
    <t>2425/5/TI-419</t>
  </si>
  <si>
    <t>PSO 267</t>
  </si>
  <si>
    <t>2425/5/TI-425</t>
  </si>
  <si>
    <t>PSO 259</t>
  </si>
  <si>
    <t>2425/5/TI-420</t>
  </si>
  <si>
    <t>WSO 132</t>
  </si>
  <si>
    <t>2425/5/TI-409</t>
  </si>
  <si>
    <t>WSO 133</t>
  </si>
  <si>
    <t>2425/5/TI-410</t>
  </si>
  <si>
    <t>PSO 280</t>
  </si>
  <si>
    <t>2425/5/TI-428</t>
  </si>
  <si>
    <t>PSO 262</t>
  </si>
  <si>
    <t>2425/5/TI-424</t>
  </si>
  <si>
    <t>PSO 272</t>
  </si>
  <si>
    <t>2425/5/TI-422</t>
  </si>
  <si>
    <t>PSO 285</t>
  </si>
  <si>
    <t>2425/5/TI-427</t>
  </si>
  <si>
    <t>PSO 269</t>
  </si>
  <si>
    <t>2425/5/TI-421</t>
  </si>
  <si>
    <t>PSO 282</t>
  </si>
  <si>
    <t>2425/5/TI-426</t>
  </si>
  <si>
    <t>PSO 284</t>
  </si>
  <si>
    <t>2425/5/TI-423</t>
  </si>
  <si>
    <t>PSO 290</t>
  </si>
  <si>
    <t>2425/5/TI-429</t>
  </si>
  <si>
    <t>PSO 291</t>
  </si>
  <si>
    <t>2425/5/TI-431</t>
  </si>
  <si>
    <t>PSO 279</t>
  </si>
  <si>
    <t>2425/5/TI-432</t>
  </si>
  <si>
    <t>PSO 275</t>
  </si>
  <si>
    <t>PSO 254</t>
  </si>
  <si>
    <t>2425/5/TI-442</t>
  </si>
  <si>
    <t>WSO 134</t>
  </si>
  <si>
    <t>2425/5/TI-436</t>
  </si>
  <si>
    <t>WSO 131</t>
  </si>
  <si>
    <t>2425/5/TI-433</t>
  </si>
  <si>
    <t>PSO 299</t>
  </si>
  <si>
    <t>2425/5/TI-430</t>
  </si>
  <si>
    <t>WSO 136</t>
  </si>
  <si>
    <t>2425/5/TI-435</t>
  </si>
  <si>
    <t>PSO 292</t>
  </si>
  <si>
    <t>2425/5/TI-434</t>
  </si>
  <si>
    <t>WSO 138</t>
  </si>
  <si>
    <t>2425/5/TI-437</t>
  </si>
  <si>
    <t>PSO 253</t>
  </si>
  <si>
    <t>2425/5/TI-440</t>
  </si>
  <si>
    <t>WSO 137</t>
  </si>
  <si>
    <t>2425/5/TI-438</t>
  </si>
  <si>
    <t>PSO 293</t>
  </si>
  <si>
    <t>2425/5/TI-443</t>
  </si>
  <si>
    <t>PSO 257</t>
  </si>
  <si>
    <t>2425/5/TI-448</t>
  </si>
  <si>
    <t>PSO 296</t>
  </si>
  <si>
    <t>2425/5/TI-447</t>
  </si>
  <si>
    <t>WSO 143</t>
  </si>
  <si>
    <t>2425/5/TI-452</t>
  </si>
  <si>
    <t>PSO 294</t>
  </si>
  <si>
    <t>2425/5/TI-444</t>
  </si>
  <si>
    <t>PSO 268</t>
  </si>
  <si>
    <t>2425/5/TI-465</t>
  </si>
  <si>
    <t>WSO 142</t>
  </si>
  <si>
    <t>2425/5/TI-449</t>
  </si>
  <si>
    <t>WSO 144</t>
  </si>
  <si>
    <t>2425/5/TI-450</t>
  </si>
  <si>
    <t>WSO 141</t>
  </si>
  <si>
    <t>2425/5/TI-451</t>
  </si>
  <si>
    <t>WSO 135</t>
  </si>
  <si>
    <t>2425/5/TI-441</t>
  </si>
  <si>
    <t>WSO 140</t>
  </si>
  <si>
    <t>2425/5/TI-453</t>
  </si>
  <si>
    <t>WSO 139</t>
  </si>
  <si>
    <t>2425/5/TI-439</t>
  </si>
  <si>
    <t>PSO 297</t>
  </si>
  <si>
    <t>2425/5/TI-446</t>
  </si>
  <si>
    <t>PSO 264</t>
  </si>
  <si>
    <t>2425/5/TI-471</t>
  </si>
  <si>
    <t>PSO 271</t>
  </si>
  <si>
    <t>2425/5/TI-469</t>
  </si>
  <si>
    <t>PSO 277</t>
  </si>
  <si>
    <t>2425/5/TI-472</t>
  </si>
  <si>
    <t>WSO 77</t>
  </si>
  <si>
    <t>2425/5/TI-454</t>
  </si>
  <si>
    <t>WSO 16,37,61</t>
  </si>
  <si>
    <t>2425/5/TI-458</t>
  </si>
  <si>
    <t>WSO 4,72</t>
  </si>
  <si>
    <t>2425/5/TI-455</t>
  </si>
  <si>
    <t>WSO 24,41,42</t>
  </si>
  <si>
    <t>2425/5/TI-457</t>
  </si>
  <si>
    <t>PSO 289</t>
  </si>
  <si>
    <t>2425/5/TI-468</t>
  </si>
  <si>
    <t>WSO 19,44,67,69</t>
  </si>
  <si>
    <t>2425/5/TI-459</t>
  </si>
  <si>
    <t>PSO 276</t>
  </si>
  <si>
    <t>2425/5/TI-464</t>
  </si>
  <si>
    <t>2425/5/TI-463</t>
  </si>
  <si>
    <t>2425/5/TI-461</t>
  </si>
  <si>
    <t>PSO 295</t>
  </si>
  <si>
    <t>2425/5/TI-445</t>
  </si>
  <si>
    <t>WSO 17</t>
  </si>
  <si>
    <t>2425/5/TI-460</t>
  </si>
  <si>
    <t>WSO 20</t>
  </si>
  <si>
    <t>2425/5/TI-462</t>
  </si>
  <si>
    <t>WSO 75</t>
  </si>
  <si>
    <t>2425/5/TI-456</t>
  </si>
  <si>
    <t>PSO 255</t>
  </si>
  <si>
    <t>2425/5/TI-467</t>
  </si>
  <si>
    <t>PSO 283</t>
  </si>
  <si>
    <t>2425/5/TI-470</t>
  </si>
  <si>
    <t>PSO 252</t>
  </si>
  <si>
    <t>2425/5/TI-476</t>
  </si>
  <si>
    <t>PSO 300</t>
  </si>
  <si>
    <t>2425/5/TI-475</t>
  </si>
  <si>
    <t>WSO 149</t>
  </si>
  <si>
    <t>2425/5/TI-479</t>
  </si>
  <si>
    <t>WSO 154</t>
  </si>
  <si>
    <t>2425/5/TI-483</t>
  </si>
  <si>
    <t>PSO 273</t>
  </si>
  <si>
    <t>2425/5/TI-466</t>
  </si>
  <si>
    <t>WSO 145</t>
  </si>
  <si>
    <t>2425/5/TI-478</t>
  </si>
  <si>
    <t>PSO 306</t>
  </si>
  <si>
    <t>2425/5/TI-502</t>
  </si>
  <si>
    <t>PSO 287</t>
  </si>
  <si>
    <t>2425/5/TI-482</t>
  </si>
  <si>
    <t>PSO 319</t>
  </si>
  <si>
    <t>2425/5/TI-503</t>
  </si>
  <si>
    <t>PSO 281</t>
  </si>
  <si>
    <t>2425/5/TI-494</t>
  </si>
  <si>
    <t>PSO 303</t>
  </si>
  <si>
    <t>2425/5/TI-496</t>
  </si>
  <si>
    <t>PSO 307</t>
  </si>
  <si>
    <t>2425/5/TI-498</t>
  </si>
  <si>
    <t>WSO 148</t>
  </si>
  <si>
    <t>2425/5/TI-481</t>
  </si>
  <si>
    <t>WSO 146</t>
  </si>
  <si>
    <t>MNS MARKETING                 -CHENNAI</t>
  </si>
  <si>
    <t>2425/5/TI-480</t>
  </si>
  <si>
    <t>WSO 152</t>
  </si>
  <si>
    <t>2425/5/TI-501</t>
  </si>
  <si>
    <t>WSO 150</t>
  </si>
  <si>
    <t>VOGUE FASHION INC             -BENGALURU URBAN</t>
  </si>
  <si>
    <t>2425/5/TI-500</t>
  </si>
  <si>
    <t>PSO 286</t>
  </si>
  <si>
    <t>2425/5/TI-505</t>
  </si>
  <si>
    <t xml:space="preserve">This material Billed to </t>
  </si>
  <si>
    <t>PSO 270</t>
  </si>
  <si>
    <t>2425/5/TI-477</t>
  </si>
  <si>
    <t>PSO 278</t>
  </si>
  <si>
    <t>2425/5/TI-473</t>
  </si>
  <si>
    <t>PSO 288</t>
  </si>
  <si>
    <t>2425/5/TI-506</t>
  </si>
  <si>
    <t>PSO 301</t>
  </si>
  <si>
    <t>2425/5/TI-474</t>
  </si>
  <si>
    <t>PSO 302</t>
  </si>
  <si>
    <t>2425/5/TI-495</t>
  </si>
  <si>
    <t>PSO 322</t>
  </si>
  <si>
    <t>2425/5/TI-514</t>
  </si>
  <si>
    <t>PSO 325</t>
  </si>
  <si>
    <t>2425/5/TI-517</t>
  </si>
  <si>
    <t>WSO 147</t>
  </si>
  <si>
    <t>2425/5/TI-524</t>
  </si>
  <si>
    <t>WSO 153</t>
  </si>
  <si>
    <t>2425/5/TI-509</t>
  </si>
  <si>
    <t>WSO 151</t>
  </si>
  <si>
    <t>2425/5/TI-508</t>
  </si>
  <si>
    <t>WSO 159</t>
  </si>
  <si>
    <t>2425/5/TI-513</t>
  </si>
  <si>
    <t>WSO 161</t>
  </si>
  <si>
    <t>2425/5/TI-512</t>
  </si>
  <si>
    <t>2425/5/TI-523</t>
  </si>
  <si>
    <t>PSO 298</t>
  </si>
  <si>
    <t>2425/5/TI-507</t>
  </si>
  <si>
    <t>WSO 156</t>
  </si>
  <si>
    <t>2425/5/TI-510</t>
  </si>
  <si>
    <t>WSO 155</t>
  </si>
  <si>
    <t>2425/5/TI-511</t>
  </si>
  <si>
    <t>WSO 163</t>
  </si>
  <si>
    <t>2425/5/TI-525</t>
  </si>
  <si>
    <t>PSO 304</t>
  </si>
  <si>
    <t>2425/5/TI-516</t>
  </si>
  <si>
    <t>PSO 320</t>
  </si>
  <si>
    <t>2425/5/TI-515</t>
  </si>
  <si>
    <t>PSO 323</t>
  </si>
  <si>
    <t>2425/5/TI-518</t>
  </si>
  <si>
    <t>PSO 324</t>
  </si>
  <si>
    <t>2425/5/TI-519</t>
  </si>
  <si>
    <t>PSO 328</t>
  </si>
  <si>
    <t>2425/5/TI-520</t>
  </si>
  <si>
    <t>WSO 158</t>
  </si>
  <si>
    <t>2425/5/TI-536</t>
  </si>
  <si>
    <t>WSO 160</t>
  </si>
  <si>
    <t>2425/5/TI-537</t>
  </si>
  <si>
    <t>WSO 162</t>
  </si>
  <si>
    <t>2425/5/TI-522</t>
  </si>
  <si>
    <t>WSO 164</t>
  </si>
  <si>
    <t>2425/5/TI-546</t>
  </si>
  <si>
    <t>PSO 330</t>
  </si>
  <si>
    <t>2425/5/TI-547</t>
  </si>
  <si>
    <t>2425/5/TI-531</t>
  </si>
  <si>
    <t>2425/5/TI-530</t>
  </si>
  <si>
    <t>2425/5/TI-529</t>
  </si>
  <si>
    <t>2425/5/TI-527</t>
  </si>
  <si>
    <t>2425/5/TI-528</t>
  </si>
  <si>
    <t>WSO 157</t>
  </si>
  <si>
    <t>2425/5/TI-541</t>
  </si>
  <si>
    <t>WSO 166</t>
  </si>
  <si>
    <t>2425/5/TI-543</t>
  </si>
  <si>
    <t>2425/5/TI-533</t>
  </si>
  <si>
    <t>2425/5/TI-535</t>
  </si>
  <si>
    <t>WSO 114</t>
  </si>
  <si>
    <t>2425/5/TI-538</t>
  </si>
  <si>
    <t>WSO 167</t>
  </si>
  <si>
    <t>2425/5/TI-544</t>
  </si>
  <si>
    <t>WSO 1</t>
  </si>
  <si>
    <t>2425/5/TI-539</t>
  </si>
  <si>
    <t>2425/5/TI-534</t>
  </si>
  <si>
    <t>2425/5/TI-532</t>
  </si>
  <si>
    <t>WSO 165</t>
  </si>
  <si>
    <t>2425/5/TI-545</t>
  </si>
  <si>
    <t>2425/5/TI-540</t>
  </si>
  <si>
    <t>2425/5/TI-526</t>
  </si>
  <si>
    <t>WSO 172</t>
  </si>
  <si>
    <t>2425/5/TI-553</t>
  </si>
  <si>
    <t>DL1MA2872</t>
  </si>
  <si>
    <t>WSO 174</t>
  </si>
  <si>
    <t>2425/5/TI-558</t>
  </si>
  <si>
    <t>WSO 171</t>
  </si>
  <si>
    <t>2425/5/TI-554</t>
  </si>
  <si>
    <t>WSO 173</t>
  </si>
  <si>
    <t>2425/5/TI-557</t>
  </si>
  <si>
    <t>PSO 333</t>
  </si>
  <si>
    <t>2425/5/TI-548</t>
  </si>
  <si>
    <t>PSO 332</t>
  </si>
  <si>
    <t>2425/5/TI-542</t>
  </si>
  <si>
    <t>PSO 336</t>
  </si>
  <si>
    <t>2425/5/TI-551</t>
  </si>
  <si>
    <t>WSO 170</t>
  </si>
  <si>
    <t>2425/5/TI-552</t>
  </si>
  <si>
    <t>PSO 305</t>
  </si>
  <si>
    <t>2425/5/TI-497</t>
  </si>
  <si>
    <t>WSO 169</t>
  </si>
  <si>
    <t>2425/5/TI-555</t>
  </si>
  <si>
    <t>PSO 326</t>
  </si>
  <si>
    <t>2425/5/TI-550</t>
  </si>
  <si>
    <t>PSO 327</t>
  </si>
  <si>
    <t>2425/5/TI-549</t>
  </si>
  <si>
    <t>PSO 329</t>
  </si>
  <si>
    <t>2425/5/TI-521</t>
  </si>
  <si>
    <t>PSO 321</t>
  </si>
  <si>
    <t>2425/5/TI-504</t>
  </si>
  <si>
    <t>Dispatch hold by coustomer</t>
  </si>
  <si>
    <t>WSO 181</t>
  </si>
  <si>
    <t>2425/5/TI-569</t>
  </si>
  <si>
    <t>WSO 175</t>
  </si>
  <si>
    <t>2425/5/TI-567</t>
  </si>
  <si>
    <t>PSO 335</t>
  </si>
  <si>
    <t>2425/5/TI-561</t>
  </si>
  <si>
    <t>WSO 187</t>
  </si>
  <si>
    <t>2425/5/TI-574</t>
  </si>
  <si>
    <t>WSO 179</t>
  </si>
  <si>
    <t>2425/5/TI-570</t>
  </si>
  <si>
    <t>WSO 185</t>
  </si>
  <si>
    <t>2425/5/TI-568</t>
  </si>
  <si>
    <t>PSO 337</t>
  </si>
  <si>
    <t>2425/5/TI-560</t>
  </si>
  <si>
    <t>WSO 182</t>
  </si>
  <si>
    <t>2425/5/TI-564</t>
  </si>
  <si>
    <t>WSO 190</t>
  </si>
  <si>
    <t>2425/5/TI-572</t>
  </si>
  <si>
    <t>WSO 183 184</t>
  </si>
  <si>
    <t>2425/5/TI-563</t>
  </si>
  <si>
    <t>WSO 176</t>
  </si>
  <si>
    <t>2425/5/TI-565</t>
  </si>
  <si>
    <t>WSO 168</t>
  </si>
  <si>
    <t>2425/5/TI-556</t>
  </si>
  <si>
    <t>WSO 191</t>
  </si>
  <si>
    <t>2425/5/TI-573</t>
  </si>
  <si>
    <t>WSO 177 178</t>
  </si>
  <si>
    <t>2425/5/TI-566</t>
  </si>
  <si>
    <t>PSO 340</t>
  </si>
  <si>
    <t>2425/5/TI-582</t>
  </si>
  <si>
    <t>WSO 195</t>
  </si>
  <si>
    <t>2425/5/TI-580</t>
  </si>
  <si>
    <t>WSO 189</t>
  </si>
  <si>
    <t>2425/5/TI-578</t>
  </si>
  <si>
    <t>WSO 192</t>
  </si>
  <si>
    <t>2425/5/TI-577</t>
  </si>
  <si>
    <t>PSO 308</t>
  </si>
  <si>
    <t>K.K.ENTERPRISES               -NANITAL</t>
  </si>
  <si>
    <t>2425/5/TI-499</t>
  </si>
  <si>
    <t>PSO 341</t>
  </si>
  <si>
    <t>2425/5/TI-583</t>
  </si>
  <si>
    <t>WSO 186</t>
  </si>
  <si>
    <t>2425/5/TI-571</t>
  </si>
  <si>
    <t>WSO 193</t>
  </si>
  <si>
    <t>2425/5/TI-579</t>
  </si>
  <si>
    <t>WSO 81</t>
  </si>
  <si>
    <t>2425/5/TI-575</t>
  </si>
  <si>
    <t>WSO 196</t>
  </si>
  <si>
    <t>2425/5/TI-576</t>
  </si>
  <si>
    <t>WSO 188</t>
  </si>
  <si>
    <t>2425/5/TI-584</t>
  </si>
  <si>
    <t>WSO 194</t>
  </si>
  <si>
    <t>2425/5/TI-588</t>
  </si>
  <si>
    <t>WSO 199</t>
  </si>
  <si>
    <t>2425/5/TI-585</t>
  </si>
  <si>
    <t>WSO 198</t>
  </si>
  <si>
    <t>2425/5/TI-586</t>
  </si>
  <si>
    <t>PSO 331</t>
  </si>
  <si>
    <t>2425/5/TI-587</t>
  </si>
  <si>
    <t>PSO 334</t>
  </si>
  <si>
    <t>2425/5/TI-562</t>
  </si>
  <si>
    <t>PSO 339</t>
  </si>
  <si>
    <t>2425/5/TI-581</t>
  </si>
  <si>
    <t>WSO 206</t>
  </si>
  <si>
    <t>2425/5/TI-592</t>
  </si>
  <si>
    <t>DL1LGC9359</t>
  </si>
  <si>
    <t>WSO 208</t>
  </si>
  <si>
    <t>2425/5/TI-599</t>
  </si>
  <si>
    <t>WSO 209</t>
  </si>
  <si>
    <t>2425/5/TI-600</t>
  </si>
  <si>
    <t>WSO 207</t>
  </si>
  <si>
    <t>2425/5/TI-594</t>
  </si>
  <si>
    <t>WSO 197</t>
  </si>
  <si>
    <t>2425/5/TI-590</t>
  </si>
  <si>
    <t>WSO 201</t>
  </si>
  <si>
    <t>2425/5/TI-595</t>
  </si>
  <si>
    <t>PSO 343</t>
  </si>
  <si>
    <t>2425/5/TI-597</t>
  </si>
  <si>
    <t>WSO 204</t>
  </si>
  <si>
    <t>2425/5/TI-593</t>
  </si>
  <si>
    <t>WSO 202</t>
  </si>
  <si>
    <t>2425/5/TI-596</t>
  </si>
  <si>
    <t>WSO 200</t>
  </si>
  <si>
    <t>2425/5/TI-589</t>
  </si>
  <si>
    <t>WSO 205</t>
  </si>
  <si>
    <t>2425/5/TI-591</t>
  </si>
  <si>
    <t>PSO 344</t>
  </si>
  <si>
    <t>2425/5/TI-602</t>
  </si>
  <si>
    <t>PSO 346</t>
  </si>
  <si>
    <t>2425/5/TI-609</t>
  </si>
  <si>
    <t>PSO 345</t>
  </si>
  <si>
    <t>2425/5/TI-608</t>
  </si>
  <si>
    <t>WSO 213</t>
  </si>
  <si>
    <t>2425/5/TI-605</t>
  </si>
  <si>
    <t>WSO 210</t>
  </si>
  <si>
    <t>PRAKASH ENTERPRISES/PRAKASH AGENCY -MUMBAI</t>
  </si>
  <si>
    <t>2425/5/TI-610</t>
  </si>
  <si>
    <t>PSO 342</t>
  </si>
  <si>
    <t>2425/5/TI-601</t>
  </si>
  <si>
    <t>WSO 203</t>
  </si>
  <si>
    <t>2425/5/TI-598</t>
  </si>
  <si>
    <t>WSO 214</t>
  </si>
  <si>
    <t>2425/5/TI-606</t>
  </si>
  <si>
    <t>WSO 215</t>
  </si>
  <si>
    <t>2425/5/TI-607</t>
  </si>
  <si>
    <t>WSO 211</t>
  </si>
  <si>
    <t>2425/5/TI-603</t>
  </si>
  <si>
    <t>WSO 212</t>
  </si>
  <si>
    <t>2425/5/TI-604</t>
  </si>
  <si>
    <t>PSO 347</t>
  </si>
  <si>
    <t>2425/5/TI-652</t>
  </si>
  <si>
    <t>PSO 348</t>
  </si>
  <si>
    <t>2425/5/TI-636</t>
  </si>
  <si>
    <t>DISPATCHED</t>
  </si>
  <si>
    <t>PSO 349</t>
  </si>
  <si>
    <t>2425/5/TI-637</t>
  </si>
  <si>
    <t>PSO 350</t>
  </si>
  <si>
    <t>2425/5/TI-658</t>
  </si>
  <si>
    <t>PSO 351</t>
  </si>
  <si>
    <t>2425/5/TI-659</t>
  </si>
  <si>
    <t>PSO 352</t>
  </si>
  <si>
    <t>2425/5/TI-639</t>
  </si>
  <si>
    <t>PSO 353</t>
  </si>
  <si>
    <t>2425/5/TI-641</t>
  </si>
  <si>
    <t>PSO 354</t>
  </si>
  <si>
    <t>2425/5/TI-626</t>
  </si>
  <si>
    <t>PSO 355</t>
  </si>
  <si>
    <t>2425/5/TI-627</t>
  </si>
  <si>
    <t>PSO 356</t>
  </si>
  <si>
    <t>2425/5/TI-628</t>
  </si>
  <si>
    <t>PSO 357</t>
  </si>
  <si>
    <t>2425/5/TI-629</t>
  </si>
  <si>
    <t>PSO 358</t>
  </si>
  <si>
    <t>2425/5/TI-630</t>
  </si>
  <si>
    <t>PSO 359</t>
  </si>
  <si>
    <t>2425/5/TI-642</t>
  </si>
  <si>
    <t>PSO 360</t>
  </si>
  <si>
    <t>2425/5/TI-643</t>
  </si>
  <si>
    <t>PSO 361</t>
  </si>
  <si>
    <t>2425/5/TI-644</t>
  </si>
  <si>
    <t>33 Qty Order created without available inventory Short Material Dispatched</t>
  </si>
  <si>
    <t>PSO 362</t>
  </si>
  <si>
    <t>2425/5/TI-671</t>
  </si>
  <si>
    <t>PSO 363</t>
  </si>
  <si>
    <t>2425/5/TI-645</t>
  </si>
  <si>
    <t>PSO 364</t>
  </si>
  <si>
    <t>2425/5/TI-631</t>
  </si>
  <si>
    <t>PSO 365</t>
  </si>
  <si>
    <t>2425/5/TI-647</t>
  </si>
  <si>
    <t>PSO 366</t>
  </si>
  <si>
    <t>2425/5/TI-632</t>
  </si>
  <si>
    <t>PSO 367</t>
  </si>
  <si>
    <t>2425/5/TI-694</t>
  </si>
  <si>
    <t>PSO 368</t>
  </si>
  <si>
    <t>2425/5/TI-655</t>
  </si>
  <si>
    <t>PSO 369</t>
  </si>
  <si>
    <t>2425/5/TI-633</t>
  </si>
  <si>
    <t>PSO 370</t>
  </si>
  <si>
    <t>2425/5/TI-669</t>
  </si>
  <si>
    <t>PSO 371</t>
  </si>
  <si>
    <t>2425/5/TI-654</t>
  </si>
  <si>
    <t>PSO 372</t>
  </si>
  <si>
    <t>2425/5/TI-656</t>
  </si>
  <si>
    <t>PSO 373</t>
  </si>
  <si>
    <t>2425/5/TI-653</t>
  </si>
  <si>
    <t>PSO 374</t>
  </si>
  <si>
    <t>2425/5/TI-634</t>
  </si>
  <si>
    <t>PSO 375</t>
  </si>
  <si>
    <t>2425/5/TI-670</t>
  </si>
  <si>
    <t>PSO 376</t>
  </si>
  <si>
    <t>PSO 377</t>
  </si>
  <si>
    <t>2425/5/TI-673</t>
  </si>
  <si>
    <t>PSO 378</t>
  </si>
  <si>
    <t>2425/5/TI-681</t>
  </si>
  <si>
    <t>PSO 379</t>
  </si>
  <si>
    <t>2425/5/TI-682</t>
  </si>
  <si>
    <t>PSO 380</t>
  </si>
  <si>
    <t>WSO 216</t>
  </si>
  <si>
    <t>2425/5/TI-622</t>
  </si>
  <si>
    <t>WSO 217</t>
  </si>
  <si>
    <t>2425/5/TI-623</t>
  </si>
  <si>
    <t>WSO 218</t>
  </si>
  <si>
    <t>2425/5/TI-617</t>
  </si>
  <si>
    <t>WSO 219</t>
  </si>
  <si>
    <t>2425/5/TI-618</t>
  </si>
  <si>
    <t>WSO 220</t>
  </si>
  <si>
    <t>2425/5/TI-616</t>
  </si>
  <si>
    <t>WSO 221</t>
  </si>
  <si>
    <t>2425/5/TI-615</t>
  </si>
  <si>
    <t>WSO 222</t>
  </si>
  <si>
    <t>2425/5/TI-614</t>
  </si>
  <si>
    <t>WSO 223</t>
  </si>
  <si>
    <t>2425/5/TI-619</t>
  </si>
  <si>
    <t>WSO 224</t>
  </si>
  <si>
    <t>2425/5/TI-613</t>
  </si>
  <si>
    <t>WSO 225</t>
  </si>
  <si>
    <t>2425/5/TI-624</t>
  </si>
  <si>
    <t>WSO 226</t>
  </si>
  <si>
    <t>2425/5/TI-611</t>
  </si>
  <si>
    <t>WSO 227</t>
  </si>
  <si>
    <t>2425/5/TI-612</t>
  </si>
  <si>
    <t>WSO 228</t>
  </si>
  <si>
    <t>2425/5/TI-625</t>
  </si>
  <si>
    <t>WSO 229</t>
  </si>
  <si>
    <t>2425/5/TI-649</t>
  </si>
  <si>
    <t>WSO 230</t>
  </si>
  <si>
    <t>2425/5/TI-620</t>
  </si>
  <si>
    <t>WSO 231</t>
  </si>
  <si>
    <t>2425/5/TI-638</t>
  </si>
  <si>
    <t>WSO 232</t>
  </si>
  <si>
    <t>2425/5/TI-640</t>
  </si>
  <si>
    <t>WSO 233</t>
  </si>
  <si>
    <t>2425/5/TI-646</t>
  </si>
  <si>
    <t>WSO 234</t>
  </si>
  <si>
    <t>2425/5/TI-657</t>
  </si>
  <si>
    <t>WSO 235</t>
  </si>
  <si>
    <t>2425/5/TI-650</t>
  </si>
  <si>
    <t>WSO 236</t>
  </si>
  <si>
    <t>2425/5/TI-651</t>
  </si>
  <si>
    <t>PSO 381</t>
  </si>
  <si>
    <t>2425/5/TI-683</t>
  </si>
  <si>
    <t>PSO 382</t>
  </si>
  <si>
    <t>2425/5/TI-685</t>
  </si>
  <si>
    <t>PSO 384</t>
  </si>
  <si>
    <t>2425/5/TI-695</t>
  </si>
  <si>
    <t>PSO 385</t>
  </si>
  <si>
    <t>2425/5/TI-688</t>
  </si>
  <si>
    <t>PSO 386</t>
  </si>
  <si>
    <t>2425/5/TI-690</t>
  </si>
  <si>
    <t>WSO 237</t>
  </si>
  <si>
    <t>2425/5/TI-672</t>
  </si>
  <si>
    <t>WSO 238</t>
  </si>
  <si>
    <t>2425/5/TI-661</t>
  </si>
  <si>
    <t>WSO 239</t>
  </si>
  <si>
    <t>2425/5/TI-660</t>
  </si>
  <si>
    <t>WSO 240</t>
  </si>
  <si>
    <t>2425/5/TI-663</t>
  </si>
  <si>
    <t>WSO 241</t>
  </si>
  <si>
    <t>SUN SHINE TRADING -ERNAKULAM</t>
  </si>
  <si>
    <t>2425/5/TI-662</t>
  </si>
  <si>
    <t>WSO 242</t>
  </si>
  <si>
    <t>2425/5/TI-668</t>
  </si>
  <si>
    <t>WSO 243</t>
  </si>
  <si>
    <t>2425/5/TI-674</t>
  </si>
  <si>
    <t>WSO 244</t>
  </si>
  <si>
    <t>2425/5/TI-665</t>
  </si>
  <si>
    <t>WSO 245</t>
  </si>
  <si>
    <t>2425/5/TI-666</t>
  </si>
  <si>
    <t>WSO 246</t>
  </si>
  <si>
    <t>2425/5/TI-667</t>
  </si>
  <si>
    <t>WSO 247</t>
  </si>
  <si>
    <t>2425/5/TI-664</t>
  </si>
  <si>
    <t>WSO 248</t>
  </si>
  <si>
    <t>2425/5/TI-675</t>
  </si>
  <si>
    <t>WSO 250</t>
  </si>
  <si>
    <t>2425/5/TI-677</t>
  </si>
  <si>
    <t>WSO 251</t>
  </si>
  <si>
    <t>2425/5/TI-678</t>
  </si>
  <si>
    <t>WSO 254</t>
  </si>
  <si>
    <t>2425/5/TI-684</t>
  </si>
  <si>
    <t>WSO 256</t>
  </si>
  <si>
    <t>2425/5/TI-691</t>
  </si>
  <si>
    <t>WSO 258</t>
  </si>
  <si>
    <t>WSO 259</t>
  </si>
  <si>
    <t>2425/5/TI-680</t>
  </si>
  <si>
    <t>WSO 260</t>
  </si>
  <si>
    <t>2425/5/TI-686</t>
  </si>
  <si>
    <t>WSO 261</t>
  </si>
  <si>
    <t>WSO263</t>
  </si>
  <si>
    <t>2425/5/TI-696</t>
  </si>
  <si>
    <t>WSO 265</t>
  </si>
  <si>
    <t>WSO266</t>
  </si>
  <si>
    <t>2425/5/TI-699</t>
  </si>
  <si>
    <t>PSO 391</t>
  </si>
  <si>
    <t>2425/5/TI-704</t>
  </si>
  <si>
    <t>PSO 400</t>
  </si>
  <si>
    <t>2425/5/TI-713</t>
  </si>
  <si>
    <t>PSO 393</t>
  </si>
  <si>
    <t>2425/5/TI-706</t>
  </si>
  <si>
    <t>PSO 390</t>
  </si>
  <si>
    <t>2425/5/TI-703</t>
  </si>
  <si>
    <t>PSO 392</t>
  </si>
  <si>
    <t>2425/5/TI-705</t>
  </si>
  <si>
    <t>WSO 268</t>
  </si>
  <si>
    <t>2425/5/TI-715</t>
  </si>
  <si>
    <t>WSO 264</t>
  </si>
  <si>
    <t>2425/5/TI-693</t>
  </si>
  <si>
    <t>WSO 252</t>
  </si>
  <si>
    <t>2425/5/TI-689</t>
  </si>
  <si>
    <t>PSO 396</t>
  </si>
  <si>
    <t>2425/5/TI-709</t>
  </si>
  <si>
    <t>PSO 383</t>
  </si>
  <si>
    <t>2425/5/TI-714</t>
  </si>
  <si>
    <t>PSO 388</t>
  </si>
  <si>
    <t>2425/5/TI-701</t>
  </si>
  <si>
    <t>2425/5/TI-697</t>
  </si>
  <si>
    <t>PSO 387</t>
  </si>
  <si>
    <t>2425/5/TI-700</t>
  </si>
  <si>
    <t>PSO 389</t>
  </si>
  <si>
    <t>2425/5/TI-702</t>
  </si>
  <si>
    <t>WSO 262</t>
  </si>
  <si>
    <t>2425/5/TI-692</t>
  </si>
  <si>
    <t>PSO 395</t>
  </si>
  <si>
    <t>2425/5/TI-708</t>
  </si>
  <si>
    <t>PSO 394</t>
  </si>
  <si>
    <t>2425/5/TI-707</t>
  </si>
  <si>
    <t>PSO 397</t>
  </si>
  <si>
    <t>2425/5/TI-710</t>
  </si>
  <si>
    <t>WSO 257</t>
  </si>
  <si>
    <t>2425/5/TI-698</t>
  </si>
  <si>
    <t>PSO 401</t>
  </si>
  <si>
    <t>2425/5/TI-712</t>
  </si>
  <si>
    <t>WSO 255</t>
  </si>
  <si>
    <t>2425/5/TI-687</t>
  </si>
  <si>
    <t>WSO 249</t>
  </si>
  <si>
    <t>2425/5/TI-676</t>
  </si>
  <si>
    <t>PSO 398</t>
  </si>
  <si>
    <t>2425/5/TI-711</t>
  </si>
  <si>
    <t>PSO 399</t>
  </si>
  <si>
    <t>PSO 402</t>
  </si>
  <si>
    <t>2425/5/TI-717</t>
  </si>
  <si>
    <t>PSO 403</t>
  </si>
  <si>
    <t>2425/5/TI-718</t>
  </si>
  <si>
    <t>WSO 267</t>
  </si>
  <si>
    <t>WSO 269</t>
  </si>
  <si>
    <t>2425/5/TI-716</t>
  </si>
  <si>
    <t>WSO 270</t>
  </si>
  <si>
    <t>REMARKS 2</t>
  </si>
  <si>
    <t>GR Recived</t>
  </si>
  <si>
    <t>WSO 271</t>
  </si>
  <si>
    <t>WSO 272</t>
  </si>
  <si>
    <t>2425/5/TI-720</t>
  </si>
  <si>
    <t>2425/5/TI-719</t>
  </si>
  <si>
    <t>2425/5/TI-721</t>
  </si>
  <si>
    <t>1 box Invoice issued as per approval Megha Ma'am</t>
  </si>
  <si>
    <t>2425/5/TI-726</t>
  </si>
  <si>
    <t>2425/5/TI-725</t>
  </si>
  <si>
    <t>WSO 73,85</t>
  </si>
  <si>
    <t>2425/5/TI-728</t>
  </si>
  <si>
    <t>2425/5/TI-732</t>
  </si>
  <si>
    <t>2425/5/TI-731</t>
  </si>
  <si>
    <t>WSO 180</t>
  </si>
  <si>
    <t>2425/5/TI-727</t>
  </si>
  <si>
    <t>2425/5/TI-730</t>
  </si>
  <si>
    <t>2425/5/TI-733</t>
  </si>
  <si>
    <t>WSO 286</t>
  </si>
  <si>
    <t>2425/5/TI-738</t>
  </si>
  <si>
    <t>WSO 282</t>
  </si>
  <si>
    <t>2425/5/TI-724</t>
  </si>
  <si>
    <t>WSO 280</t>
  </si>
  <si>
    <t>2425/5/TI-723</t>
  </si>
  <si>
    <t>WSO 273</t>
  </si>
  <si>
    <t>2425/5/TI-734</t>
  </si>
  <si>
    <t>WSO 274</t>
  </si>
  <si>
    <t>2425/5/TI-737</t>
  </si>
  <si>
    <t>2425/5/TI-729</t>
  </si>
  <si>
    <t>WSO 276</t>
  </si>
  <si>
    <t>2425/5/TI-739</t>
  </si>
  <si>
    <t>GHAZIBAD</t>
  </si>
  <si>
    <t>HR55AK1776</t>
  </si>
  <si>
    <t>2425/5/TI-679</t>
  </si>
  <si>
    <t>2425/5/TI-748</t>
  </si>
  <si>
    <t>WSO 278</t>
  </si>
  <si>
    <t>2425/5/TI-745</t>
  </si>
  <si>
    <t>WSO 279</t>
  </si>
  <si>
    <t>2425/5/TI-755</t>
  </si>
  <si>
    <t>2425/5/TI-749</t>
  </si>
  <si>
    <t>WSO277</t>
  </si>
  <si>
    <t>2425/5/TI-735</t>
  </si>
  <si>
    <t>WSO275</t>
  </si>
  <si>
    <t>2425/5/TI-736</t>
  </si>
  <si>
    <t>WSO285</t>
  </si>
  <si>
    <t>2425/5/TI-740</t>
  </si>
  <si>
    <t>WSO284</t>
  </si>
  <si>
    <t>2425/5/TI-753</t>
  </si>
  <si>
    <t>WSO 283</t>
  </si>
  <si>
    <t>2425/5/TI-744</t>
  </si>
  <si>
    <t>2425/5/TI-742</t>
  </si>
  <si>
    <t>2425/5/TI-741</t>
  </si>
  <si>
    <t>2425/5/TI-746</t>
  </si>
  <si>
    <t>2425/5/TI-747</t>
  </si>
  <si>
    <t>WSO 281</t>
  </si>
  <si>
    <t>2425/5/TI-750</t>
  </si>
  <si>
    <t>WSO 288</t>
  </si>
  <si>
    <t>2425/5/TI-752</t>
  </si>
  <si>
    <t>WSO 287</t>
  </si>
  <si>
    <t>2425/5/TI-743</t>
  </si>
  <si>
    <t>WSO 292</t>
  </si>
  <si>
    <t>2425/5/TI-757</t>
  </si>
  <si>
    <t>WSO 296</t>
  </si>
  <si>
    <t>2425/5/TI-770</t>
  </si>
  <si>
    <t>WSO 290,291,293</t>
  </si>
  <si>
    <t>2425/5/TI-769</t>
  </si>
  <si>
    <t>WSO 289</t>
  </si>
  <si>
    <t>2425/5/TI-751</t>
  </si>
  <si>
    <t>WSO 294</t>
  </si>
  <si>
    <t>2425/5/TI-771</t>
  </si>
  <si>
    <t>2425/5/TI-758</t>
  </si>
  <si>
    <t>PSO 406</t>
  </si>
  <si>
    <t>2425/5/TI-759</t>
  </si>
  <si>
    <t>WSO 295</t>
  </si>
  <si>
    <t>2425/5/TI-772</t>
  </si>
  <si>
    <t>WSO 299</t>
  </si>
  <si>
    <t>2425/5/TI-773</t>
  </si>
  <si>
    <t>WSO 297,298</t>
  </si>
  <si>
    <t>2425/5/TI-774</t>
  </si>
  <si>
    <t>PSO 420,424</t>
  </si>
  <si>
    <t>2425/5/TI-777</t>
  </si>
  <si>
    <t>PSO 410</t>
  </si>
  <si>
    <t>2425/5/TI-762</t>
  </si>
  <si>
    <t>PSO 408</t>
  </si>
  <si>
    <t>2425/5/TI-760</t>
  </si>
  <si>
    <t>PSO 407</t>
  </si>
  <si>
    <t>2425/5/TI-756</t>
  </si>
  <si>
    <t>PSO 414</t>
  </si>
  <si>
    <t>2425/5/TI-766</t>
  </si>
  <si>
    <t>PSO 416</t>
  </si>
  <si>
    <t>2425/5/TI-768</t>
  </si>
  <si>
    <t>PSO 413</t>
  </si>
  <si>
    <t>2425/5/TI-765</t>
  </si>
  <si>
    <t>PSO 418,419</t>
  </si>
  <si>
    <t>2425/5/TI-780</t>
  </si>
  <si>
    <t>PSO 409</t>
  </si>
  <si>
    <t>2425/5/TI-761</t>
  </si>
  <si>
    <t>PSO 415</t>
  </si>
  <si>
    <t>2425/5/TI-767</t>
  </si>
  <si>
    <t>PSO 411</t>
  </si>
  <si>
    <t>2425/5/TI-763</t>
  </si>
  <si>
    <t>PSO 412</t>
  </si>
  <si>
    <t>2425/5/TI-764</t>
  </si>
  <si>
    <t>2425/5/TI-775</t>
  </si>
  <si>
    <t>WSO 302</t>
  </si>
  <si>
    <t>2425/5/TI-779</t>
  </si>
  <si>
    <t>WSO 300</t>
  </si>
  <si>
    <t>2425/5/TI-778</t>
  </si>
  <si>
    <t>2425/5/TI-635</t>
  </si>
  <si>
    <t xml:space="preserve"> INVOICE GROSS TOTAL VALUE</t>
  </si>
  <si>
    <t>PSO 426</t>
  </si>
  <si>
    <t>2425/5/TI-791</t>
  </si>
  <si>
    <t>PSO 425</t>
  </si>
  <si>
    <t>2425/5/TI-783</t>
  </si>
  <si>
    <t>PSO 422</t>
  </si>
  <si>
    <t>2425/5/TI-781</t>
  </si>
  <si>
    <t>PSO423</t>
  </si>
  <si>
    <t>2425/5/TI-782</t>
  </si>
  <si>
    <t>PSO 417,421</t>
  </si>
  <si>
    <t>2425/5/TI-776</t>
  </si>
  <si>
    <t>WSO 307</t>
  </si>
  <si>
    <t>2425/5/TI-789</t>
  </si>
  <si>
    <t>WSO 305</t>
  </si>
  <si>
    <t>2425/5/TI-787</t>
  </si>
  <si>
    <t>WSO 308</t>
  </si>
  <si>
    <t>2425/5/TI-790</t>
  </si>
  <si>
    <t>WSO  303</t>
  </si>
  <si>
    <t>2425/5/TI-785</t>
  </si>
  <si>
    <t>WSO 301</t>
  </si>
  <si>
    <t>WSO 306</t>
  </si>
  <si>
    <t>2425/5/TI-788</t>
  </si>
  <si>
    <t>WSO 304</t>
  </si>
  <si>
    <t>2425/5/TI-786</t>
  </si>
  <si>
    <t>PSO 405</t>
  </si>
  <si>
    <t>2425/5/TI-784</t>
  </si>
  <si>
    <t>2425/5/TI-754</t>
  </si>
  <si>
    <t>WSO 317</t>
  </si>
  <si>
    <t>101A</t>
  </si>
  <si>
    <t>PSO 430</t>
  </si>
  <si>
    <t>WSO 315</t>
  </si>
  <si>
    <t>103A</t>
  </si>
  <si>
    <t>PSO 428</t>
  </si>
  <si>
    <t>102A</t>
  </si>
  <si>
    <t>PSO 429</t>
  </si>
  <si>
    <t>104A</t>
  </si>
  <si>
    <t>WSO 312</t>
  </si>
  <si>
    <t>105 A</t>
  </si>
  <si>
    <t>PSO 427</t>
  </si>
  <si>
    <t>106A</t>
  </si>
  <si>
    <t>WSO 311</t>
  </si>
  <si>
    <t>WSO 314</t>
  </si>
  <si>
    <t>110A</t>
  </si>
  <si>
    <t>WSO 313</t>
  </si>
  <si>
    <t>108A</t>
  </si>
  <si>
    <t>WSO 316</t>
  </si>
  <si>
    <t>WSO 309</t>
  </si>
  <si>
    <t>109A</t>
  </si>
  <si>
    <t>PSO 435</t>
  </si>
  <si>
    <t>111A</t>
  </si>
  <si>
    <t>PSO 434</t>
  </si>
  <si>
    <t>112A</t>
  </si>
  <si>
    <t>PSO 437</t>
  </si>
  <si>
    <t>WSO 319</t>
  </si>
  <si>
    <t>113A</t>
  </si>
  <si>
    <t>PSO 431</t>
  </si>
  <si>
    <t>PSO 433</t>
  </si>
  <si>
    <t>114A</t>
  </si>
  <si>
    <t>WSO 325</t>
  </si>
  <si>
    <t>115A</t>
  </si>
  <si>
    <t>WSO 322</t>
  </si>
  <si>
    <t>116A</t>
  </si>
  <si>
    <t>WSO 323</t>
  </si>
  <si>
    <t>117A</t>
  </si>
  <si>
    <t>WSO 328</t>
  </si>
  <si>
    <t>118A</t>
  </si>
  <si>
    <t>PSO 432</t>
  </si>
  <si>
    <t>PSO 436</t>
  </si>
  <si>
    <t>119A</t>
  </si>
  <si>
    <t>WSO 321</t>
  </si>
  <si>
    <t>120A</t>
  </si>
  <si>
    <t>WSO 333</t>
  </si>
  <si>
    <t>121A</t>
  </si>
  <si>
    <t>PSO 438</t>
  </si>
  <si>
    <t>DL01MA9359</t>
  </si>
  <si>
    <t>135 A</t>
  </si>
  <si>
    <t>SSO-7</t>
  </si>
  <si>
    <t>SPARIO PRIVATE LIMITED        -NANGLI PUNA</t>
  </si>
  <si>
    <t>138A</t>
  </si>
  <si>
    <t>137A</t>
  </si>
  <si>
    <t>R MARKETTING                  -KANPUR NAGAR</t>
  </si>
  <si>
    <t>WSO 318 ,327</t>
  </si>
  <si>
    <t>136A</t>
  </si>
  <si>
    <t>WSO 332</t>
  </si>
  <si>
    <t>134A</t>
  </si>
  <si>
    <t>WSO 327</t>
  </si>
  <si>
    <t>WSO 326,329</t>
  </si>
  <si>
    <t>133A</t>
  </si>
  <si>
    <t>WSO 320,324,330,331</t>
  </si>
  <si>
    <t>132A</t>
  </si>
  <si>
    <t>WSO 250,258</t>
  </si>
  <si>
    <t>131A</t>
  </si>
  <si>
    <t>WSO 334</t>
  </si>
  <si>
    <t>130A</t>
  </si>
  <si>
    <t>WSO 340</t>
  </si>
  <si>
    <t>156(A)</t>
  </si>
  <si>
    <t>WSO 346</t>
  </si>
  <si>
    <t>146(A)</t>
  </si>
  <si>
    <t>PSO 443</t>
  </si>
  <si>
    <t>155(A)</t>
  </si>
  <si>
    <t>PSO 442</t>
  </si>
  <si>
    <t>154(A)</t>
  </si>
  <si>
    <t>PSO 440</t>
  </si>
  <si>
    <t>153(A)</t>
  </si>
  <si>
    <t>PSO 441</t>
  </si>
  <si>
    <t>152(A)</t>
  </si>
  <si>
    <t>PSO 439</t>
  </si>
  <si>
    <t>151(A)</t>
  </si>
  <si>
    <t>WSO 345</t>
  </si>
  <si>
    <t>150(A)</t>
  </si>
  <si>
    <t>WSO 342</t>
  </si>
  <si>
    <t>149(A)</t>
  </si>
  <si>
    <t>WSO 339</t>
  </si>
  <si>
    <t>148(A)</t>
  </si>
  <si>
    <t>WSO 337</t>
  </si>
  <si>
    <t>147(A)</t>
  </si>
  <si>
    <t>WSO 347</t>
  </si>
  <si>
    <t>145(A)</t>
  </si>
  <si>
    <t>WSO 344</t>
  </si>
  <si>
    <t>144(A)</t>
  </si>
  <si>
    <t>WSO 348</t>
  </si>
  <si>
    <t>143(A)</t>
  </si>
  <si>
    <t>142(A)</t>
  </si>
  <si>
    <t>WSO 341</t>
  </si>
  <si>
    <t>141(A)</t>
  </si>
  <si>
    <t>WSO 338</t>
  </si>
  <si>
    <t>140(A)</t>
  </si>
  <si>
    <t>2526/5/STO-2</t>
  </si>
  <si>
    <t>2526/5/TI-33</t>
  </si>
  <si>
    <t>2526/5/TI-35</t>
  </si>
  <si>
    <t>2526/5/TI-34</t>
  </si>
  <si>
    <t>2526/5/TI-31</t>
  </si>
  <si>
    <t>2526/5/TI-32</t>
  </si>
  <si>
    <t>2526/5/TI-13</t>
  </si>
  <si>
    <t>2526/5/TI-08</t>
  </si>
  <si>
    <t>2526/5/TI-04</t>
  </si>
  <si>
    <t>2526/5/TI-11</t>
  </si>
  <si>
    <t>2526/5/TI-2</t>
  </si>
  <si>
    <t>2526/5/TI-3</t>
  </si>
  <si>
    <t>2526/5/TI-5</t>
  </si>
  <si>
    <t>2526/5/TI-1</t>
  </si>
  <si>
    <t>2526/5/TI-6</t>
  </si>
  <si>
    <t>2526/5/TI-10</t>
  </si>
  <si>
    <t>2526/5/TI-09</t>
  </si>
  <si>
    <t>2526/5/TI-12</t>
  </si>
  <si>
    <t>2526/5/TI-07</t>
  </si>
  <si>
    <t>2526/5/TI-18</t>
  </si>
  <si>
    <t>2526/5/TI-17</t>
  </si>
  <si>
    <t>2526/5/TI-20</t>
  </si>
  <si>
    <t>2526/5/TI-23</t>
  </si>
  <si>
    <t>2526/5/TI-14</t>
  </si>
  <si>
    <t>2526/5/TI-16</t>
  </si>
  <si>
    <t>2526/5/TI-22</t>
  </si>
  <si>
    <t>2526/5/TI-25</t>
  </si>
  <si>
    <t>2526/5/TI-29</t>
  </si>
  <si>
    <t>2526/5/TI-30</t>
  </si>
  <si>
    <t>2526/5/TI-15</t>
  </si>
  <si>
    <t>2526/5/TI-19</t>
  </si>
  <si>
    <t>2526/5/TI-21</t>
  </si>
  <si>
    <t>2526/5/TI-26</t>
  </si>
  <si>
    <t>2526/5/TI-27</t>
  </si>
  <si>
    <t>2526/5/TI-24</t>
  </si>
  <si>
    <t>2526/5/TI-52</t>
  </si>
  <si>
    <t>2526/5/TI-36</t>
  </si>
  <si>
    <t>2526/5/TI-51</t>
  </si>
  <si>
    <t>2526/5/TI-50</t>
  </si>
  <si>
    <t>2526/5/TI-49</t>
  </si>
  <si>
    <t>2526/5/TI-47</t>
  </si>
  <si>
    <t>2526/5/TI-41</t>
  </si>
  <si>
    <t>2526/5/TI-37</t>
  </si>
  <si>
    <t>2526/5/TI-46</t>
  </si>
  <si>
    <t>2526/5/TI-39</t>
  </si>
  <si>
    <t>2526/5/TI-42</t>
  </si>
  <si>
    <t>2526/5/TI-40</t>
  </si>
  <si>
    <t>2526/5/TI-38</t>
  </si>
  <si>
    <t>2526/5/TI-44</t>
  </si>
  <si>
    <t>2526/5/TI-43</t>
  </si>
  <si>
    <t>WSO 349 ,WSO 343</t>
  </si>
  <si>
    <t>2526/5/TI-48</t>
  </si>
  <si>
    <t>2526/5/TI-45</t>
  </si>
  <si>
    <t>WSO 350</t>
  </si>
  <si>
    <t>2526/5/TI-54</t>
  </si>
  <si>
    <t>158A</t>
  </si>
  <si>
    <t>WSO 336</t>
  </si>
  <si>
    <t>2526/5/TI-53</t>
  </si>
  <si>
    <t>157A</t>
  </si>
  <si>
    <t>WSO 353,355</t>
  </si>
  <si>
    <t>2526/5/TI-60</t>
  </si>
  <si>
    <t>48,7</t>
  </si>
  <si>
    <t>164A</t>
  </si>
  <si>
    <t>WSO 358</t>
  </si>
  <si>
    <t>2526/5/TI-59</t>
  </si>
  <si>
    <t>159A</t>
  </si>
  <si>
    <t>WSO352,354</t>
  </si>
  <si>
    <t>2526/5/TI-58</t>
  </si>
  <si>
    <t>9,1</t>
  </si>
  <si>
    <t>160A</t>
  </si>
  <si>
    <t>WSO 357</t>
  </si>
  <si>
    <t>2526/5/TI-57</t>
  </si>
  <si>
    <t>161A</t>
  </si>
  <si>
    <t>WSO 356</t>
  </si>
  <si>
    <t>2526/5/TI-56</t>
  </si>
  <si>
    <t>162A</t>
  </si>
  <si>
    <t>WSO 351</t>
  </si>
  <si>
    <t>2526/5/TI-55</t>
  </si>
  <si>
    <t>163A</t>
  </si>
  <si>
    <t>PSO 446</t>
  </si>
  <si>
    <t>2526/5/TI-67</t>
  </si>
  <si>
    <t>186A</t>
  </si>
  <si>
    <t>WSO 359,360,361</t>
  </si>
  <si>
    <t>2526/5/TI-62</t>
  </si>
  <si>
    <t>185A</t>
  </si>
  <si>
    <t>PSO 448</t>
  </si>
  <si>
    <t>2526/5/TI-65</t>
  </si>
  <si>
    <t>184A</t>
  </si>
  <si>
    <t>PSO 449</t>
  </si>
  <si>
    <t>2526/5/TI-66</t>
  </si>
  <si>
    <t>183A</t>
  </si>
  <si>
    <t>PSO 445</t>
  </si>
  <si>
    <t>2526/5/TI-63</t>
  </si>
  <si>
    <t>181A</t>
  </si>
  <si>
    <t>PSO 447</t>
  </si>
  <si>
    <t>2526/5/TI-64</t>
  </si>
  <si>
    <t xml:space="preserve">180A </t>
  </si>
  <si>
    <t>182A</t>
  </si>
  <si>
    <t>2526/5/TI-61</t>
  </si>
  <si>
    <t>PSO 444</t>
  </si>
  <si>
    <t>WSO 365</t>
  </si>
  <si>
    <t>2526/5/TI-76</t>
  </si>
  <si>
    <t>200A</t>
  </si>
  <si>
    <t>WSO 367</t>
  </si>
  <si>
    <t>2526/5/TI-78</t>
  </si>
  <si>
    <t>199A</t>
  </si>
  <si>
    <t>WSO 366</t>
  </si>
  <si>
    <t>2526/5/TI-77</t>
  </si>
  <si>
    <t>194A</t>
  </si>
  <si>
    <t>PSO 453</t>
  </si>
  <si>
    <t>2526/5/TI-70</t>
  </si>
  <si>
    <t>187A</t>
  </si>
  <si>
    <t>PSO 450,451</t>
  </si>
  <si>
    <t>2526/5/TI-68</t>
  </si>
  <si>
    <t>190A</t>
  </si>
  <si>
    <t>PSO 452</t>
  </si>
  <si>
    <t>2526/5/TI-69</t>
  </si>
  <si>
    <t>188A</t>
  </si>
  <si>
    <t>PSO 454</t>
  </si>
  <si>
    <t>2526/5/TI-71</t>
  </si>
  <si>
    <t>191A</t>
  </si>
  <si>
    <t>PSO 455</t>
  </si>
  <si>
    <t>2526/5/TI-72</t>
  </si>
  <si>
    <t>189A</t>
  </si>
  <si>
    <t>WSO 362</t>
  </si>
  <si>
    <t>2526/5/TI-73</t>
  </si>
  <si>
    <t>195A</t>
  </si>
  <si>
    <t>WSO 363</t>
  </si>
  <si>
    <t>2526/5/TI-74</t>
  </si>
  <si>
    <t>192A</t>
  </si>
  <si>
    <t>WSO 364</t>
  </si>
  <si>
    <t>2526/5/TI-75</t>
  </si>
  <si>
    <t>193A</t>
  </si>
  <si>
    <t>WSO 374</t>
  </si>
  <si>
    <t>2526/5/TI-84</t>
  </si>
  <si>
    <t>161AA</t>
  </si>
  <si>
    <t>WSO 372</t>
  </si>
  <si>
    <t>2526/5/TI-79</t>
  </si>
  <si>
    <t>164AA</t>
  </si>
  <si>
    <t>163AA</t>
  </si>
  <si>
    <t>WSO 370</t>
  </si>
  <si>
    <t>2526/5/TI-81</t>
  </si>
  <si>
    <t>162AA</t>
  </si>
  <si>
    <t>WSO 371</t>
  </si>
  <si>
    <t>2526/5/TI-82</t>
  </si>
  <si>
    <t>165AA</t>
  </si>
  <si>
    <t>WSO 369</t>
  </si>
  <si>
    <t>2526/5/TI-80</t>
  </si>
  <si>
    <t>166AA</t>
  </si>
  <si>
    <t>WSO 368</t>
  </si>
  <si>
    <t>2526/5/TI-83</t>
  </si>
  <si>
    <t>168AA</t>
  </si>
  <si>
    <t>PSO 456</t>
  </si>
  <si>
    <t>2526/5/TI-85</t>
  </si>
  <si>
    <t>PSO 457,459</t>
  </si>
  <si>
    <t>2526/5/TI-88</t>
  </si>
  <si>
    <t>167AA</t>
  </si>
  <si>
    <t>PSO 458,460</t>
  </si>
  <si>
    <t>2526/5/TI-86</t>
  </si>
  <si>
    <t>170AA</t>
  </si>
  <si>
    <t>169AA</t>
  </si>
  <si>
    <t>SSO-8</t>
  </si>
  <si>
    <t>2526/5/TI-89</t>
  </si>
  <si>
    <t>PSO 463</t>
  </si>
  <si>
    <t>2526/5/TI-95</t>
  </si>
  <si>
    <t>SSO 9</t>
  </si>
  <si>
    <t>2526/5/STO-3</t>
  </si>
  <si>
    <t>PSO 462</t>
  </si>
  <si>
    <t>2526/5/TI-94</t>
  </si>
  <si>
    <t>PSO 464 465</t>
  </si>
  <si>
    <t>2526/5/TI-92</t>
  </si>
  <si>
    <t>PSO 461</t>
  </si>
  <si>
    <t>PSO 467</t>
  </si>
  <si>
    <t>2526/5/TI-93</t>
  </si>
  <si>
    <t>WSO 375</t>
  </si>
  <si>
    <t>2526/5/TI-90</t>
  </si>
  <si>
    <t>2526/5/TI-91</t>
  </si>
  <si>
    <t>PSO 466</t>
  </si>
  <si>
    <t>PSO 468</t>
  </si>
  <si>
    <t>PSO 469</t>
  </si>
  <si>
    <t>PSO 470</t>
  </si>
  <si>
    <t>PSO 471</t>
  </si>
  <si>
    <t>PSO 474</t>
  </si>
  <si>
    <t>2526/5/TI-105</t>
  </si>
  <si>
    <t>2526/5/TI-98</t>
  </si>
  <si>
    <t>2526/5/TI-103</t>
  </si>
  <si>
    <t>2526/5/TI-99</t>
  </si>
  <si>
    <t>2526/5/TI-100</t>
  </si>
  <si>
    <t>2526/5/TI-97</t>
  </si>
  <si>
    <t>2526/5/TI-101</t>
  </si>
  <si>
    <t>WSO 335</t>
  </si>
  <si>
    <t>WSO 376</t>
  </si>
  <si>
    <t>WSO 377</t>
  </si>
  <si>
    <t>WSO 378</t>
  </si>
  <si>
    <t>WSO 379</t>
  </si>
  <si>
    <t>WSO 380</t>
  </si>
  <si>
    <t>2526/5/TI-106</t>
  </si>
  <si>
    <t>2526/5/TI-96</t>
  </si>
  <si>
    <t>2526/5/TI-104</t>
  </si>
  <si>
    <t>2526/5/TI-102</t>
  </si>
  <si>
    <t>2526/5/TI-107</t>
  </si>
  <si>
    <t>2526/5/TI-108</t>
  </si>
  <si>
    <t>VIJAY LAXMI TRANSPORT</t>
  </si>
  <si>
    <t>PSO 472 ,PSO 473</t>
  </si>
  <si>
    <t>WSO 382</t>
  </si>
  <si>
    <t>2526/5/TI-115</t>
  </si>
  <si>
    <t>WSO 384</t>
  </si>
  <si>
    <t>2526/5/TI-117</t>
  </si>
  <si>
    <t>WSO 385</t>
  </si>
  <si>
    <t>2526/5/TI-118</t>
  </si>
  <si>
    <t>PSO 476</t>
  </si>
  <si>
    <t>2526/5/TI-110</t>
  </si>
  <si>
    <t>PSO 479, PSO 481</t>
  </si>
  <si>
    <t>2526/5/TI-113</t>
  </si>
  <si>
    <t>WSO 386</t>
  </si>
  <si>
    <t>2526/5/TI-119</t>
  </si>
  <si>
    <t>WSO 383</t>
  </si>
  <si>
    <t>SHREE SHOE MART               -JODHPUR</t>
  </si>
  <si>
    <t>2526/5/TI-116</t>
  </si>
  <si>
    <t>WSO 381</t>
  </si>
  <si>
    <t>2526/5/TI-114</t>
  </si>
  <si>
    <t>PSO 478</t>
  </si>
  <si>
    <t>2526/5/TI-111</t>
  </si>
  <si>
    <t>PSO 480</t>
  </si>
  <si>
    <t>2526/5/TI-112</t>
  </si>
  <si>
    <t>PSO 475, PSO 477</t>
  </si>
  <si>
    <t>2526/5/TI-109</t>
  </si>
  <si>
    <t>PSO 482</t>
  </si>
  <si>
    <t>2526/5/TI-129</t>
  </si>
  <si>
    <t>WSO 387</t>
  </si>
  <si>
    <t>2526/5/TI-120</t>
  </si>
  <si>
    <t>PSO 484,PSO 483</t>
  </si>
  <si>
    <t>2526/5/TI-130</t>
  </si>
  <si>
    <t>WSO 392</t>
  </si>
  <si>
    <t>2526/5/TI-128</t>
  </si>
  <si>
    <t>WSO 391</t>
  </si>
  <si>
    <t>2526/5/TI-124</t>
  </si>
  <si>
    <t>WSO 390</t>
  </si>
  <si>
    <t>2526/5/TI-123</t>
  </si>
  <si>
    <t>WSO 393</t>
  </si>
  <si>
    <t>2526/5/TI-127</t>
  </si>
  <si>
    <t>WSO 389</t>
  </si>
  <si>
    <t>2526/5/TI-122</t>
  </si>
  <si>
    <t>2526/5/TI-125</t>
  </si>
  <si>
    <t>2526/5/TI-126</t>
  </si>
  <si>
    <t>WSO 388</t>
  </si>
  <si>
    <t>2526/5/TI-121</t>
  </si>
  <si>
    <t>WSO 400, WSO 409</t>
  </si>
  <si>
    <t>2526/5/TI-138</t>
  </si>
  <si>
    <t>WSO 398</t>
  </si>
  <si>
    <t>2526/5/TI-146</t>
  </si>
  <si>
    <t>2526/5/TI-136</t>
  </si>
  <si>
    <t>WSO 397</t>
  </si>
  <si>
    <t>2526/5/TI-135</t>
  </si>
  <si>
    <t>WSO 397,WSO 401</t>
  </si>
  <si>
    <t>2526/5/TI-155</t>
  </si>
  <si>
    <t>WSO396</t>
  </si>
  <si>
    <t>2526/5/TI-134</t>
  </si>
  <si>
    <t>WSO 395</t>
  </si>
  <si>
    <t>2526/5/TI-133</t>
  </si>
  <si>
    <t>WSO 394</t>
  </si>
  <si>
    <t>2526/5/TI-132</t>
  </si>
  <si>
    <t>WSO 402</t>
  </si>
  <si>
    <t>2526/5/TI-139</t>
  </si>
  <si>
    <t>WSO 399</t>
  </si>
  <si>
    <t>2526/5/TI-137</t>
  </si>
  <si>
    <t>WSO 485</t>
  </si>
  <si>
    <t>2526/5/TI-131</t>
  </si>
  <si>
    <t>WSO 419</t>
  </si>
  <si>
    <t>2526/5/TI-159</t>
  </si>
  <si>
    <t>WSO 418</t>
  </si>
  <si>
    <t>AVANEESH BUSINESS PRIVATE LIMITED -GUWAHATI</t>
  </si>
  <si>
    <t>2526/5/TI-158</t>
  </si>
  <si>
    <t>WSO 416</t>
  </si>
  <si>
    <t>2526/5/TI-153</t>
  </si>
  <si>
    <t>WSO 417</t>
  </si>
  <si>
    <t>2526/5/TI-154</t>
  </si>
  <si>
    <t>WSO 415</t>
  </si>
  <si>
    <t>2526/5/TI-152</t>
  </si>
  <si>
    <t>WSO 414</t>
  </si>
  <si>
    <t>2526/5/TI-151</t>
  </si>
  <si>
    <t>WSO 413</t>
  </si>
  <si>
    <t>2526/5/TI-150</t>
  </si>
  <si>
    <t>WSO 412</t>
  </si>
  <si>
    <t>2526/5/TI-149</t>
  </si>
  <si>
    <t>WSO 411</t>
  </si>
  <si>
    <t>2526/5/TI-148</t>
  </si>
  <si>
    <t>WSO 410</t>
  </si>
  <si>
    <t>2526/5/TI-147</t>
  </si>
  <si>
    <t>WSO 408</t>
  </si>
  <si>
    <t>2526/5/TI-145</t>
  </si>
  <si>
    <t>WSO 407</t>
  </si>
  <si>
    <t>2526/5/TI-144</t>
  </si>
  <si>
    <t>WSO 406</t>
  </si>
  <si>
    <t>2526/5/TI-143</t>
  </si>
  <si>
    <t>WSO 404</t>
  </si>
  <si>
    <t>2526/5/TI-141</t>
  </si>
  <si>
    <t>WSO 403</t>
  </si>
  <si>
    <t>2526/5/TI-140</t>
  </si>
  <si>
    <t>2526/5/TI-156</t>
  </si>
  <si>
    <t>WSO  405</t>
  </si>
  <si>
    <t>2526/5/TI-142</t>
  </si>
  <si>
    <t>WSO 405</t>
  </si>
  <si>
    <t>2526/5/TI-157</t>
  </si>
  <si>
    <t>WSO 422, WSO 427</t>
  </si>
  <si>
    <t>2526/5/TI-167</t>
  </si>
  <si>
    <t>PSO 490</t>
  </si>
  <si>
    <t>2526/5/TI-164</t>
  </si>
  <si>
    <t>PSO 489</t>
  </si>
  <si>
    <t>2526/5/TI-163</t>
  </si>
  <si>
    <t>SSO 12</t>
  </si>
  <si>
    <t>2526/5/STO-5</t>
  </si>
  <si>
    <t>PSO 487</t>
  </si>
  <si>
    <t>2526/5/TI-161</t>
  </si>
  <si>
    <t>SSO 10</t>
  </si>
  <si>
    <t>PSO 488, PSO 491</t>
  </si>
  <si>
    <t>2526/5/TI-162</t>
  </si>
  <si>
    <t>PSO 486, PSO 492</t>
  </si>
  <si>
    <t>2526/5/TI-160</t>
  </si>
  <si>
    <t>SSO 11</t>
  </si>
  <si>
    <t>2526/5/STO-6</t>
  </si>
  <si>
    <t>WSO 420</t>
  </si>
  <si>
    <t>2526/5/TI-165</t>
  </si>
  <si>
    <t>WSO 421</t>
  </si>
  <si>
    <t>2526/5/TI-166</t>
  </si>
  <si>
    <t>WSO 423, WSO 424, WSO 425</t>
  </si>
  <si>
    <t>2526/5/TI-168</t>
  </si>
  <si>
    <t>WSO 426</t>
  </si>
  <si>
    <t>2526/5/TI-169</t>
  </si>
  <si>
    <t>WSO 428</t>
  </si>
  <si>
    <t>2526/5/TI-170</t>
  </si>
  <si>
    <t>WSO  420</t>
  </si>
  <si>
    <t>2526/5/TI-171</t>
  </si>
  <si>
    <t>PSO  498</t>
  </si>
  <si>
    <t>2526/5/TI-180</t>
  </si>
  <si>
    <t>PSO 505</t>
  </si>
  <si>
    <t>2526/5/TI-187</t>
  </si>
  <si>
    <t>PSO 500</t>
  </si>
  <si>
    <t>2526/5/TI-182</t>
  </si>
  <si>
    <t>PSO 506</t>
  </si>
  <si>
    <t>2526/5/TI-188</t>
  </si>
  <si>
    <t>PSO 502</t>
  </si>
  <si>
    <t>2526/5/TI-184</t>
  </si>
  <si>
    <t>PSO 499</t>
  </si>
  <si>
    <t>2526/5/TI-181</t>
  </si>
  <si>
    <t>PSO 503</t>
  </si>
  <si>
    <t>2526/5/TI-185</t>
  </si>
  <si>
    <t>PSO 504</t>
  </si>
  <si>
    <t>2526/5/TI-186</t>
  </si>
  <si>
    <t>PSO 509</t>
  </si>
  <si>
    <t>2526/5/TI-189</t>
  </si>
  <si>
    <t>WSO 429</t>
  </si>
  <si>
    <t>2526/5/TI-177</t>
  </si>
  <si>
    <t>PSO 495</t>
  </si>
  <si>
    <t>2526/5/TI-176</t>
  </si>
  <si>
    <t>PSO 497</t>
  </si>
  <si>
    <t>2526/5/TI-175</t>
  </si>
  <si>
    <t>WSO 431</t>
  </si>
  <si>
    <t>2526/5/TI-179</t>
  </si>
  <si>
    <t>PSO 493</t>
  </si>
  <si>
    <t>2526/5/TI-172</t>
  </si>
  <si>
    <t>PSO 494</t>
  </si>
  <si>
    <t>2526/5/TI-173</t>
  </si>
  <si>
    <t>PSO 496</t>
  </si>
  <si>
    <t>2526/5/TI-174</t>
  </si>
  <si>
    <t>WSO 430, WSO 432</t>
  </si>
  <si>
    <t>2526/5/TI-178</t>
  </si>
  <si>
    <t>PSO 501</t>
  </si>
  <si>
    <t>2526/5/TI-183</t>
  </si>
  <si>
    <t>NOT RECEIVED</t>
  </si>
  <si>
    <t>WSO 433</t>
  </si>
  <si>
    <t>2526/5/TI-199</t>
  </si>
  <si>
    <t>PSO 507</t>
  </si>
  <si>
    <t>PSO 508</t>
  </si>
  <si>
    <t>2526/5/TI-190</t>
  </si>
  <si>
    <t>2526/5/TI-191</t>
  </si>
  <si>
    <t>PSO 510</t>
  </si>
  <si>
    <t>2526/5/TI-192</t>
  </si>
  <si>
    <t>PSO 511</t>
  </si>
  <si>
    <t>2526/5/TI-193</t>
  </si>
  <si>
    <t>PSO 514</t>
  </si>
  <si>
    <t>2526/5/TI-195</t>
  </si>
  <si>
    <t>PSO 515, PSO 518</t>
  </si>
  <si>
    <t>2526/5/TI-196</t>
  </si>
  <si>
    <t>PSO 513</t>
  </si>
  <si>
    <t>2526/5/TI-194</t>
  </si>
  <si>
    <t>PSO 519</t>
  </si>
  <si>
    <t>2526/5/TI-198</t>
  </si>
  <si>
    <t>PSO 512, PSO 520</t>
  </si>
  <si>
    <t>2526/5/TI-197</t>
  </si>
  <si>
    <t>PSO 526</t>
  </si>
  <si>
    <t>2526/5/TI-207</t>
  </si>
  <si>
    <t>PSO 524, PSO 527</t>
  </si>
  <si>
    <t>2526/5/TI-205</t>
  </si>
  <si>
    <t>PSO 523</t>
  </si>
  <si>
    <t>2526/5/TI-204</t>
  </si>
  <si>
    <t>PSO 521, PSO 522</t>
  </si>
  <si>
    <t>2526/5/TI-203</t>
  </si>
  <si>
    <t>PSO 516, PSO 517</t>
  </si>
  <si>
    <t>2526/5/TI-202</t>
  </si>
  <si>
    <t>WSO 437</t>
  </si>
  <si>
    <t>2526/5/TI-212</t>
  </si>
  <si>
    <t>WSO 434</t>
  </si>
  <si>
    <t>2526/5/TI-209</t>
  </si>
  <si>
    <t>WSO 435</t>
  </si>
  <si>
    <t>2526/5/TI-210</t>
  </si>
  <si>
    <t>WSO 436, WSO 438</t>
  </si>
  <si>
    <t>2526/5/TI-211</t>
  </si>
  <si>
    <t>PSO 528</t>
  </si>
  <si>
    <t>2526/5/TI-208</t>
  </si>
  <si>
    <t>PSO 525</t>
  </si>
  <si>
    <t>2526/5/TI-206</t>
  </si>
  <si>
    <t>WSO 440</t>
  </si>
  <si>
    <t>2526/5/TI-215</t>
  </si>
  <si>
    <t>WSO 439</t>
  </si>
  <si>
    <t>2526/5/TI-213</t>
  </si>
  <si>
    <t>2526/5/TI-214</t>
  </si>
  <si>
    <t>PSO 534</t>
  </si>
  <si>
    <t>2526/5/TI-218</t>
  </si>
  <si>
    <t>PSO 531, PSO 533</t>
  </si>
  <si>
    <t>2526/5/TI-216</t>
  </si>
  <si>
    <t>PSO 532</t>
  </si>
  <si>
    <t>2526/5/TI-217</t>
  </si>
  <si>
    <t>WSO  SSO 13</t>
  </si>
  <si>
    <t>2526/5/STO-8</t>
  </si>
  <si>
    <t>2526/5/TI-222</t>
  </si>
  <si>
    <t>PSO 535</t>
  </si>
  <si>
    <t>WSO 443</t>
  </si>
  <si>
    <t>2526/5/TI-221</t>
  </si>
  <si>
    <t>WSO 442</t>
  </si>
  <si>
    <t>2526/5/TI-220</t>
  </si>
  <si>
    <t>WSO 441</t>
  </si>
  <si>
    <t>2526/5/TI-219</t>
  </si>
  <si>
    <t>PSO 536</t>
  </si>
  <si>
    <t>2526/5/TI-223</t>
  </si>
  <si>
    <t>PSO 537</t>
  </si>
  <si>
    <t>2526/5/TI-224</t>
  </si>
  <si>
    <t>PSO 538</t>
  </si>
  <si>
    <t>2526/5/TI-225</t>
  </si>
  <si>
    <t>PSO 539</t>
  </si>
  <si>
    <t>2526/5/TI-226</t>
  </si>
  <si>
    <t>PSO 540</t>
  </si>
  <si>
    <t>2526/5/TI-227</t>
  </si>
  <si>
    <t>PSO 541</t>
  </si>
  <si>
    <t>2526/5/TI-228</t>
  </si>
  <si>
    <t>PSO 543</t>
  </si>
  <si>
    <t>2526/5/TI-239</t>
  </si>
  <si>
    <t>WSO 449, WSO 453</t>
  </si>
  <si>
    <t>2526/5/TI-230</t>
  </si>
  <si>
    <t>WSO 444, WSO 448</t>
  </si>
  <si>
    <t>2526/5/TI-229</t>
  </si>
  <si>
    <t>WSO 455</t>
  </si>
  <si>
    <t>2526/5/TI-236</t>
  </si>
  <si>
    <t>WSO 445</t>
  </si>
  <si>
    <t>2526/5/TI-232</t>
  </si>
  <si>
    <t>WSO 446</t>
  </si>
  <si>
    <t>2526/5/TI-235</t>
  </si>
  <si>
    <t>WSO 454</t>
  </si>
  <si>
    <t>2526/5/TI-231</t>
  </si>
  <si>
    <t>WSO 452</t>
  </si>
  <si>
    <t>2526/5/TI-238</t>
  </si>
  <si>
    <t>WSO 450</t>
  </si>
  <si>
    <t>2526/5/TI-234</t>
  </si>
  <si>
    <t>WSO 451</t>
  </si>
  <si>
    <t>2526/5/TI-237</t>
  </si>
  <si>
    <t>WSO 542</t>
  </si>
  <si>
    <t>2526/5/TI-240</t>
  </si>
  <si>
    <t>PSO 544</t>
  </si>
  <si>
    <t>PSO 546</t>
  </si>
  <si>
    <t>PSO 548</t>
  </si>
  <si>
    <t>PSO 549</t>
  </si>
  <si>
    <t>PSO 550</t>
  </si>
  <si>
    <t>PSO 551</t>
  </si>
  <si>
    <t>PSO 552</t>
  </si>
  <si>
    <t>PSO 553</t>
  </si>
  <si>
    <t>PSO 554</t>
  </si>
  <si>
    <t>PSO 555</t>
  </si>
  <si>
    <t>PSO 556</t>
  </si>
  <si>
    <t>PSO 557</t>
  </si>
  <si>
    <t>PSO 558</t>
  </si>
  <si>
    <t>PSO 559</t>
  </si>
  <si>
    <t>PSO 560</t>
  </si>
  <si>
    <t>2526/5/TI-255</t>
  </si>
  <si>
    <t>2526/5/TI-256</t>
  </si>
  <si>
    <t>2526/5/TI-257</t>
  </si>
  <si>
    <t>2526/5/TI-258</t>
  </si>
  <si>
    <t>2526/5/TI-259</t>
  </si>
  <si>
    <t>2526/5/TI-260</t>
  </si>
  <si>
    <t>2526/5/TI-261</t>
  </si>
  <si>
    <t>2526/5/TI-246</t>
  </si>
  <si>
    <t>2526/5/TI-247</t>
  </si>
  <si>
    <t>2526/5/TI-248</t>
  </si>
  <si>
    <t>2526/5/TI-249</t>
  </si>
  <si>
    <t>2526/5/TI-250</t>
  </si>
  <si>
    <t>2526/5/TI-251</t>
  </si>
  <si>
    <t>2526/5/TI-252</t>
  </si>
  <si>
    <t>2526/5/TI-253</t>
  </si>
  <si>
    <t>2526/5/TI-254</t>
  </si>
  <si>
    <t>PSO 545 PSO 547</t>
  </si>
  <si>
    <t>WSO 447</t>
  </si>
  <si>
    <t>WSO 456</t>
  </si>
  <si>
    <t>WSO 457</t>
  </si>
  <si>
    <t>WSO 458</t>
  </si>
  <si>
    <t>WSO 459</t>
  </si>
  <si>
    <t>2526/5/TI-233</t>
  </si>
  <si>
    <t>2526/5/TI-241</t>
  </si>
  <si>
    <t>2526/5/TI-242</t>
  </si>
  <si>
    <t>2526/5/TI-244</t>
  </si>
  <si>
    <t>2526/5/TI-243</t>
  </si>
  <si>
    <t>WSO 460</t>
  </si>
  <si>
    <t>2526/5/TI-245</t>
  </si>
  <si>
    <t>2526/5/STO-4</t>
  </si>
  <si>
    <t>2526/5/TI-200</t>
  </si>
  <si>
    <t>2526/5/TI-201</t>
  </si>
  <si>
    <t>PSO 530</t>
  </si>
  <si>
    <t>PSO 529</t>
  </si>
  <si>
    <t>Credit not from client side due to MRP Issue</t>
  </si>
  <si>
    <t>PSO 561</t>
  </si>
  <si>
    <t>2526/5/TI-262</t>
  </si>
  <si>
    <t>WSO 461</t>
  </si>
  <si>
    <t>2526/5/TI-268</t>
  </si>
  <si>
    <t>WSO 462</t>
  </si>
  <si>
    <t>2526/5/TI-265</t>
  </si>
  <si>
    <t>2526/5/TI-263</t>
  </si>
  <si>
    <t>2526/5/TI-264</t>
  </si>
  <si>
    <t>WSO 463</t>
  </si>
  <si>
    <t>WSO 464</t>
  </si>
  <si>
    <t>WSO 465</t>
  </si>
  <si>
    <t>WSO 466</t>
  </si>
  <si>
    <t>WSO 467</t>
  </si>
  <si>
    <t>WSO 468</t>
  </si>
  <si>
    <t>SSO 14</t>
  </si>
  <si>
    <t>PSO 562</t>
  </si>
  <si>
    <t>PSO 563</t>
  </si>
  <si>
    <t>PSO 564</t>
  </si>
  <si>
    <t>2526/5/TI-270</t>
  </si>
  <si>
    <t>2526/5/TI-271</t>
  </si>
  <si>
    <t>2526/5/TI-272</t>
  </si>
  <si>
    <t>2526/5/TI-273</t>
  </si>
  <si>
    <t>2526/5/TI-274</t>
  </si>
  <si>
    <t>2526/5/TI-275</t>
  </si>
  <si>
    <t>Credit note</t>
  </si>
  <si>
    <t>PSO 566</t>
  </si>
  <si>
    <t>PSO 567</t>
  </si>
  <si>
    <t>WSO 469</t>
  </si>
  <si>
    <t>WSO 470</t>
  </si>
  <si>
    <t>WSO 471</t>
  </si>
  <si>
    <t>PSO 565 PSO 568</t>
  </si>
  <si>
    <t>2526/5/TI-276</t>
  </si>
  <si>
    <t>2526/5/TI-277</t>
  </si>
  <si>
    <t>2526/5/TI-278</t>
  </si>
  <si>
    <t>2526/5/TI-279</t>
  </si>
  <si>
    <t>2526/5/TI-280</t>
  </si>
  <si>
    <t>2526/5/TI-281</t>
  </si>
  <si>
    <t>2526/5/TI-283</t>
  </si>
  <si>
    <t>WSO 473 WSO 498</t>
  </si>
  <si>
    <t>WSO 477 WSO 487</t>
  </si>
  <si>
    <t>2526/5/TI-296</t>
  </si>
  <si>
    <t>WSO 487 WSO 497</t>
  </si>
  <si>
    <t>2526/5/TI-316</t>
  </si>
  <si>
    <t>WSO 493 WSO 503</t>
  </si>
  <si>
    <t>2526/5/TI-307</t>
  </si>
  <si>
    <t>PSO 570 PSO 580</t>
  </si>
  <si>
    <t>2526/5/TI-285</t>
  </si>
  <si>
    <t>PSO 571 PSO 576</t>
  </si>
  <si>
    <t>2526/5/TI-286</t>
  </si>
  <si>
    <t>PSO 578 PSO 582</t>
  </si>
  <si>
    <t>2526/5/TI-293</t>
  </si>
  <si>
    <t>WSO 474</t>
  </si>
  <si>
    <t>WSO 488</t>
  </si>
  <si>
    <t>2526/5/TI-297</t>
  </si>
  <si>
    <t>2526/5/TI-303</t>
  </si>
  <si>
    <t>2526/5/TI-305</t>
  </si>
  <si>
    <t>PSO 569</t>
  </si>
  <si>
    <t>PSO 572</t>
  </si>
  <si>
    <t>PSO 573</t>
  </si>
  <si>
    <t>PSO 574</t>
  </si>
  <si>
    <t>PSO 575</t>
  </si>
  <si>
    <t>PSO 577</t>
  </si>
  <si>
    <t>PSO 579</t>
  </si>
  <si>
    <t>PSO 581</t>
  </si>
  <si>
    <t>2526/5/TI-284</t>
  </si>
  <si>
    <t>2526/5/TI-287</t>
  </si>
  <si>
    <t>2526/5/TI-288</t>
  </si>
  <si>
    <t>2526/5/TI-289</t>
  </si>
  <si>
    <t>2526/5/TI-290</t>
  </si>
  <si>
    <t>2526/5/TI-294</t>
  </si>
  <si>
    <t>2526/5/TI-292</t>
  </si>
  <si>
    <t>2526/5/TI-291</t>
  </si>
  <si>
    <t>SSO 16</t>
  </si>
  <si>
    <t>SSO 17</t>
  </si>
  <si>
    <t>STO</t>
  </si>
  <si>
    <t>WSO 478</t>
  </si>
  <si>
    <t>WSO 479</t>
  </si>
  <si>
    <t>2526/5/TI-318</t>
  </si>
  <si>
    <t>2526/5/TI-319</t>
  </si>
  <si>
    <t>2526/5/TI-320</t>
  </si>
  <si>
    <t>2526/5/TI-321</t>
  </si>
  <si>
    <t>WSO 487 WSO 499</t>
  </si>
  <si>
    <t>2526/5/TI-304</t>
  </si>
  <si>
    <t>2526/5/TI-298</t>
  </si>
  <si>
    <t>WSO 475 WSO 489 WSO 494 WSO 505</t>
  </si>
  <si>
    <t>WSO 491</t>
  </si>
  <si>
    <t>2526/5/TI-306</t>
  </si>
  <si>
    <t>WSO 495</t>
  </si>
  <si>
    <t>WSO 496</t>
  </si>
  <si>
    <t>WSO 508</t>
  </si>
  <si>
    <t>WSO 510</t>
  </si>
  <si>
    <t>2526/5/TI-308</t>
  </si>
  <si>
    <t>2526/5/TI-309</t>
  </si>
  <si>
    <t>2526/5/TI-314</t>
  </si>
  <si>
    <t>2526/5/TI-315</t>
  </si>
  <si>
    <t>WSO 476 WSO 490</t>
  </si>
  <si>
    <t>2526/5/TI-295</t>
  </si>
  <si>
    <t>SSO 15</t>
  </si>
  <si>
    <t>2526/5/STO-12</t>
  </si>
  <si>
    <t>WSO 480 WSO 509</t>
  </si>
  <si>
    <t>2526/5/TI-300</t>
  </si>
  <si>
    <t>WSO 484 WSO 492</t>
  </si>
  <si>
    <t>2526/5/TI-302</t>
  </si>
  <si>
    <t>2526/5/TI-311</t>
  </si>
  <si>
    <t>WSO 501 WSO 507</t>
  </si>
  <si>
    <t>WSO 481</t>
  </si>
  <si>
    <t>WSO 482</t>
  </si>
  <si>
    <t>WSO 500</t>
  </si>
  <si>
    <t>WSO 502</t>
  </si>
  <si>
    <t>WSO 506</t>
  </si>
  <si>
    <t>2526/5/TI-299</t>
  </si>
  <si>
    <t>2526/5/TI-301</t>
  </si>
  <si>
    <t>2526/5/TI-310</t>
  </si>
  <si>
    <t>2526/5/TI-312</t>
  </si>
  <si>
    <t>2526/5/TI-313</t>
  </si>
  <si>
    <t>WSO 504</t>
  </si>
  <si>
    <t>WSO 511</t>
  </si>
  <si>
    <t>WSO 512</t>
  </si>
  <si>
    <t>WSO 513</t>
  </si>
  <si>
    <t>WSO 514</t>
  </si>
  <si>
    <t>WSO 515</t>
  </si>
  <si>
    <t>WSO 516</t>
  </si>
  <si>
    <t>WSO 517 WSO 519</t>
  </si>
  <si>
    <t>2526/5/TI-317</t>
  </si>
  <si>
    <t>2526/5/TI-332</t>
  </si>
  <si>
    <t>2526/5/TI-323</t>
  </si>
  <si>
    <t>2526/5/TI-324</t>
  </si>
  <si>
    <t>2526/5/TI-328</t>
  </si>
  <si>
    <t>2526/5/TI-333</t>
  </si>
  <si>
    <t>2526/5/TI-327</t>
  </si>
  <si>
    <t>2526/5/TI-322</t>
  </si>
  <si>
    <t>WSO 518</t>
  </si>
  <si>
    <t>WSO 520</t>
  </si>
  <si>
    <t>WSO 521</t>
  </si>
  <si>
    <t>WSO 522</t>
  </si>
  <si>
    <t>WSO 523</t>
  </si>
  <si>
    <t>WSO 524</t>
  </si>
  <si>
    <t>WSO 525</t>
  </si>
  <si>
    <t>2526/5/TI-325</t>
  </si>
  <si>
    <t>2526/5/TI-326</t>
  </si>
  <si>
    <t>2526/5/TI-329</t>
  </si>
  <si>
    <t>2526/5/TI-330</t>
  </si>
  <si>
    <t>2526/5/TI-331</t>
  </si>
  <si>
    <t>2526/5/TI-334</t>
  </si>
  <si>
    <t>2526/5/TI-335</t>
  </si>
  <si>
    <t>2526/5/STO-10</t>
  </si>
  <si>
    <t>2526/5/STO-11</t>
  </si>
  <si>
    <t>2526/5/STO-9</t>
  </si>
  <si>
    <t>2526/5/TI-266</t>
  </si>
  <si>
    <t>2526/5/TI-267</t>
  </si>
  <si>
    <t>: 2526/5/TI-269</t>
  </si>
  <si>
    <t>WSO 541</t>
  </si>
  <si>
    <t>2526/5/TI-346</t>
  </si>
  <si>
    <t>WSO 540</t>
  </si>
  <si>
    <t>2526/5/TI-345</t>
  </si>
  <si>
    <t>WSO 539</t>
  </si>
  <si>
    <t>2526/5/TI-344</t>
  </si>
  <si>
    <t>WSO 534</t>
  </si>
  <si>
    <t>2526/5/TI-342</t>
  </si>
  <si>
    <t>WSO 529</t>
  </si>
  <si>
    <t>2526/5/TI-338</t>
  </si>
  <si>
    <t>WSO 533</t>
  </si>
  <si>
    <t>2526/5/TI-341</t>
  </si>
  <si>
    <t>WSO 532</t>
  </si>
  <si>
    <t>2526/5/TI-340</t>
  </si>
  <si>
    <t>2526/5/TI-347</t>
  </si>
  <si>
    <t>WSO 538</t>
  </si>
  <si>
    <t>2526/5/TI-343</t>
  </si>
  <si>
    <t>WSO 527 WSO 536</t>
  </si>
  <si>
    <t>2526/5/TI-337</t>
  </si>
  <si>
    <t>WSO 526 WSO 535</t>
  </si>
  <si>
    <t>2526/5/TI-336</t>
  </si>
  <si>
    <t>STO-BIBO</t>
  </si>
  <si>
    <t>STO-13</t>
  </si>
  <si>
    <t>2526/5/STO-13</t>
  </si>
  <si>
    <t>WSO 531</t>
  </si>
  <si>
    <t>2526/5/TI-339</t>
  </si>
  <si>
    <t>PSO 585</t>
  </si>
  <si>
    <t>PSO 586</t>
  </si>
  <si>
    <t>PSO 587</t>
  </si>
  <si>
    <t>PSO 588</t>
  </si>
  <si>
    <t>PSO 589</t>
  </si>
  <si>
    <t>WSO 543</t>
  </si>
  <si>
    <t>WSO 537</t>
  </si>
  <si>
    <t>WSO 548</t>
  </si>
  <si>
    <t>WSO 549</t>
  </si>
  <si>
    <t>WSO 550</t>
  </si>
  <si>
    <t>WSO 551</t>
  </si>
  <si>
    <t>2526/5/TI-350</t>
  </si>
  <si>
    <t>2526/5/TI-351</t>
  </si>
  <si>
    <t>WSO 545 wso 546</t>
  </si>
  <si>
    <t>2526/5/TI-352</t>
  </si>
  <si>
    <t>2526/5/TI-353</t>
  </si>
  <si>
    <t>2526/5/TI-354</t>
  </si>
  <si>
    <t>2526/5/TI-355</t>
  </si>
  <si>
    <t>2526/5/TI-356</t>
  </si>
  <si>
    <t>2526/5/TI-357</t>
  </si>
  <si>
    <t>2526/5/TI-358</t>
  </si>
  <si>
    <t>2526/5/TI-359</t>
  </si>
  <si>
    <t>2526/5/TI-360</t>
  </si>
  <si>
    <t>WSO 544 WSO 547</t>
  </si>
  <si>
    <t>2526/5/TI-362</t>
  </si>
  <si>
    <t>2526/5/TI-363</t>
  </si>
  <si>
    <t>WSO 528 WSO 530</t>
  </si>
  <si>
    <t>2526/5/TI-348</t>
  </si>
  <si>
    <t>WSO 2</t>
  </si>
  <si>
    <t>WSO 3</t>
  </si>
  <si>
    <t>WSO 4</t>
  </si>
  <si>
    <t>WSO 5</t>
  </si>
  <si>
    <t>WSO 6</t>
  </si>
  <si>
    <t>WSO 7</t>
  </si>
  <si>
    <t>WSO 8</t>
  </si>
  <si>
    <t>2526/7/TI-1</t>
  </si>
  <si>
    <t>2526/7/TI-2</t>
  </si>
  <si>
    <t>2526/7/TI-3</t>
  </si>
  <si>
    <t>2526/7/TI-4</t>
  </si>
  <si>
    <t>2526/7/TI-5</t>
  </si>
  <si>
    <t>2526/7/TI-6</t>
  </si>
  <si>
    <t>2526/7/TI-7</t>
  </si>
  <si>
    <t>2526/7/TI-8</t>
  </si>
  <si>
    <t>WOS 10</t>
  </si>
  <si>
    <t>WOS 11</t>
  </si>
  <si>
    <t>WOS 12</t>
  </si>
  <si>
    <t>WOS 13</t>
  </si>
  <si>
    <t>WOS 9</t>
  </si>
  <si>
    <t>2526/7/TI-9</t>
  </si>
  <si>
    <t>2526/7/TI-13</t>
  </si>
  <si>
    <t>2526/7/TI-10</t>
  </si>
  <si>
    <t>2526/7/TI-12</t>
  </si>
  <si>
    <t>2526/7/TI-11</t>
  </si>
  <si>
    <t>WOS 14</t>
  </si>
  <si>
    <t>WOS 15</t>
  </si>
  <si>
    <t>WOS 16</t>
  </si>
  <si>
    <t>WOS 17</t>
  </si>
  <si>
    <t>WOS 18</t>
  </si>
  <si>
    <t>WOS 19</t>
  </si>
  <si>
    <t>WOS 20</t>
  </si>
  <si>
    <t>WOS 21</t>
  </si>
  <si>
    <t>SSO 1</t>
  </si>
  <si>
    <t>DL01GC3659</t>
  </si>
  <si>
    <t>2526/7/TI-14</t>
  </si>
  <si>
    <t>2526/7/TI-15</t>
  </si>
  <si>
    <t>2526/7/TI-16</t>
  </si>
  <si>
    <t>2526/7/TI-17</t>
  </si>
  <si>
    <t>2526/7/TI-18</t>
  </si>
  <si>
    <t>2526/7/TI-19</t>
  </si>
  <si>
    <t>2526/7/TI-20</t>
  </si>
  <si>
    <t>2526/7/TI-21</t>
  </si>
  <si>
    <t xml:space="preserve">Delay dispatch due to transporter </t>
  </si>
  <si>
    <t>Dispatched on same day</t>
  </si>
  <si>
    <t>2526/7/TI-22</t>
  </si>
  <si>
    <t>2526/7/TI-23</t>
  </si>
  <si>
    <t>2526/7/TI-24</t>
  </si>
  <si>
    <t>2526/7/TI-25</t>
  </si>
  <si>
    <t>2526/7/TI-26</t>
  </si>
  <si>
    <t>2526/7/TI-27</t>
  </si>
  <si>
    <t>2526/7/TI-28</t>
  </si>
  <si>
    <t>2526/7/TI-29</t>
  </si>
  <si>
    <t>2526/7/TI-30</t>
  </si>
  <si>
    <t>PSO 1</t>
  </si>
  <si>
    <t>2526/7/TI-31</t>
  </si>
  <si>
    <t>PSO 6</t>
  </si>
  <si>
    <t>2526/7/TI-32</t>
  </si>
  <si>
    <t>2526/7/TI-33</t>
  </si>
  <si>
    <t>PSO 4</t>
  </si>
  <si>
    <t>2526/7/TI-34</t>
  </si>
  <si>
    <t>PSO 5</t>
  </si>
  <si>
    <t>2526/7/TI-36</t>
  </si>
  <si>
    <t>PSO 7</t>
  </si>
  <si>
    <t>2526/7/TI-37</t>
  </si>
  <si>
    <t>PSO 3</t>
  </si>
  <si>
    <t>2526/7/TI-38</t>
  </si>
  <si>
    <t>DL01GE4741</t>
  </si>
  <si>
    <t>PSO 9</t>
  </si>
  <si>
    <t>2526/7/TI-39</t>
  </si>
  <si>
    <t>PSO 10 PSO 2</t>
  </si>
  <si>
    <t>SSO 2</t>
  </si>
  <si>
    <t>WOS 32</t>
  </si>
  <si>
    <t>WOS 36</t>
  </si>
  <si>
    <t>WOS 38</t>
  </si>
  <si>
    <t>2526/7/STO-2</t>
  </si>
  <si>
    <t>2526/7/TI-41</t>
  </si>
  <si>
    <t>2526/7/TI-43</t>
  </si>
  <si>
    <t>2526/7/TI-44</t>
  </si>
  <si>
    <t>WOS-33</t>
  </si>
  <si>
    <t>2526/7/TI-42</t>
  </si>
  <si>
    <t>DL1MA5977</t>
  </si>
  <si>
    <t>WOS-37</t>
  </si>
  <si>
    <t>2526/7/TI-45</t>
  </si>
  <si>
    <t>WOS-34</t>
  </si>
  <si>
    <t>2526/7/TI-46</t>
  </si>
  <si>
    <t>WOS-35</t>
  </si>
  <si>
    <t>2526/7/TI-40</t>
  </si>
  <si>
    <t>2526/7/TI-35</t>
  </si>
  <si>
    <t>PSO-13</t>
  </si>
  <si>
    <t>2526/7/TI-51</t>
  </si>
  <si>
    <t>WOS-39</t>
  </si>
  <si>
    <t>2526/7/TI-47</t>
  </si>
  <si>
    <t>WOS-40</t>
  </si>
  <si>
    <t>SHREE DATTA AGENCY-MAHARASHTRA</t>
  </si>
  <si>
    <t>2526/7/TI-48</t>
  </si>
  <si>
    <t>PSO-8</t>
  </si>
  <si>
    <t>PSO-11</t>
  </si>
  <si>
    <t>PSO-12</t>
  </si>
  <si>
    <t>2526/7/TI-49</t>
  </si>
  <si>
    <t>2526/7/TI-50</t>
  </si>
  <si>
    <t>PSO 14</t>
  </si>
  <si>
    <t>PSO 15</t>
  </si>
  <si>
    <t>DL01MA2968</t>
  </si>
  <si>
    <t>2526/7/TI-52</t>
  </si>
  <si>
    <t>2526/7/TI-53</t>
  </si>
  <si>
    <t>2526/7/TI-54</t>
  </si>
  <si>
    <t>2526/7/TI-55</t>
  </si>
  <si>
    <t>2526/7/TI-56</t>
  </si>
  <si>
    <t>WOS 43</t>
  </si>
  <si>
    <t>2526/7/TI-59</t>
  </si>
  <si>
    <t>WOS 42</t>
  </si>
  <si>
    <t>2526/7/TI-62</t>
  </si>
  <si>
    <t>WOS 44</t>
  </si>
  <si>
    <t>2526/7/TI-61</t>
  </si>
  <si>
    <t>WOS 41</t>
  </si>
  <si>
    <t>WOS 45</t>
  </si>
  <si>
    <t>WOS 46</t>
  </si>
  <si>
    <t>WOS 47</t>
  </si>
  <si>
    <t>WOS 48</t>
  </si>
  <si>
    <t>WOS 49</t>
  </si>
  <si>
    <t>WOS 50</t>
  </si>
  <si>
    <t>WOS 51</t>
  </si>
  <si>
    <t>WOS 52</t>
  </si>
  <si>
    <t>WOS 53</t>
  </si>
  <si>
    <t>2526/7/TI-60</t>
  </si>
  <si>
    <t>2526/7/TI-66</t>
  </si>
  <si>
    <t>2526/7/TI-63</t>
  </si>
  <si>
    <t>2526/7/TI-67</t>
  </si>
  <si>
    <t>2526/7/TI-65</t>
  </si>
  <si>
    <t>2526/7/TI-71</t>
  </si>
  <si>
    <t>2526/7/TI-70</t>
  </si>
  <si>
    <t>2526/7/TI-68</t>
  </si>
  <si>
    <t>2526/7/TI-69</t>
  </si>
  <si>
    <t>2526/7/TI-64</t>
  </si>
  <si>
    <t>2526/7/TI-72</t>
  </si>
  <si>
    <t>WOS 54</t>
  </si>
  <si>
    <t>WOS 56</t>
  </si>
  <si>
    <t>2526/7/TI-74</t>
  </si>
  <si>
    <t>WOS 57</t>
  </si>
  <si>
    <t>2526/7/TI-75</t>
  </si>
  <si>
    <t>WOS 58</t>
  </si>
  <si>
    <t>2526/7/TI-76</t>
  </si>
  <si>
    <t>WOS 59</t>
  </si>
  <si>
    <t>2526/7/TI-77</t>
  </si>
  <si>
    <t>WOS 60</t>
  </si>
  <si>
    <t>2526/7/TI-78</t>
  </si>
  <si>
    <t>2526/7/TI-79</t>
  </si>
  <si>
    <t>2526/7/TI-73</t>
  </si>
  <si>
    <t>DL1LAM1143</t>
  </si>
  <si>
    <t>2526/7/TI-80</t>
  </si>
  <si>
    <t>2526/7/TI-81</t>
  </si>
  <si>
    <t>2526/7/TI-82</t>
  </si>
  <si>
    <t>2526/7/TI-83</t>
  </si>
  <si>
    <t>2526/7/TI-84</t>
  </si>
  <si>
    <t>WOS 61</t>
  </si>
  <si>
    <t>WOS 55</t>
  </si>
  <si>
    <t>WOS 62</t>
  </si>
  <si>
    <t>WOS 63</t>
  </si>
  <si>
    <t>WOS 65</t>
  </si>
  <si>
    <t>WOS 66</t>
  </si>
  <si>
    <t>WOS 64</t>
  </si>
  <si>
    <t>WOS 67</t>
  </si>
  <si>
    <t>WOS 68</t>
  </si>
  <si>
    <t>WOS 69</t>
  </si>
  <si>
    <t>WOS 70</t>
  </si>
  <si>
    <t>WOS 71</t>
  </si>
  <si>
    <t>2526/7/STO-3</t>
  </si>
  <si>
    <t>2526/7/TI-97</t>
  </si>
  <si>
    <t>2526/7/TI-96</t>
  </si>
  <si>
    <t>2526/7/TI-95</t>
  </si>
  <si>
    <t>2526/7/TI-94</t>
  </si>
  <si>
    <t>2526/7/TI-93</t>
  </si>
  <si>
    <t>WOS 75</t>
  </si>
  <si>
    <t>WOS 78</t>
  </si>
  <si>
    <t>WOS 84</t>
  </si>
  <si>
    <t>WOS 87</t>
  </si>
  <si>
    <t>WOS 92</t>
  </si>
  <si>
    <t>WOS 96</t>
  </si>
  <si>
    <t>WOS 98</t>
  </si>
  <si>
    <t>2526/7/TI-99</t>
  </si>
  <si>
    <t>2526/7/TI-108</t>
  </si>
  <si>
    <t>2526/7/TI-102</t>
  </si>
  <si>
    <t>2526/7/TI-103</t>
  </si>
  <si>
    <t>2526/7/TI-105</t>
  </si>
  <si>
    <t>2526/7/TI-106</t>
  </si>
  <si>
    <t>2526/7/TI-107</t>
  </si>
  <si>
    <t>WOS76</t>
  </si>
  <si>
    <t>2526/7/TI-109</t>
  </si>
  <si>
    <t>DL01MA9763</t>
  </si>
  <si>
    <t>WOS79</t>
  </si>
  <si>
    <t>2526/7/TI-111</t>
  </si>
  <si>
    <t>WOS80</t>
  </si>
  <si>
    <t>2526/7/TI-112</t>
  </si>
  <si>
    <t>WOS81</t>
  </si>
  <si>
    <t>2526/7/TI-113</t>
  </si>
  <si>
    <t>WOS83</t>
  </si>
  <si>
    <t>WOS82</t>
  </si>
  <si>
    <t>2526/7/TI-114</t>
  </si>
  <si>
    <t>2526/7/TI-115</t>
  </si>
  <si>
    <t>2526/7/TI-117</t>
  </si>
  <si>
    <t>WOS97</t>
  </si>
  <si>
    <t>2526/7/TI-130</t>
  </si>
  <si>
    <t>DL01MA9417</t>
  </si>
  <si>
    <t>WOS74</t>
  </si>
  <si>
    <t>2526/7/TI-100</t>
  </si>
  <si>
    <t>WOS91</t>
  </si>
  <si>
    <t>2526/7/TI-119</t>
  </si>
  <si>
    <t>WOS93</t>
  </si>
  <si>
    <t>2526/7/TI-126</t>
  </si>
  <si>
    <t>WOS101</t>
  </si>
  <si>
    <t>2526/7/TI-132</t>
  </si>
  <si>
    <t>WOS102</t>
  </si>
  <si>
    <t>2526/7/TI-133</t>
  </si>
  <si>
    <t>WOS111</t>
  </si>
  <si>
    <t>2526/7/TI-138</t>
  </si>
  <si>
    <t>WOS106</t>
  </si>
  <si>
    <t>EXCEL INTERNATIONAL</t>
  </si>
  <si>
    <t>2526/7/TI-121</t>
  </si>
  <si>
    <t>2526/7/TI-124</t>
  </si>
  <si>
    <t>WOS112</t>
  </si>
  <si>
    <t>WOS113</t>
  </si>
  <si>
    <t>2526/7/TI-125</t>
  </si>
  <si>
    <t>WOS108</t>
  </si>
  <si>
    <t>2526/7/TI-122</t>
  </si>
  <si>
    <t>WOS115</t>
  </si>
  <si>
    <t>2526/7/TI-134</t>
  </si>
  <si>
    <t>WOS105</t>
  </si>
  <si>
    <t>2526/7/TI-136</t>
  </si>
  <si>
    <t>WOS109</t>
  </si>
  <si>
    <t>2526/7/TI-139</t>
  </si>
  <si>
    <t>WOS86</t>
  </si>
  <si>
    <t>SHIV SALES  SAHARANPUR</t>
  </si>
  <si>
    <t>2526/07/TI-104</t>
  </si>
  <si>
    <t>RJ14GT4589</t>
  </si>
  <si>
    <t>WOS 104</t>
  </si>
  <si>
    <t>2526/07/TI-120</t>
  </si>
  <si>
    <t>WOS 99</t>
  </si>
  <si>
    <t>2526/07/TI-123</t>
  </si>
  <si>
    <t>WOS 114</t>
  </si>
  <si>
    <t>2526/07/TI-127</t>
  </si>
  <si>
    <t>WOS 107</t>
  </si>
  <si>
    <t>2526/07/TI-128</t>
  </si>
  <si>
    <t>WOS 103</t>
  </si>
  <si>
    <t>2526/07/TI-129</t>
  </si>
  <si>
    <t>2526/07/TI-106</t>
  </si>
  <si>
    <t>WOS 73</t>
  </si>
  <si>
    <t>2526/07/TI-101</t>
  </si>
  <si>
    <t>WOS 72</t>
  </si>
  <si>
    <t>2526/07/TI-98</t>
  </si>
  <si>
    <t>WOS 85</t>
  </si>
  <si>
    <t>2526/07/TI-116</t>
  </si>
  <si>
    <t>WOS 77</t>
  </si>
  <si>
    <t>2526/07/TI-110</t>
  </si>
  <si>
    <t>Back to vendor</t>
  </si>
  <si>
    <t>FROSCH  VENTURES PVT LTF  -BAHADURGARH</t>
  </si>
  <si>
    <t>CN-2/2025-26</t>
  </si>
  <si>
    <t>BAHADURGARH</t>
  </si>
  <si>
    <t>ROTHAJ Transport</t>
  </si>
  <si>
    <t>DL01MA6728</t>
  </si>
  <si>
    <t>Back to supplier vendor (SPARIO)</t>
  </si>
  <si>
    <t>SSO5</t>
  </si>
  <si>
    <t>STO-4</t>
  </si>
  <si>
    <t>SSO4</t>
  </si>
  <si>
    <t>STO-5</t>
  </si>
  <si>
    <t>2526/07/TI-118</t>
  </si>
  <si>
    <t>WOS 100</t>
  </si>
  <si>
    <t>2526/07/TI-131</t>
  </si>
  <si>
    <t>WOS95</t>
  </si>
  <si>
    <t>2526/07/TI-135</t>
  </si>
  <si>
    <t>WOS94</t>
  </si>
  <si>
    <t>2526/07/TI-137</t>
  </si>
  <si>
    <t>WOS118</t>
  </si>
  <si>
    <t>2526/07/TI-140</t>
  </si>
  <si>
    <t>WOS119</t>
  </si>
  <si>
    <t>2526/07/TI-141</t>
  </si>
  <si>
    <t>WOS120</t>
  </si>
  <si>
    <t>2526/07/TI-142</t>
  </si>
  <si>
    <t>WOS117</t>
  </si>
  <si>
    <t>2526/07/TI-144</t>
  </si>
  <si>
    <t>WOS123</t>
  </si>
  <si>
    <t>2526/07/TI-146</t>
  </si>
  <si>
    <t>DC-001</t>
  </si>
  <si>
    <t xml:space="preserve">SAMPLE BOX </t>
  </si>
  <si>
    <t>WOS122</t>
  </si>
  <si>
    <t>2526/07/TI-143</t>
  </si>
  <si>
    <t>WOS121</t>
  </si>
  <si>
    <t>2526/07/TI-145</t>
  </si>
  <si>
    <t>WOS124</t>
  </si>
  <si>
    <t>2526/07/TI-147</t>
  </si>
  <si>
    <t>SAMPLE</t>
  </si>
  <si>
    <t>WOS 116</t>
  </si>
  <si>
    <t>27/09/2025</t>
  </si>
  <si>
    <t>2526/07/TI-148</t>
  </si>
  <si>
    <t>WOS 129</t>
  </si>
  <si>
    <t>2526/07/TI-155</t>
  </si>
  <si>
    <t>WOS 125</t>
  </si>
  <si>
    <t>2526/07/TI-149</t>
  </si>
  <si>
    <t>WOS 132</t>
  </si>
  <si>
    <t>2526/07/TI-156</t>
  </si>
  <si>
    <t>WOS 126</t>
  </si>
  <si>
    <t>2526/07/TI-150</t>
  </si>
  <si>
    <t>WOS 131</t>
  </si>
  <si>
    <t>2526/07/TI-154</t>
  </si>
  <si>
    <t>WOS 128</t>
  </si>
  <si>
    <t>2526/07/TI-152</t>
  </si>
  <si>
    <t>WOS 130</t>
  </si>
  <si>
    <t>2526/07/TI-153</t>
  </si>
  <si>
    <t>WOS 127</t>
  </si>
  <si>
    <t>2526/07/TI-151</t>
  </si>
  <si>
    <t>WOS 146</t>
  </si>
  <si>
    <t>2526/07/TI-169</t>
  </si>
  <si>
    <t>SRINAGAR</t>
  </si>
  <si>
    <t>WOS 138</t>
  </si>
  <si>
    <t>2526/07/TI-158</t>
  </si>
  <si>
    <t>LUDIYANA</t>
  </si>
  <si>
    <t>WOS 140</t>
  </si>
  <si>
    <t>2526/07/TI-172</t>
  </si>
  <si>
    <t>BHOPAL</t>
  </si>
  <si>
    <t>WOS 150</t>
  </si>
  <si>
    <t>2526/07/TI-163</t>
  </si>
  <si>
    <t>WOS 136</t>
  </si>
  <si>
    <t>2526/07/TI-170</t>
  </si>
  <si>
    <t>JAIPUR</t>
  </si>
  <si>
    <t>WOS 139</t>
  </si>
  <si>
    <t>2526/07/TI-157</t>
  </si>
  <si>
    <t>GAZIABAD</t>
  </si>
  <si>
    <t>WOS148</t>
  </si>
  <si>
    <t>2526/07/TI-165</t>
  </si>
  <si>
    <t>NEW DELHI</t>
  </si>
  <si>
    <t>WOS147</t>
  </si>
  <si>
    <t>2526/07/TI-166</t>
  </si>
  <si>
    <t>GUJARAT</t>
  </si>
  <si>
    <t>WOS 137</t>
  </si>
  <si>
    <t>2526/07/TI-171</t>
  </si>
  <si>
    <t>WOS 149</t>
  </si>
  <si>
    <t>2526/07/TI-167</t>
  </si>
  <si>
    <t>SOLAN</t>
  </si>
  <si>
    <t>DL01MA9877</t>
  </si>
  <si>
    <t>VARDHMAN SHOE COMPANY         -JODHPUR</t>
  </si>
  <si>
    <t>WOS 162</t>
  </si>
  <si>
    <t>WOS 163</t>
  </si>
  <si>
    <t>WOS 166</t>
  </si>
  <si>
    <t>WOS 182</t>
  </si>
  <si>
    <t>WOS 145</t>
  </si>
  <si>
    <t>WOS 141</t>
  </si>
  <si>
    <t>WOS 151</t>
  </si>
  <si>
    <t>WOS 153</t>
  </si>
  <si>
    <t>WOS 155</t>
  </si>
  <si>
    <t>WOS 156</t>
  </si>
  <si>
    <t>WOS 154</t>
  </si>
  <si>
    <t>WOS 152</t>
  </si>
  <si>
    <t>WOS 144</t>
  </si>
  <si>
    <t>WOS 134</t>
  </si>
  <si>
    <t>WOS 142</t>
  </si>
  <si>
    <t>WOS 157</t>
  </si>
  <si>
    <t>WOS 161</t>
  </si>
  <si>
    <t>WOS 159</t>
  </si>
  <si>
    <t>WOS 165</t>
  </si>
  <si>
    <t>WOS 169</t>
  </si>
  <si>
    <t>2526/7/ TI-186</t>
  </si>
  <si>
    <t>2526/7/TI-187</t>
  </si>
  <si>
    <t>2526/7/TI-189</t>
  </si>
  <si>
    <t>Madhya Pradesh</t>
  </si>
  <si>
    <t>2526/7/TI-159</t>
  </si>
  <si>
    <t>2526/7/TI-160</t>
  </si>
  <si>
    <t>Maharashtra</t>
  </si>
  <si>
    <t>Haryana</t>
  </si>
  <si>
    <t>Rajasthan</t>
  </si>
  <si>
    <t>2526/7/TI-173</t>
  </si>
  <si>
    <t>2526/7/TI-164</t>
  </si>
  <si>
    <t>2526/7/TI-162</t>
  </si>
  <si>
    <t>2526/7/TI-161</t>
  </si>
  <si>
    <t>2526/7/ TI-174</t>
  </si>
  <si>
    <t>Uttar Pradesh</t>
  </si>
  <si>
    <t>2526/7/TI-175</t>
  </si>
  <si>
    <t> 2526/7/TI-177</t>
  </si>
  <si>
    <t>Jammu &amp; Kashmir</t>
  </si>
  <si>
    <t>2526/7/TI-178</t>
  </si>
  <si>
    <t>Jharkhand</t>
  </si>
  <si>
    <t>2526/7/TI-182</t>
  </si>
  <si>
    <t>2526/7/TI-183</t>
  </si>
  <si>
    <t>2526/7/TI-184</t>
  </si>
  <si>
    <t>2526/7/TI-185</t>
  </si>
  <si>
    <t>2526/7/TI-190</t>
  </si>
  <si>
    <t>2526/7/ TI-176</t>
  </si>
  <si>
    <t>Chandigarh</t>
  </si>
  <si>
    <t>2526/7/TI-168</t>
  </si>
  <si>
    <t>WOS 135</t>
  </si>
  <si>
    <t>2526/7/TI-179</t>
  </si>
  <si>
    <t>WOS 143</t>
  </si>
  <si>
    <t>2526/7/TI-180</t>
  </si>
  <si>
    <t>WOS 158</t>
  </si>
  <si>
    <t>2526/7/TI-181</t>
  </si>
  <si>
    <t>WOS 160</t>
  </si>
  <si>
    <t>2526/7/TI-191</t>
  </si>
  <si>
    <t>WOS 177</t>
  </si>
  <si>
    <t>2526/7/TI-192</t>
  </si>
  <si>
    <t>WOS 176</t>
  </si>
  <si>
    <t>2526/7/TI-193</t>
  </si>
  <si>
    <t>WOS 167</t>
  </si>
  <si>
    <t>2526/7/TI-188</t>
  </si>
  <si>
    <t>WOS 168</t>
  </si>
  <si>
    <t>2526/7/TI-194</t>
  </si>
  <si>
    <t>WOS 172</t>
  </si>
  <si>
    <t>2526/7/TI-195</t>
  </si>
  <si>
    <t>WOS 173</t>
  </si>
  <si>
    <t>2526/7/TI-196</t>
  </si>
  <si>
    <t>WOS 181</t>
  </si>
  <si>
    <t>2526/7/TI-197</t>
  </si>
  <si>
    <t>WOS 185</t>
  </si>
  <si>
    <t>2526/7/TI-198</t>
  </si>
  <si>
    <t>WOS 184</t>
  </si>
  <si>
    <t>2526/7/TI-199</t>
  </si>
  <si>
    <t>WOS 179</t>
  </si>
  <si>
    <t>2526/7/TI-200</t>
  </si>
  <si>
    <t>WOS 175</t>
  </si>
  <si>
    <t>2526/7/TI-201</t>
  </si>
  <si>
    <t>WOS 164</t>
  </si>
  <si>
    <t>2526/7/TI-202</t>
  </si>
  <si>
    <t>PUNJAB</t>
  </si>
  <si>
    <t>WOS 170</t>
  </si>
  <si>
    <t>2526/7/TI-203</t>
  </si>
  <si>
    <t>WOS 171</t>
  </si>
  <si>
    <t>2526/7/TI-204</t>
  </si>
  <si>
    <t>WOS 174</t>
  </si>
  <si>
    <t>2526/7/TI-205</t>
  </si>
  <si>
    <t>HIMALCHAL PRADESH</t>
  </si>
  <si>
    <t>WOS 178</t>
  </si>
  <si>
    <t>2526/7/TI-206</t>
  </si>
  <si>
    <t>WOS 187</t>
  </si>
  <si>
    <t>2526/7/TI-207</t>
  </si>
  <si>
    <t>WOS 188</t>
  </si>
  <si>
    <t>2526/7/TI-208</t>
  </si>
  <si>
    <t>WOS 198</t>
  </si>
  <si>
    <t>2526/7/TI-209</t>
  </si>
  <si>
    <t>WOS 180</t>
  </si>
  <si>
    <t>2526/7/TI-210</t>
  </si>
  <si>
    <t>WOS 190</t>
  </si>
  <si>
    <t>2526/7/TI-211</t>
  </si>
  <si>
    <t>WOS 191</t>
  </si>
  <si>
    <t>2526/7/TI-212</t>
  </si>
  <si>
    <t>WOS 193</t>
  </si>
  <si>
    <t>2526/7/TI-213</t>
  </si>
  <si>
    <t>WOS 192</t>
  </si>
  <si>
    <t>2526/7/TI-214</t>
  </si>
  <si>
    <t>WOS 200</t>
  </si>
  <si>
    <t>2526/7/TI-215</t>
  </si>
  <si>
    <t>WOS 197</t>
  </si>
  <si>
    <t>2526/7/TI-216</t>
  </si>
  <si>
    <t>WOS 194,214</t>
  </si>
  <si>
    <t>2526/7/TI-220</t>
  </si>
  <si>
    <t>WOS 204, 228</t>
  </si>
  <si>
    <t>2526/7/TI-221</t>
  </si>
  <si>
    <t>WOS 239</t>
  </si>
  <si>
    <t>2526/7/TI-222</t>
  </si>
  <si>
    <t>WOS 209</t>
  </si>
  <si>
    <t>2526/7/TI-223</t>
  </si>
  <si>
    <t>WOS 199, 219</t>
  </si>
  <si>
    <t>2526/7/TI-224</t>
  </si>
  <si>
    <t>WOS 220</t>
  </si>
  <si>
    <t>2526/7/TI-225</t>
  </si>
  <si>
    <t>WOS 212</t>
  </si>
  <si>
    <t>2526/7/TI-226</t>
  </si>
  <si>
    <t>WOS 213</t>
  </si>
  <si>
    <t>2526/7/TI-227</t>
  </si>
  <si>
    <t>WOS 238</t>
  </si>
  <si>
    <t>2526/7/TI-219</t>
  </si>
  <si>
    <t>RJ40GA5469</t>
  </si>
  <si>
    <t>WOS 207</t>
  </si>
  <si>
    <t>2526/7/TI-217</t>
  </si>
  <si>
    <t>WOS 206, 235</t>
  </si>
  <si>
    <t>2526/7/TI-218</t>
  </si>
  <si>
    <t>WOS 189</t>
  </si>
  <si>
    <t>2526/7/TI-228</t>
  </si>
  <si>
    <t>DL1MA9877</t>
  </si>
  <si>
    <t>WOS 208</t>
  </si>
  <si>
    <t>2526/7/TI-229</t>
  </si>
  <si>
    <t>WOS 133, 211</t>
  </si>
  <si>
    <t>2526/7/TI-230</t>
  </si>
  <si>
    <t>WOS 195, 215, 227</t>
  </si>
  <si>
    <t>2526/7/TI-235</t>
  </si>
  <si>
    <t>WOS 210</t>
  </si>
  <si>
    <t>2526/7/TI-238</t>
  </si>
  <si>
    <t>WOS 230</t>
  </si>
  <si>
    <t>2526/7/TI-239</t>
  </si>
  <si>
    <t>WOS 221, 240</t>
  </si>
  <si>
    <t>2526/7/TI-236</t>
  </si>
  <si>
    <t>WOS 232</t>
  </si>
  <si>
    <t>2526/7/TI-231</t>
  </si>
  <si>
    <t>HEYDRABAD</t>
  </si>
  <si>
    <t>WOS 233</t>
  </si>
  <si>
    <t>2526/7/TI-232</t>
  </si>
  <si>
    <t>WOS 234</t>
  </si>
  <si>
    <t>2526/7/TI-233</t>
  </si>
  <si>
    <t>WOS 237</t>
  </si>
  <si>
    <t>2526/7/TI-234</t>
  </si>
  <si>
    <t>WOS 243</t>
  </si>
  <si>
    <t>2526/7/TI-237</t>
  </si>
  <si>
    <t>WOS 205, 229</t>
  </si>
  <si>
    <t>2526/7/TI-240</t>
  </si>
  <si>
    <t>WOS 202, 224</t>
  </si>
  <si>
    <t>2526/7/TI-241</t>
  </si>
  <si>
    <t>WOS 231</t>
  </si>
  <si>
    <t>2526/7/TI-242</t>
  </si>
  <si>
    <t>WOS 226</t>
  </si>
  <si>
    <t>2526/7/TI-243</t>
  </si>
  <si>
    <t>WOS 218</t>
  </si>
  <si>
    <t>2526/7/TI-244</t>
  </si>
  <si>
    <t>WOS 217</t>
  </si>
  <si>
    <t>2526/7/TI-245</t>
  </si>
  <si>
    <t>WOS 203, 225</t>
  </si>
  <si>
    <t>2526/7/TI-246</t>
  </si>
  <si>
    <t>WOS 201, 223</t>
  </si>
  <si>
    <t>2526/7/TI-247</t>
  </si>
  <si>
    <t>WOS 242</t>
  </si>
  <si>
    <t>2526/7/TI-248</t>
  </si>
  <si>
    <t>WOS 186</t>
  </si>
  <si>
    <t>CHANDRA ENTERPRISES</t>
  </si>
  <si>
    <t>2526/7/TI-249</t>
  </si>
  <si>
    <t>DL1MA9417</t>
  </si>
  <si>
    <t>WOS 196, 216, 248</t>
  </si>
  <si>
    <t>2526/7/TI-250</t>
  </si>
  <si>
    <t>WOS 183</t>
  </si>
  <si>
    <t>2526/7/TI-251</t>
  </si>
  <si>
    <t>WOS 222</t>
  </si>
  <si>
    <t>2526/7/TI-252</t>
  </si>
  <si>
    <t>WOS 236</t>
  </si>
  <si>
    <t>2526/7/TI-253</t>
  </si>
  <si>
    <t>WOS 241</t>
  </si>
  <si>
    <t>2526/7/TI-254</t>
  </si>
  <si>
    <t>WOS 244</t>
  </si>
  <si>
    <t>2526/7/TI-255</t>
  </si>
  <si>
    <t>WOS 245</t>
  </si>
  <si>
    <t>2526/7/TI-256</t>
  </si>
  <si>
    <t>WOS 246</t>
  </si>
  <si>
    <t>2526/7/TI-257</t>
  </si>
  <si>
    <t>WOS 247</t>
  </si>
  <si>
    <t>2526/7/TI-258</t>
  </si>
  <si>
    <t>WOS 25, 257</t>
  </si>
  <si>
    <t>2526/7/TI-262</t>
  </si>
  <si>
    <t>RJ40GA6569</t>
  </si>
  <si>
    <t>Dispatch delay because of vehicle arrival</t>
  </si>
  <si>
    <t>WOS 258</t>
  </si>
  <si>
    <t>2526/7/TI-263</t>
  </si>
  <si>
    <t>WOS 250</t>
  </si>
  <si>
    <t>2526/7/TI-267</t>
  </si>
  <si>
    <t>WOS 266</t>
  </si>
  <si>
    <t>2526/7/TI-268</t>
  </si>
  <si>
    <t>WOS 267</t>
  </si>
  <si>
    <t>2526/7/TI-269</t>
  </si>
  <si>
    <t>WOS 262</t>
  </si>
  <si>
    <t>2526/7/TI-270</t>
  </si>
  <si>
    <t>WOS 256</t>
  </si>
  <si>
    <t>2526/7/TI-259</t>
  </si>
  <si>
    <t>WOS 253</t>
  </si>
  <si>
    <t>2526/7/TI-260</t>
  </si>
  <si>
    <t>WOS 252</t>
  </si>
  <si>
    <t>2526/7/TI-261</t>
  </si>
  <si>
    <t>WOS 249</t>
  </si>
  <si>
    <t>2526/7/TI-265</t>
  </si>
  <si>
    <t>WOS 251</t>
  </si>
  <si>
    <t>2526/7/TI-266</t>
  </si>
  <si>
    <t>WOS 263</t>
  </si>
  <si>
    <t>2526/7/TI-271</t>
  </si>
  <si>
    <t>WOS 265</t>
  </si>
  <si>
    <t>2526/7/TI-272</t>
  </si>
  <si>
    <t>WOS 277</t>
  </si>
  <si>
    <t>2526/7/TI-273</t>
  </si>
  <si>
    <t>WOS 271</t>
  </si>
  <si>
    <t>2526/7/TI-274</t>
  </si>
  <si>
    <t>WOS 275</t>
  </si>
  <si>
    <t>2526/7/TI-275</t>
  </si>
  <si>
    <t>WOS 276</t>
  </si>
  <si>
    <t>2526/7/TI-276</t>
  </si>
  <si>
    <t>WOS 259</t>
  </si>
  <si>
    <t>2526/7/TI-264</t>
  </si>
  <si>
    <t>WOS 261</t>
  </si>
  <si>
    <t>2526/7/TI-277</t>
  </si>
  <si>
    <t>SPARIO</t>
  </si>
  <si>
    <t>PERSNAL CAB</t>
  </si>
  <si>
    <t>CAR</t>
  </si>
  <si>
    <t>PICKUP B AVINASH</t>
  </si>
  <si>
    <t>SAMPLE 2 BOX</t>
  </si>
  <si>
    <t>WOS 279</t>
  </si>
  <si>
    <t>2526/7/TI-278</t>
  </si>
  <si>
    <t>WOS 287</t>
  </si>
  <si>
    <t>2526/7/TI-279</t>
  </si>
  <si>
    <t>WOS 288</t>
  </si>
  <si>
    <t>2526/7/TI-280</t>
  </si>
  <si>
    <t>WOS 289</t>
  </si>
  <si>
    <t>2526/7/TI-281</t>
  </si>
  <si>
    <t>WOS 293</t>
  </si>
  <si>
    <t>2526/7/TI-282</t>
  </si>
  <si>
    <t>WOS 286</t>
  </si>
  <si>
    <t>2526/7/TI-283</t>
  </si>
  <si>
    <t>WOS 282</t>
  </si>
  <si>
    <t>2526/7/TI-284</t>
  </si>
  <si>
    <t>WOS 284</t>
  </si>
  <si>
    <t>2526/7/TI-285</t>
  </si>
  <si>
    <t>WOS 285</t>
  </si>
  <si>
    <t>2526/7/TI-286</t>
  </si>
  <si>
    <t>WOS 280</t>
  </si>
  <si>
    <t>2526/7/TI-287</t>
  </si>
  <si>
    <t>WOS 283</t>
  </si>
  <si>
    <t>2526/7/TI-288</t>
  </si>
  <si>
    <t>2526/7/TI-289</t>
  </si>
  <si>
    <t>WOS 292</t>
  </si>
  <si>
    <t>2526/7/TI-290</t>
  </si>
  <si>
    <t>2526/7/TI-291</t>
  </si>
  <si>
    <t>WOS 290</t>
  </si>
  <si>
    <t>2526/7/TI-292</t>
  </si>
  <si>
    <t>WOS 254</t>
  </si>
  <si>
    <t>2526/7/TI-293</t>
  </si>
  <si>
    <t>WOS 260</t>
  </si>
  <si>
    <t>2526/7/TI-294</t>
  </si>
  <si>
    <t>WOS 264</t>
  </si>
  <si>
    <t>2526/7/TI-295</t>
  </si>
  <si>
    <t>WOS 296</t>
  </si>
  <si>
    <t>2526/7/TI-296</t>
  </si>
  <si>
    <t>WOS 274</t>
  </si>
  <si>
    <t>2526/7/TI-297</t>
  </si>
  <si>
    <t>WOS 273</t>
  </si>
  <si>
    <t>2526/7/TI-298</t>
  </si>
  <si>
    <t>WOS 272</t>
  </si>
  <si>
    <t>2526/7/TI-299</t>
  </si>
  <si>
    <t>WOS 295</t>
  </si>
  <si>
    <t>2526/7/TI-300</t>
  </si>
  <si>
    <t>WOS 270</t>
  </si>
  <si>
    <t>2526/7/TI-301</t>
  </si>
  <si>
    <t>WOS 268</t>
  </si>
  <si>
    <t>2526/7/TI-302</t>
  </si>
  <si>
    <t>WOS 299</t>
  </si>
  <si>
    <t>2526/7/TI-305</t>
  </si>
  <si>
    <t>WOS 297</t>
  </si>
  <si>
    <t>2526/7/TI-303</t>
  </si>
  <si>
    <t>WOS 298</t>
  </si>
  <si>
    <t>2526/7/TI-304</t>
  </si>
  <si>
    <t>WOS 301</t>
  </si>
  <si>
    <t>2526/7/TI-329</t>
  </si>
  <si>
    <t>RJ14GT9514</t>
  </si>
  <si>
    <t>WOS 333</t>
  </si>
  <si>
    <t>2526/7/TI-330</t>
  </si>
  <si>
    <t>WOS 300, 325, 332, 336</t>
  </si>
  <si>
    <t>2526/7/TI-331</t>
  </si>
  <si>
    <t>WOS 306</t>
  </si>
  <si>
    <t>2526/7/TI-317</t>
  </si>
  <si>
    <t>WOS 311</t>
  </si>
  <si>
    <t>2526/7/TI-319</t>
  </si>
  <si>
    <t>WOS 307</t>
  </si>
  <si>
    <t>2526/7/TI-308</t>
  </si>
  <si>
    <t>KA01AL4021</t>
  </si>
  <si>
    <t>WOS 309</t>
  </si>
  <si>
    <t>2526/7/TI-312</t>
  </si>
  <si>
    <t>WOS 331</t>
  </si>
  <si>
    <t>2526/7/TI-332</t>
  </si>
  <si>
    <t>WOS 335</t>
  </si>
  <si>
    <t>2526/7/TI-333</t>
  </si>
  <si>
    <t>WOS  321</t>
  </si>
  <si>
    <t>2526/7/TI-328</t>
  </si>
  <si>
    <t>WOS 312</t>
  </si>
  <si>
    <t>2526/7/TI-325</t>
  </si>
  <si>
    <t>WOS 315</t>
  </si>
  <si>
    <t>2526/7/TI-327</t>
  </si>
  <si>
    <t>WOS 317</t>
  </si>
  <si>
    <t>2526/7/TI-318</t>
  </si>
  <si>
    <t>WOS 316</t>
  </si>
  <si>
    <t>2526/7/TI-324</t>
  </si>
  <si>
    <t>WOS 305</t>
  </si>
  <si>
    <t>2526/7/TI-306</t>
  </si>
  <si>
    <t>WOS 302</t>
  </si>
  <si>
    <t>2526/7/TI-307</t>
  </si>
  <si>
    <t>WOS 308</t>
  </si>
  <si>
    <t>2526/7/TI-311</t>
  </si>
  <si>
    <t>WOS 304</t>
  </si>
  <si>
    <t>2526/7/TI-309</t>
  </si>
  <si>
    <t>WOS 303</t>
  </si>
  <si>
    <t>2526/7/TI-310</t>
  </si>
  <si>
    <t>WOS 310</t>
  </si>
  <si>
    <t>2526/7/TI-313</t>
  </si>
  <si>
    <t>WOS 324</t>
  </si>
  <si>
    <t>2526/7/TI-314</t>
  </si>
  <si>
    <t>WOS 322</t>
  </si>
  <si>
    <t>2526/7/TI-315</t>
  </si>
  <si>
    <t>WOS 319</t>
  </si>
  <si>
    <t>2526/7/TI-316</t>
  </si>
  <si>
    <t>WOS 320</t>
  </si>
  <si>
    <t>2526/7/TI-320</t>
  </si>
  <si>
    <t>WOS 313</t>
  </si>
  <si>
    <t>2526/7/TI-321</t>
  </si>
  <si>
    <t>WOS 318</t>
  </si>
  <si>
    <t>2526/7/TI-322</t>
  </si>
  <si>
    <t>2526/7/TI-323</t>
  </si>
  <si>
    <t>TELANGANA</t>
  </si>
  <si>
    <t>WOS 314</t>
  </si>
  <si>
    <t>2526/7/TI-326</t>
  </si>
  <si>
    <t>2526/7/TI-334</t>
  </si>
  <si>
    <t>WOS 278,328</t>
  </si>
  <si>
    <t>WOS 326,334</t>
  </si>
  <si>
    <t>2526/7/TI-335</t>
  </si>
  <si>
    <t>WOS 329</t>
  </si>
  <si>
    <t>2526/7/TI-336</t>
  </si>
  <si>
    <t>WOS 327</t>
  </si>
  <si>
    <t>2526/7/TI-337</t>
  </si>
  <si>
    <t>WOS 330</t>
  </si>
  <si>
    <t>2526/7/TI-338</t>
  </si>
  <si>
    <t>WOS 337</t>
  </si>
  <si>
    <t>2526/7/TI-339</t>
  </si>
  <si>
    <t>WOS 338</t>
  </si>
  <si>
    <t>2526/7/TI-340</t>
  </si>
  <si>
    <t>WOS 339</t>
  </si>
  <si>
    <t>2526/7/TI-341</t>
  </si>
  <si>
    <t>WOS 340</t>
  </si>
  <si>
    <t>2526/7/TI-342</t>
  </si>
  <si>
    <t>WOS 348</t>
  </si>
  <si>
    <t>2526/7/TI-343</t>
  </si>
  <si>
    <t>WOS 347</t>
  </si>
  <si>
    <t>2526/7/TI-344</t>
  </si>
  <si>
    <t>WOS 345</t>
  </si>
  <si>
    <t>2526/7/TI-345</t>
  </si>
  <si>
    <t>WOS 344</t>
  </si>
  <si>
    <t>2526/7/TI-346</t>
  </si>
  <si>
    <t>WOS 346</t>
  </si>
  <si>
    <t>2526/7/TI-347</t>
  </si>
  <si>
    <t>WOS 343</t>
  </si>
  <si>
    <t>2526/7/TI-348</t>
  </si>
  <si>
    <t>WOS 358</t>
  </si>
  <si>
    <t>2526/7/TI-349</t>
  </si>
  <si>
    <t>DL1MA2968</t>
  </si>
  <si>
    <t>WOS 349</t>
  </si>
  <si>
    <t>2526/7/TI-350</t>
  </si>
  <si>
    <t>WOS 353</t>
  </si>
  <si>
    <t>2526/7/TI-351</t>
  </si>
  <si>
    <t>WOS 352</t>
  </si>
  <si>
    <t>2526/7/TI-352</t>
  </si>
  <si>
    <t>WOS 354</t>
  </si>
  <si>
    <t>2526/7/TI-353</t>
  </si>
  <si>
    <t>WOS 351</t>
  </si>
  <si>
    <t>2526/7/TI-354</t>
  </si>
  <si>
    <t>WOS 350</t>
  </si>
  <si>
    <t>2526/7/TI-355</t>
  </si>
  <si>
    <t>WOS 357</t>
  </si>
  <si>
    <t>2526/7/TI-356</t>
  </si>
  <si>
    <t>WOS 356</t>
  </si>
  <si>
    <t>2526/7/TI-357</t>
  </si>
  <si>
    <t>WOS 360</t>
  </si>
  <si>
    <t>2526/7/TI-358</t>
  </si>
  <si>
    <t>WOS 361</t>
  </si>
  <si>
    <t>2526/7/TI-359</t>
  </si>
  <si>
    <t>WOS 341,359</t>
  </si>
  <si>
    <t>2526/7/TI-360</t>
  </si>
  <si>
    <t>WOS 342</t>
  </si>
  <si>
    <t>2526/7/TI-361</t>
  </si>
  <si>
    <t>WOS 355</t>
  </si>
  <si>
    <t>2526/7/TI-362</t>
  </si>
  <si>
    <t>WOS 362</t>
  </si>
  <si>
    <t>2526/7/TI-363</t>
  </si>
  <si>
    <t>WOS 364</t>
  </si>
  <si>
    <t>2526/7/TI-364</t>
  </si>
  <si>
    <t>WOS 371</t>
  </si>
  <si>
    <t>2526/7/TI-365</t>
  </si>
  <si>
    <t>WOS 366</t>
  </si>
  <si>
    <t>2526/7/TI-366</t>
  </si>
  <si>
    <t>WOS 363</t>
  </si>
  <si>
    <t>2526/7/TI-367</t>
  </si>
  <si>
    <t>WOS 367</t>
  </si>
  <si>
    <t>2526/7/TI-368</t>
  </si>
  <si>
    <t>WOS 369</t>
  </si>
  <si>
    <t>2526/7/TI-369</t>
  </si>
  <si>
    <t>WOS 368</t>
  </si>
  <si>
    <t>2526/7/TI-370</t>
  </si>
  <si>
    <t>WOS 365</t>
  </si>
  <si>
    <t>2526/7/TI-371</t>
  </si>
  <si>
    <t>WOS 370,373</t>
  </si>
  <si>
    <t>2526/7/TI-372</t>
  </si>
  <si>
    <t>WOS 372</t>
  </si>
  <si>
    <t>2526/7/TI-373</t>
  </si>
  <si>
    <t>WOS 374</t>
  </si>
  <si>
    <t>2526/7/TI-374</t>
  </si>
  <si>
    <t>STO -7</t>
  </si>
  <si>
    <t>2526/7/ESTO-7</t>
  </si>
  <si>
    <t>Vehicle demanded on 5pm, but received at 11pm</t>
  </si>
  <si>
    <t>Sto- 6</t>
  </si>
  <si>
    <t>2526/7/ESTO-6</t>
  </si>
  <si>
    <t>WOS 377</t>
  </si>
  <si>
    <t>2526/7/TI-375</t>
  </si>
  <si>
    <t>HR38AD4723</t>
  </si>
  <si>
    <t>WOS 379</t>
  </si>
  <si>
    <t>2526/7/TI-376</t>
  </si>
  <si>
    <t>KARNATAKA</t>
  </si>
  <si>
    <t>WOS 380</t>
  </si>
  <si>
    <t>2526/7/TI-377</t>
  </si>
  <si>
    <t>WOS 376</t>
  </si>
  <si>
    <t>2526/7/TI-378</t>
  </si>
  <si>
    <t>WOS 381</t>
  </si>
  <si>
    <t>2526/7/TI-379</t>
  </si>
  <si>
    <t>WOS 384</t>
  </si>
  <si>
    <t>2526/7/TI-380</t>
  </si>
  <si>
    <t>WOS 382</t>
  </si>
  <si>
    <t>2526/7/TI-381</t>
  </si>
  <si>
    <t>WOS 385</t>
  </si>
  <si>
    <t>2526/7/TI-382</t>
  </si>
  <si>
    <t>WOS 386</t>
  </si>
  <si>
    <t>2526/7/TI-383</t>
  </si>
  <si>
    <t>WOS 390</t>
  </si>
  <si>
    <t>2526/7/TI-384</t>
  </si>
  <si>
    <t>2526/7/TI-385</t>
  </si>
  <si>
    <t>WOS 388</t>
  </si>
  <si>
    <t>2526/7/TI-386</t>
  </si>
  <si>
    <t>BIHAR</t>
  </si>
  <si>
    <t>WOS 389</t>
  </si>
  <si>
    <t>2526/7/TI-387</t>
  </si>
  <si>
    <t>WOS 391</t>
  </si>
  <si>
    <t>2526/7/TI-388</t>
  </si>
  <si>
    <t>WOS 393</t>
  </si>
  <si>
    <t>2526/7/TI-389</t>
  </si>
  <si>
    <t>DL1LAB2196</t>
  </si>
  <si>
    <t>WOS 392</t>
  </si>
  <si>
    <t>2526/7/TI-390</t>
  </si>
  <si>
    <t>WOS 399</t>
  </si>
  <si>
    <t>2526/7/TI-393</t>
  </si>
  <si>
    <t>WOS 404</t>
  </si>
  <si>
    <t>2526/7/TI-397</t>
  </si>
  <si>
    <t>WOS 397</t>
  </si>
  <si>
    <t>2526/7/TI-399</t>
  </si>
  <si>
    <t>STO-8</t>
  </si>
  <si>
    <t>2526/7/ESTO-8</t>
  </si>
  <si>
    <t>STO-9</t>
  </si>
  <si>
    <t>2526/7/ESTO-9</t>
  </si>
  <si>
    <t>GHAZIABAD</t>
  </si>
  <si>
    <t>MONTH</t>
  </si>
  <si>
    <t>Grand Total</t>
  </si>
  <si>
    <t>Sum of  INVOICE GROSS TOTAL VALUE</t>
  </si>
  <si>
    <t>Months (MONTH)</t>
  </si>
  <si>
    <t>Days (MONTH)</t>
  </si>
  <si>
    <t>Apr</t>
  </si>
  <si>
    <t>May</t>
  </si>
  <si>
    <t>Jun</t>
  </si>
  <si>
    <t>Jul</t>
  </si>
  <si>
    <t>Aug</t>
  </si>
  <si>
    <t>Sep</t>
  </si>
  <si>
    <t>Oct</t>
  </si>
  <si>
    <t>WOS 400</t>
  </si>
  <si>
    <t>2526/7/TI-401</t>
  </si>
  <si>
    <t>WOS 396</t>
  </si>
  <si>
    <t>2526/7/TI-400</t>
  </si>
  <si>
    <t>WOS 403</t>
  </si>
  <si>
    <t>2526/7/TI-398</t>
  </si>
  <si>
    <t>WOS 395</t>
  </si>
  <si>
    <t>2526/7/TI-395</t>
  </si>
  <si>
    <t>WOS 398</t>
  </si>
  <si>
    <t>2526/7/TI-394</t>
  </si>
  <si>
    <t>WOS 401</t>
  </si>
  <si>
    <t>2526/7/TI-392</t>
  </si>
  <si>
    <t>WOS 402</t>
  </si>
  <si>
    <t>2526/7/TI-391</t>
  </si>
  <si>
    <t xml:space="preserve">Vehicle not arrived </t>
  </si>
  <si>
    <t>SSO-6</t>
  </si>
  <si>
    <t>2526/7/STO-6</t>
  </si>
  <si>
    <t>2526/7/STO-7</t>
  </si>
  <si>
    <t>WOS 394</t>
  </si>
  <si>
    <t>WOS 406</t>
  </si>
  <si>
    <t>2526/7/TI-402</t>
  </si>
  <si>
    <t>WOS 375</t>
  </si>
  <si>
    <t>2526/7/TI-403</t>
  </si>
  <si>
    <t>WOS 383</t>
  </si>
  <si>
    <t>2526/7/TI-404</t>
  </si>
  <si>
    <t>WOS 378</t>
  </si>
  <si>
    <t>2526/7/TI-405</t>
  </si>
  <si>
    <t>2526/7/TI-406</t>
  </si>
  <si>
    <t>WOS 407</t>
  </si>
  <si>
    <t>2526/7/TI-407</t>
  </si>
  <si>
    <t>WOS 408</t>
  </si>
  <si>
    <t>2526/7/TI-408</t>
  </si>
  <si>
    <t>WOS 410</t>
  </si>
  <si>
    <t>2526/7/TI-410</t>
  </si>
  <si>
    <t>WOS 415</t>
  </si>
  <si>
    <t>2526/7/TI-411</t>
  </si>
  <si>
    <t>STO- 10</t>
  </si>
  <si>
    <t>2526/7/ESTO-10</t>
  </si>
  <si>
    <t>WOS 405</t>
  </si>
  <si>
    <t>2526/7/TI-396</t>
  </si>
  <si>
    <t>WOS 409</t>
  </si>
  <si>
    <t>2526/7/TI-409</t>
  </si>
  <si>
    <t>WOS 416</t>
  </si>
  <si>
    <t>2526/7/TI-412</t>
  </si>
  <si>
    <t>WOS 413</t>
  </si>
  <si>
    <t>2526/7/TI-413</t>
  </si>
  <si>
    <t>WOS 411</t>
  </si>
  <si>
    <t>2526/7/TI-414</t>
  </si>
  <si>
    <t>WOS 412,414</t>
  </si>
  <si>
    <t>2526/7/TI-415</t>
  </si>
  <si>
    <t>WOS 417</t>
  </si>
  <si>
    <t>2526/7/TI-416</t>
  </si>
  <si>
    <t>2526/7/STO-8</t>
  </si>
  <si>
    <t>STO- 11</t>
  </si>
  <si>
    <t>2526/7/ESTO-11</t>
  </si>
  <si>
    <t>DL1MA6900</t>
  </si>
  <si>
    <t>STO- 12</t>
  </si>
  <si>
    <t>2526/7/ESTO-12</t>
  </si>
  <si>
    <t>STO- 13</t>
  </si>
  <si>
    <t>2526/7/ESTO-113</t>
  </si>
  <si>
    <t>DL01LAB2196</t>
  </si>
  <si>
    <t>WOS 423</t>
  </si>
  <si>
    <t>2526/7/TI-417</t>
  </si>
  <si>
    <t>WOS 419</t>
  </si>
  <si>
    <t>2526/7/TI-418</t>
  </si>
  <si>
    <t>WOS 424</t>
  </si>
  <si>
    <t>2526/7/TI-419</t>
  </si>
  <si>
    <t>WOS 422</t>
  </si>
  <si>
    <t>2526/7/TI-420</t>
  </si>
  <si>
    <t>WOS 421,425</t>
  </si>
  <si>
    <t>2526/7/TI-421</t>
  </si>
  <si>
    <t>2526/7/ESTO-114</t>
  </si>
  <si>
    <t>STO- 14</t>
  </si>
  <si>
    <t>SSO-9</t>
  </si>
  <si>
    <t>2526/7/STO-9</t>
  </si>
  <si>
    <t>SSO-10</t>
  </si>
  <si>
    <t>2526/7/STO-10</t>
  </si>
  <si>
    <t>WOS 447</t>
  </si>
  <si>
    <t>2526/7/TI-441</t>
  </si>
  <si>
    <t>WOS 440</t>
  </si>
  <si>
    <t>2526/7/TI-422</t>
  </si>
  <si>
    <t>WOS 435</t>
  </si>
  <si>
    <t>2526/7/TI-423</t>
  </si>
  <si>
    <t>WOS 445</t>
  </si>
  <si>
    <t>2526/7/TI-424</t>
  </si>
  <si>
    <t>WOS 442</t>
  </si>
  <si>
    <t>2526/7/TI-425</t>
  </si>
  <si>
    <t>WOS 433</t>
  </si>
  <si>
    <t>2526/7/TI-426</t>
  </si>
  <si>
    <t>WOS 441</t>
  </si>
  <si>
    <t>2526/7/TI-427</t>
  </si>
  <si>
    <t>WOS 436</t>
  </si>
  <si>
    <t>2526/7/TI-428</t>
  </si>
  <si>
    <t>WOS 437</t>
  </si>
  <si>
    <t>2526/7/TI-429</t>
  </si>
  <si>
    <t>WOS 438</t>
  </si>
  <si>
    <t>2526/7/TI-430</t>
  </si>
  <si>
    <t>WOS 427</t>
  </si>
  <si>
    <t>2526/7/TI-431</t>
  </si>
  <si>
    <t>WOS 429</t>
  </si>
  <si>
    <t>2526/7/TI-432</t>
  </si>
  <si>
    <t>WOS 430</t>
  </si>
  <si>
    <t>2526/7/TI-433</t>
  </si>
  <si>
    <t>WOS 428</t>
  </si>
  <si>
    <t>2526/7/TI-434</t>
  </si>
  <si>
    <t>WOS 431</t>
  </si>
  <si>
    <t>2526/7/TI-435</t>
  </si>
  <si>
    <t>WOS 432</t>
  </si>
  <si>
    <t>2526/7/TI-436</t>
  </si>
  <si>
    <t>WOS 426</t>
  </si>
  <si>
    <t>2526/7/TI-437</t>
  </si>
  <si>
    <t>WOS 439</t>
  </si>
  <si>
    <t>2526/7/TI-438</t>
  </si>
  <si>
    <t>WOS 443</t>
  </si>
  <si>
    <t>2526/7/TI-439</t>
  </si>
  <si>
    <t>WOS 444</t>
  </si>
  <si>
    <t>2526/7/TI-440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</si>
</sst>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name val="Aptos Narrow"/>
      <family val="2"/>
      <scheme val="minor"/>
    </font>
    <font>
      <sz val="10"/>
      <name val="Tahoma"/>
      <family val="2"/>
    </font>
    <font>
      <b/>
      <sz val="11"/>
      <color rgb="FFFF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67">
    <xf numFmtId="0" fontId="0" fillId="0" borderId="0" xfId="0"/>
    <xf numFmtId="0" fontId="0" fillId="0" borderId="1" xfId="0" applyBorder="1" applyAlignment="1">
      <alignment horizont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2" borderId="0" xfId="0" applyFill="1"/>
    <xf numFmtId="164" fontId="0" fillId="0" borderId="0" xfId="0" applyNumberForma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pivotButton="1"/>
    <xf numFmtId="0" fontId="0" fillId="0" borderId="2" xfId="0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/>
    </xf>
    <xf numFmtId="0" fontId="0" fillId="0" borderId="1" xfId="0" applyFill="1" applyBorder="1"/>
    <xf numFmtId="164" fontId="0" fillId="0" borderId="1" xfId="0" applyNumberFormat="1" applyFill="1" applyBorder="1"/>
    <xf numFmtId="14" fontId="0" fillId="0" borderId="1" xfId="0" applyNumberForma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1" xfId="0" applyFill="1" applyBorder="1" applyAlignment="1">
      <alignment horizontal="center" vertical="center"/>
    </xf>
    <xf numFmtId="164" fontId="0" fillId="0" borderId="1" xfId="0" applyNumberFormat="1" applyFill="1" applyBorder="1" applyAlignment="1">
      <alignment horizontal="center" vertical="center"/>
    </xf>
    <xf numFmtId="14" fontId="0" fillId="0" borderId="1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horizontal="left"/>
    </xf>
    <xf numFmtId="164" fontId="0" fillId="0" borderId="1" xfId="0" applyNumberFormat="1" applyFill="1" applyBorder="1" applyAlignment="1">
      <alignment horizontal="center"/>
    </xf>
    <xf numFmtId="49" fontId="0" fillId="0" borderId="1" xfId="0" applyNumberForma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/>
    </xf>
    <xf numFmtId="0" fontId="3" fillId="0" borderId="1" xfId="0" applyFont="1" applyFill="1" applyBorder="1" applyAlignment="1">
      <alignment horizontal="left"/>
    </xf>
    <xf numFmtId="49" fontId="2" fillId="0" borderId="1" xfId="0" applyNumberFormat="1" applyFont="1" applyFill="1" applyBorder="1" applyAlignment="1">
      <alignment horizontal="left" vertical="center"/>
    </xf>
    <xf numFmtId="15" fontId="0" fillId="0" borderId="1" xfId="0" applyNumberForma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49" fontId="0" fillId="0" borderId="1" xfId="0" applyNumberForma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49" fontId="2" fillId="0" borderId="1" xfId="0" applyNumberFormat="1" applyFont="1" applyFill="1" applyBorder="1" applyAlignment="1">
      <alignment horizontal="center" vertical="center"/>
    </xf>
    <xf numFmtId="1" fontId="0" fillId="0" borderId="1" xfId="0" applyNumberFormat="1" applyFill="1" applyBorder="1" applyAlignment="1">
      <alignment horizontal="center"/>
    </xf>
    <xf numFmtId="0" fontId="1" fillId="0" borderId="1" xfId="0" applyFont="1" applyFill="1" applyBorder="1" applyAlignment="1">
      <alignment horizontal="left"/>
    </xf>
    <xf numFmtId="17" fontId="0" fillId="0" borderId="1" xfId="0" applyNumberFormat="1" applyFill="1" applyBorder="1" applyAlignment="1">
      <alignment horizontal="center" vertical="center"/>
    </xf>
    <xf numFmtId="49" fontId="0" fillId="0" borderId="1" xfId="0" applyNumberFormat="1" applyFill="1" applyBorder="1" applyAlignment="1">
      <alignment horizontal="left"/>
    </xf>
    <xf numFmtId="49" fontId="1" fillId="0" borderId="1" xfId="0" applyNumberFormat="1" applyFont="1" applyFill="1" applyBorder="1" applyAlignment="1">
      <alignment horizontal="center" vertical="center"/>
    </xf>
    <xf numFmtId="49" fontId="1" fillId="0" borderId="1" xfId="0" applyNumberFormat="1" applyFont="1" applyFill="1" applyBorder="1" applyAlignment="1">
      <alignment horizontal="left" vertical="center"/>
    </xf>
    <xf numFmtId="49" fontId="7" fillId="0" borderId="1" xfId="1" applyNumberFormat="1" applyFill="1" applyBorder="1" applyAlignment="1">
      <alignment horizontal="center" vertical="center"/>
    </xf>
    <xf numFmtId="16" fontId="0" fillId="0" borderId="1" xfId="0" applyNumberFormat="1" applyFill="1" applyBorder="1" applyAlignment="1">
      <alignment horizontal="center"/>
    </xf>
    <xf numFmtId="0" fontId="7" fillId="0" borderId="1" xfId="0" applyFont="1" applyFill="1" applyBorder="1" applyAlignment="1">
      <alignment horizontal="left"/>
    </xf>
    <xf numFmtId="0" fontId="7" fillId="0" borderId="1" xfId="0" applyFont="1" applyFill="1" applyBorder="1" applyAlignment="1">
      <alignment horizontal="center"/>
    </xf>
    <xf numFmtId="0" fontId="0" fillId="0" borderId="1" xfId="0" applyFill="1" applyBorder="1" applyAlignment="1">
      <alignment horizontal="left" vertical="center"/>
    </xf>
    <xf numFmtId="0" fontId="0" fillId="0" borderId="1" xfId="0" applyFill="1" applyBorder="1" applyAlignment="1">
      <alignment horizontal="center" vertical="top"/>
    </xf>
    <xf numFmtId="0" fontId="1" fillId="2" borderId="0" xfId="0" applyFont="1" applyFill="1"/>
    <xf numFmtId="49" fontId="4" fillId="0" borderId="1" xfId="0" applyNumberFormat="1" applyFont="1" applyFill="1" applyBorder="1"/>
    <xf numFmtId="49" fontId="6" fillId="2" borderId="1" xfId="0" applyNumberFormat="1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49" fontId="5" fillId="0" borderId="1" xfId="0" applyNumberFormat="1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/>
    </xf>
    <xf numFmtId="49" fontId="0" fillId="0" borderId="1" xfId="0" applyNumberFormat="1" applyFill="1" applyBorder="1" applyAlignment="1">
      <alignment horizontal="center"/>
    </xf>
    <xf numFmtId="49" fontId="4" fillId="0" borderId="0" xfId="0" applyNumberFormat="1" applyFont="1"/>
    <xf numFmtId="2" fontId="8" fillId="0" borderId="1" xfId="0" applyNumberFormat="1" applyFont="1" applyFill="1" applyBorder="1" applyAlignment="1">
      <alignment horizontal="center"/>
    </xf>
    <xf numFmtId="2" fontId="0" fillId="2" borderId="1" xfId="0" applyNumberFormat="1" applyFill="1" applyBorder="1" applyAlignment="1">
      <alignment horizontal="center" vertical="center"/>
    </xf>
    <xf numFmtId="2" fontId="4" fillId="0" borderId="1" xfId="0" applyNumberFormat="1" applyFont="1" applyFill="1" applyBorder="1" applyAlignment="1">
      <alignment horizontal="center" vertical="center"/>
    </xf>
    <xf numFmtId="2" fontId="0" fillId="0" borderId="1" xfId="0" applyNumberForma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1" fontId="0" fillId="0" borderId="1" xfId="0" applyNumberFormat="1" applyFill="1" applyBorder="1"/>
    <xf numFmtId="1" fontId="1" fillId="2" borderId="1" xfId="0" applyNumberFormat="1" applyFont="1" applyFill="1" applyBorder="1" applyAlignment="1">
      <alignment horizontal="center" vertical="center"/>
    </xf>
    <xf numFmtId="1" fontId="0" fillId="0" borderId="1" xfId="0" applyNumberFormat="1" applyFill="1" applyBorder="1" applyAlignment="1">
      <alignment horizontal="center" vertical="center"/>
    </xf>
    <xf numFmtId="1" fontId="3" fillId="0" borderId="1" xfId="0" applyNumberFormat="1" applyFont="1" applyFill="1" applyBorder="1" applyAlignment="1">
      <alignment horizontal="center"/>
    </xf>
    <xf numFmtId="1" fontId="7" fillId="0" borderId="1" xfId="0" applyNumberFormat="1" applyFont="1" applyFill="1" applyBorder="1" applyAlignment="1">
      <alignment horizontal="center"/>
    </xf>
    <xf numFmtId="1" fontId="5" fillId="0" borderId="1" xfId="0" applyNumberFormat="1" applyFont="1" applyFill="1" applyBorder="1" applyAlignment="1">
      <alignment horizontal="center" vertical="center"/>
    </xf>
    <xf numFmtId="1" fontId="0" fillId="0" borderId="0" xfId="0" applyNumberFormat="1"/>
    <xf numFmtId="1" fontId="8" fillId="0" borderId="1" xfId="0" applyNumberFormat="1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62"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316</xdr:row>
      <xdr:rowOff>0</xdr:rowOff>
    </xdr:from>
    <xdr:to>
      <xdr:col>5</xdr:col>
      <xdr:colOff>304800</xdr:colOff>
      <xdr:row>317</xdr:row>
      <xdr:rowOff>120650</xdr:rowOff>
    </xdr:to>
    <xdr:sp macro="" textlink="">
      <xdr:nvSpPr>
        <xdr:cNvPr id="2" name="AutoShape 12">
          <a:extLst>
            <a:ext uri="{FF2B5EF4-FFF2-40B4-BE49-F238E27FC236}">
              <a16:creationId xmlns:a16="http://schemas.microsoft.com/office/drawing/2014/main" id="{B94F25A6-27C4-4DF8-800A-2FAB3E4C7628}"/>
            </a:ext>
          </a:extLst>
        </xdr:cNvPr>
        <xdr:cNvSpPr>
          <a:spLocks noChangeAspect="1" noChangeArrowheads="1"/>
        </xdr:cNvSpPr>
      </xdr:nvSpPr>
      <xdr:spPr bwMode="auto">
        <a:xfrm>
          <a:off x="3803650" y="9649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350</xdr:row>
      <xdr:rowOff>0</xdr:rowOff>
    </xdr:from>
    <xdr:to>
      <xdr:col>5</xdr:col>
      <xdr:colOff>304800</xdr:colOff>
      <xdr:row>351</xdr:row>
      <xdr:rowOff>120650</xdr:rowOff>
    </xdr:to>
    <xdr:sp macro="" textlink="">
      <xdr:nvSpPr>
        <xdr:cNvPr id="3" name="AutoShape 12">
          <a:extLst>
            <a:ext uri="{FF2B5EF4-FFF2-40B4-BE49-F238E27FC236}">
              <a16:creationId xmlns:a16="http://schemas.microsoft.com/office/drawing/2014/main" id="{3D647429-1D81-49C0-A3AF-F8C6D3207FC1}"/>
            </a:ext>
          </a:extLst>
        </xdr:cNvPr>
        <xdr:cNvSpPr>
          <a:spLocks noChangeAspect="1" noChangeArrowheads="1"/>
        </xdr:cNvSpPr>
      </xdr:nvSpPr>
      <xdr:spPr bwMode="auto">
        <a:xfrm>
          <a:off x="3803650" y="10275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4" name="AutoShape 12">
          <a:extLst>
            <a:ext uri="{FF2B5EF4-FFF2-40B4-BE49-F238E27FC236}">
              <a16:creationId xmlns:a16="http://schemas.microsoft.com/office/drawing/2014/main" id="{C1D43AAA-1075-47A9-9D46-09573E69FF0F}"/>
            </a:ext>
          </a:extLst>
        </xdr:cNvPr>
        <xdr:cNvSpPr>
          <a:spLocks noChangeAspect="1" noChangeArrowheads="1"/>
        </xdr:cNvSpPr>
      </xdr:nvSpPr>
      <xdr:spPr bwMode="auto">
        <a:xfrm>
          <a:off x="380365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094"/>
    <xdr:sp macro="" textlink="">
      <xdr:nvSpPr>
        <xdr:cNvPr id="5" name="AutoShape 12">
          <a:extLst>
            <a:ext uri="{FF2B5EF4-FFF2-40B4-BE49-F238E27FC236}">
              <a16:creationId xmlns:a16="http://schemas.microsoft.com/office/drawing/2014/main" id="{6E37C312-82E1-42FF-9F24-B2C157501675}"/>
            </a:ext>
          </a:extLst>
        </xdr:cNvPr>
        <xdr:cNvSpPr>
          <a:spLocks noChangeAspect="1" noChangeArrowheads="1"/>
        </xdr:cNvSpPr>
      </xdr:nvSpPr>
      <xdr:spPr bwMode="auto">
        <a:xfrm>
          <a:off x="3803650" y="34988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4CFE80CE-BFDF-408E-81F8-E59B89C4FBD9}"/>
            </a:ext>
          </a:extLst>
        </xdr:cNvPr>
        <xdr:cNvSpPr>
          <a:spLocks noChangeAspect="1" noChangeArrowheads="1"/>
        </xdr:cNvSpPr>
      </xdr:nvSpPr>
      <xdr:spPr bwMode="auto">
        <a:xfrm>
          <a:off x="3803650" y="327787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19</xdr:row>
      <xdr:rowOff>0</xdr:rowOff>
    </xdr:from>
    <xdr:ext cx="304800" cy="304094"/>
    <xdr:sp macro="" textlink="">
      <xdr:nvSpPr>
        <xdr:cNvPr id="7" name="AutoShape 12">
          <a:extLst>
            <a:ext uri="{FF2B5EF4-FFF2-40B4-BE49-F238E27FC236}">
              <a16:creationId xmlns:a16="http://schemas.microsoft.com/office/drawing/2014/main" id="{E665C851-971B-4AE6-8B67-944393F7B9D8}"/>
            </a:ext>
          </a:extLst>
        </xdr:cNvPr>
        <xdr:cNvSpPr>
          <a:spLocks noChangeAspect="1" noChangeArrowheads="1"/>
        </xdr:cNvSpPr>
      </xdr:nvSpPr>
      <xdr:spPr bwMode="auto">
        <a:xfrm>
          <a:off x="3803650" y="36830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8" name="AutoShape 12">
          <a:extLst>
            <a:ext uri="{FF2B5EF4-FFF2-40B4-BE49-F238E27FC236}">
              <a16:creationId xmlns:a16="http://schemas.microsoft.com/office/drawing/2014/main" id="{4DA0C888-C426-406C-A279-2858B52D62D4}"/>
            </a:ext>
          </a:extLst>
        </xdr:cNvPr>
        <xdr:cNvSpPr>
          <a:spLocks noChangeAspect="1" noChangeArrowheads="1"/>
        </xdr:cNvSpPr>
      </xdr:nvSpPr>
      <xdr:spPr bwMode="auto">
        <a:xfrm>
          <a:off x="3803650" y="329628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27</xdr:row>
      <xdr:rowOff>0</xdr:rowOff>
    </xdr:from>
    <xdr:ext cx="304800" cy="304094"/>
    <xdr:sp macro="" textlink="">
      <xdr:nvSpPr>
        <xdr:cNvPr id="9" name="AutoShape 12">
          <a:extLst>
            <a:ext uri="{FF2B5EF4-FFF2-40B4-BE49-F238E27FC236}">
              <a16:creationId xmlns:a16="http://schemas.microsoft.com/office/drawing/2014/main" id="{4190A6C0-9959-4559-B449-891604534123}"/>
            </a:ext>
          </a:extLst>
        </xdr:cNvPr>
        <xdr:cNvSpPr>
          <a:spLocks noChangeAspect="1" noChangeArrowheads="1"/>
        </xdr:cNvSpPr>
      </xdr:nvSpPr>
      <xdr:spPr bwMode="auto">
        <a:xfrm>
          <a:off x="3803650" y="55245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10" name="AutoShape 12">
          <a:extLst>
            <a:ext uri="{FF2B5EF4-FFF2-40B4-BE49-F238E27FC236}">
              <a16:creationId xmlns:a16="http://schemas.microsoft.com/office/drawing/2014/main" id="{9CBD0C60-48AA-4433-ACF7-B9E1C8DF3B4B}"/>
            </a:ext>
          </a:extLst>
        </xdr:cNvPr>
        <xdr:cNvSpPr>
          <a:spLocks noChangeAspect="1" noChangeArrowheads="1"/>
        </xdr:cNvSpPr>
      </xdr:nvSpPr>
      <xdr:spPr bwMode="auto">
        <a:xfrm>
          <a:off x="3803650" y="348043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28</xdr:row>
      <xdr:rowOff>0</xdr:rowOff>
    </xdr:from>
    <xdr:ext cx="304800" cy="304094"/>
    <xdr:sp macro="" textlink="">
      <xdr:nvSpPr>
        <xdr:cNvPr id="11" name="AutoShape 12">
          <a:extLst>
            <a:ext uri="{FF2B5EF4-FFF2-40B4-BE49-F238E27FC236}">
              <a16:creationId xmlns:a16="http://schemas.microsoft.com/office/drawing/2014/main" id="{E9651201-AA8E-43D3-8EDF-D04F87C59028}"/>
            </a:ext>
          </a:extLst>
        </xdr:cNvPr>
        <xdr:cNvSpPr>
          <a:spLocks noChangeAspect="1" noChangeArrowheads="1"/>
        </xdr:cNvSpPr>
      </xdr:nvSpPr>
      <xdr:spPr bwMode="auto">
        <a:xfrm>
          <a:off x="3803650" y="57086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12" name="AutoShape 12">
          <a:extLst>
            <a:ext uri="{FF2B5EF4-FFF2-40B4-BE49-F238E27FC236}">
              <a16:creationId xmlns:a16="http://schemas.microsoft.com/office/drawing/2014/main" id="{15B1FE98-923F-4D07-9FFD-509A1AD6F1DC}"/>
            </a:ext>
          </a:extLst>
        </xdr:cNvPr>
        <xdr:cNvSpPr>
          <a:spLocks noChangeAspect="1" noChangeArrowheads="1"/>
        </xdr:cNvSpPr>
      </xdr:nvSpPr>
      <xdr:spPr bwMode="auto">
        <a:xfrm>
          <a:off x="3803650" y="349885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13" name="AutoShape 12">
          <a:extLst>
            <a:ext uri="{FF2B5EF4-FFF2-40B4-BE49-F238E27FC236}">
              <a16:creationId xmlns:a16="http://schemas.microsoft.com/office/drawing/2014/main" id="{517BCEC4-9E22-4D30-9A38-D0130E3774FB}"/>
            </a:ext>
          </a:extLst>
        </xdr:cNvPr>
        <xdr:cNvSpPr>
          <a:spLocks noChangeAspect="1" noChangeArrowheads="1"/>
        </xdr:cNvSpPr>
      </xdr:nvSpPr>
      <xdr:spPr bwMode="auto">
        <a:xfrm>
          <a:off x="380365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19</xdr:row>
      <xdr:rowOff>0</xdr:rowOff>
    </xdr:from>
    <xdr:ext cx="304800" cy="304094"/>
    <xdr:sp macro="" textlink="">
      <xdr:nvSpPr>
        <xdr:cNvPr id="14" name="AutoShape 12">
          <a:extLst>
            <a:ext uri="{FF2B5EF4-FFF2-40B4-BE49-F238E27FC236}">
              <a16:creationId xmlns:a16="http://schemas.microsoft.com/office/drawing/2014/main" id="{A08678F9-5C5A-40FB-88D6-2B738838E869}"/>
            </a:ext>
          </a:extLst>
        </xdr:cNvPr>
        <xdr:cNvSpPr>
          <a:spLocks noChangeAspect="1" noChangeArrowheads="1"/>
        </xdr:cNvSpPr>
      </xdr:nvSpPr>
      <xdr:spPr bwMode="auto">
        <a:xfrm>
          <a:off x="3803650" y="36830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20</xdr:row>
      <xdr:rowOff>0</xdr:rowOff>
    </xdr:from>
    <xdr:ext cx="304800" cy="304094"/>
    <xdr:sp macro="" textlink="">
      <xdr:nvSpPr>
        <xdr:cNvPr id="15" name="AutoShape 12">
          <a:extLst>
            <a:ext uri="{FF2B5EF4-FFF2-40B4-BE49-F238E27FC236}">
              <a16:creationId xmlns:a16="http://schemas.microsoft.com/office/drawing/2014/main" id="{5DE6CE4E-86C2-4190-8561-CD47A8AF4E95}"/>
            </a:ext>
          </a:extLst>
        </xdr:cNvPr>
        <xdr:cNvSpPr>
          <a:spLocks noChangeAspect="1" noChangeArrowheads="1"/>
        </xdr:cNvSpPr>
      </xdr:nvSpPr>
      <xdr:spPr bwMode="auto">
        <a:xfrm>
          <a:off x="3803650" y="3867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28</xdr:row>
      <xdr:rowOff>0</xdr:rowOff>
    </xdr:from>
    <xdr:ext cx="304800" cy="304094"/>
    <xdr:sp macro="" textlink="">
      <xdr:nvSpPr>
        <xdr:cNvPr id="16" name="AutoShape 12">
          <a:extLst>
            <a:ext uri="{FF2B5EF4-FFF2-40B4-BE49-F238E27FC236}">
              <a16:creationId xmlns:a16="http://schemas.microsoft.com/office/drawing/2014/main" id="{76BD82D0-19AF-40EE-9C39-EDF1FF4EE392}"/>
            </a:ext>
          </a:extLst>
        </xdr:cNvPr>
        <xdr:cNvSpPr>
          <a:spLocks noChangeAspect="1" noChangeArrowheads="1"/>
        </xdr:cNvSpPr>
      </xdr:nvSpPr>
      <xdr:spPr bwMode="auto">
        <a:xfrm>
          <a:off x="3803650" y="57086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29</xdr:row>
      <xdr:rowOff>0</xdr:rowOff>
    </xdr:from>
    <xdr:ext cx="304800" cy="304094"/>
    <xdr:sp macro="" textlink="">
      <xdr:nvSpPr>
        <xdr:cNvPr id="17" name="AutoShape 12">
          <a:extLst>
            <a:ext uri="{FF2B5EF4-FFF2-40B4-BE49-F238E27FC236}">
              <a16:creationId xmlns:a16="http://schemas.microsoft.com/office/drawing/2014/main" id="{C88F7302-6B1F-4E85-843D-186031C39AEF}"/>
            </a:ext>
          </a:extLst>
        </xdr:cNvPr>
        <xdr:cNvSpPr>
          <a:spLocks noChangeAspect="1" noChangeArrowheads="1"/>
        </xdr:cNvSpPr>
      </xdr:nvSpPr>
      <xdr:spPr bwMode="auto">
        <a:xfrm>
          <a:off x="3803650" y="58928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18" name="AutoShape 12">
          <a:extLst>
            <a:ext uri="{FF2B5EF4-FFF2-40B4-BE49-F238E27FC236}">
              <a16:creationId xmlns:a16="http://schemas.microsoft.com/office/drawing/2014/main" id="{6DE0277A-9AFA-4B45-AF3D-2AACE5C18947}"/>
            </a:ext>
          </a:extLst>
        </xdr:cNvPr>
        <xdr:cNvSpPr>
          <a:spLocks noChangeAspect="1" noChangeArrowheads="1"/>
        </xdr:cNvSpPr>
      </xdr:nvSpPr>
      <xdr:spPr bwMode="auto">
        <a:xfrm>
          <a:off x="3803650" y="162052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19" name="AutoShape 12">
          <a:extLst>
            <a:ext uri="{FF2B5EF4-FFF2-40B4-BE49-F238E27FC236}">
              <a16:creationId xmlns:a16="http://schemas.microsoft.com/office/drawing/2014/main" id="{579B6E83-17AA-4620-9B47-090C54873869}"/>
            </a:ext>
          </a:extLst>
        </xdr:cNvPr>
        <xdr:cNvSpPr>
          <a:spLocks noChangeAspect="1" noChangeArrowheads="1"/>
        </xdr:cNvSpPr>
      </xdr:nvSpPr>
      <xdr:spPr bwMode="auto">
        <a:xfrm>
          <a:off x="3803650" y="163893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20" name="AutoShape 12">
          <a:extLst>
            <a:ext uri="{FF2B5EF4-FFF2-40B4-BE49-F238E27FC236}">
              <a16:creationId xmlns:a16="http://schemas.microsoft.com/office/drawing/2014/main" id="{BF6038E8-EA10-468D-BF71-5CE31CB688BB}"/>
            </a:ext>
          </a:extLst>
        </xdr:cNvPr>
        <xdr:cNvSpPr>
          <a:spLocks noChangeAspect="1" noChangeArrowheads="1"/>
        </xdr:cNvSpPr>
      </xdr:nvSpPr>
      <xdr:spPr bwMode="auto">
        <a:xfrm>
          <a:off x="3803650" y="182308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21" name="AutoShape 12">
          <a:extLst>
            <a:ext uri="{FF2B5EF4-FFF2-40B4-BE49-F238E27FC236}">
              <a16:creationId xmlns:a16="http://schemas.microsoft.com/office/drawing/2014/main" id="{E00A233E-6F6C-4370-AECF-C84CDE98C161}"/>
            </a:ext>
          </a:extLst>
        </xdr:cNvPr>
        <xdr:cNvSpPr>
          <a:spLocks noChangeAspect="1" noChangeArrowheads="1"/>
        </xdr:cNvSpPr>
      </xdr:nvSpPr>
      <xdr:spPr bwMode="auto">
        <a:xfrm>
          <a:off x="3803650" y="184150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22" name="AutoShape 12">
          <a:extLst>
            <a:ext uri="{FF2B5EF4-FFF2-40B4-BE49-F238E27FC236}">
              <a16:creationId xmlns:a16="http://schemas.microsoft.com/office/drawing/2014/main" id="{C7549BDF-403B-459C-AECC-6AE2C43BDDE3}"/>
            </a:ext>
          </a:extLst>
        </xdr:cNvPr>
        <xdr:cNvSpPr>
          <a:spLocks noChangeAspect="1" noChangeArrowheads="1"/>
        </xdr:cNvSpPr>
      </xdr:nvSpPr>
      <xdr:spPr bwMode="auto">
        <a:xfrm>
          <a:off x="3803650" y="163893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23" name="AutoShape 12">
          <a:extLst>
            <a:ext uri="{FF2B5EF4-FFF2-40B4-BE49-F238E27FC236}">
              <a16:creationId xmlns:a16="http://schemas.microsoft.com/office/drawing/2014/main" id="{A364EFF8-05B5-4AFF-8034-56EEF227E6ED}"/>
            </a:ext>
          </a:extLst>
        </xdr:cNvPr>
        <xdr:cNvSpPr>
          <a:spLocks noChangeAspect="1" noChangeArrowheads="1"/>
        </xdr:cNvSpPr>
      </xdr:nvSpPr>
      <xdr:spPr bwMode="auto">
        <a:xfrm>
          <a:off x="3803650" y="165735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24" name="AutoShape 12">
          <a:extLst>
            <a:ext uri="{FF2B5EF4-FFF2-40B4-BE49-F238E27FC236}">
              <a16:creationId xmlns:a16="http://schemas.microsoft.com/office/drawing/2014/main" id="{3B543958-EB1A-4BD3-85D1-2A725DC97FA3}"/>
            </a:ext>
          </a:extLst>
        </xdr:cNvPr>
        <xdr:cNvSpPr>
          <a:spLocks noChangeAspect="1" noChangeArrowheads="1"/>
        </xdr:cNvSpPr>
      </xdr:nvSpPr>
      <xdr:spPr bwMode="auto">
        <a:xfrm>
          <a:off x="3803650" y="184150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25" name="AutoShape 12">
          <a:extLst>
            <a:ext uri="{FF2B5EF4-FFF2-40B4-BE49-F238E27FC236}">
              <a16:creationId xmlns:a16="http://schemas.microsoft.com/office/drawing/2014/main" id="{9B3D0AD4-84ED-4ABC-8F8F-8C59B35BF891}"/>
            </a:ext>
          </a:extLst>
        </xdr:cNvPr>
        <xdr:cNvSpPr>
          <a:spLocks noChangeAspect="1" noChangeArrowheads="1"/>
        </xdr:cNvSpPr>
      </xdr:nvSpPr>
      <xdr:spPr bwMode="auto">
        <a:xfrm>
          <a:off x="3803650" y="18599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26" name="AutoShape 12">
          <a:extLst>
            <a:ext uri="{FF2B5EF4-FFF2-40B4-BE49-F238E27FC236}">
              <a16:creationId xmlns:a16="http://schemas.microsoft.com/office/drawing/2014/main" id="{6E515EBE-58F6-424B-BE23-92A059A520AF}"/>
            </a:ext>
          </a:extLst>
        </xdr:cNvPr>
        <xdr:cNvSpPr>
          <a:spLocks noChangeAspect="1" noChangeArrowheads="1"/>
        </xdr:cNvSpPr>
      </xdr:nvSpPr>
      <xdr:spPr bwMode="auto">
        <a:xfrm>
          <a:off x="3803650" y="412496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27" name="AutoShape 12">
          <a:extLst>
            <a:ext uri="{FF2B5EF4-FFF2-40B4-BE49-F238E27FC236}">
              <a16:creationId xmlns:a16="http://schemas.microsoft.com/office/drawing/2014/main" id="{59FB589F-7155-4F53-9E96-9CDE9515EF9F}"/>
            </a:ext>
          </a:extLst>
        </xdr:cNvPr>
        <xdr:cNvSpPr>
          <a:spLocks noChangeAspect="1" noChangeArrowheads="1"/>
        </xdr:cNvSpPr>
      </xdr:nvSpPr>
      <xdr:spPr bwMode="auto">
        <a:xfrm>
          <a:off x="3803650" y="41433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28" name="AutoShape 12">
          <a:extLst>
            <a:ext uri="{FF2B5EF4-FFF2-40B4-BE49-F238E27FC236}">
              <a16:creationId xmlns:a16="http://schemas.microsoft.com/office/drawing/2014/main" id="{3123EA4B-8D82-4FA2-87AC-80D6A37B556E}"/>
            </a:ext>
          </a:extLst>
        </xdr:cNvPr>
        <xdr:cNvSpPr>
          <a:spLocks noChangeAspect="1" noChangeArrowheads="1"/>
        </xdr:cNvSpPr>
      </xdr:nvSpPr>
      <xdr:spPr bwMode="auto">
        <a:xfrm>
          <a:off x="3803650" y="432752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29" name="AutoShape 12">
          <a:extLst>
            <a:ext uri="{FF2B5EF4-FFF2-40B4-BE49-F238E27FC236}">
              <a16:creationId xmlns:a16="http://schemas.microsoft.com/office/drawing/2014/main" id="{B1C969EA-5B60-4BA9-B635-32AC18135E65}"/>
            </a:ext>
          </a:extLst>
        </xdr:cNvPr>
        <xdr:cNvSpPr>
          <a:spLocks noChangeAspect="1" noChangeArrowheads="1"/>
        </xdr:cNvSpPr>
      </xdr:nvSpPr>
      <xdr:spPr bwMode="auto">
        <a:xfrm>
          <a:off x="3803650" y="434594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0" name="AutoShape 12">
          <a:extLst>
            <a:ext uri="{FF2B5EF4-FFF2-40B4-BE49-F238E27FC236}">
              <a16:creationId xmlns:a16="http://schemas.microsoft.com/office/drawing/2014/main" id="{66181949-8181-47A3-8ED5-60946945D268}"/>
            </a:ext>
          </a:extLst>
        </xdr:cNvPr>
        <xdr:cNvSpPr>
          <a:spLocks noChangeAspect="1" noChangeArrowheads="1"/>
        </xdr:cNvSpPr>
      </xdr:nvSpPr>
      <xdr:spPr bwMode="auto">
        <a:xfrm>
          <a:off x="3803650" y="41433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1" name="AutoShape 12">
          <a:extLst>
            <a:ext uri="{FF2B5EF4-FFF2-40B4-BE49-F238E27FC236}">
              <a16:creationId xmlns:a16="http://schemas.microsoft.com/office/drawing/2014/main" id="{328D1728-D3BB-47F0-8C65-6B09A8051BCC}"/>
            </a:ext>
          </a:extLst>
        </xdr:cNvPr>
        <xdr:cNvSpPr>
          <a:spLocks noChangeAspect="1" noChangeArrowheads="1"/>
        </xdr:cNvSpPr>
      </xdr:nvSpPr>
      <xdr:spPr bwMode="auto">
        <a:xfrm>
          <a:off x="3803650" y="416179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2" name="AutoShape 12">
          <a:extLst>
            <a:ext uri="{FF2B5EF4-FFF2-40B4-BE49-F238E27FC236}">
              <a16:creationId xmlns:a16="http://schemas.microsoft.com/office/drawing/2014/main" id="{73CA7D27-0D31-42ED-9D99-9532600BFAC4}"/>
            </a:ext>
          </a:extLst>
        </xdr:cNvPr>
        <xdr:cNvSpPr>
          <a:spLocks noChangeAspect="1" noChangeArrowheads="1"/>
        </xdr:cNvSpPr>
      </xdr:nvSpPr>
      <xdr:spPr bwMode="auto">
        <a:xfrm>
          <a:off x="3803650" y="434594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3" name="AutoShape 12">
          <a:extLst>
            <a:ext uri="{FF2B5EF4-FFF2-40B4-BE49-F238E27FC236}">
              <a16:creationId xmlns:a16="http://schemas.microsoft.com/office/drawing/2014/main" id="{FBCC2EAB-7334-4A02-87A4-035ED1BF6C3F}"/>
            </a:ext>
          </a:extLst>
        </xdr:cNvPr>
        <xdr:cNvSpPr>
          <a:spLocks noChangeAspect="1" noChangeArrowheads="1"/>
        </xdr:cNvSpPr>
      </xdr:nvSpPr>
      <xdr:spPr bwMode="auto">
        <a:xfrm>
          <a:off x="3803650" y="436435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</xdr:row>
      <xdr:rowOff>0</xdr:rowOff>
    </xdr:from>
    <xdr:ext cx="304800" cy="304094"/>
    <xdr:sp macro="" textlink="">
      <xdr:nvSpPr>
        <xdr:cNvPr id="34" name="AutoShape 12">
          <a:extLst>
            <a:ext uri="{FF2B5EF4-FFF2-40B4-BE49-F238E27FC236}">
              <a16:creationId xmlns:a16="http://schemas.microsoft.com/office/drawing/2014/main" id="{6E8A706C-8566-46C2-B4C7-B5B6BC1212C5}"/>
            </a:ext>
          </a:extLst>
        </xdr:cNvPr>
        <xdr:cNvSpPr>
          <a:spLocks noChangeAspect="1" noChangeArrowheads="1"/>
        </xdr:cNvSpPr>
      </xdr:nvSpPr>
      <xdr:spPr bwMode="auto">
        <a:xfrm>
          <a:off x="3803650" y="539559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</xdr:row>
      <xdr:rowOff>0</xdr:rowOff>
    </xdr:from>
    <xdr:ext cx="304800" cy="304094"/>
    <xdr:sp macro="" textlink="">
      <xdr:nvSpPr>
        <xdr:cNvPr id="35" name="AutoShape 12">
          <a:extLst>
            <a:ext uri="{FF2B5EF4-FFF2-40B4-BE49-F238E27FC236}">
              <a16:creationId xmlns:a16="http://schemas.microsoft.com/office/drawing/2014/main" id="{C0117F5B-DE55-489E-BF22-220698DC22F3}"/>
            </a:ext>
          </a:extLst>
        </xdr:cNvPr>
        <xdr:cNvSpPr>
          <a:spLocks noChangeAspect="1" noChangeArrowheads="1"/>
        </xdr:cNvSpPr>
      </xdr:nvSpPr>
      <xdr:spPr bwMode="auto">
        <a:xfrm>
          <a:off x="3803650" y="541401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</xdr:row>
      <xdr:rowOff>0</xdr:rowOff>
    </xdr:from>
    <xdr:ext cx="304800" cy="304094"/>
    <xdr:sp macro="" textlink="">
      <xdr:nvSpPr>
        <xdr:cNvPr id="36" name="AutoShape 12">
          <a:extLst>
            <a:ext uri="{FF2B5EF4-FFF2-40B4-BE49-F238E27FC236}">
              <a16:creationId xmlns:a16="http://schemas.microsoft.com/office/drawing/2014/main" id="{141208A7-9A64-40F6-A78F-85B86EBA2F07}"/>
            </a:ext>
          </a:extLst>
        </xdr:cNvPr>
        <xdr:cNvSpPr>
          <a:spLocks noChangeAspect="1" noChangeArrowheads="1"/>
        </xdr:cNvSpPr>
      </xdr:nvSpPr>
      <xdr:spPr bwMode="auto">
        <a:xfrm>
          <a:off x="3803650" y="559816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97</xdr:row>
      <xdr:rowOff>0</xdr:rowOff>
    </xdr:from>
    <xdr:ext cx="304800" cy="304094"/>
    <xdr:sp macro="" textlink="">
      <xdr:nvSpPr>
        <xdr:cNvPr id="37" name="AutoShape 12">
          <a:extLst>
            <a:ext uri="{FF2B5EF4-FFF2-40B4-BE49-F238E27FC236}">
              <a16:creationId xmlns:a16="http://schemas.microsoft.com/office/drawing/2014/main" id="{631B78BD-A0D5-46D0-974B-0F3757C17920}"/>
            </a:ext>
          </a:extLst>
        </xdr:cNvPr>
        <xdr:cNvSpPr>
          <a:spLocks noChangeAspect="1" noChangeArrowheads="1"/>
        </xdr:cNvSpPr>
      </xdr:nvSpPr>
      <xdr:spPr bwMode="auto">
        <a:xfrm>
          <a:off x="3803650" y="56165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</xdr:row>
      <xdr:rowOff>0</xdr:rowOff>
    </xdr:from>
    <xdr:ext cx="304800" cy="304094"/>
    <xdr:sp macro="" textlink="">
      <xdr:nvSpPr>
        <xdr:cNvPr id="38" name="AutoShape 12">
          <a:extLst>
            <a:ext uri="{FF2B5EF4-FFF2-40B4-BE49-F238E27FC236}">
              <a16:creationId xmlns:a16="http://schemas.microsoft.com/office/drawing/2014/main" id="{5B60E35F-63F7-40A9-81BC-1674EAED5506}"/>
            </a:ext>
          </a:extLst>
        </xdr:cNvPr>
        <xdr:cNvSpPr>
          <a:spLocks noChangeAspect="1" noChangeArrowheads="1"/>
        </xdr:cNvSpPr>
      </xdr:nvSpPr>
      <xdr:spPr bwMode="auto">
        <a:xfrm>
          <a:off x="3803650" y="541401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88</xdr:row>
      <xdr:rowOff>0</xdr:rowOff>
    </xdr:from>
    <xdr:ext cx="304800" cy="304094"/>
    <xdr:sp macro="" textlink="">
      <xdr:nvSpPr>
        <xdr:cNvPr id="39" name="AutoShape 12">
          <a:extLst>
            <a:ext uri="{FF2B5EF4-FFF2-40B4-BE49-F238E27FC236}">
              <a16:creationId xmlns:a16="http://schemas.microsoft.com/office/drawing/2014/main" id="{5DC74885-BDBD-4341-B388-7A8B773F6B7F}"/>
            </a:ext>
          </a:extLst>
        </xdr:cNvPr>
        <xdr:cNvSpPr>
          <a:spLocks noChangeAspect="1" noChangeArrowheads="1"/>
        </xdr:cNvSpPr>
      </xdr:nvSpPr>
      <xdr:spPr bwMode="auto">
        <a:xfrm>
          <a:off x="3803650" y="543242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97</xdr:row>
      <xdr:rowOff>0</xdr:rowOff>
    </xdr:from>
    <xdr:ext cx="304800" cy="304094"/>
    <xdr:sp macro="" textlink="">
      <xdr:nvSpPr>
        <xdr:cNvPr id="40" name="AutoShape 12">
          <a:extLst>
            <a:ext uri="{FF2B5EF4-FFF2-40B4-BE49-F238E27FC236}">
              <a16:creationId xmlns:a16="http://schemas.microsoft.com/office/drawing/2014/main" id="{0605A2EA-DC1F-440B-A4C8-A9B630618BC5}"/>
            </a:ext>
          </a:extLst>
        </xdr:cNvPr>
        <xdr:cNvSpPr>
          <a:spLocks noChangeAspect="1" noChangeArrowheads="1"/>
        </xdr:cNvSpPr>
      </xdr:nvSpPr>
      <xdr:spPr bwMode="auto">
        <a:xfrm>
          <a:off x="3803650" y="56165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98</xdr:row>
      <xdr:rowOff>0</xdr:rowOff>
    </xdr:from>
    <xdr:ext cx="304800" cy="304094"/>
    <xdr:sp macro="" textlink="">
      <xdr:nvSpPr>
        <xdr:cNvPr id="41" name="AutoShape 12">
          <a:extLst>
            <a:ext uri="{FF2B5EF4-FFF2-40B4-BE49-F238E27FC236}">
              <a16:creationId xmlns:a16="http://schemas.microsoft.com/office/drawing/2014/main" id="{8F98C5D0-3FAF-4D82-AEF6-3875416A91CA}"/>
            </a:ext>
          </a:extLst>
        </xdr:cNvPr>
        <xdr:cNvSpPr>
          <a:spLocks noChangeAspect="1" noChangeArrowheads="1"/>
        </xdr:cNvSpPr>
      </xdr:nvSpPr>
      <xdr:spPr bwMode="auto">
        <a:xfrm>
          <a:off x="3803650" y="563499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42" name="AutoShape 12">
          <a:extLst>
            <a:ext uri="{FF2B5EF4-FFF2-40B4-BE49-F238E27FC236}">
              <a16:creationId xmlns:a16="http://schemas.microsoft.com/office/drawing/2014/main" id="{E05E1779-F7D3-4B6A-AA61-9EF4E67FBC35}"/>
            </a:ext>
          </a:extLst>
        </xdr:cNvPr>
        <xdr:cNvSpPr>
          <a:spLocks noChangeAspect="1" noChangeArrowheads="1"/>
        </xdr:cNvSpPr>
      </xdr:nvSpPr>
      <xdr:spPr bwMode="auto">
        <a:xfrm>
          <a:off x="3803650" y="445643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43" name="AutoShape 12">
          <a:extLst>
            <a:ext uri="{FF2B5EF4-FFF2-40B4-BE49-F238E27FC236}">
              <a16:creationId xmlns:a16="http://schemas.microsoft.com/office/drawing/2014/main" id="{87D231E5-3F91-4086-B958-60B7EEECE104}"/>
            </a:ext>
          </a:extLst>
        </xdr:cNvPr>
        <xdr:cNvSpPr>
          <a:spLocks noChangeAspect="1" noChangeArrowheads="1"/>
        </xdr:cNvSpPr>
      </xdr:nvSpPr>
      <xdr:spPr bwMode="auto">
        <a:xfrm>
          <a:off x="3803650" y="447484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47</xdr:row>
      <xdr:rowOff>0</xdr:rowOff>
    </xdr:from>
    <xdr:ext cx="304800" cy="304094"/>
    <xdr:sp macro="" textlink="">
      <xdr:nvSpPr>
        <xdr:cNvPr id="44" name="AutoShape 12">
          <a:extLst>
            <a:ext uri="{FF2B5EF4-FFF2-40B4-BE49-F238E27FC236}">
              <a16:creationId xmlns:a16="http://schemas.microsoft.com/office/drawing/2014/main" id="{AC948BA9-35EA-4698-931F-0D87244591EC}"/>
            </a:ext>
          </a:extLst>
        </xdr:cNvPr>
        <xdr:cNvSpPr>
          <a:spLocks noChangeAspect="1" noChangeArrowheads="1"/>
        </xdr:cNvSpPr>
      </xdr:nvSpPr>
      <xdr:spPr bwMode="auto">
        <a:xfrm>
          <a:off x="3803650" y="465899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48</xdr:row>
      <xdr:rowOff>0</xdr:rowOff>
    </xdr:from>
    <xdr:ext cx="304800" cy="304094"/>
    <xdr:sp macro="" textlink="">
      <xdr:nvSpPr>
        <xdr:cNvPr id="45" name="AutoShape 12">
          <a:extLst>
            <a:ext uri="{FF2B5EF4-FFF2-40B4-BE49-F238E27FC236}">
              <a16:creationId xmlns:a16="http://schemas.microsoft.com/office/drawing/2014/main" id="{25A55F07-C1FF-48E0-B790-53B2769435F1}"/>
            </a:ext>
          </a:extLst>
        </xdr:cNvPr>
        <xdr:cNvSpPr>
          <a:spLocks noChangeAspect="1" noChangeArrowheads="1"/>
        </xdr:cNvSpPr>
      </xdr:nvSpPr>
      <xdr:spPr bwMode="auto">
        <a:xfrm>
          <a:off x="3803650" y="467741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46" name="AutoShape 12">
          <a:extLst>
            <a:ext uri="{FF2B5EF4-FFF2-40B4-BE49-F238E27FC236}">
              <a16:creationId xmlns:a16="http://schemas.microsoft.com/office/drawing/2014/main" id="{4818D980-892C-4D38-80F5-616E37902648}"/>
            </a:ext>
          </a:extLst>
        </xdr:cNvPr>
        <xdr:cNvSpPr>
          <a:spLocks noChangeAspect="1" noChangeArrowheads="1"/>
        </xdr:cNvSpPr>
      </xdr:nvSpPr>
      <xdr:spPr bwMode="auto">
        <a:xfrm>
          <a:off x="3803650" y="447484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47" name="AutoShape 12">
          <a:extLst>
            <a:ext uri="{FF2B5EF4-FFF2-40B4-BE49-F238E27FC236}">
              <a16:creationId xmlns:a16="http://schemas.microsoft.com/office/drawing/2014/main" id="{01456DBA-E357-4560-A728-ABF1593F8BFF}"/>
            </a:ext>
          </a:extLst>
        </xdr:cNvPr>
        <xdr:cNvSpPr>
          <a:spLocks noChangeAspect="1" noChangeArrowheads="1"/>
        </xdr:cNvSpPr>
      </xdr:nvSpPr>
      <xdr:spPr bwMode="auto">
        <a:xfrm>
          <a:off x="3803650" y="449326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48</xdr:row>
      <xdr:rowOff>0</xdr:rowOff>
    </xdr:from>
    <xdr:ext cx="304800" cy="304094"/>
    <xdr:sp macro="" textlink="">
      <xdr:nvSpPr>
        <xdr:cNvPr id="48" name="AutoShape 12">
          <a:extLst>
            <a:ext uri="{FF2B5EF4-FFF2-40B4-BE49-F238E27FC236}">
              <a16:creationId xmlns:a16="http://schemas.microsoft.com/office/drawing/2014/main" id="{931CF968-3BF9-4608-8F31-3C43CB8DECD9}"/>
            </a:ext>
          </a:extLst>
        </xdr:cNvPr>
        <xdr:cNvSpPr>
          <a:spLocks noChangeAspect="1" noChangeArrowheads="1"/>
        </xdr:cNvSpPr>
      </xdr:nvSpPr>
      <xdr:spPr bwMode="auto">
        <a:xfrm>
          <a:off x="3803650" y="467741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49</xdr:row>
      <xdr:rowOff>0</xdr:rowOff>
    </xdr:from>
    <xdr:ext cx="304800" cy="304094"/>
    <xdr:sp macro="" textlink="">
      <xdr:nvSpPr>
        <xdr:cNvPr id="49" name="AutoShape 12">
          <a:extLst>
            <a:ext uri="{FF2B5EF4-FFF2-40B4-BE49-F238E27FC236}">
              <a16:creationId xmlns:a16="http://schemas.microsoft.com/office/drawing/2014/main" id="{7CA316F3-AA17-4975-99B0-0E07BE4372ED}"/>
            </a:ext>
          </a:extLst>
        </xdr:cNvPr>
        <xdr:cNvSpPr>
          <a:spLocks noChangeAspect="1" noChangeArrowheads="1"/>
        </xdr:cNvSpPr>
      </xdr:nvSpPr>
      <xdr:spPr bwMode="auto">
        <a:xfrm>
          <a:off x="3803650" y="469582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103</xdr:row>
      <xdr:rowOff>0</xdr:rowOff>
    </xdr:from>
    <xdr:ext cx="304800" cy="304094"/>
    <xdr:sp macro="" textlink="">
      <xdr:nvSpPr>
        <xdr:cNvPr id="50" name="AutoShape 12">
          <a:extLst>
            <a:ext uri="{FF2B5EF4-FFF2-40B4-BE49-F238E27FC236}">
              <a16:creationId xmlns:a16="http://schemas.microsoft.com/office/drawing/2014/main" id="{8DE7FCB4-B3B0-4107-A573-EAD0A573ACF3}"/>
            </a:ext>
          </a:extLst>
        </xdr:cNvPr>
        <xdr:cNvSpPr>
          <a:spLocks noChangeAspect="1" noChangeArrowheads="1"/>
        </xdr:cNvSpPr>
      </xdr:nvSpPr>
      <xdr:spPr bwMode="auto">
        <a:xfrm>
          <a:off x="3803650" y="572706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104</xdr:row>
      <xdr:rowOff>0</xdr:rowOff>
    </xdr:from>
    <xdr:ext cx="304800" cy="304094"/>
    <xdr:sp macro="" textlink="">
      <xdr:nvSpPr>
        <xdr:cNvPr id="51" name="AutoShape 12">
          <a:extLst>
            <a:ext uri="{FF2B5EF4-FFF2-40B4-BE49-F238E27FC236}">
              <a16:creationId xmlns:a16="http://schemas.microsoft.com/office/drawing/2014/main" id="{2C7CE92B-6AB4-4874-A756-BABC6EAFFD46}"/>
            </a:ext>
          </a:extLst>
        </xdr:cNvPr>
        <xdr:cNvSpPr>
          <a:spLocks noChangeAspect="1" noChangeArrowheads="1"/>
        </xdr:cNvSpPr>
      </xdr:nvSpPr>
      <xdr:spPr bwMode="auto">
        <a:xfrm>
          <a:off x="3803650" y="574548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114</xdr:row>
      <xdr:rowOff>0</xdr:rowOff>
    </xdr:from>
    <xdr:ext cx="304800" cy="304094"/>
    <xdr:sp macro="" textlink="">
      <xdr:nvSpPr>
        <xdr:cNvPr id="52" name="AutoShape 12">
          <a:extLst>
            <a:ext uri="{FF2B5EF4-FFF2-40B4-BE49-F238E27FC236}">
              <a16:creationId xmlns:a16="http://schemas.microsoft.com/office/drawing/2014/main" id="{361CE4B0-2918-4516-9245-360BCC6C6A7B}"/>
            </a:ext>
          </a:extLst>
        </xdr:cNvPr>
        <xdr:cNvSpPr>
          <a:spLocks noChangeAspect="1" noChangeArrowheads="1"/>
        </xdr:cNvSpPr>
      </xdr:nvSpPr>
      <xdr:spPr bwMode="auto">
        <a:xfrm>
          <a:off x="3803650" y="592963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115</xdr:row>
      <xdr:rowOff>0</xdr:rowOff>
    </xdr:from>
    <xdr:ext cx="304800" cy="304094"/>
    <xdr:sp macro="" textlink="">
      <xdr:nvSpPr>
        <xdr:cNvPr id="53" name="AutoShape 12">
          <a:extLst>
            <a:ext uri="{FF2B5EF4-FFF2-40B4-BE49-F238E27FC236}">
              <a16:creationId xmlns:a16="http://schemas.microsoft.com/office/drawing/2014/main" id="{DB565A9A-11EE-4A7C-A6E8-B591D94A8D90}"/>
            </a:ext>
          </a:extLst>
        </xdr:cNvPr>
        <xdr:cNvSpPr>
          <a:spLocks noChangeAspect="1" noChangeArrowheads="1"/>
        </xdr:cNvSpPr>
      </xdr:nvSpPr>
      <xdr:spPr bwMode="auto">
        <a:xfrm>
          <a:off x="3803650" y="594804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104</xdr:row>
      <xdr:rowOff>0</xdr:rowOff>
    </xdr:from>
    <xdr:ext cx="304800" cy="304094"/>
    <xdr:sp macro="" textlink="">
      <xdr:nvSpPr>
        <xdr:cNvPr id="54" name="AutoShape 12">
          <a:extLst>
            <a:ext uri="{FF2B5EF4-FFF2-40B4-BE49-F238E27FC236}">
              <a16:creationId xmlns:a16="http://schemas.microsoft.com/office/drawing/2014/main" id="{62188B4F-BFAA-4FE0-A6B5-5A1E7041F702}"/>
            </a:ext>
          </a:extLst>
        </xdr:cNvPr>
        <xdr:cNvSpPr>
          <a:spLocks noChangeAspect="1" noChangeArrowheads="1"/>
        </xdr:cNvSpPr>
      </xdr:nvSpPr>
      <xdr:spPr bwMode="auto">
        <a:xfrm>
          <a:off x="3803650" y="574548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</xdr:row>
      <xdr:rowOff>0</xdr:rowOff>
    </xdr:from>
    <xdr:ext cx="304800" cy="304094"/>
    <xdr:sp macro="" textlink="">
      <xdr:nvSpPr>
        <xdr:cNvPr id="55" name="AutoShape 12">
          <a:extLst>
            <a:ext uri="{FF2B5EF4-FFF2-40B4-BE49-F238E27FC236}">
              <a16:creationId xmlns:a16="http://schemas.microsoft.com/office/drawing/2014/main" id="{5E4CCF6B-880A-4DD7-BA22-B2293FA8E534}"/>
            </a:ext>
          </a:extLst>
        </xdr:cNvPr>
        <xdr:cNvSpPr>
          <a:spLocks noChangeAspect="1" noChangeArrowheads="1"/>
        </xdr:cNvSpPr>
      </xdr:nvSpPr>
      <xdr:spPr bwMode="auto">
        <a:xfrm>
          <a:off x="3803650" y="576389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115</xdr:row>
      <xdr:rowOff>0</xdr:rowOff>
    </xdr:from>
    <xdr:ext cx="304800" cy="304094"/>
    <xdr:sp macro="" textlink="">
      <xdr:nvSpPr>
        <xdr:cNvPr id="56" name="AutoShape 12">
          <a:extLst>
            <a:ext uri="{FF2B5EF4-FFF2-40B4-BE49-F238E27FC236}">
              <a16:creationId xmlns:a16="http://schemas.microsoft.com/office/drawing/2014/main" id="{C4681A1E-FB9F-44BF-9200-FAE56BB1E424}"/>
            </a:ext>
          </a:extLst>
        </xdr:cNvPr>
        <xdr:cNvSpPr>
          <a:spLocks noChangeAspect="1" noChangeArrowheads="1"/>
        </xdr:cNvSpPr>
      </xdr:nvSpPr>
      <xdr:spPr bwMode="auto">
        <a:xfrm>
          <a:off x="3803650" y="594804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116</xdr:row>
      <xdr:rowOff>0</xdr:rowOff>
    </xdr:from>
    <xdr:ext cx="304800" cy="304094"/>
    <xdr:sp macro="" textlink="">
      <xdr:nvSpPr>
        <xdr:cNvPr id="57" name="AutoShape 12">
          <a:extLst>
            <a:ext uri="{FF2B5EF4-FFF2-40B4-BE49-F238E27FC236}">
              <a16:creationId xmlns:a16="http://schemas.microsoft.com/office/drawing/2014/main" id="{14011598-A795-4996-A725-D9994BFC9F1E}"/>
            </a:ext>
          </a:extLst>
        </xdr:cNvPr>
        <xdr:cNvSpPr>
          <a:spLocks noChangeAspect="1" noChangeArrowheads="1"/>
        </xdr:cNvSpPr>
      </xdr:nvSpPr>
      <xdr:spPr bwMode="auto">
        <a:xfrm>
          <a:off x="3803650" y="596646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216</xdr:row>
      <xdr:rowOff>0</xdr:rowOff>
    </xdr:from>
    <xdr:ext cx="304800" cy="304094"/>
    <xdr:sp macro="" textlink="">
      <xdr:nvSpPr>
        <xdr:cNvPr id="58" name="AutoShape 12">
          <a:extLst>
            <a:ext uri="{FF2B5EF4-FFF2-40B4-BE49-F238E27FC236}">
              <a16:creationId xmlns:a16="http://schemas.microsoft.com/office/drawing/2014/main" id="{766AE6A0-84DC-402E-B2BC-F0DEFD431C17}"/>
            </a:ext>
          </a:extLst>
        </xdr:cNvPr>
        <xdr:cNvSpPr>
          <a:spLocks noChangeAspect="1" noChangeArrowheads="1"/>
        </xdr:cNvSpPr>
      </xdr:nvSpPr>
      <xdr:spPr bwMode="auto">
        <a:xfrm>
          <a:off x="3803650" y="780796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217</xdr:row>
      <xdr:rowOff>0</xdr:rowOff>
    </xdr:from>
    <xdr:ext cx="304800" cy="304094"/>
    <xdr:sp macro="" textlink="">
      <xdr:nvSpPr>
        <xdr:cNvPr id="59" name="AutoShape 12">
          <a:extLst>
            <a:ext uri="{FF2B5EF4-FFF2-40B4-BE49-F238E27FC236}">
              <a16:creationId xmlns:a16="http://schemas.microsoft.com/office/drawing/2014/main" id="{15FA21AC-FE27-4956-92DD-2502BCA09D82}"/>
            </a:ext>
          </a:extLst>
        </xdr:cNvPr>
        <xdr:cNvSpPr>
          <a:spLocks noChangeAspect="1" noChangeArrowheads="1"/>
        </xdr:cNvSpPr>
      </xdr:nvSpPr>
      <xdr:spPr bwMode="auto">
        <a:xfrm>
          <a:off x="3803650" y="78263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227</xdr:row>
      <xdr:rowOff>0</xdr:rowOff>
    </xdr:from>
    <xdr:ext cx="304800" cy="304094"/>
    <xdr:sp macro="" textlink="">
      <xdr:nvSpPr>
        <xdr:cNvPr id="60" name="AutoShape 12">
          <a:extLst>
            <a:ext uri="{FF2B5EF4-FFF2-40B4-BE49-F238E27FC236}">
              <a16:creationId xmlns:a16="http://schemas.microsoft.com/office/drawing/2014/main" id="{396E0271-44C1-4FB5-A0A1-CDDCE85C7028}"/>
            </a:ext>
          </a:extLst>
        </xdr:cNvPr>
        <xdr:cNvSpPr>
          <a:spLocks noChangeAspect="1" noChangeArrowheads="1"/>
        </xdr:cNvSpPr>
      </xdr:nvSpPr>
      <xdr:spPr bwMode="auto">
        <a:xfrm>
          <a:off x="3803650" y="801052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228</xdr:row>
      <xdr:rowOff>0</xdr:rowOff>
    </xdr:from>
    <xdr:ext cx="304800" cy="304094"/>
    <xdr:sp macro="" textlink="">
      <xdr:nvSpPr>
        <xdr:cNvPr id="61" name="AutoShape 12">
          <a:extLst>
            <a:ext uri="{FF2B5EF4-FFF2-40B4-BE49-F238E27FC236}">
              <a16:creationId xmlns:a16="http://schemas.microsoft.com/office/drawing/2014/main" id="{D5796BB5-5741-4504-9BE4-4E31E825BF0D}"/>
            </a:ext>
          </a:extLst>
        </xdr:cNvPr>
        <xdr:cNvSpPr>
          <a:spLocks noChangeAspect="1" noChangeArrowheads="1"/>
        </xdr:cNvSpPr>
      </xdr:nvSpPr>
      <xdr:spPr bwMode="auto">
        <a:xfrm>
          <a:off x="3803650" y="802894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217</xdr:row>
      <xdr:rowOff>0</xdr:rowOff>
    </xdr:from>
    <xdr:ext cx="304800" cy="304094"/>
    <xdr:sp macro="" textlink="">
      <xdr:nvSpPr>
        <xdr:cNvPr id="62" name="AutoShape 12">
          <a:extLst>
            <a:ext uri="{FF2B5EF4-FFF2-40B4-BE49-F238E27FC236}">
              <a16:creationId xmlns:a16="http://schemas.microsoft.com/office/drawing/2014/main" id="{3D850133-15D4-4869-8C79-C0339B81B1FD}"/>
            </a:ext>
          </a:extLst>
        </xdr:cNvPr>
        <xdr:cNvSpPr>
          <a:spLocks noChangeAspect="1" noChangeArrowheads="1"/>
        </xdr:cNvSpPr>
      </xdr:nvSpPr>
      <xdr:spPr bwMode="auto">
        <a:xfrm>
          <a:off x="3803650" y="78263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218</xdr:row>
      <xdr:rowOff>0</xdr:rowOff>
    </xdr:from>
    <xdr:ext cx="304800" cy="304094"/>
    <xdr:sp macro="" textlink="">
      <xdr:nvSpPr>
        <xdr:cNvPr id="63" name="AutoShape 12">
          <a:extLst>
            <a:ext uri="{FF2B5EF4-FFF2-40B4-BE49-F238E27FC236}">
              <a16:creationId xmlns:a16="http://schemas.microsoft.com/office/drawing/2014/main" id="{6CD55556-882C-41E3-BA98-CE1163BFDE65}"/>
            </a:ext>
          </a:extLst>
        </xdr:cNvPr>
        <xdr:cNvSpPr>
          <a:spLocks noChangeAspect="1" noChangeArrowheads="1"/>
        </xdr:cNvSpPr>
      </xdr:nvSpPr>
      <xdr:spPr bwMode="auto">
        <a:xfrm>
          <a:off x="3803650" y="784479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228</xdr:row>
      <xdr:rowOff>0</xdr:rowOff>
    </xdr:from>
    <xdr:ext cx="304800" cy="304094"/>
    <xdr:sp macro="" textlink="">
      <xdr:nvSpPr>
        <xdr:cNvPr id="64" name="AutoShape 12">
          <a:extLst>
            <a:ext uri="{FF2B5EF4-FFF2-40B4-BE49-F238E27FC236}">
              <a16:creationId xmlns:a16="http://schemas.microsoft.com/office/drawing/2014/main" id="{076C1116-BBFC-4CFC-9E56-5B6C7B7DD85A}"/>
            </a:ext>
          </a:extLst>
        </xdr:cNvPr>
        <xdr:cNvSpPr>
          <a:spLocks noChangeAspect="1" noChangeArrowheads="1"/>
        </xdr:cNvSpPr>
      </xdr:nvSpPr>
      <xdr:spPr bwMode="auto">
        <a:xfrm>
          <a:off x="3803650" y="802894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229</xdr:row>
      <xdr:rowOff>0</xdr:rowOff>
    </xdr:from>
    <xdr:ext cx="304800" cy="304094"/>
    <xdr:sp macro="" textlink="">
      <xdr:nvSpPr>
        <xdr:cNvPr id="65" name="AutoShape 12">
          <a:extLst>
            <a:ext uri="{FF2B5EF4-FFF2-40B4-BE49-F238E27FC236}">
              <a16:creationId xmlns:a16="http://schemas.microsoft.com/office/drawing/2014/main" id="{064D1CCA-4D0B-490E-8866-639A13767011}"/>
            </a:ext>
          </a:extLst>
        </xdr:cNvPr>
        <xdr:cNvSpPr>
          <a:spLocks noChangeAspect="1" noChangeArrowheads="1"/>
        </xdr:cNvSpPr>
      </xdr:nvSpPr>
      <xdr:spPr bwMode="auto">
        <a:xfrm>
          <a:off x="3803650" y="804735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285</xdr:row>
      <xdr:rowOff>0</xdr:rowOff>
    </xdr:from>
    <xdr:ext cx="304800" cy="304094"/>
    <xdr:sp macro="" textlink="">
      <xdr:nvSpPr>
        <xdr:cNvPr id="66" name="AutoShape 12">
          <a:extLst>
            <a:ext uri="{FF2B5EF4-FFF2-40B4-BE49-F238E27FC236}">
              <a16:creationId xmlns:a16="http://schemas.microsoft.com/office/drawing/2014/main" id="{44C2785E-F6F5-406D-9753-0C5CDD146DAE}"/>
            </a:ext>
          </a:extLst>
        </xdr:cNvPr>
        <xdr:cNvSpPr>
          <a:spLocks noChangeAspect="1" noChangeArrowheads="1"/>
        </xdr:cNvSpPr>
      </xdr:nvSpPr>
      <xdr:spPr bwMode="auto">
        <a:xfrm>
          <a:off x="3803650" y="907859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286</xdr:row>
      <xdr:rowOff>0</xdr:rowOff>
    </xdr:from>
    <xdr:ext cx="304800" cy="304094"/>
    <xdr:sp macro="" textlink="">
      <xdr:nvSpPr>
        <xdr:cNvPr id="67" name="AutoShape 12">
          <a:extLst>
            <a:ext uri="{FF2B5EF4-FFF2-40B4-BE49-F238E27FC236}">
              <a16:creationId xmlns:a16="http://schemas.microsoft.com/office/drawing/2014/main" id="{7DF97730-57B1-4318-8BFC-19906AF0DAE0}"/>
            </a:ext>
          </a:extLst>
        </xdr:cNvPr>
        <xdr:cNvSpPr>
          <a:spLocks noChangeAspect="1" noChangeArrowheads="1"/>
        </xdr:cNvSpPr>
      </xdr:nvSpPr>
      <xdr:spPr bwMode="auto">
        <a:xfrm>
          <a:off x="3803650" y="909701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296</xdr:row>
      <xdr:rowOff>0</xdr:rowOff>
    </xdr:from>
    <xdr:ext cx="304800" cy="304094"/>
    <xdr:sp macro="" textlink="">
      <xdr:nvSpPr>
        <xdr:cNvPr id="68" name="AutoShape 12">
          <a:extLst>
            <a:ext uri="{FF2B5EF4-FFF2-40B4-BE49-F238E27FC236}">
              <a16:creationId xmlns:a16="http://schemas.microsoft.com/office/drawing/2014/main" id="{52F04007-3C76-4440-8E18-093C8FF8B1D3}"/>
            </a:ext>
          </a:extLst>
        </xdr:cNvPr>
        <xdr:cNvSpPr>
          <a:spLocks noChangeAspect="1" noChangeArrowheads="1"/>
        </xdr:cNvSpPr>
      </xdr:nvSpPr>
      <xdr:spPr bwMode="auto">
        <a:xfrm>
          <a:off x="3803650" y="928116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297</xdr:row>
      <xdr:rowOff>0</xdr:rowOff>
    </xdr:from>
    <xdr:ext cx="304800" cy="304094"/>
    <xdr:sp macro="" textlink="">
      <xdr:nvSpPr>
        <xdr:cNvPr id="69" name="AutoShape 12">
          <a:extLst>
            <a:ext uri="{FF2B5EF4-FFF2-40B4-BE49-F238E27FC236}">
              <a16:creationId xmlns:a16="http://schemas.microsoft.com/office/drawing/2014/main" id="{698F2ED5-9026-45CC-BF9C-1999E71B7165}"/>
            </a:ext>
          </a:extLst>
        </xdr:cNvPr>
        <xdr:cNvSpPr>
          <a:spLocks noChangeAspect="1" noChangeArrowheads="1"/>
        </xdr:cNvSpPr>
      </xdr:nvSpPr>
      <xdr:spPr bwMode="auto">
        <a:xfrm>
          <a:off x="3803650" y="92995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286</xdr:row>
      <xdr:rowOff>0</xdr:rowOff>
    </xdr:from>
    <xdr:ext cx="304800" cy="304094"/>
    <xdr:sp macro="" textlink="">
      <xdr:nvSpPr>
        <xdr:cNvPr id="70" name="AutoShape 12">
          <a:extLst>
            <a:ext uri="{FF2B5EF4-FFF2-40B4-BE49-F238E27FC236}">
              <a16:creationId xmlns:a16="http://schemas.microsoft.com/office/drawing/2014/main" id="{A81557DC-C51C-4F4E-97C8-7F684826A11F}"/>
            </a:ext>
          </a:extLst>
        </xdr:cNvPr>
        <xdr:cNvSpPr>
          <a:spLocks noChangeAspect="1" noChangeArrowheads="1"/>
        </xdr:cNvSpPr>
      </xdr:nvSpPr>
      <xdr:spPr bwMode="auto">
        <a:xfrm>
          <a:off x="3803650" y="909701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287</xdr:row>
      <xdr:rowOff>0</xdr:rowOff>
    </xdr:from>
    <xdr:ext cx="304800" cy="304094"/>
    <xdr:sp macro="" textlink="">
      <xdr:nvSpPr>
        <xdr:cNvPr id="71" name="AutoShape 12">
          <a:extLst>
            <a:ext uri="{FF2B5EF4-FFF2-40B4-BE49-F238E27FC236}">
              <a16:creationId xmlns:a16="http://schemas.microsoft.com/office/drawing/2014/main" id="{DC8CD0C5-A79F-435E-B417-15408AE63C0B}"/>
            </a:ext>
          </a:extLst>
        </xdr:cNvPr>
        <xdr:cNvSpPr>
          <a:spLocks noChangeAspect="1" noChangeArrowheads="1"/>
        </xdr:cNvSpPr>
      </xdr:nvSpPr>
      <xdr:spPr bwMode="auto">
        <a:xfrm>
          <a:off x="3803650" y="911542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297</xdr:row>
      <xdr:rowOff>0</xdr:rowOff>
    </xdr:from>
    <xdr:ext cx="304800" cy="304094"/>
    <xdr:sp macro="" textlink="">
      <xdr:nvSpPr>
        <xdr:cNvPr id="72" name="AutoShape 12">
          <a:extLst>
            <a:ext uri="{FF2B5EF4-FFF2-40B4-BE49-F238E27FC236}">
              <a16:creationId xmlns:a16="http://schemas.microsoft.com/office/drawing/2014/main" id="{3E48A1C2-C494-4C30-A698-7BB3CFE83899}"/>
            </a:ext>
          </a:extLst>
        </xdr:cNvPr>
        <xdr:cNvSpPr>
          <a:spLocks noChangeAspect="1" noChangeArrowheads="1"/>
        </xdr:cNvSpPr>
      </xdr:nvSpPr>
      <xdr:spPr bwMode="auto">
        <a:xfrm>
          <a:off x="3803650" y="92995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298</xdr:row>
      <xdr:rowOff>0</xdr:rowOff>
    </xdr:from>
    <xdr:ext cx="304800" cy="304094"/>
    <xdr:sp macro="" textlink="">
      <xdr:nvSpPr>
        <xdr:cNvPr id="73" name="AutoShape 12">
          <a:extLst>
            <a:ext uri="{FF2B5EF4-FFF2-40B4-BE49-F238E27FC236}">
              <a16:creationId xmlns:a16="http://schemas.microsoft.com/office/drawing/2014/main" id="{ECA58C73-E11B-4A7A-A17A-09C5FA9D91B5}"/>
            </a:ext>
          </a:extLst>
        </xdr:cNvPr>
        <xdr:cNvSpPr>
          <a:spLocks noChangeAspect="1" noChangeArrowheads="1"/>
        </xdr:cNvSpPr>
      </xdr:nvSpPr>
      <xdr:spPr bwMode="auto">
        <a:xfrm>
          <a:off x="3803650" y="931799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243</xdr:row>
      <xdr:rowOff>0</xdr:rowOff>
    </xdr:from>
    <xdr:ext cx="304800" cy="304094"/>
    <xdr:sp macro="" textlink="">
      <xdr:nvSpPr>
        <xdr:cNvPr id="74" name="AutoShape 12">
          <a:extLst>
            <a:ext uri="{FF2B5EF4-FFF2-40B4-BE49-F238E27FC236}">
              <a16:creationId xmlns:a16="http://schemas.microsoft.com/office/drawing/2014/main" id="{7E67F451-3616-41E3-87BC-C38E8E6C8936}"/>
            </a:ext>
          </a:extLst>
        </xdr:cNvPr>
        <xdr:cNvSpPr>
          <a:spLocks noChangeAspect="1" noChangeArrowheads="1"/>
        </xdr:cNvSpPr>
      </xdr:nvSpPr>
      <xdr:spPr bwMode="auto">
        <a:xfrm>
          <a:off x="3803650" y="830516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244</xdr:row>
      <xdr:rowOff>0</xdr:rowOff>
    </xdr:from>
    <xdr:ext cx="304800" cy="304094"/>
    <xdr:sp macro="" textlink="">
      <xdr:nvSpPr>
        <xdr:cNvPr id="75" name="AutoShape 12">
          <a:extLst>
            <a:ext uri="{FF2B5EF4-FFF2-40B4-BE49-F238E27FC236}">
              <a16:creationId xmlns:a16="http://schemas.microsoft.com/office/drawing/2014/main" id="{CCE83430-0A7C-4C4F-8A81-A85BBE1F0F21}"/>
            </a:ext>
          </a:extLst>
        </xdr:cNvPr>
        <xdr:cNvSpPr>
          <a:spLocks noChangeAspect="1" noChangeArrowheads="1"/>
        </xdr:cNvSpPr>
      </xdr:nvSpPr>
      <xdr:spPr bwMode="auto">
        <a:xfrm>
          <a:off x="3803650" y="832358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254</xdr:row>
      <xdr:rowOff>0</xdr:rowOff>
    </xdr:from>
    <xdr:ext cx="304800" cy="304094"/>
    <xdr:sp macro="" textlink="">
      <xdr:nvSpPr>
        <xdr:cNvPr id="76" name="AutoShape 12">
          <a:extLst>
            <a:ext uri="{FF2B5EF4-FFF2-40B4-BE49-F238E27FC236}">
              <a16:creationId xmlns:a16="http://schemas.microsoft.com/office/drawing/2014/main" id="{2A6BF67A-EFD2-4FE4-9E73-AEFEA19850EB}"/>
            </a:ext>
          </a:extLst>
        </xdr:cNvPr>
        <xdr:cNvSpPr>
          <a:spLocks noChangeAspect="1" noChangeArrowheads="1"/>
        </xdr:cNvSpPr>
      </xdr:nvSpPr>
      <xdr:spPr bwMode="auto">
        <a:xfrm>
          <a:off x="3803650" y="850773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255</xdr:row>
      <xdr:rowOff>0</xdr:rowOff>
    </xdr:from>
    <xdr:ext cx="304800" cy="304094"/>
    <xdr:sp macro="" textlink="">
      <xdr:nvSpPr>
        <xdr:cNvPr id="77" name="AutoShape 12">
          <a:extLst>
            <a:ext uri="{FF2B5EF4-FFF2-40B4-BE49-F238E27FC236}">
              <a16:creationId xmlns:a16="http://schemas.microsoft.com/office/drawing/2014/main" id="{C0782C06-632A-4EDE-B52C-F4881BA57A2E}"/>
            </a:ext>
          </a:extLst>
        </xdr:cNvPr>
        <xdr:cNvSpPr>
          <a:spLocks noChangeAspect="1" noChangeArrowheads="1"/>
        </xdr:cNvSpPr>
      </xdr:nvSpPr>
      <xdr:spPr bwMode="auto">
        <a:xfrm>
          <a:off x="3803650" y="852614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244</xdr:row>
      <xdr:rowOff>0</xdr:rowOff>
    </xdr:from>
    <xdr:ext cx="304800" cy="304094"/>
    <xdr:sp macro="" textlink="">
      <xdr:nvSpPr>
        <xdr:cNvPr id="78" name="AutoShape 12">
          <a:extLst>
            <a:ext uri="{FF2B5EF4-FFF2-40B4-BE49-F238E27FC236}">
              <a16:creationId xmlns:a16="http://schemas.microsoft.com/office/drawing/2014/main" id="{4518B273-B6A9-4ADE-B422-0FD7ACA1C722}"/>
            </a:ext>
          </a:extLst>
        </xdr:cNvPr>
        <xdr:cNvSpPr>
          <a:spLocks noChangeAspect="1" noChangeArrowheads="1"/>
        </xdr:cNvSpPr>
      </xdr:nvSpPr>
      <xdr:spPr bwMode="auto">
        <a:xfrm>
          <a:off x="3803650" y="832358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245</xdr:row>
      <xdr:rowOff>0</xdr:rowOff>
    </xdr:from>
    <xdr:ext cx="304800" cy="304094"/>
    <xdr:sp macro="" textlink="">
      <xdr:nvSpPr>
        <xdr:cNvPr id="79" name="AutoShape 12">
          <a:extLst>
            <a:ext uri="{FF2B5EF4-FFF2-40B4-BE49-F238E27FC236}">
              <a16:creationId xmlns:a16="http://schemas.microsoft.com/office/drawing/2014/main" id="{ED919DA0-7A98-48FD-8D0A-3F73B3AD4749}"/>
            </a:ext>
          </a:extLst>
        </xdr:cNvPr>
        <xdr:cNvSpPr>
          <a:spLocks noChangeAspect="1" noChangeArrowheads="1"/>
        </xdr:cNvSpPr>
      </xdr:nvSpPr>
      <xdr:spPr bwMode="auto">
        <a:xfrm>
          <a:off x="3803650" y="834199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255</xdr:row>
      <xdr:rowOff>0</xdr:rowOff>
    </xdr:from>
    <xdr:ext cx="304800" cy="304094"/>
    <xdr:sp macro="" textlink="">
      <xdr:nvSpPr>
        <xdr:cNvPr id="80" name="AutoShape 12">
          <a:extLst>
            <a:ext uri="{FF2B5EF4-FFF2-40B4-BE49-F238E27FC236}">
              <a16:creationId xmlns:a16="http://schemas.microsoft.com/office/drawing/2014/main" id="{7210314A-9640-4609-BE08-401EBAC91D22}"/>
            </a:ext>
          </a:extLst>
        </xdr:cNvPr>
        <xdr:cNvSpPr>
          <a:spLocks noChangeAspect="1" noChangeArrowheads="1"/>
        </xdr:cNvSpPr>
      </xdr:nvSpPr>
      <xdr:spPr bwMode="auto">
        <a:xfrm>
          <a:off x="3803650" y="852614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256</xdr:row>
      <xdr:rowOff>0</xdr:rowOff>
    </xdr:from>
    <xdr:ext cx="304800" cy="304094"/>
    <xdr:sp macro="" textlink="">
      <xdr:nvSpPr>
        <xdr:cNvPr id="81" name="AutoShape 12">
          <a:extLst>
            <a:ext uri="{FF2B5EF4-FFF2-40B4-BE49-F238E27FC236}">
              <a16:creationId xmlns:a16="http://schemas.microsoft.com/office/drawing/2014/main" id="{BE7EE3A3-BEF0-43E4-ACA7-FAC3F1904925}"/>
            </a:ext>
          </a:extLst>
        </xdr:cNvPr>
        <xdr:cNvSpPr>
          <a:spLocks noChangeAspect="1" noChangeArrowheads="1"/>
        </xdr:cNvSpPr>
      </xdr:nvSpPr>
      <xdr:spPr bwMode="auto">
        <a:xfrm>
          <a:off x="3803650" y="854456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312</xdr:row>
      <xdr:rowOff>0</xdr:rowOff>
    </xdr:from>
    <xdr:ext cx="304800" cy="304094"/>
    <xdr:sp macro="" textlink="">
      <xdr:nvSpPr>
        <xdr:cNvPr id="82" name="AutoShape 12">
          <a:extLst>
            <a:ext uri="{FF2B5EF4-FFF2-40B4-BE49-F238E27FC236}">
              <a16:creationId xmlns:a16="http://schemas.microsoft.com/office/drawing/2014/main" id="{59C7AEEE-A602-4B62-B164-49D5C732652F}"/>
            </a:ext>
          </a:extLst>
        </xdr:cNvPr>
        <xdr:cNvSpPr>
          <a:spLocks noChangeAspect="1" noChangeArrowheads="1"/>
        </xdr:cNvSpPr>
      </xdr:nvSpPr>
      <xdr:spPr bwMode="auto">
        <a:xfrm>
          <a:off x="3803650" y="957580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313</xdr:row>
      <xdr:rowOff>0</xdr:rowOff>
    </xdr:from>
    <xdr:ext cx="304800" cy="304094"/>
    <xdr:sp macro="" textlink="">
      <xdr:nvSpPr>
        <xdr:cNvPr id="83" name="AutoShape 12">
          <a:extLst>
            <a:ext uri="{FF2B5EF4-FFF2-40B4-BE49-F238E27FC236}">
              <a16:creationId xmlns:a16="http://schemas.microsoft.com/office/drawing/2014/main" id="{84F257AE-F436-4CAB-AE92-EC63482C1B1B}"/>
            </a:ext>
          </a:extLst>
        </xdr:cNvPr>
        <xdr:cNvSpPr>
          <a:spLocks noChangeAspect="1" noChangeArrowheads="1"/>
        </xdr:cNvSpPr>
      </xdr:nvSpPr>
      <xdr:spPr bwMode="auto">
        <a:xfrm>
          <a:off x="3803650" y="95942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323</xdr:row>
      <xdr:rowOff>0</xdr:rowOff>
    </xdr:from>
    <xdr:ext cx="304800" cy="304094"/>
    <xdr:sp macro="" textlink="">
      <xdr:nvSpPr>
        <xdr:cNvPr id="84" name="AutoShape 12">
          <a:extLst>
            <a:ext uri="{FF2B5EF4-FFF2-40B4-BE49-F238E27FC236}">
              <a16:creationId xmlns:a16="http://schemas.microsoft.com/office/drawing/2014/main" id="{168BBC54-9275-4B8C-A181-5B07DBECB4C0}"/>
            </a:ext>
          </a:extLst>
        </xdr:cNvPr>
        <xdr:cNvSpPr>
          <a:spLocks noChangeAspect="1" noChangeArrowheads="1"/>
        </xdr:cNvSpPr>
      </xdr:nvSpPr>
      <xdr:spPr bwMode="auto">
        <a:xfrm>
          <a:off x="3803650" y="977836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324</xdr:row>
      <xdr:rowOff>0</xdr:rowOff>
    </xdr:from>
    <xdr:ext cx="304800" cy="304094"/>
    <xdr:sp macro="" textlink="">
      <xdr:nvSpPr>
        <xdr:cNvPr id="85" name="AutoShape 12">
          <a:extLst>
            <a:ext uri="{FF2B5EF4-FFF2-40B4-BE49-F238E27FC236}">
              <a16:creationId xmlns:a16="http://schemas.microsoft.com/office/drawing/2014/main" id="{61AA7CFE-A486-43BC-B01C-66EC3A8CBECB}"/>
            </a:ext>
          </a:extLst>
        </xdr:cNvPr>
        <xdr:cNvSpPr>
          <a:spLocks noChangeAspect="1" noChangeArrowheads="1"/>
        </xdr:cNvSpPr>
      </xdr:nvSpPr>
      <xdr:spPr bwMode="auto">
        <a:xfrm>
          <a:off x="3803650" y="979678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313</xdr:row>
      <xdr:rowOff>0</xdr:rowOff>
    </xdr:from>
    <xdr:ext cx="304800" cy="304094"/>
    <xdr:sp macro="" textlink="">
      <xdr:nvSpPr>
        <xdr:cNvPr id="86" name="AutoShape 12">
          <a:extLst>
            <a:ext uri="{FF2B5EF4-FFF2-40B4-BE49-F238E27FC236}">
              <a16:creationId xmlns:a16="http://schemas.microsoft.com/office/drawing/2014/main" id="{D07AC833-6EA6-4C44-8368-9862A0F3214D}"/>
            </a:ext>
          </a:extLst>
        </xdr:cNvPr>
        <xdr:cNvSpPr>
          <a:spLocks noChangeAspect="1" noChangeArrowheads="1"/>
        </xdr:cNvSpPr>
      </xdr:nvSpPr>
      <xdr:spPr bwMode="auto">
        <a:xfrm>
          <a:off x="3803650" y="95942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314</xdr:row>
      <xdr:rowOff>0</xdr:rowOff>
    </xdr:from>
    <xdr:ext cx="304800" cy="304094"/>
    <xdr:sp macro="" textlink="">
      <xdr:nvSpPr>
        <xdr:cNvPr id="87" name="AutoShape 12">
          <a:extLst>
            <a:ext uri="{FF2B5EF4-FFF2-40B4-BE49-F238E27FC236}">
              <a16:creationId xmlns:a16="http://schemas.microsoft.com/office/drawing/2014/main" id="{BCB566D5-1383-4E88-BED5-60503094638D}"/>
            </a:ext>
          </a:extLst>
        </xdr:cNvPr>
        <xdr:cNvSpPr>
          <a:spLocks noChangeAspect="1" noChangeArrowheads="1"/>
        </xdr:cNvSpPr>
      </xdr:nvSpPr>
      <xdr:spPr bwMode="auto">
        <a:xfrm>
          <a:off x="3803650" y="961263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324</xdr:row>
      <xdr:rowOff>0</xdr:rowOff>
    </xdr:from>
    <xdr:ext cx="304800" cy="304094"/>
    <xdr:sp macro="" textlink="">
      <xdr:nvSpPr>
        <xdr:cNvPr id="88" name="AutoShape 12">
          <a:extLst>
            <a:ext uri="{FF2B5EF4-FFF2-40B4-BE49-F238E27FC236}">
              <a16:creationId xmlns:a16="http://schemas.microsoft.com/office/drawing/2014/main" id="{4400BDEF-FA8A-428C-8D18-BA256501D749}"/>
            </a:ext>
          </a:extLst>
        </xdr:cNvPr>
        <xdr:cNvSpPr>
          <a:spLocks noChangeAspect="1" noChangeArrowheads="1"/>
        </xdr:cNvSpPr>
      </xdr:nvSpPr>
      <xdr:spPr bwMode="auto">
        <a:xfrm>
          <a:off x="3803650" y="979678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325</xdr:row>
      <xdr:rowOff>0</xdr:rowOff>
    </xdr:from>
    <xdr:ext cx="304800" cy="304094"/>
    <xdr:sp macro="" textlink="">
      <xdr:nvSpPr>
        <xdr:cNvPr id="89" name="AutoShape 12">
          <a:extLst>
            <a:ext uri="{FF2B5EF4-FFF2-40B4-BE49-F238E27FC236}">
              <a16:creationId xmlns:a16="http://schemas.microsoft.com/office/drawing/2014/main" id="{DAA09258-059E-42EC-B4D6-D1392E8F3655}"/>
            </a:ext>
          </a:extLst>
        </xdr:cNvPr>
        <xdr:cNvSpPr>
          <a:spLocks noChangeAspect="1" noChangeArrowheads="1"/>
        </xdr:cNvSpPr>
      </xdr:nvSpPr>
      <xdr:spPr bwMode="auto">
        <a:xfrm>
          <a:off x="3803650" y="981519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245</xdr:row>
      <xdr:rowOff>0</xdr:rowOff>
    </xdr:from>
    <xdr:ext cx="304800" cy="304094"/>
    <xdr:sp macro="" textlink="">
      <xdr:nvSpPr>
        <xdr:cNvPr id="90" name="AutoShape 12">
          <a:extLst>
            <a:ext uri="{FF2B5EF4-FFF2-40B4-BE49-F238E27FC236}">
              <a16:creationId xmlns:a16="http://schemas.microsoft.com/office/drawing/2014/main" id="{EB7F2CF7-3C1C-4164-A5F1-106275BE6073}"/>
            </a:ext>
          </a:extLst>
        </xdr:cNvPr>
        <xdr:cNvSpPr>
          <a:spLocks noChangeAspect="1" noChangeArrowheads="1"/>
        </xdr:cNvSpPr>
      </xdr:nvSpPr>
      <xdr:spPr bwMode="auto">
        <a:xfrm>
          <a:off x="3803650" y="834199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246</xdr:row>
      <xdr:rowOff>0</xdr:rowOff>
    </xdr:from>
    <xdr:ext cx="304800" cy="304094"/>
    <xdr:sp macro="" textlink="">
      <xdr:nvSpPr>
        <xdr:cNvPr id="91" name="AutoShape 12">
          <a:extLst>
            <a:ext uri="{FF2B5EF4-FFF2-40B4-BE49-F238E27FC236}">
              <a16:creationId xmlns:a16="http://schemas.microsoft.com/office/drawing/2014/main" id="{3E0332A6-D9CF-4890-9BE1-AD84223781C9}"/>
            </a:ext>
          </a:extLst>
        </xdr:cNvPr>
        <xdr:cNvSpPr>
          <a:spLocks noChangeAspect="1" noChangeArrowheads="1"/>
        </xdr:cNvSpPr>
      </xdr:nvSpPr>
      <xdr:spPr bwMode="auto">
        <a:xfrm>
          <a:off x="3803650" y="836041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256</xdr:row>
      <xdr:rowOff>0</xdr:rowOff>
    </xdr:from>
    <xdr:ext cx="304800" cy="304094"/>
    <xdr:sp macro="" textlink="">
      <xdr:nvSpPr>
        <xdr:cNvPr id="92" name="AutoShape 12">
          <a:extLst>
            <a:ext uri="{FF2B5EF4-FFF2-40B4-BE49-F238E27FC236}">
              <a16:creationId xmlns:a16="http://schemas.microsoft.com/office/drawing/2014/main" id="{7C24DA05-7116-474C-BD47-357A3838C826}"/>
            </a:ext>
          </a:extLst>
        </xdr:cNvPr>
        <xdr:cNvSpPr>
          <a:spLocks noChangeAspect="1" noChangeArrowheads="1"/>
        </xdr:cNvSpPr>
      </xdr:nvSpPr>
      <xdr:spPr bwMode="auto">
        <a:xfrm>
          <a:off x="3803650" y="854456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257</xdr:row>
      <xdr:rowOff>0</xdr:rowOff>
    </xdr:from>
    <xdr:ext cx="304800" cy="304094"/>
    <xdr:sp macro="" textlink="">
      <xdr:nvSpPr>
        <xdr:cNvPr id="93" name="AutoShape 12">
          <a:extLst>
            <a:ext uri="{FF2B5EF4-FFF2-40B4-BE49-F238E27FC236}">
              <a16:creationId xmlns:a16="http://schemas.microsoft.com/office/drawing/2014/main" id="{3DC57957-5E73-4CD2-AA99-C76795FDD448}"/>
            </a:ext>
          </a:extLst>
        </xdr:cNvPr>
        <xdr:cNvSpPr>
          <a:spLocks noChangeAspect="1" noChangeArrowheads="1"/>
        </xdr:cNvSpPr>
      </xdr:nvSpPr>
      <xdr:spPr bwMode="auto">
        <a:xfrm>
          <a:off x="3803650" y="85629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246</xdr:row>
      <xdr:rowOff>0</xdr:rowOff>
    </xdr:from>
    <xdr:ext cx="304800" cy="304094"/>
    <xdr:sp macro="" textlink="">
      <xdr:nvSpPr>
        <xdr:cNvPr id="94" name="AutoShape 12">
          <a:extLst>
            <a:ext uri="{FF2B5EF4-FFF2-40B4-BE49-F238E27FC236}">
              <a16:creationId xmlns:a16="http://schemas.microsoft.com/office/drawing/2014/main" id="{0C94C0DD-C672-46F3-A08A-0E461038A2C5}"/>
            </a:ext>
          </a:extLst>
        </xdr:cNvPr>
        <xdr:cNvSpPr>
          <a:spLocks noChangeAspect="1" noChangeArrowheads="1"/>
        </xdr:cNvSpPr>
      </xdr:nvSpPr>
      <xdr:spPr bwMode="auto">
        <a:xfrm>
          <a:off x="3803650" y="836041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247</xdr:row>
      <xdr:rowOff>0</xdr:rowOff>
    </xdr:from>
    <xdr:ext cx="304800" cy="304094"/>
    <xdr:sp macro="" textlink="">
      <xdr:nvSpPr>
        <xdr:cNvPr id="95" name="AutoShape 12">
          <a:extLst>
            <a:ext uri="{FF2B5EF4-FFF2-40B4-BE49-F238E27FC236}">
              <a16:creationId xmlns:a16="http://schemas.microsoft.com/office/drawing/2014/main" id="{BA626B34-038A-4C7B-AC4E-C916B8ED15A1}"/>
            </a:ext>
          </a:extLst>
        </xdr:cNvPr>
        <xdr:cNvSpPr>
          <a:spLocks noChangeAspect="1" noChangeArrowheads="1"/>
        </xdr:cNvSpPr>
      </xdr:nvSpPr>
      <xdr:spPr bwMode="auto">
        <a:xfrm>
          <a:off x="3803650" y="837882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257</xdr:row>
      <xdr:rowOff>0</xdr:rowOff>
    </xdr:from>
    <xdr:ext cx="304800" cy="304094"/>
    <xdr:sp macro="" textlink="">
      <xdr:nvSpPr>
        <xdr:cNvPr id="96" name="AutoShape 12">
          <a:extLst>
            <a:ext uri="{FF2B5EF4-FFF2-40B4-BE49-F238E27FC236}">
              <a16:creationId xmlns:a16="http://schemas.microsoft.com/office/drawing/2014/main" id="{3450F009-F51B-4EE9-95B8-9203758056DB}"/>
            </a:ext>
          </a:extLst>
        </xdr:cNvPr>
        <xdr:cNvSpPr>
          <a:spLocks noChangeAspect="1" noChangeArrowheads="1"/>
        </xdr:cNvSpPr>
      </xdr:nvSpPr>
      <xdr:spPr bwMode="auto">
        <a:xfrm>
          <a:off x="3803650" y="85629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258</xdr:row>
      <xdr:rowOff>0</xdr:rowOff>
    </xdr:from>
    <xdr:ext cx="304800" cy="304094"/>
    <xdr:sp macro="" textlink="">
      <xdr:nvSpPr>
        <xdr:cNvPr id="97" name="AutoShape 12">
          <a:extLst>
            <a:ext uri="{FF2B5EF4-FFF2-40B4-BE49-F238E27FC236}">
              <a16:creationId xmlns:a16="http://schemas.microsoft.com/office/drawing/2014/main" id="{C773EF5F-8348-4454-85DE-61D4859C60A3}"/>
            </a:ext>
          </a:extLst>
        </xdr:cNvPr>
        <xdr:cNvSpPr>
          <a:spLocks noChangeAspect="1" noChangeArrowheads="1"/>
        </xdr:cNvSpPr>
      </xdr:nvSpPr>
      <xdr:spPr bwMode="auto">
        <a:xfrm>
          <a:off x="3803650" y="858139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314</xdr:row>
      <xdr:rowOff>0</xdr:rowOff>
    </xdr:from>
    <xdr:ext cx="304800" cy="304094"/>
    <xdr:sp macro="" textlink="">
      <xdr:nvSpPr>
        <xdr:cNvPr id="98" name="AutoShape 12">
          <a:extLst>
            <a:ext uri="{FF2B5EF4-FFF2-40B4-BE49-F238E27FC236}">
              <a16:creationId xmlns:a16="http://schemas.microsoft.com/office/drawing/2014/main" id="{346F7F8C-C747-40AD-99CF-CD67928FA160}"/>
            </a:ext>
          </a:extLst>
        </xdr:cNvPr>
        <xdr:cNvSpPr>
          <a:spLocks noChangeAspect="1" noChangeArrowheads="1"/>
        </xdr:cNvSpPr>
      </xdr:nvSpPr>
      <xdr:spPr bwMode="auto">
        <a:xfrm>
          <a:off x="3803650" y="961263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315</xdr:row>
      <xdr:rowOff>0</xdr:rowOff>
    </xdr:from>
    <xdr:ext cx="304800" cy="304094"/>
    <xdr:sp macro="" textlink="">
      <xdr:nvSpPr>
        <xdr:cNvPr id="99" name="AutoShape 12">
          <a:extLst>
            <a:ext uri="{FF2B5EF4-FFF2-40B4-BE49-F238E27FC236}">
              <a16:creationId xmlns:a16="http://schemas.microsoft.com/office/drawing/2014/main" id="{62A15E41-A1B0-4EF1-8BCD-3961F9230CFC}"/>
            </a:ext>
          </a:extLst>
        </xdr:cNvPr>
        <xdr:cNvSpPr>
          <a:spLocks noChangeAspect="1" noChangeArrowheads="1"/>
        </xdr:cNvSpPr>
      </xdr:nvSpPr>
      <xdr:spPr bwMode="auto">
        <a:xfrm>
          <a:off x="3803650" y="963104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325</xdr:row>
      <xdr:rowOff>0</xdr:rowOff>
    </xdr:from>
    <xdr:ext cx="304800" cy="304094"/>
    <xdr:sp macro="" textlink="">
      <xdr:nvSpPr>
        <xdr:cNvPr id="100" name="AutoShape 12">
          <a:extLst>
            <a:ext uri="{FF2B5EF4-FFF2-40B4-BE49-F238E27FC236}">
              <a16:creationId xmlns:a16="http://schemas.microsoft.com/office/drawing/2014/main" id="{2A32490B-24BC-459F-8886-520964302F40}"/>
            </a:ext>
          </a:extLst>
        </xdr:cNvPr>
        <xdr:cNvSpPr>
          <a:spLocks noChangeAspect="1" noChangeArrowheads="1"/>
        </xdr:cNvSpPr>
      </xdr:nvSpPr>
      <xdr:spPr bwMode="auto">
        <a:xfrm>
          <a:off x="3803650" y="981519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326</xdr:row>
      <xdr:rowOff>0</xdr:rowOff>
    </xdr:from>
    <xdr:ext cx="304800" cy="304094"/>
    <xdr:sp macro="" textlink="">
      <xdr:nvSpPr>
        <xdr:cNvPr id="101" name="AutoShape 12">
          <a:extLst>
            <a:ext uri="{FF2B5EF4-FFF2-40B4-BE49-F238E27FC236}">
              <a16:creationId xmlns:a16="http://schemas.microsoft.com/office/drawing/2014/main" id="{9F850CE8-C2DC-40C6-920B-BEDD89B9BCFC}"/>
            </a:ext>
          </a:extLst>
        </xdr:cNvPr>
        <xdr:cNvSpPr>
          <a:spLocks noChangeAspect="1" noChangeArrowheads="1"/>
        </xdr:cNvSpPr>
      </xdr:nvSpPr>
      <xdr:spPr bwMode="auto">
        <a:xfrm>
          <a:off x="3803650" y="983361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315</xdr:row>
      <xdr:rowOff>0</xdr:rowOff>
    </xdr:from>
    <xdr:ext cx="304800" cy="304094"/>
    <xdr:sp macro="" textlink="">
      <xdr:nvSpPr>
        <xdr:cNvPr id="102" name="AutoShape 12">
          <a:extLst>
            <a:ext uri="{FF2B5EF4-FFF2-40B4-BE49-F238E27FC236}">
              <a16:creationId xmlns:a16="http://schemas.microsoft.com/office/drawing/2014/main" id="{63DEB8EE-2CA8-41DE-BCD1-0736D1C07D2F}"/>
            </a:ext>
          </a:extLst>
        </xdr:cNvPr>
        <xdr:cNvSpPr>
          <a:spLocks noChangeAspect="1" noChangeArrowheads="1"/>
        </xdr:cNvSpPr>
      </xdr:nvSpPr>
      <xdr:spPr bwMode="auto">
        <a:xfrm>
          <a:off x="3803650" y="963104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316</xdr:row>
      <xdr:rowOff>0</xdr:rowOff>
    </xdr:from>
    <xdr:ext cx="304800" cy="304094"/>
    <xdr:sp macro="" textlink="">
      <xdr:nvSpPr>
        <xdr:cNvPr id="103" name="AutoShape 12">
          <a:extLst>
            <a:ext uri="{FF2B5EF4-FFF2-40B4-BE49-F238E27FC236}">
              <a16:creationId xmlns:a16="http://schemas.microsoft.com/office/drawing/2014/main" id="{5DDBC24E-0984-4CAE-8784-D3B762A29F0A}"/>
            </a:ext>
          </a:extLst>
        </xdr:cNvPr>
        <xdr:cNvSpPr>
          <a:spLocks noChangeAspect="1" noChangeArrowheads="1"/>
        </xdr:cNvSpPr>
      </xdr:nvSpPr>
      <xdr:spPr bwMode="auto">
        <a:xfrm>
          <a:off x="3803650" y="964946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326</xdr:row>
      <xdr:rowOff>0</xdr:rowOff>
    </xdr:from>
    <xdr:ext cx="304800" cy="304094"/>
    <xdr:sp macro="" textlink="">
      <xdr:nvSpPr>
        <xdr:cNvPr id="104" name="AutoShape 12">
          <a:extLst>
            <a:ext uri="{FF2B5EF4-FFF2-40B4-BE49-F238E27FC236}">
              <a16:creationId xmlns:a16="http://schemas.microsoft.com/office/drawing/2014/main" id="{350825C6-3B15-46FD-BB08-99D6FB1D0444}"/>
            </a:ext>
          </a:extLst>
        </xdr:cNvPr>
        <xdr:cNvSpPr>
          <a:spLocks noChangeAspect="1" noChangeArrowheads="1"/>
        </xdr:cNvSpPr>
      </xdr:nvSpPr>
      <xdr:spPr bwMode="auto">
        <a:xfrm>
          <a:off x="3803650" y="983361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327</xdr:row>
      <xdr:rowOff>0</xdr:rowOff>
    </xdr:from>
    <xdr:ext cx="304800" cy="304094"/>
    <xdr:sp macro="" textlink="">
      <xdr:nvSpPr>
        <xdr:cNvPr id="105" name="AutoShape 12">
          <a:extLst>
            <a:ext uri="{FF2B5EF4-FFF2-40B4-BE49-F238E27FC236}">
              <a16:creationId xmlns:a16="http://schemas.microsoft.com/office/drawing/2014/main" id="{F6C5EDEE-827F-4A79-BE66-AE4A89F5D277}"/>
            </a:ext>
          </a:extLst>
        </xdr:cNvPr>
        <xdr:cNvSpPr>
          <a:spLocks noChangeAspect="1" noChangeArrowheads="1"/>
        </xdr:cNvSpPr>
      </xdr:nvSpPr>
      <xdr:spPr bwMode="auto">
        <a:xfrm>
          <a:off x="3803650" y="985202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19</xdr:row>
      <xdr:rowOff>0</xdr:rowOff>
    </xdr:from>
    <xdr:ext cx="304800" cy="304094"/>
    <xdr:sp macro="" textlink="">
      <xdr:nvSpPr>
        <xdr:cNvPr id="106" name="AutoShape 12">
          <a:extLst>
            <a:ext uri="{FF2B5EF4-FFF2-40B4-BE49-F238E27FC236}">
              <a16:creationId xmlns:a16="http://schemas.microsoft.com/office/drawing/2014/main" id="{702F108D-5EA0-4483-877A-9A1CD00A1054}"/>
            </a:ext>
          </a:extLst>
        </xdr:cNvPr>
        <xdr:cNvSpPr>
          <a:spLocks noChangeAspect="1" noChangeArrowheads="1"/>
        </xdr:cNvSpPr>
      </xdr:nvSpPr>
      <xdr:spPr bwMode="auto">
        <a:xfrm>
          <a:off x="3803650" y="36830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20</xdr:row>
      <xdr:rowOff>0</xdr:rowOff>
    </xdr:from>
    <xdr:ext cx="304800" cy="304094"/>
    <xdr:sp macro="" textlink="">
      <xdr:nvSpPr>
        <xdr:cNvPr id="107" name="AutoShape 12">
          <a:extLst>
            <a:ext uri="{FF2B5EF4-FFF2-40B4-BE49-F238E27FC236}">
              <a16:creationId xmlns:a16="http://schemas.microsoft.com/office/drawing/2014/main" id="{23333E73-94F5-4404-B335-80A560F5C712}"/>
            </a:ext>
          </a:extLst>
        </xdr:cNvPr>
        <xdr:cNvSpPr>
          <a:spLocks noChangeAspect="1" noChangeArrowheads="1"/>
        </xdr:cNvSpPr>
      </xdr:nvSpPr>
      <xdr:spPr bwMode="auto">
        <a:xfrm>
          <a:off x="3803650" y="3867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28</xdr:row>
      <xdr:rowOff>0</xdr:rowOff>
    </xdr:from>
    <xdr:ext cx="304800" cy="304094"/>
    <xdr:sp macro="" textlink="">
      <xdr:nvSpPr>
        <xdr:cNvPr id="108" name="AutoShape 12">
          <a:extLst>
            <a:ext uri="{FF2B5EF4-FFF2-40B4-BE49-F238E27FC236}">
              <a16:creationId xmlns:a16="http://schemas.microsoft.com/office/drawing/2014/main" id="{2AFDEFD6-847C-4682-97CC-10912A75A6BC}"/>
            </a:ext>
          </a:extLst>
        </xdr:cNvPr>
        <xdr:cNvSpPr>
          <a:spLocks noChangeAspect="1" noChangeArrowheads="1"/>
        </xdr:cNvSpPr>
      </xdr:nvSpPr>
      <xdr:spPr bwMode="auto">
        <a:xfrm>
          <a:off x="3803650" y="57086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29</xdr:row>
      <xdr:rowOff>0</xdr:rowOff>
    </xdr:from>
    <xdr:ext cx="304800" cy="304094"/>
    <xdr:sp macro="" textlink="">
      <xdr:nvSpPr>
        <xdr:cNvPr id="109" name="AutoShape 12">
          <a:extLst>
            <a:ext uri="{FF2B5EF4-FFF2-40B4-BE49-F238E27FC236}">
              <a16:creationId xmlns:a16="http://schemas.microsoft.com/office/drawing/2014/main" id="{89CF7BB0-0D09-452A-A1D8-DBD8A018AFD9}"/>
            </a:ext>
          </a:extLst>
        </xdr:cNvPr>
        <xdr:cNvSpPr>
          <a:spLocks noChangeAspect="1" noChangeArrowheads="1"/>
        </xdr:cNvSpPr>
      </xdr:nvSpPr>
      <xdr:spPr bwMode="auto">
        <a:xfrm>
          <a:off x="3803650" y="58928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20</xdr:row>
      <xdr:rowOff>0</xdr:rowOff>
    </xdr:from>
    <xdr:ext cx="304800" cy="304094"/>
    <xdr:sp macro="" textlink="">
      <xdr:nvSpPr>
        <xdr:cNvPr id="110" name="AutoShape 12">
          <a:extLst>
            <a:ext uri="{FF2B5EF4-FFF2-40B4-BE49-F238E27FC236}">
              <a16:creationId xmlns:a16="http://schemas.microsoft.com/office/drawing/2014/main" id="{A959BCF8-7853-4784-8BAE-D425C4D8064D}"/>
            </a:ext>
          </a:extLst>
        </xdr:cNvPr>
        <xdr:cNvSpPr>
          <a:spLocks noChangeAspect="1" noChangeArrowheads="1"/>
        </xdr:cNvSpPr>
      </xdr:nvSpPr>
      <xdr:spPr bwMode="auto">
        <a:xfrm>
          <a:off x="3803650" y="3867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21</xdr:row>
      <xdr:rowOff>0</xdr:rowOff>
    </xdr:from>
    <xdr:ext cx="304800" cy="304094"/>
    <xdr:sp macro="" textlink="">
      <xdr:nvSpPr>
        <xdr:cNvPr id="111" name="AutoShape 12">
          <a:extLst>
            <a:ext uri="{FF2B5EF4-FFF2-40B4-BE49-F238E27FC236}">
              <a16:creationId xmlns:a16="http://schemas.microsoft.com/office/drawing/2014/main" id="{28D92625-F565-40ED-9050-445758A9B207}"/>
            </a:ext>
          </a:extLst>
        </xdr:cNvPr>
        <xdr:cNvSpPr>
          <a:spLocks noChangeAspect="1" noChangeArrowheads="1"/>
        </xdr:cNvSpPr>
      </xdr:nvSpPr>
      <xdr:spPr bwMode="auto">
        <a:xfrm>
          <a:off x="3803650" y="40513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29</xdr:row>
      <xdr:rowOff>0</xdr:rowOff>
    </xdr:from>
    <xdr:ext cx="304800" cy="304094"/>
    <xdr:sp macro="" textlink="">
      <xdr:nvSpPr>
        <xdr:cNvPr id="112" name="AutoShape 12">
          <a:extLst>
            <a:ext uri="{FF2B5EF4-FFF2-40B4-BE49-F238E27FC236}">
              <a16:creationId xmlns:a16="http://schemas.microsoft.com/office/drawing/2014/main" id="{86E27C42-5847-4C6D-AC27-E39A3F8004EC}"/>
            </a:ext>
          </a:extLst>
        </xdr:cNvPr>
        <xdr:cNvSpPr>
          <a:spLocks noChangeAspect="1" noChangeArrowheads="1"/>
        </xdr:cNvSpPr>
      </xdr:nvSpPr>
      <xdr:spPr bwMode="auto">
        <a:xfrm>
          <a:off x="3803650" y="58928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30</xdr:row>
      <xdr:rowOff>0</xdr:rowOff>
    </xdr:from>
    <xdr:ext cx="304800" cy="304094"/>
    <xdr:sp macro="" textlink="">
      <xdr:nvSpPr>
        <xdr:cNvPr id="113" name="AutoShape 12">
          <a:extLst>
            <a:ext uri="{FF2B5EF4-FFF2-40B4-BE49-F238E27FC236}">
              <a16:creationId xmlns:a16="http://schemas.microsoft.com/office/drawing/2014/main" id="{CD680295-9D1F-42B1-B59E-A0A8499B6F0C}"/>
            </a:ext>
          </a:extLst>
        </xdr:cNvPr>
        <xdr:cNvSpPr>
          <a:spLocks noChangeAspect="1" noChangeArrowheads="1"/>
        </xdr:cNvSpPr>
      </xdr:nvSpPr>
      <xdr:spPr bwMode="auto">
        <a:xfrm>
          <a:off x="3803650" y="60769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114" name="AutoShape 12">
          <a:extLst>
            <a:ext uri="{FF2B5EF4-FFF2-40B4-BE49-F238E27FC236}">
              <a16:creationId xmlns:a16="http://schemas.microsoft.com/office/drawing/2014/main" id="{B03C9BF3-DD59-4404-B9B5-068083FB4900}"/>
            </a:ext>
          </a:extLst>
        </xdr:cNvPr>
        <xdr:cNvSpPr>
          <a:spLocks noChangeAspect="1" noChangeArrowheads="1"/>
        </xdr:cNvSpPr>
      </xdr:nvSpPr>
      <xdr:spPr bwMode="auto">
        <a:xfrm>
          <a:off x="3803650" y="163893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115" name="AutoShape 12">
          <a:extLst>
            <a:ext uri="{FF2B5EF4-FFF2-40B4-BE49-F238E27FC236}">
              <a16:creationId xmlns:a16="http://schemas.microsoft.com/office/drawing/2014/main" id="{95B269F7-5213-4C08-9993-B774E88DFBC8}"/>
            </a:ext>
          </a:extLst>
        </xdr:cNvPr>
        <xdr:cNvSpPr>
          <a:spLocks noChangeAspect="1" noChangeArrowheads="1"/>
        </xdr:cNvSpPr>
      </xdr:nvSpPr>
      <xdr:spPr bwMode="auto">
        <a:xfrm>
          <a:off x="3803650" y="165735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116" name="AutoShape 12">
          <a:extLst>
            <a:ext uri="{FF2B5EF4-FFF2-40B4-BE49-F238E27FC236}">
              <a16:creationId xmlns:a16="http://schemas.microsoft.com/office/drawing/2014/main" id="{ED14CA6D-0018-448F-8F33-44FF33E29F98}"/>
            </a:ext>
          </a:extLst>
        </xdr:cNvPr>
        <xdr:cNvSpPr>
          <a:spLocks noChangeAspect="1" noChangeArrowheads="1"/>
        </xdr:cNvSpPr>
      </xdr:nvSpPr>
      <xdr:spPr bwMode="auto">
        <a:xfrm>
          <a:off x="3803650" y="184150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117" name="AutoShape 12">
          <a:extLst>
            <a:ext uri="{FF2B5EF4-FFF2-40B4-BE49-F238E27FC236}">
              <a16:creationId xmlns:a16="http://schemas.microsoft.com/office/drawing/2014/main" id="{85578812-3DA6-45D8-A65F-A1577FBE2BB6}"/>
            </a:ext>
          </a:extLst>
        </xdr:cNvPr>
        <xdr:cNvSpPr>
          <a:spLocks noChangeAspect="1" noChangeArrowheads="1"/>
        </xdr:cNvSpPr>
      </xdr:nvSpPr>
      <xdr:spPr bwMode="auto">
        <a:xfrm>
          <a:off x="3803650" y="18599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118" name="AutoShape 12">
          <a:extLst>
            <a:ext uri="{FF2B5EF4-FFF2-40B4-BE49-F238E27FC236}">
              <a16:creationId xmlns:a16="http://schemas.microsoft.com/office/drawing/2014/main" id="{A0EC7D33-CD22-4875-A896-0DE3C0D2324A}"/>
            </a:ext>
          </a:extLst>
        </xdr:cNvPr>
        <xdr:cNvSpPr>
          <a:spLocks noChangeAspect="1" noChangeArrowheads="1"/>
        </xdr:cNvSpPr>
      </xdr:nvSpPr>
      <xdr:spPr bwMode="auto">
        <a:xfrm>
          <a:off x="3803650" y="165735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119" name="AutoShape 12">
          <a:extLst>
            <a:ext uri="{FF2B5EF4-FFF2-40B4-BE49-F238E27FC236}">
              <a16:creationId xmlns:a16="http://schemas.microsoft.com/office/drawing/2014/main" id="{BFA9752C-2316-4E36-BDA3-4D468136117B}"/>
            </a:ext>
          </a:extLst>
        </xdr:cNvPr>
        <xdr:cNvSpPr>
          <a:spLocks noChangeAspect="1" noChangeArrowheads="1"/>
        </xdr:cNvSpPr>
      </xdr:nvSpPr>
      <xdr:spPr bwMode="auto">
        <a:xfrm>
          <a:off x="3803650" y="167576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120" name="AutoShape 12">
          <a:extLst>
            <a:ext uri="{FF2B5EF4-FFF2-40B4-BE49-F238E27FC236}">
              <a16:creationId xmlns:a16="http://schemas.microsoft.com/office/drawing/2014/main" id="{DE6D19BB-6E06-4585-ACA2-980F26B519E7}"/>
            </a:ext>
          </a:extLst>
        </xdr:cNvPr>
        <xdr:cNvSpPr>
          <a:spLocks noChangeAspect="1" noChangeArrowheads="1"/>
        </xdr:cNvSpPr>
      </xdr:nvSpPr>
      <xdr:spPr bwMode="auto">
        <a:xfrm>
          <a:off x="3803650" y="18599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121" name="AutoShape 12">
          <a:extLst>
            <a:ext uri="{FF2B5EF4-FFF2-40B4-BE49-F238E27FC236}">
              <a16:creationId xmlns:a16="http://schemas.microsoft.com/office/drawing/2014/main" id="{F40B8CEB-7CAE-43C7-A40C-0FD2957CD327}"/>
            </a:ext>
          </a:extLst>
        </xdr:cNvPr>
        <xdr:cNvSpPr>
          <a:spLocks noChangeAspect="1" noChangeArrowheads="1"/>
        </xdr:cNvSpPr>
      </xdr:nvSpPr>
      <xdr:spPr bwMode="auto">
        <a:xfrm>
          <a:off x="3803650" y="187833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122" name="AutoShape 12">
          <a:extLst>
            <a:ext uri="{FF2B5EF4-FFF2-40B4-BE49-F238E27FC236}">
              <a16:creationId xmlns:a16="http://schemas.microsoft.com/office/drawing/2014/main" id="{A337E089-4B7C-45C2-9EA3-AE1718069D8E}"/>
            </a:ext>
          </a:extLst>
        </xdr:cNvPr>
        <xdr:cNvSpPr>
          <a:spLocks noChangeAspect="1" noChangeArrowheads="1"/>
        </xdr:cNvSpPr>
      </xdr:nvSpPr>
      <xdr:spPr bwMode="auto">
        <a:xfrm>
          <a:off x="3803650" y="116014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123" name="AutoShape 12">
          <a:extLst>
            <a:ext uri="{FF2B5EF4-FFF2-40B4-BE49-F238E27FC236}">
              <a16:creationId xmlns:a16="http://schemas.microsoft.com/office/drawing/2014/main" id="{6247E215-E28C-499D-B913-A96C953356F8}"/>
            </a:ext>
          </a:extLst>
        </xdr:cNvPr>
        <xdr:cNvSpPr>
          <a:spLocks noChangeAspect="1" noChangeArrowheads="1"/>
        </xdr:cNvSpPr>
      </xdr:nvSpPr>
      <xdr:spPr bwMode="auto">
        <a:xfrm>
          <a:off x="3803650" y="117856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124" name="AutoShape 12">
          <a:extLst>
            <a:ext uri="{FF2B5EF4-FFF2-40B4-BE49-F238E27FC236}">
              <a16:creationId xmlns:a16="http://schemas.microsoft.com/office/drawing/2014/main" id="{E8B4CFA3-8A2E-4187-AEF2-F3BC6322E296}"/>
            </a:ext>
          </a:extLst>
        </xdr:cNvPr>
        <xdr:cNvSpPr>
          <a:spLocks noChangeAspect="1" noChangeArrowheads="1"/>
        </xdr:cNvSpPr>
      </xdr:nvSpPr>
      <xdr:spPr bwMode="auto">
        <a:xfrm>
          <a:off x="3803650" y="136271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125" name="AutoShape 12">
          <a:extLst>
            <a:ext uri="{FF2B5EF4-FFF2-40B4-BE49-F238E27FC236}">
              <a16:creationId xmlns:a16="http://schemas.microsoft.com/office/drawing/2014/main" id="{972C9B8F-45BD-4ECA-B01D-A049A9CBB1AF}"/>
            </a:ext>
          </a:extLst>
        </xdr:cNvPr>
        <xdr:cNvSpPr>
          <a:spLocks noChangeAspect="1" noChangeArrowheads="1"/>
        </xdr:cNvSpPr>
      </xdr:nvSpPr>
      <xdr:spPr bwMode="auto">
        <a:xfrm>
          <a:off x="3803650" y="138112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126" name="AutoShape 12">
          <a:extLst>
            <a:ext uri="{FF2B5EF4-FFF2-40B4-BE49-F238E27FC236}">
              <a16:creationId xmlns:a16="http://schemas.microsoft.com/office/drawing/2014/main" id="{36A2FB2B-0356-4CB3-8999-0BC81FD991CD}"/>
            </a:ext>
          </a:extLst>
        </xdr:cNvPr>
        <xdr:cNvSpPr>
          <a:spLocks noChangeAspect="1" noChangeArrowheads="1"/>
        </xdr:cNvSpPr>
      </xdr:nvSpPr>
      <xdr:spPr bwMode="auto">
        <a:xfrm>
          <a:off x="3803650" y="117856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127" name="AutoShape 12">
          <a:extLst>
            <a:ext uri="{FF2B5EF4-FFF2-40B4-BE49-F238E27FC236}">
              <a16:creationId xmlns:a16="http://schemas.microsoft.com/office/drawing/2014/main" id="{358F172A-8A1E-434A-94B0-486F7C8EBC5D}"/>
            </a:ext>
          </a:extLst>
        </xdr:cNvPr>
        <xdr:cNvSpPr>
          <a:spLocks noChangeAspect="1" noChangeArrowheads="1"/>
        </xdr:cNvSpPr>
      </xdr:nvSpPr>
      <xdr:spPr bwMode="auto">
        <a:xfrm>
          <a:off x="3803650" y="11969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128" name="AutoShape 12">
          <a:extLst>
            <a:ext uri="{FF2B5EF4-FFF2-40B4-BE49-F238E27FC236}">
              <a16:creationId xmlns:a16="http://schemas.microsoft.com/office/drawing/2014/main" id="{37221F2F-4510-475B-816A-0D24CDF4666A}"/>
            </a:ext>
          </a:extLst>
        </xdr:cNvPr>
        <xdr:cNvSpPr>
          <a:spLocks noChangeAspect="1" noChangeArrowheads="1"/>
        </xdr:cNvSpPr>
      </xdr:nvSpPr>
      <xdr:spPr bwMode="auto">
        <a:xfrm>
          <a:off x="3803650" y="138112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129" name="AutoShape 12">
          <a:extLst>
            <a:ext uri="{FF2B5EF4-FFF2-40B4-BE49-F238E27FC236}">
              <a16:creationId xmlns:a16="http://schemas.microsoft.com/office/drawing/2014/main" id="{A4552F83-F5BF-45AC-BDE8-B8D82B57267E}"/>
            </a:ext>
          </a:extLst>
        </xdr:cNvPr>
        <xdr:cNvSpPr>
          <a:spLocks noChangeAspect="1" noChangeArrowheads="1"/>
        </xdr:cNvSpPr>
      </xdr:nvSpPr>
      <xdr:spPr bwMode="auto">
        <a:xfrm>
          <a:off x="3803650" y="139954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130" name="AutoShape 12">
          <a:extLst>
            <a:ext uri="{FF2B5EF4-FFF2-40B4-BE49-F238E27FC236}">
              <a16:creationId xmlns:a16="http://schemas.microsoft.com/office/drawing/2014/main" id="{8AC6DFC7-4D7C-45FF-B76A-4EAA6366936E}"/>
            </a:ext>
          </a:extLst>
        </xdr:cNvPr>
        <xdr:cNvSpPr>
          <a:spLocks noChangeAspect="1" noChangeArrowheads="1"/>
        </xdr:cNvSpPr>
      </xdr:nvSpPr>
      <xdr:spPr bwMode="auto">
        <a:xfrm>
          <a:off x="3803650" y="243078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131" name="AutoShape 12">
          <a:extLst>
            <a:ext uri="{FF2B5EF4-FFF2-40B4-BE49-F238E27FC236}">
              <a16:creationId xmlns:a16="http://schemas.microsoft.com/office/drawing/2014/main" id="{A15A12C5-EC99-4F76-8F87-AF6A0CA90044}"/>
            </a:ext>
          </a:extLst>
        </xdr:cNvPr>
        <xdr:cNvSpPr>
          <a:spLocks noChangeAspect="1" noChangeArrowheads="1"/>
        </xdr:cNvSpPr>
      </xdr:nvSpPr>
      <xdr:spPr bwMode="auto">
        <a:xfrm>
          <a:off x="3803650" y="244919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132" name="AutoShape 12">
          <a:extLst>
            <a:ext uri="{FF2B5EF4-FFF2-40B4-BE49-F238E27FC236}">
              <a16:creationId xmlns:a16="http://schemas.microsoft.com/office/drawing/2014/main" id="{0561139D-8103-4489-9E32-1823A7BCDEDF}"/>
            </a:ext>
          </a:extLst>
        </xdr:cNvPr>
        <xdr:cNvSpPr>
          <a:spLocks noChangeAspect="1" noChangeArrowheads="1"/>
        </xdr:cNvSpPr>
      </xdr:nvSpPr>
      <xdr:spPr bwMode="auto">
        <a:xfrm>
          <a:off x="3803650" y="263334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133" name="AutoShape 12">
          <a:extLst>
            <a:ext uri="{FF2B5EF4-FFF2-40B4-BE49-F238E27FC236}">
              <a16:creationId xmlns:a16="http://schemas.microsoft.com/office/drawing/2014/main" id="{D4625E8C-DEE6-4859-A063-26CB8C3A1CDD}"/>
            </a:ext>
          </a:extLst>
        </xdr:cNvPr>
        <xdr:cNvSpPr>
          <a:spLocks noChangeAspect="1" noChangeArrowheads="1"/>
        </xdr:cNvSpPr>
      </xdr:nvSpPr>
      <xdr:spPr bwMode="auto">
        <a:xfrm>
          <a:off x="3803650" y="265176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134" name="AutoShape 12">
          <a:extLst>
            <a:ext uri="{FF2B5EF4-FFF2-40B4-BE49-F238E27FC236}">
              <a16:creationId xmlns:a16="http://schemas.microsoft.com/office/drawing/2014/main" id="{63F1481D-B488-4B71-93F2-50DDC12084DA}"/>
            </a:ext>
          </a:extLst>
        </xdr:cNvPr>
        <xdr:cNvSpPr>
          <a:spLocks noChangeAspect="1" noChangeArrowheads="1"/>
        </xdr:cNvSpPr>
      </xdr:nvSpPr>
      <xdr:spPr bwMode="auto">
        <a:xfrm>
          <a:off x="3803650" y="244919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135" name="AutoShape 12">
          <a:extLst>
            <a:ext uri="{FF2B5EF4-FFF2-40B4-BE49-F238E27FC236}">
              <a16:creationId xmlns:a16="http://schemas.microsoft.com/office/drawing/2014/main" id="{34F50466-2868-466D-98CC-018A3BEEE562}"/>
            </a:ext>
          </a:extLst>
        </xdr:cNvPr>
        <xdr:cNvSpPr>
          <a:spLocks noChangeAspect="1" noChangeArrowheads="1"/>
        </xdr:cNvSpPr>
      </xdr:nvSpPr>
      <xdr:spPr bwMode="auto">
        <a:xfrm>
          <a:off x="3803650" y="246761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136" name="AutoShape 12">
          <a:extLst>
            <a:ext uri="{FF2B5EF4-FFF2-40B4-BE49-F238E27FC236}">
              <a16:creationId xmlns:a16="http://schemas.microsoft.com/office/drawing/2014/main" id="{2052A845-CD21-4725-BDAF-8D2759EC636A}"/>
            </a:ext>
          </a:extLst>
        </xdr:cNvPr>
        <xdr:cNvSpPr>
          <a:spLocks noChangeAspect="1" noChangeArrowheads="1"/>
        </xdr:cNvSpPr>
      </xdr:nvSpPr>
      <xdr:spPr bwMode="auto">
        <a:xfrm>
          <a:off x="3803650" y="265176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137" name="AutoShape 12">
          <a:extLst>
            <a:ext uri="{FF2B5EF4-FFF2-40B4-BE49-F238E27FC236}">
              <a16:creationId xmlns:a16="http://schemas.microsoft.com/office/drawing/2014/main" id="{5FA8E13D-A3A9-4A53-AA3D-0D6360EDB243}"/>
            </a:ext>
          </a:extLst>
        </xdr:cNvPr>
        <xdr:cNvSpPr>
          <a:spLocks noChangeAspect="1" noChangeArrowheads="1"/>
        </xdr:cNvSpPr>
      </xdr:nvSpPr>
      <xdr:spPr bwMode="auto">
        <a:xfrm>
          <a:off x="3803650" y="26701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138" name="AutoShape 12">
          <a:extLst>
            <a:ext uri="{FF2B5EF4-FFF2-40B4-BE49-F238E27FC236}">
              <a16:creationId xmlns:a16="http://schemas.microsoft.com/office/drawing/2014/main" id="{AF159BAF-4585-413A-90F5-7F23BF45B970}"/>
            </a:ext>
          </a:extLst>
        </xdr:cNvPr>
        <xdr:cNvSpPr>
          <a:spLocks noChangeAspect="1" noChangeArrowheads="1"/>
        </xdr:cNvSpPr>
      </xdr:nvSpPr>
      <xdr:spPr bwMode="auto">
        <a:xfrm>
          <a:off x="3803650" y="117856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139" name="AutoShape 12">
          <a:extLst>
            <a:ext uri="{FF2B5EF4-FFF2-40B4-BE49-F238E27FC236}">
              <a16:creationId xmlns:a16="http://schemas.microsoft.com/office/drawing/2014/main" id="{BB6A42AC-392F-4928-9C9D-19E6847FBF1C}"/>
            </a:ext>
          </a:extLst>
        </xdr:cNvPr>
        <xdr:cNvSpPr>
          <a:spLocks noChangeAspect="1" noChangeArrowheads="1"/>
        </xdr:cNvSpPr>
      </xdr:nvSpPr>
      <xdr:spPr bwMode="auto">
        <a:xfrm>
          <a:off x="3803650" y="11969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140" name="AutoShape 12">
          <a:extLst>
            <a:ext uri="{FF2B5EF4-FFF2-40B4-BE49-F238E27FC236}">
              <a16:creationId xmlns:a16="http://schemas.microsoft.com/office/drawing/2014/main" id="{A9C72059-9525-4D58-B8CD-8E718D80CB0E}"/>
            </a:ext>
          </a:extLst>
        </xdr:cNvPr>
        <xdr:cNvSpPr>
          <a:spLocks noChangeAspect="1" noChangeArrowheads="1"/>
        </xdr:cNvSpPr>
      </xdr:nvSpPr>
      <xdr:spPr bwMode="auto">
        <a:xfrm>
          <a:off x="3803650" y="138112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141" name="AutoShape 12">
          <a:extLst>
            <a:ext uri="{FF2B5EF4-FFF2-40B4-BE49-F238E27FC236}">
              <a16:creationId xmlns:a16="http://schemas.microsoft.com/office/drawing/2014/main" id="{25EC9AD2-FA40-4935-8E2E-544DAC945BCD}"/>
            </a:ext>
          </a:extLst>
        </xdr:cNvPr>
        <xdr:cNvSpPr>
          <a:spLocks noChangeAspect="1" noChangeArrowheads="1"/>
        </xdr:cNvSpPr>
      </xdr:nvSpPr>
      <xdr:spPr bwMode="auto">
        <a:xfrm>
          <a:off x="3803650" y="139954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142" name="AutoShape 12">
          <a:extLst>
            <a:ext uri="{FF2B5EF4-FFF2-40B4-BE49-F238E27FC236}">
              <a16:creationId xmlns:a16="http://schemas.microsoft.com/office/drawing/2014/main" id="{07EA5C3B-9F1F-433B-970A-B38BFC7B3A04}"/>
            </a:ext>
          </a:extLst>
        </xdr:cNvPr>
        <xdr:cNvSpPr>
          <a:spLocks noChangeAspect="1" noChangeArrowheads="1"/>
        </xdr:cNvSpPr>
      </xdr:nvSpPr>
      <xdr:spPr bwMode="auto">
        <a:xfrm>
          <a:off x="3803650" y="11969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143" name="AutoShape 12">
          <a:extLst>
            <a:ext uri="{FF2B5EF4-FFF2-40B4-BE49-F238E27FC236}">
              <a16:creationId xmlns:a16="http://schemas.microsoft.com/office/drawing/2014/main" id="{63B2CCC7-7474-4817-A8FE-41AE9C76EE81}"/>
            </a:ext>
          </a:extLst>
        </xdr:cNvPr>
        <xdr:cNvSpPr>
          <a:spLocks noChangeAspect="1" noChangeArrowheads="1"/>
        </xdr:cNvSpPr>
      </xdr:nvSpPr>
      <xdr:spPr bwMode="auto">
        <a:xfrm>
          <a:off x="3803650" y="121539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144" name="AutoShape 12">
          <a:extLst>
            <a:ext uri="{FF2B5EF4-FFF2-40B4-BE49-F238E27FC236}">
              <a16:creationId xmlns:a16="http://schemas.microsoft.com/office/drawing/2014/main" id="{A511502C-650A-48C7-A94E-C893EDA54D16}"/>
            </a:ext>
          </a:extLst>
        </xdr:cNvPr>
        <xdr:cNvSpPr>
          <a:spLocks noChangeAspect="1" noChangeArrowheads="1"/>
        </xdr:cNvSpPr>
      </xdr:nvSpPr>
      <xdr:spPr bwMode="auto">
        <a:xfrm>
          <a:off x="3803650" y="139954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145" name="AutoShape 12">
          <a:extLst>
            <a:ext uri="{FF2B5EF4-FFF2-40B4-BE49-F238E27FC236}">
              <a16:creationId xmlns:a16="http://schemas.microsoft.com/office/drawing/2014/main" id="{9F4794D3-0F93-4F69-8619-6E82C13B4C65}"/>
            </a:ext>
          </a:extLst>
        </xdr:cNvPr>
        <xdr:cNvSpPr>
          <a:spLocks noChangeAspect="1" noChangeArrowheads="1"/>
        </xdr:cNvSpPr>
      </xdr:nvSpPr>
      <xdr:spPr bwMode="auto">
        <a:xfrm>
          <a:off x="3803650" y="141795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146" name="AutoShape 12">
          <a:extLst>
            <a:ext uri="{FF2B5EF4-FFF2-40B4-BE49-F238E27FC236}">
              <a16:creationId xmlns:a16="http://schemas.microsoft.com/office/drawing/2014/main" id="{69DF425F-2BF1-4594-B8F7-AB763C073CE7}"/>
            </a:ext>
          </a:extLst>
        </xdr:cNvPr>
        <xdr:cNvSpPr>
          <a:spLocks noChangeAspect="1" noChangeArrowheads="1"/>
        </xdr:cNvSpPr>
      </xdr:nvSpPr>
      <xdr:spPr bwMode="auto">
        <a:xfrm>
          <a:off x="3803650" y="244919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147" name="AutoShape 12">
          <a:extLst>
            <a:ext uri="{FF2B5EF4-FFF2-40B4-BE49-F238E27FC236}">
              <a16:creationId xmlns:a16="http://schemas.microsoft.com/office/drawing/2014/main" id="{FA472E90-157B-4125-AB1E-3683DF1E3AF6}"/>
            </a:ext>
          </a:extLst>
        </xdr:cNvPr>
        <xdr:cNvSpPr>
          <a:spLocks noChangeAspect="1" noChangeArrowheads="1"/>
        </xdr:cNvSpPr>
      </xdr:nvSpPr>
      <xdr:spPr bwMode="auto">
        <a:xfrm>
          <a:off x="3803650" y="246761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148" name="AutoShape 12">
          <a:extLst>
            <a:ext uri="{FF2B5EF4-FFF2-40B4-BE49-F238E27FC236}">
              <a16:creationId xmlns:a16="http://schemas.microsoft.com/office/drawing/2014/main" id="{33935540-A621-44C4-B6C8-F420FC5F6E06}"/>
            </a:ext>
          </a:extLst>
        </xdr:cNvPr>
        <xdr:cNvSpPr>
          <a:spLocks noChangeAspect="1" noChangeArrowheads="1"/>
        </xdr:cNvSpPr>
      </xdr:nvSpPr>
      <xdr:spPr bwMode="auto">
        <a:xfrm>
          <a:off x="3803650" y="265176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149" name="AutoShape 12">
          <a:extLst>
            <a:ext uri="{FF2B5EF4-FFF2-40B4-BE49-F238E27FC236}">
              <a16:creationId xmlns:a16="http://schemas.microsoft.com/office/drawing/2014/main" id="{7F4C6863-2559-43DD-A812-AC92063ECB99}"/>
            </a:ext>
          </a:extLst>
        </xdr:cNvPr>
        <xdr:cNvSpPr>
          <a:spLocks noChangeAspect="1" noChangeArrowheads="1"/>
        </xdr:cNvSpPr>
      </xdr:nvSpPr>
      <xdr:spPr bwMode="auto">
        <a:xfrm>
          <a:off x="3803650" y="26701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150" name="AutoShape 12">
          <a:extLst>
            <a:ext uri="{FF2B5EF4-FFF2-40B4-BE49-F238E27FC236}">
              <a16:creationId xmlns:a16="http://schemas.microsoft.com/office/drawing/2014/main" id="{89227BBE-5151-427E-A173-398FD52A43D6}"/>
            </a:ext>
          </a:extLst>
        </xdr:cNvPr>
        <xdr:cNvSpPr>
          <a:spLocks noChangeAspect="1" noChangeArrowheads="1"/>
        </xdr:cNvSpPr>
      </xdr:nvSpPr>
      <xdr:spPr bwMode="auto">
        <a:xfrm>
          <a:off x="3803650" y="246761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151" name="AutoShape 12">
          <a:extLst>
            <a:ext uri="{FF2B5EF4-FFF2-40B4-BE49-F238E27FC236}">
              <a16:creationId xmlns:a16="http://schemas.microsoft.com/office/drawing/2014/main" id="{89C6C6F8-29DA-46F9-8871-48E8282033BE}"/>
            </a:ext>
          </a:extLst>
        </xdr:cNvPr>
        <xdr:cNvSpPr>
          <a:spLocks noChangeAspect="1" noChangeArrowheads="1"/>
        </xdr:cNvSpPr>
      </xdr:nvSpPr>
      <xdr:spPr bwMode="auto">
        <a:xfrm>
          <a:off x="3803650" y="248602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152" name="AutoShape 12">
          <a:extLst>
            <a:ext uri="{FF2B5EF4-FFF2-40B4-BE49-F238E27FC236}">
              <a16:creationId xmlns:a16="http://schemas.microsoft.com/office/drawing/2014/main" id="{F01E6626-17CB-4E8C-BEC3-4E31C704C901}"/>
            </a:ext>
          </a:extLst>
        </xdr:cNvPr>
        <xdr:cNvSpPr>
          <a:spLocks noChangeAspect="1" noChangeArrowheads="1"/>
        </xdr:cNvSpPr>
      </xdr:nvSpPr>
      <xdr:spPr bwMode="auto">
        <a:xfrm>
          <a:off x="3803650" y="26701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153" name="AutoShape 12">
          <a:extLst>
            <a:ext uri="{FF2B5EF4-FFF2-40B4-BE49-F238E27FC236}">
              <a16:creationId xmlns:a16="http://schemas.microsoft.com/office/drawing/2014/main" id="{23363546-2CB4-480C-84A1-55D991635939}"/>
            </a:ext>
          </a:extLst>
        </xdr:cNvPr>
        <xdr:cNvSpPr>
          <a:spLocks noChangeAspect="1" noChangeArrowheads="1"/>
        </xdr:cNvSpPr>
      </xdr:nvSpPr>
      <xdr:spPr bwMode="auto">
        <a:xfrm>
          <a:off x="3803650" y="268859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154" name="AutoShape 12">
          <a:extLst>
            <a:ext uri="{FF2B5EF4-FFF2-40B4-BE49-F238E27FC236}">
              <a16:creationId xmlns:a16="http://schemas.microsoft.com/office/drawing/2014/main" id="{A97B9F5D-1A8A-4B23-BF6D-11E592660C5F}"/>
            </a:ext>
          </a:extLst>
        </xdr:cNvPr>
        <xdr:cNvSpPr>
          <a:spLocks noChangeAspect="1" noChangeArrowheads="1"/>
        </xdr:cNvSpPr>
      </xdr:nvSpPr>
      <xdr:spPr bwMode="auto">
        <a:xfrm>
          <a:off x="3803650" y="125222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155" name="AutoShape 12">
          <a:extLst>
            <a:ext uri="{FF2B5EF4-FFF2-40B4-BE49-F238E27FC236}">
              <a16:creationId xmlns:a16="http://schemas.microsoft.com/office/drawing/2014/main" id="{782B63D3-9D56-48CA-A660-A395E9D3A6F4}"/>
            </a:ext>
          </a:extLst>
        </xdr:cNvPr>
        <xdr:cNvSpPr>
          <a:spLocks noChangeAspect="1" noChangeArrowheads="1"/>
        </xdr:cNvSpPr>
      </xdr:nvSpPr>
      <xdr:spPr bwMode="auto">
        <a:xfrm>
          <a:off x="3803650" y="127063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156" name="AutoShape 12">
          <a:extLst>
            <a:ext uri="{FF2B5EF4-FFF2-40B4-BE49-F238E27FC236}">
              <a16:creationId xmlns:a16="http://schemas.microsoft.com/office/drawing/2014/main" id="{216B271A-CB30-43B2-8000-4B90DEB20F70}"/>
            </a:ext>
          </a:extLst>
        </xdr:cNvPr>
        <xdr:cNvSpPr>
          <a:spLocks noChangeAspect="1" noChangeArrowheads="1"/>
        </xdr:cNvSpPr>
      </xdr:nvSpPr>
      <xdr:spPr bwMode="auto">
        <a:xfrm>
          <a:off x="3803650" y="145478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157" name="AutoShape 12">
          <a:extLst>
            <a:ext uri="{FF2B5EF4-FFF2-40B4-BE49-F238E27FC236}">
              <a16:creationId xmlns:a16="http://schemas.microsoft.com/office/drawing/2014/main" id="{75A5E37D-FDA1-4C96-A24F-4A18882DDF69}"/>
            </a:ext>
          </a:extLst>
        </xdr:cNvPr>
        <xdr:cNvSpPr>
          <a:spLocks noChangeAspect="1" noChangeArrowheads="1"/>
        </xdr:cNvSpPr>
      </xdr:nvSpPr>
      <xdr:spPr bwMode="auto">
        <a:xfrm>
          <a:off x="3803650" y="147320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158" name="AutoShape 12">
          <a:extLst>
            <a:ext uri="{FF2B5EF4-FFF2-40B4-BE49-F238E27FC236}">
              <a16:creationId xmlns:a16="http://schemas.microsoft.com/office/drawing/2014/main" id="{C2CCF012-4A4C-48FE-A702-4977673A705C}"/>
            </a:ext>
          </a:extLst>
        </xdr:cNvPr>
        <xdr:cNvSpPr>
          <a:spLocks noChangeAspect="1" noChangeArrowheads="1"/>
        </xdr:cNvSpPr>
      </xdr:nvSpPr>
      <xdr:spPr bwMode="auto">
        <a:xfrm>
          <a:off x="3803650" y="127063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159" name="AutoShape 12">
          <a:extLst>
            <a:ext uri="{FF2B5EF4-FFF2-40B4-BE49-F238E27FC236}">
              <a16:creationId xmlns:a16="http://schemas.microsoft.com/office/drawing/2014/main" id="{BF78162C-450B-40C8-8A65-0DA5C94E09F6}"/>
            </a:ext>
          </a:extLst>
        </xdr:cNvPr>
        <xdr:cNvSpPr>
          <a:spLocks noChangeAspect="1" noChangeArrowheads="1"/>
        </xdr:cNvSpPr>
      </xdr:nvSpPr>
      <xdr:spPr bwMode="auto">
        <a:xfrm>
          <a:off x="3803650" y="128905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160" name="AutoShape 12">
          <a:extLst>
            <a:ext uri="{FF2B5EF4-FFF2-40B4-BE49-F238E27FC236}">
              <a16:creationId xmlns:a16="http://schemas.microsoft.com/office/drawing/2014/main" id="{E2D881EB-A502-448D-85E3-D5DD8791EFC5}"/>
            </a:ext>
          </a:extLst>
        </xdr:cNvPr>
        <xdr:cNvSpPr>
          <a:spLocks noChangeAspect="1" noChangeArrowheads="1"/>
        </xdr:cNvSpPr>
      </xdr:nvSpPr>
      <xdr:spPr bwMode="auto">
        <a:xfrm>
          <a:off x="3803650" y="147320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161" name="AutoShape 12">
          <a:extLst>
            <a:ext uri="{FF2B5EF4-FFF2-40B4-BE49-F238E27FC236}">
              <a16:creationId xmlns:a16="http://schemas.microsoft.com/office/drawing/2014/main" id="{33F1E083-A9E2-4746-88A0-25D0932452BE}"/>
            </a:ext>
          </a:extLst>
        </xdr:cNvPr>
        <xdr:cNvSpPr>
          <a:spLocks noChangeAspect="1" noChangeArrowheads="1"/>
        </xdr:cNvSpPr>
      </xdr:nvSpPr>
      <xdr:spPr bwMode="auto">
        <a:xfrm>
          <a:off x="3803650" y="14916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162" name="AutoShape 12">
          <a:extLst>
            <a:ext uri="{FF2B5EF4-FFF2-40B4-BE49-F238E27FC236}">
              <a16:creationId xmlns:a16="http://schemas.microsoft.com/office/drawing/2014/main" id="{5083B02C-0C4D-4803-815F-C836A04D4266}"/>
            </a:ext>
          </a:extLst>
        </xdr:cNvPr>
        <xdr:cNvSpPr>
          <a:spLocks noChangeAspect="1" noChangeArrowheads="1"/>
        </xdr:cNvSpPr>
      </xdr:nvSpPr>
      <xdr:spPr bwMode="auto">
        <a:xfrm>
          <a:off x="3803650" y="252285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163" name="AutoShape 12">
          <a:extLst>
            <a:ext uri="{FF2B5EF4-FFF2-40B4-BE49-F238E27FC236}">
              <a16:creationId xmlns:a16="http://schemas.microsoft.com/office/drawing/2014/main" id="{1A3198F7-DF34-4333-A38C-E364C6E3C660}"/>
            </a:ext>
          </a:extLst>
        </xdr:cNvPr>
        <xdr:cNvSpPr>
          <a:spLocks noChangeAspect="1" noChangeArrowheads="1"/>
        </xdr:cNvSpPr>
      </xdr:nvSpPr>
      <xdr:spPr bwMode="auto">
        <a:xfrm>
          <a:off x="3803650" y="254127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164" name="AutoShape 12">
          <a:extLst>
            <a:ext uri="{FF2B5EF4-FFF2-40B4-BE49-F238E27FC236}">
              <a16:creationId xmlns:a16="http://schemas.microsoft.com/office/drawing/2014/main" id="{11EBECBA-91C5-4AA3-AC1A-F23A08AEE554}"/>
            </a:ext>
          </a:extLst>
        </xdr:cNvPr>
        <xdr:cNvSpPr>
          <a:spLocks noChangeAspect="1" noChangeArrowheads="1"/>
        </xdr:cNvSpPr>
      </xdr:nvSpPr>
      <xdr:spPr bwMode="auto">
        <a:xfrm>
          <a:off x="3803650" y="272542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165" name="AutoShape 12">
          <a:extLst>
            <a:ext uri="{FF2B5EF4-FFF2-40B4-BE49-F238E27FC236}">
              <a16:creationId xmlns:a16="http://schemas.microsoft.com/office/drawing/2014/main" id="{76487571-E8D0-49DA-A806-78EB8F946DC2}"/>
            </a:ext>
          </a:extLst>
        </xdr:cNvPr>
        <xdr:cNvSpPr>
          <a:spLocks noChangeAspect="1" noChangeArrowheads="1"/>
        </xdr:cNvSpPr>
      </xdr:nvSpPr>
      <xdr:spPr bwMode="auto">
        <a:xfrm>
          <a:off x="3803650" y="274383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166" name="AutoShape 12">
          <a:extLst>
            <a:ext uri="{FF2B5EF4-FFF2-40B4-BE49-F238E27FC236}">
              <a16:creationId xmlns:a16="http://schemas.microsoft.com/office/drawing/2014/main" id="{DD3AEC1C-0E32-4B8C-AFB2-B22091B94FA9}"/>
            </a:ext>
          </a:extLst>
        </xdr:cNvPr>
        <xdr:cNvSpPr>
          <a:spLocks noChangeAspect="1" noChangeArrowheads="1"/>
        </xdr:cNvSpPr>
      </xdr:nvSpPr>
      <xdr:spPr bwMode="auto">
        <a:xfrm>
          <a:off x="3803650" y="254127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167" name="AutoShape 12">
          <a:extLst>
            <a:ext uri="{FF2B5EF4-FFF2-40B4-BE49-F238E27FC236}">
              <a16:creationId xmlns:a16="http://schemas.microsoft.com/office/drawing/2014/main" id="{1A0DDF9C-EA90-4A1E-9E2F-443D622FD130}"/>
            </a:ext>
          </a:extLst>
        </xdr:cNvPr>
        <xdr:cNvSpPr>
          <a:spLocks noChangeAspect="1" noChangeArrowheads="1"/>
        </xdr:cNvSpPr>
      </xdr:nvSpPr>
      <xdr:spPr bwMode="auto">
        <a:xfrm>
          <a:off x="3803650" y="255968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168" name="AutoShape 12">
          <a:extLst>
            <a:ext uri="{FF2B5EF4-FFF2-40B4-BE49-F238E27FC236}">
              <a16:creationId xmlns:a16="http://schemas.microsoft.com/office/drawing/2014/main" id="{B4312306-B28B-4909-8533-8B533EB9DB12}"/>
            </a:ext>
          </a:extLst>
        </xdr:cNvPr>
        <xdr:cNvSpPr>
          <a:spLocks noChangeAspect="1" noChangeArrowheads="1"/>
        </xdr:cNvSpPr>
      </xdr:nvSpPr>
      <xdr:spPr bwMode="auto">
        <a:xfrm>
          <a:off x="3803650" y="274383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169" name="AutoShape 12">
          <a:extLst>
            <a:ext uri="{FF2B5EF4-FFF2-40B4-BE49-F238E27FC236}">
              <a16:creationId xmlns:a16="http://schemas.microsoft.com/office/drawing/2014/main" id="{8AD2C6E2-094D-4BC7-9144-C7A9C2DA2D60}"/>
            </a:ext>
          </a:extLst>
        </xdr:cNvPr>
        <xdr:cNvSpPr>
          <a:spLocks noChangeAspect="1" noChangeArrowheads="1"/>
        </xdr:cNvSpPr>
      </xdr:nvSpPr>
      <xdr:spPr bwMode="auto">
        <a:xfrm>
          <a:off x="3803650" y="276225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170" name="AutoShape 12">
          <a:extLst>
            <a:ext uri="{FF2B5EF4-FFF2-40B4-BE49-F238E27FC236}">
              <a16:creationId xmlns:a16="http://schemas.microsoft.com/office/drawing/2014/main" id="{30EE762B-75C3-47DF-96FE-DA9E22A380D3}"/>
            </a:ext>
          </a:extLst>
        </xdr:cNvPr>
        <xdr:cNvSpPr>
          <a:spLocks noChangeAspect="1" noChangeArrowheads="1"/>
        </xdr:cNvSpPr>
      </xdr:nvSpPr>
      <xdr:spPr bwMode="auto">
        <a:xfrm>
          <a:off x="3803650" y="127063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171" name="AutoShape 12">
          <a:extLst>
            <a:ext uri="{FF2B5EF4-FFF2-40B4-BE49-F238E27FC236}">
              <a16:creationId xmlns:a16="http://schemas.microsoft.com/office/drawing/2014/main" id="{39F4AEB4-B485-4CFA-B998-F783054CC2B9}"/>
            </a:ext>
          </a:extLst>
        </xdr:cNvPr>
        <xdr:cNvSpPr>
          <a:spLocks noChangeAspect="1" noChangeArrowheads="1"/>
        </xdr:cNvSpPr>
      </xdr:nvSpPr>
      <xdr:spPr bwMode="auto">
        <a:xfrm>
          <a:off x="3803650" y="128905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172" name="AutoShape 12">
          <a:extLst>
            <a:ext uri="{FF2B5EF4-FFF2-40B4-BE49-F238E27FC236}">
              <a16:creationId xmlns:a16="http://schemas.microsoft.com/office/drawing/2014/main" id="{2CD0674D-B853-439F-B05D-4D5B46277EB2}"/>
            </a:ext>
          </a:extLst>
        </xdr:cNvPr>
        <xdr:cNvSpPr>
          <a:spLocks noChangeAspect="1" noChangeArrowheads="1"/>
        </xdr:cNvSpPr>
      </xdr:nvSpPr>
      <xdr:spPr bwMode="auto">
        <a:xfrm>
          <a:off x="3803650" y="147320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173" name="AutoShape 12">
          <a:extLst>
            <a:ext uri="{FF2B5EF4-FFF2-40B4-BE49-F238E27FC236}">
              <a16:creationId xmlns:a16="http://schemas.microsoft.com/office/drawing/2014/main" id="{D3A78FB8-4DCC-4B87-9382-8DDEC949B981}"/>
            </a:ext>
          </a:extLst>
        </xdr:cNvPr>
        <xdr:cNvSpPr>
          <a:spLocks noChangeAspect="1" noChangeArrowheads="1"/>
        </xdr:cNvSpPr>
      </xdr:nvSpPr>
      <xdr:spPr bwMode="auto">
        <a:xfrm>
          <a:off x="3803650" y="14916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174" name="AutoShape 12">
          <a:extLst>
            <a:ext uri="{FF2B5EF4-FFF2-40B4-BE49-F238E27FC236}">
              <a16:creationId xmlns:a16="http://schemas.microsoft.com/office/drawing/2014/main" id="{6AED89AF-FEA5-488B-9A8C-271FCC44CE91}"/>
            </a:ext>
          </a:extLst>
        </xdr:cNvPr>
        <xdr:cNvSpPr>
          <a:spLocks noChangeAspect="1" noChangeArrowheads="1"/>
        </xdr:cNvSpPr>
      </xdr:nvSpPr>
      <xdr:spPr bwMode="auto">
        <a:xfrm>
          <a:off x="3803650" y="128905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175" name="AutoShape 12">
          <a:extLst>
            <a:ext uri="{FF2B5EF4-FFF2-40B4-BE49-F238E27FC236}">
              <a16:creationId xmlns:a16="http://schemas.microsoft.com/office/drawing/2014/main" id="{BDC3CE99-E5D6-4B88-9B9B-74826A0578AB}"/>
            </a:ext>
          </a:extLst>
        </xdr:cNvPr>
        <xdr:cNvSpPr>
          <a:spLocks noChangeAspect="1" noChangeArrowheads="1"/>
        </xdr:cNvSpPr>
      </xdr:nvSpPr>
      <xdr:spPr bwMode="auto">
        <a:xfrm>
          <a:off x="3803650" y="130746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176" name="AutoShape 12">
          <a:extLst>
            <a:ext uri="{FF2B5EF4-FFF2-40B4-BE49-F238E27FC236}">
              <a16:creationId xmlns:a16="http://schemas.microsoft.com/office/drawing/2014/main" id="{6AB81506-1456-4F8D-8C15-5C0ABA33372A}"/>
            </a:ext>
          </a:extLst>
        </xdr:cNvPr>
        <xdr:cNvSpPr>
          <a:spLocks noChangeAspect="1" noChangeArrowheads="1"/>
        </xdr:cNvSpPr>
      </xdr:nvSpPr>
      <xdr:spPr bwMode="auto">
        <a:xfrm>
          <a:off x="3803650" y="14916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177" name="AutoShape 12">
          <a:extLst>
            <a:ext uri="{FF2B5EF4-FFF2-40B4-BE49-F238E27FC236}">
              <a16:creationId xmlns:a16="http://schemas.microsoft.com/office/drawing/2014/main" id="{24542286-EE75-4B4E-8EB3-54E190828B4A}"/>
            </a:ext>
          </a:extLst>
        </xdr:cNvPr>
        <xdr:cNvSpPr>
          <a:spLocks noChangeAspect="1" noChangeArrowheads="1"/>
        </xdr:cNvSpPr>
      </xdr:nvSpPr>
      <xdr:spPr bwMode="auto">
        <a:xfrm>
          <a:off x="3803650" y="151003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178" name="AutoShape 12">
          <a:extLst>
            <a:ext uri="{FF2B5EF4-FFF2-40B4-BE49-F238E27FC236}">
              <a16:creationId xmlns:a16="http://schemas.microsoft.com/office/drawing/2014/main" id="{C1C21B90-6FF1-4F82-90BA-00B563F4CD19}"/>
            </a:ext>
          </a:extLst>
        </xdr:cNvPr>
        <xdr:cNvSpPr>
          <a:spLocks noChangeAspect="1" noChangeArrowheads="1"/>
        </xdr:cNvSpPr>
      </xdr:nvSpPr>
      <xdr:spPr bwMode="auto">
        <a:xfrm>
          <a:off x="3803650" y="254127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179" name="AutoShape 12">
          <a:extLst>
            <a:ext uri="{FF2B5EF4-FFF2-40B4-BE49-F238E27FC236}">
              <a16:creationId xmlns:a16="http://schemas.microsoft.com/office/drawing/2014/main" id="{BAE7C57C-42FC-487F-AD51-E3138FE1E5B8}"/>
            </a:ext>
          </a:extLst>
        </xdr:cNvPr>
        <xdr:cNvSpPr>
          <a:spLocks noChangeAspect="1" noChangeArrowheads="1"/>
        </xdr:cNvSpPr>
      </xdr:nvSpPr>
      <xdr:spPr bwMode="auto">
        <a:xfrm>
          <a:off x="3803650" y="255968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180" name="AutoShape 12">
          <a:extLst>
            <a:ext uri="{FF2B5EF4-FFF2-40B4-BE49-F238E27FC236}">
              <a16:creationId xmlns:a16="http://schemas.microsoft.com/office/drawing/2014/main" id="{115DEAA6-9846-455D-AFF2-D12730240605}"/>
            </a:ext>
          </a:extLst>
        </xdr:cNvPr>
        <xdr:cNvSpPr>
          <a:spLocks noChangeAspect="1" noChangeArrowheads="1"/>
        </xdr:cNvSpPr>
      </xdr:nvSpPr>
      <xdr:spPr bwMode="auto">
        <a:xfrm>
          <a:off x="3803650" y="274383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181" name="AutoShape 12">
          <a:extLst>
            <a:ext uri="{FF2B5EF4-FFF2-40B4-BE49-F238E27FC236}">
              <a16:creationId xmlns:a16="http://schemas.microsoft.com/office/drawing/2014/main" id="{8B5A0948-64D0-40A7-A9EA-20530688F5B5}"/>
            </a:ext>
          </a:extLst>
        </xdr:cNvPr>
        <xdr:cNvSpPr>
          <a:spLocks noChangeAspect="1" noChangeArrowheads="1"/>
        </xdr:cNvSpPr>
      </xdr:nvSpPr>
      <xdr:spPr bwMode="auto">
        <a:xfrm>
          <a:off x="3803650" y="276225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182" name="AutoShape 12">
          <a:extLst>
            <a:ext uri="{FF2B5EF4-FFF2-40B4-BE49-F238E27FC236}">
              <a16:creationId xmlns:a16="http://schemas.microsoft.com/office/drawing/2014/main" id="{A1A0C058-395A-49AD-8F94-C91ADA5E9861}"/>
            </a:ext>
          </a:extLst>
        </xdr:cNvPr>
        <xdr:cNvSpPr>
          <a:spLocks noChangeAspect="1" noChangeArrowheads="1"/>
        </xdr:cNvSpPr>
      </xdr:nvSpPr>
      <xdr:spPr bwMode="auto">
        <a:xfrm>
          <a:off x="3803650" y="255968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183" name="AutoShape 12">
          <a:extLst>
            <a:ext uri="{FF2B5EF4-FFF2-40B4-BE49-F238E27FC236}">
              <a16:creationId xmlns:a16="http://schemas.microsoft.com/office/drawing/2014/main" id="{775CD8C2-E8EE-45F8-8AF9-2EE8D246AF02}"/>
            </a:ext>
          </a:extLst>
        </xdr:cNvPr>
        <xdr:cNvSpPr>
          <a:spLocks noChangeAspect="1" noChangeArrowheads="1"/>
        </xdr:cNvSpPr>
      </xdr:nvSpPr>
      <xdr:spPr bwMode="auto">
        <a:xfrm>
          <a:off x="3803650" y="257810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184" name="AutoShape 12">
          <a:extLst>
            <a:ext uri="{FF2B5EF4-FFF2-40B4-BE49-F238E27FC236}">
              <a16:creationId xmlns:a16="http://schemas.microsoft.com/office/drawing/2014/main" id="{D78CB5FD-D7F9-445C-A74D-49958C6D9D1D}"/>
            </a:ext>
          </a:extLst>
        </xdr:cNvPr>
        <xdr:cNvSpPr>
          <a:spLocks noChangeAspect="1" noChangeArrowheads="1"/>
        </xdr:cNvSpPr>
      </xdr:nvSpPr>
      <xdr:spPr bwMode="auto">
        <a:xfrm>
          <a:off x="3803650" y="276225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185" name="AutoShape 12">
          <a:extLst>
            <a:ext uri="{FF2B5EF4-FFF2-40B4-BE49-F238E27FC236}">
              <a16:creationId xmlns:a16="http://schemas.microsoft.com/office/drawing/2014/main" id="{E7525B73-A220-4E38-B017-FB4D4AC4CADC}"/>
            </a:ext>
          </a:extLst>
        </xdr:cNvPr>
        <xdr:cNvSpPr>
          <a:spLocks noChangeAspect="1" noChangeArrowheads="1"/>
        </xdr:cNvSpPr>
      </xdr:nvSpPr>
      <xdr:spPr bwMode="auto">
        <a:xfrm>
          <a:off x="3803650" y="278066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186" name="AutoShape 12">
          <a:extLst>
            <a:ext uri="{FF2B5EF4-FFF2-40B4-BE49-F238E27FC236}">
              <a16:creationId xmlns:a16="http://schemas.microsoft.com/office/drawing/2014/main" id="{05E80EF0-CA99-49D6-A01C-36C907ADDE0E}"/>
            </a:ext>
          </a:extLst>
        </xdr:cNvPr>
        <xdr:cNvSpPr>
          <a:spLocks noChangeAspect="1" noChangeArrowheads="1"/>
        </xdr:cNvSpPr>
      </xdr:nvSpPr>
      <xdr:spPr bwMode="auto">
        <a:xfrm>
          <a:off x="3803650" y="206248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187" name="AutoShape 12">
          <a:extLst>
            <a:ext uri="{FF2B5EF4-FFF2-40B4-BE49-F238E27FC236}">
              <a16:creationId xmlns:a16="http://schemas.microsoft.com/office/drawing/2014/main" id="{0F1C85CD-4283-4366-9B39-76EA0B0EAED9}"/>
            </a:ext>
          </a:extLst>
        </xdr:cNvPr>
        <xdr:cNvSpPr>
          <a:spLocks noChangeAspect="1" noChangeArrowheads="1"/>
        </xdr:cNvSpPr>
      </xdr:nvSpPr>
      <xdr:spPr bwMode="auto">
        <a:xfrm>
          <a:off x="3803650" y="208089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188" name="AutoShape 12">
          <a:extLst>
            <a:ext uri="{FF2B5EF4-FFF2-40B4-BE49-F238E27FC236}">
              <a16:creationId xmlns:a16="http://schemas.microsoft.com/office/drawing/2014/main" id="{9B02DA2E-44EF-4782-88AC-84C194BE443F}"/>
            </a:ext>
          </a:extLst>
        </xdr:cNvPr>
        <xdr:cNvSpPr>
          <a:spLocks noChangeAspect="1" noChangeArrowheads="1"/>
        </xdr:cNvSpPr>
      </xdr:nvSpPr>
      <xdr:spPr bwMode="auto">
        <a:xfrm>
          <a:off x="3803650" y="226504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189" name="AutoShape 12">
          <a:extLst>
            <a:ext uri="{FF2B5EF4-FFF2-40B4-BE49-F238E27FC236}">
              <a16:creationId xmlns:a16="http://schemas.microsoft.com/office/drawing/2014/main" id="{34D3F1D3-3072-45F7-B962-528E331349A5}"/>
            </a:ext>
          </a:extLst>
        </xdr:cNvPr>
        <xdr:cNvSpPr>
          <a:spLocks noChangeAspect="1" noChangeArrowheads="1"/>
        </xdr:cNvSpPr>
      </xdr:nvSpPr>
      <xdr:spPr bwMode="auto">
        <a:xfrm>
          <a:off x="3803650" y="228346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190" name="AutoShape 12">
          <a:extLst>
            <a:ext uri="{FF2B5EF4-FFF2-40B4-BE49-F238E27FC236}">
              <a16:creationId xmlns:a16="http://schemas.microsoft.com/office/drawing/2014/main" id="{8A5B071E-2D63-41F4-BFD0-FC5FFDAB27B4}"/>
            </a:ext>
          </a:extLst>
        </xdr:cNvPr>
        <xdr:cNvSpPr>
          <a:spLocks noChangeAspect="1" noChangeArrowheads="1"/>
        </xdr:cNvSpPr>
      </xdr:nvSpPr>
      <xdr:spPr bwMode="auto">
        <a:xfrm>
          <a:off x="3803650" y="208089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191" name="AutoShape 12">
          <a:extLst>
            <a:ext uri="{FF2B5EF4-FFF2-40B4-BE49-F238E27FC236}">
              <a16:creationId xmlns:a16="http://schemas.microsoft.com/office/drawing/2014/main" id="{7AA7D9C7-1DAE-48ED-84B2-A84580FD91BA}"/>
            </a:ext>
          </a:extLst>
        </xdr:cNvPr>
        <xdr:cNvSpPr>
          <a:spLocks noChangeAspect="1" noChangeArrowheads="1"/>
        </xdr:cNvSpPr>
      </xdr:nvSpPr>
      <xdr:spPr bwMode="auto">
        <a:xfrm>
          <a:off x="3803650" y="209931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192" name="AutoShape 12">
          <a:extLst>
            <a:ext uri="{FF2B5EF4-FFF2-40B4-BE49-F238E27FC236}">
              <a16:creationId xmlns:a16="http://schemas.microsoft.com/office/drawing/2014/main" id="{84ACF0DB-44AA-4283-B413-1E638B451996}"/>
            </a:ext>
          </a:extLst>
        </xdr:cNvPr>
        <xdr:cNvSpPr>
          <a:spLocks noChangeAspect="1" noChangeArrowheads="1"/>
        </xdr:cNvSpPr>
      </xdr:nvSpPr>
      <xdr:spPr bwMode="auto">
        <a:xfrm>
          <a:off x="3803650" y="228346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193" name="AutoShape 12">
          <a:extLst>
            <a:ext uri="{FF2B5EF4-FFF2-40B4-BE49-F238E27FC236}">
              <a16:creationId xmlns:a16="http://schemas.microsoft.com/office/drawing/2014/main" id="{D6A69091-32FF-4E69-A870-0B669364E5A2}"/>
            </a:ext>
          </a:extLst>
        </xdr:cNvPr>
        <xdr:cNvSpPr>
          <a:spLocks noChangeAspect="1" noChangeArrowheads="1"/>
        </xdr:cNvSpPr>
      </xdr:nvSpPr>
      <xdr:spPr bwMode="auto">
        <a:xfrm>
          <a:off x="3803650" y="23018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194" name="AutoShape 12">
          <a:extLst>
            <a:ext uri="{FF2B5EF4-FFF2-40B4-BE49-F238E27FC236}">
              <a16:creationId xmlns:a16="http://schemas.microsoft.com/office/drawing/2014/main" id="{12FCD502-FD79-4B79-94EA-7ADCA30D6B7C}"/>
            </a:ext>
          </a:extLst>
        </xdr:cNvPr>
        <xdr:cNvSpPr>
          <a:spLocks noChangeAspect="1" noChangeArrowheads="1"/>
        </xdr:cNvSpPr>
      </xdr:nvSpPr>
      <xdr:spPr bwMode="auto">
        <a:xfrm>
          <a:off x="3803650" y="208089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195" name="AutoShape 12">
          <a:extLst>
            <a:ext uri="{FF2B5EF4-FFF2-40B4-BE49-F238E27FC236}">
              <a16:creationId xmlns:a16="http://schemas.microsoft.com/office/drawing/2014/main" id="{7AA5BA5C-E292-444F-B06D-9770F0ADADCE}"/>
            </a:ext>
          </a:extLst>
        </xdr:cNvPr>
        <xdr:cNvSpPr>
          <a:spLocks noChangeAspect="1" noChangeArrowheads="1"/>
        </xdr:cNvSpPr>
      </xdr:nvSpPr>
      <xdr:spPr bwMode="auto">
        <a:xfrm>
          <a:off x="3803650" y="209931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196" name="AutoShape 12">
          <a:extLst>
            <a:ext uri="{FF2B5EF4-FFF2-40B4-BE49-F238E27FC236}">
              <a16:creationId xmlns:a16="http://schemas.microsoft.com/office/drawing/2014/main" id="{3262BC52-2138-40B1-B8D0-F1067EC15EEC}"/>
            </a:ext>
          </a:extLst>
        </xdr:cNvPr>
        <xdr:cNvSpPr>
          <a:spLocks noChangeAspect="1" noChangeArrowheads="1"/>
        </xdr:cNvSpPr>
      </xdr:nvSpPr>
      <xdr:spPr bwMode="auto">
        <a:xfrm>
          <a:off x="3803650" y="228346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197" name="AutoShape 12">
          <a:extLst>
            <a:ext uri="{FF2B5EF4-FFF2-40B4-BE49-F238E27FC236}">
              <a16:creationId xmlns:a16="http://schemas.microsoft.com/office/drawing/2014/main" id="{C44EB9D9-A634-400B-95F7-17DFD53952F9}"/>
            </a:ext>
          </a:extLst>
        </xdr:cNvPr>
        <xdr:cNvSpPr>
          <a:spLocks noChangeAspect="1" noChangeArrowheads="1"/>
        </xdr:cNvSpPr>
      </xdr:nvSpPr>
      <xdr:spPr bwMode="auto">
        <a:xfrm>
          <a:off x="3803650" y="23018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198" name="AutoShape 12">
          <a:extLst>
            <a:ext uri="{FF2B5EF4-FFF2-40B4-BE49-F238E27FC236}">
              <a16:creationId xmlns:a16="http://schemas.microsoft.com/office/drawing/2014/main" id="{F802D4C7-19C2-43E6-B6B2-850A85FA5B9F}"/>
            </a:ext>
          </a:extLst>
        </xdr:cNvPr>
        <xdr:cNvSpPr>
          <a:spLocks noChangeAspect="1" noChangeArrowheads="1"/>
        </xdr:cNvSpPr>
      </xdr:nvSpPr>
      <xdr:spPr bwMode="auto">
        <a:xfrm>
          <a:off x="3803650" y="209931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199" name="AutoShape 12">
          <a:extLst>
            <a:ext uri="{FF2B5EF4-FFF2-40B4-BE49-F238E27FC236}">
              <a16:creationId xmlns:a16="http://schemas.microsoft.com/office/drawing/2014/main" id="{19569229-F0EB-4442-8CF5-B24E37102DEF}"/>
            </a:ext>
          </a:extLst>
        </xdr:cNvPr>
        <xdr:cNvSpPr>
          <a:spLocks noChangeAspect="1" noChangeArrowheads="1"/>
        </xdr:cNvSpPr>
      </xdr:nvSpPr>
      <xdr:spPr bwMode="auto">
        <a:xfrm>
          <a:off x="3803650" y="211772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200" name="AutoShape 12">
          <a:extLst>
            <a:ext uri="{FF2B5EF4-FFF2-40B4-BE49-F238E27FC236}">
              <a16:creationId xmlns:a16="http://schemas.microsoft.com/office/drawing/2014/main" id="{047F3308-C781-4F8D-9D31-0ACBEBA7EDDF}"/>
            </a:ext>
          </a:extLst>
        </xdr:cNvPr>
        <xdr:cNvSpPr>
          <a:spLocks noChangeAspect="1" noChangeArrowheads="1"/>
        </xdr:cNvSpPr>
      </xdr:nvSpPr>
      <xdr:spPr bwMode="auto">
        <a:xfrm>
          <a:off x="3803650" y="23018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201" name="AutoShape 12">
          <a:extLst>
            <a:ext uri="{FF2B5EF4-FFF2-40B4-BE49-F238E27FC236}">
              <a16:creationId xmlns:a16="http://schemas.microsoft.com/office/drawing/2014/main" id="{2EBE7AE0-3AE2-4A1D-939F-4C6E066F8867}"/>
            </a:ext>
          </a:extLst>
        </xdr:cNvPr>
        <xdr:cNvSpPr>
          <a:spLocks noChangeAspect="1" noChangeArrowheads="1"/>
        </xdr:cNvSpPr>
      </xdr:nvSpPr>
      <xdr:spPr bwMode="auto">
        <a:xfrm>
          <a:off x="3803650" y="232029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202" name="AutoShape 12">
          <a:extLst>
            <a:ext uri="{FF2B5EF4-FFF2-40B4-BE49-F238E27FC236}">
              <a16:creationId xmlns:a16="http://schemas.microsoft.com/office/drawing/2014/main" id="{DAC4DF49-BC33-4EE2-BF8D-390750DC1B53}"/>
            </a:ext>
          </a:extLst>
        </xdr:cNvPr>
        <xdr:cNvSpPr>
          <a:spLocks noChangeAspect="1" noChangeArrowheads="1"/>
        </xdr:cNvSpPr>
      </xdr:nvSpPr>
      <xdr:spPr bwMode="auto">
        <a:xfrm>
          <a:off x="3803650" y="211772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203" name="AutoShape 12">
          <a:extLst>
            <a:ext uri="{FF2B5EF4-FFF2-40B4-BE49-F238E27FC236}">
              <a16:creationId xmlns:a16="http://schemas.microsoft.com/office/drawing/2014/main" id="{0588817A-75CD-412A-A8D5-DA2351762A6D}"/>
            </a:ext>
          </a:extLst>
        </xdr:cNvPr>
        <xdr:cNvSpPr>
          <a:spLocks noChangeAspect="1" noChangeArrowheads="1"/>
        </xdr:cNvSpPr>
      </xdr:nvSpPr>
      <xdr:spPr bwMode="auto">
        <a:xfrm>
          <a:off x="3803650" y="213614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204" name="AutoShape 12">
          <a:extLst>
            <a:ext uri="{FF2B5EF4-FFF2-40B4-BE49-F238E27FC236}">
              <a16:creationId xmlns:a16="http://schemas.microsoft.com/office/drawing/2014/main" id="{F0D05121-2952-4AB9-A2C9-92F0004E07DF}"/>
            </a:ext>
          </a:extLst>
        </xdr:cNvPr>
        <xdr:cNvSpPr>
          <a:spLocks noChangeAspect="1" noChangeArrowheads="1"/>
        </xdr:cNvSpPr>
      </xdr:nvSpPr>
      <xdr:spPr bwMode="auto">
        <a:xfrm>
          <a:off x="3803650" y="232029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205" name="AutoShape 12">
          <a:extLst>
            <a:ext uri="{FF2B5EF4-FFF2-40B4-BE49-F238E27FC236}">
              <a16:creationId xmlns:a16="http://schemas.microsoft.com/office/drawing/2014/main" id="{6C0BA691-7834-43CB-A7A7-F23315474DDE}"/>
            </a:ext>
          </a:extLst>
        </xdr:cNvPr>
        <xdr:cNvSpPr>
          <a:spLocks noChangeAspect="1" noChangeArrowheads="1"/>
        </xdr:cNvSpPr>
      </xdr:nvSpPr>
      <xdr:spPr bwMode="auto">
        <a:xfrm>
          <a:off x="3803650" y="233870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206" name="AutoShape 12">
          <a:extLst>
            <a:ext uri="{FF2B5EF4-FFF2-40B4-BE49-F238E27FC236}">
              <a16:creationId xmlns:a16="http://schemas.microsoft.com/office/drawing/2014/main" id="{85BDA516-FC12-41B0-9A1B-D6DB3E9867D0}"/>
            </a:ext>
          </a:extLst>
        </xdr:cNvPr>
        <xdr:cNvSpPr>
          <a:spLocks noChangeAspect="1" noChangeArrowheads="1"/>
        </xdr:cNvSpPr>
      </xdr:nvSpPr>
      <xdr:spPr bwMode="auto">
        <a:xfrm>
          <a:off x="3803650" y="213614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207" name="AutoShape 12">
          <a:extLst>
            <a:ext uri="{FF2B5EF4-FFF2-40B4-BE49-F238E27FC236}">
              <a16:creationId xmlns:a16="http://schemas.microsoft.com/office/drawing/2014/main" id="{E06B917C-4EA2-4398-9B23-712029AA0DB2}"/>
            </a:ext>
          </a:extLst>
        </xdr:cNvPr>
        <xdr:cNvSpPr>
          <a:spLocks noChangeAspect="1" noChangeArrowheads="1"/>
        </xdr:cNvSpPr>
      </xdr:nvSpPr>
      <xdr:spPr bwMode="auto">
        <a:xfrm>
          <a:off x="3803650" y="215455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208" name="AutoShape 12">
          <a:extLst>
            <a:ext uri="{FF2B5EF4-FFF2-40B4-BE49-F238E27FC236}">
              <a16:creationId xmlns:a16="http://schemas.microsoft.com/office/drawing/2014/main" id="{F0B46118-1091-4C60-9321-7C43A79AC8DF}"/>
            </a:ext>
          </a:extLst>
        </xdr:cNvPr>
        <xdr:cNvSpPr>
          <a:spLocks noChangeAspect="1" noChangeArrowheads="1"/>
        </xdr:cNvSpPr>
      </xdr:nvSpPr>
      <xdr:spPr bwMode="auto">
        <a:xfrm>
          <a:off x="3803650" y="233870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209" name="AutoShape 12">
          <a:extLst>
            <a:ext uri="{FF2B5EF4-FFF2-40B4-BE49-F238E27FC236}">
              <a16:creationId xmlns:a16="http://schemas.microsoft.com/office/drawing/2014/main" id="{D94EBBB2-472E-415F-8ABD-110C1032D8B1}"/>
            </a:ext>
          </a:extLst>
        </xdr:cNvPr>
        <xdr:cNvSpPr>
          <a:spLocks noChangeAspect="1" noChangeArrowheads="1"/>
        </xdr:cNvSpPr>
      </xdr:nvSpPr>
      <xdr:spPr bwMode="auto">
        <a:xfrm>
          <a:off x="3803650" y="235712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210" name="AutoShape 12">
          <a:extLst>
            <a:ext uri="{FF2B5EF4-FFF2-40B4-BE49-F238E27FC236}">
              <a16:creationId xmlns:a16="http://schemas.microsoft.com/office/drawing/2014/main" id="{90470895-BB90-4144-B6E9-A3572A872D3E}"/>
            </a:ext>
          </a:extLst>
        </xdr:cNvPr>
        <xdr:cNvSpPr>
          <a:spLocks noChangeAspect="1" noChangeArrowheads="1"/>
        </xdr:cNvSpPr>
      </xdr:nvSpPr>
      <xdr:spPr bwMode="auto">
        <a:xfrm>
          <a:off x="3803650" y="338836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211" name="AutoShape 12">
          <a:extLst>
            <a:ext uri="{FF2B5EF4-FFF2-40B4-BE49-F238E27FC236}">
              <a16:creationId xmlns:a16="http://schemas.microsoft.com/office/drawing/2014/main" id="{E57AEAFE-982E-471D-BF4A-BA5B5CC4F17B}"/>
            </a:ext>
          </a:extLst>
        </xdr:cNvPr>
        <xdr:cNvSpPr>
          <a:spLocks noChangeAspect="1" noChangeArrowheads="1"/>
        </xdr:cNvSpPr>
      </xdr:nvSpPr>
      <xdr:spPr bwMode="auto">
        <a:xfrm>
          <a:off x="3803650" y="34067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212" name="AutoShape 12">
          <a:extLst>
            <a:ext uri="{FF2B5EF4-FFF2-40B4-BE49-F238E27FC236}">
              <a16:creationId xmlns:a16="http://schemas.microsoft.com/office/drawing/2014/main" id="{95C790A4-1D42-465D-9F13-1B3242BF1210}"/>
            </a:ext>
          </a:extLst>
        </xdr:cNvPr>
        <xdr:cNvSpPr>
          <a:spLocks noChangeAspect="1" noChangeArrowheads="1"/>
        </xdr:cNvSpPr>
      </xdr:nvSpPr>
      <xdr:spPr bwMode="auto">
        <a:xfrm>
          <a:off x="3803650" y="359092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213" name="AutoShape 12">
          <a:extLst>
            <a:ext uri="{FF2B5EF4-FFF2-40B4-BE49-F238E27FC236}">
              <a16:creationId xmlns:a16="http://schemas.microsoft.com/office/drawing/2014/main" id="{FA8571C7-C8CA-4B17-A2C3-798850AA9B75}"/>
            </a:ext>
          </a:extLst>
        </xdr:cNvPr>
        <xdr:cNvSpPr>
          <a:spLocks noChangeAspect="1" noChangeArrowheads="1"/>
        </xdr:cNvSpPr>
      </xdr:nvSpPr>
      <xdr:spPr bwMode="auto">
        <a:xfrm>
          <a:off x="3803650" y="360934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214" name="AutoShape 12">
          <a:extLst>
            <a:ext uri="{FF2B5EF4-FFF2-40B4-BE49-F238E27FC236}">
              <a16:creationId xmlns:a16="http://schemas.microsoft.com/office/drawing/2014/main" id="{BFFADEF3-AA7F-4372-9D6E-62F06D40876A}"/>
            </a:ext>
          </a:extLst>
        </xdr:cNvPr>
        <xdr:cNvSpPr>
          <a:spLocks noChangeAspect="1" noChangeArrowheads="1"/>
        </xdr:cNvSpPr>
      </xdr:nvSpPr>
      <xdr:spPr bwMode="auto">
        <a:xfrm>
          <a:off x="3803650" y="34067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215" name="AutoShape 12">
          <a:extLst>
            <a:ext uri="{FF2B5EF4-FFF2-40B4-BE49-F238E27FC236}">
              <a16:creationId xmlns:a16="http://schemas.microsoft.com/office/drawing/2014/main" id="{6C376E65-B984-4984-BEAD-6F87C1EE819B}"/>
            </a:ext>
          </a:extLst>
        </xdr:cNvPr>
        <xdr:cNvSpPr>
          <a:spLocks noChangeAspect="1" noChangeArrowheads="1"/>
        </xdr:cNvSpPr>
      </xdr:nvSpPr>
      <xdr:spPr bwMode="auto">
        <a:xfrm>
          <a:off x="3803650" y="342519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216" name="AutoShape 12">
          <a:extLst>
            <a:ext uri="{FF2B5EF4-FFF2-40B4-BE49-F238E27FC236}">
              <a16:creationId xmlns:a16="http://schemas.microsoft.com/office/drawing/2014/main" id="{9D025AED-C6CB-4A5D-A9EC-1841391A3A31}"/>
            </a:ext>
          </a:extLst>
        </xdr:cNvPr>
        <xdr:cNvSpPr>
          <a:spLocks noChangeAspect="1" noChangeArrowheads="1"/>
        </xdr:cNvSpPr>
      </xdr:nvSpPr>
      <xdr:spPr bwMode="auto">
        <a:xfrm>
          <a:off x="3803650" y="360934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217" name="AutoShape 12">
          <a:extLst>
            <a:ext uri="{FF2B5EF4-FFF2-40B4-BE49-F238E27FC236}">
              <a16:creationId xmlns:a16="http://schemas.microsoft.com/office/drawing/2014/main" id="{ABAE7F28-3EC4-4564-8CCE-436C10388A70}"/>
            </a:ext>
          </a:extLst>
        </xdr:cNvPr>
        <xdr:cNvSpPr>
          <a:spLocks noChangeAspect="1" noChangeArrowheads="1"/>
        </xdr:cNvSpPr>
      </xdr:nvSpPr>
      <xdr:spPr bwMode="auto">
        <a:xfrm>
          <a:off x="3803650" y="362775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218" name="AutoShape 12">
          <a:extLst>
            <a:ext uri="{FF2B5EF4-FFF2-40B4-BE49-F238E27FC236}">
              <a16:creationId xmlns:a16="http://schemas.microsoft.com/office/drawing/2014/main" id="{4F1367BC-7915-4D36-A717-2E098673ECE3}"/>
            </a:ext>
          </a:extLst>
        </xdr:cNvPr>
        <xdr:cNvSpPr>
          <a:spLocks noChangeAspect="1" noChangeArrowheads="1"/>
        </xdr:cNvSpPr>
      </xdr:nvSpPr>
      <xdr:spPr bwMode="auto">
        <a:xfrm>
          <a:off x="3803650" y="213614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219" name="AutoShape 12">
          <a:extLst>
            <a:ext uri="{FF2B5EF4-FFF2-40B4-BE49-F238E27FC236}">
              <a16:creationId xmlns:a16="http://schemas.microsoft.com/office/drawing/2014/main" id="{490BDD9A-F462-4F4F-9740-00F2917C4BB6}"/>
            </a:ext>
          </a:extLst>
        </xdr:cNvPr>
        <xdr:cNvSpPr>
          <a:spLocks noChangeAspect="1" noChangeArrowheads="1"/>
        </xdr:cNvSpPr>
      </xdr:nvSpPr>
      <xdr:spPr bwMode="auto">
        <a:xfrm>
          <a:off x="3803650" y="215455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220" name="AutoShape 12">
          <a:extLst>
            <a:ext uri="{FF2B5EF4-FFF2-40B4-BE49-F238E27FC236}">
              <a16:creationId xmlns:a16="http://schemas.microsoft.com/office/drawing/2014/main" id="{CC2FF0B1-FB8A-4DCE-A71C-FBAA2B47C9DD}"/>
            </a:ext>
          </a:extLst>
        </xdr:cNvPr>
        <xdr:cNvSpPr>
          <a:spLocks noChangeAspect="1" noChangeArrowheads="1"/>
        </xdr:cNvSpPr>
      </xdr:nvSpPr>
      <xdr:spPr bwMode="auto">
        <a:xfrm>
          <a:off x="3803650" y="233870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221" name="AutoShape 12">
          <a:extLst>
            <a:ext uri="{FF2B5EF4-FFF2-40B4-BE49-F238E27FC236}">
              <a16:creationId xmlns:a16="http://schemas.microsoft.com/office/drawing/2014/main" id="{3C22E7BC-DCC7-4732-930E-01447ED64E60}"/>
            </a:ext>
          </a:extLst>
        </xdr:cNvPr>
        <xdr:cNvSpPr>
          <a:spLocks noChangeAspect="1" noChangeArrowheads="1"/>
        </xdr:cNvSpPr>
      </xdr:nvSpPr>
      <xdr:spPr bwMode="auto">
        <a:xfrm>
          <a:off x="3803650" y="235712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222" name="AutoShape 12">
          <a:extLst>
            <a:ext uri="{FF2B5EF4-FFF2-40B4-BE49-F238E27FC236}">
              <a16:creationId xmlns:a16="http://schemas.microsoft.com/office/drawing/2014/main" id="{301A7030-4270-4E5F-9DDD-577B6308188F}"/>
            </a:ext>
          </a:extLst>
        </xdr:cNvPr>
        <xdr:cNvSpPr>
          <a:spLocks noChangeAspect="1" noChangeArrowheads="1"/>
        </xdr:cNvSpPr>
      </xdr:nvSpPr>
      <xdr:spPr bwMode="auto">
        <a:xfrm>
          <a:off x="3803650" y="215455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223" name="AutoShape 12">
          <a:extLst>
            <a:ext uri="{FF2B5EF4-FFF2-40B4-BE49-F238E27FC236}">
              <a16:creationId xmlns:a16="http://schemas.microsoft.com/office/drawing/2014/main" id="{EA736F15-EE85-4E2E-BBE9-3DA59F751D35}"/>
            </a:ext>
          </a:extLst>
        </xdr:cNvPr>
        <xdr:cNvSpPr>
          <a:spLocks noChangeAspect="1" noChangeArrowheads="1"/>
        </xdr:cNvSpPr>
      </xdr:nvSpPr>
      <xdr:spPr bwMode="auto">
        <a:xfrm>
          <a:off x="3803650" y="217297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224" name="AutoShape 12">
          <a:extLst>
            <a:ext uri="{FF2B5EF4-FFF2-40B4-BE49-F238E27FC236}">
              <a16:creationId xmlns:a16="http://schemas.microsoft.com/office/drawing/2014/main" id="{B0D11BB7-E6A9-4893-93F9-0AD936F645C3}"/>
            </a:ext>
          </a:extLst>
        </xdr:cNvPr>
        <xdr:cNvSpPr>
          <a:spLocks noChangeAspect="1" noChangeArrowheads="1"/>
        </xdr:cNvSpPr>
      </xdr:nvSpPr>
      <xdr:spPr bwMode="auto">
        <a:xfrm>
          <a:off x="3803650" y="235712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225" name="AutoShape 12">
          <a:extLst>
            <a:ext uri="{FF2B5EF4-FFF2-40B4-BE49-F238E27FC236}">
              <a16:creationId xmlns:a16="http://schemas.microsoft.com/office/drawing/2014/main" id="{545559EE-1E00-49F0-ACF5-09DDF153528D}"/>
            </a:ext>
          </a:extLst>
        </xdr:cNvPr>
        <xdr:cNvSpPr>
          <a:spLocks noChangeAspect="1" noChangeArrowheads="1"/>
        </xdr:cNvSpPr>
      </xdr:nvSpPr>
      <xdr:spPr bwMode="auto">
        <a:xfrm>
          <a:off x="3803650" y="237553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226" name="AutoShape 12">
          <a:extLst>
            <a:ext uri="{FF2B5EF4-FFF2-40B4-BE49-F238E27FC236}">
              <a16:creationId xmlns:a16="http://schemas.microsoft.com/office/drawing/2014/main" id="{7705BC6B-0329-484D-85E0-B4A744CA2A69}"/>
            </a:ext>
          </a:extLst>
        </xdr:cNvPr>
        <xdr:cNvSpPr>
          <a:spLocks noChangeAspect="1" noChangeArrowheads="1"/>
        </xdr:cNvSpPr>
      </xdr:nvSpPr>
      <xdr:spPr bwMode="auto">
        <a:xfrm>
          <a:off x="3803650" y="34067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227" name="AutoShape 12">
          <a:extLst>
            <a:ext uri="{FF2B5EF4-FFF2-40B4-BE49-F238E27FC236}">
              <a16:creationId xmlns:a16="http://schemas.microsoft.com/office/drawing/2014/main" id="{89E516DA-3B9C-49DF-BB99-614ABFC45B65}"/>
            </a:ext>
          </a:extLst>
        </xdr:cNvPr>
        <xdr:cNvSpPr>
          <a:spLocks noChangeAspect="1" noChangeArrowheads="1"/>
        </xdr:cNvSpPr>
      </xdr:nvSpPr>
      <xdr:spPr bwMode="auto">
        <a:xfrm>
          <a:off x="3803650" y="342519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228" name="AutoShape 12">
          <a:extLst>
            <a:ext uri="{FF2B5EF4-FFF2-40B4-BE49-F238E27FC236}">
              <a16:creationId xmlns:a16="http://schemas.microsoft.com/office/drawing/2014/main" id="{65AA2249-873F-463F-ADA6-DB3146CAC7A6}"/>
            </a:ext>
          </a:extLst>
        </xdr:cNvPr>
        <xdr:cNvSpPr>
          <a:spLocks noChangeAspect="1" noChangeArrowheads="1"/>
        </xdr:cNvSpPr>
      </xdr:nvSpPr>
      <xdr:spPr bwMode="auto">
        <a:xfrm>
          <a:off x="3803650" y="360934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229" name="AutoShape 12">
          <a:extLst>
            <a:ext uri="{FF2B5EF4-FFF2-40B4-BE49-F238E27FC236}">
              <a16:creationId xmlns:a16="http://schemas.microsoft.com/office/drawing/2014/main" id="{FD3E8466-B187-4537-9DC7-1E1CD3005D96}"/>
            </a:ext>
          </a:extLst>
        </xdr:cNvPr>
        <xdr:cNvSpPr>
          <a:spLocks noChangeAspect="1" noChangeArrowheads="1"/>
        </xdr:cNvSpPr>
      </xdr:nvSpPr>
      <xdr:spPr bwMode="auto">
        <a:xfrm>
          <a:off x="3803650" y="362775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230" name="AutoShape 12">
          <a:extLst>
            <a:ext uri="{FF2B5EF4-FFF2-40B4-BE49-F238E27FC236}">
              <a16:creationId xmlns:a16="http://schemas.microsoft.com/office/drawing/2014/main" id="{CA25B679-B945-4145-9B9C-8CB6A9EC3515}"/>
            </a:ext>
          </a:extLst>
        </xdr:cNvPr>
        <xdr:cNvSpPr>
          <a:spLocks noChangeAspect="1" noChangeArrowheads="1"/>
        </xdr:cNvSpPr>
      </xdr:nvSpPr>
      <xdr:spPr bwMode="auto">
        <a:xfrm>
          <a:off x="3803650" y="342519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231" name="AutoShape 12">
          <a:extLst>
            <a:ext uri="{FF2B5EF4-FFF2-40B4-BE49-F238E27FC236}">
              <a16:creationId xmlns:a16="http://schemas.microsoft.com/office/drawing/2014/main" id="{3E546DAB-4122-439C-8DD9-8E7DF99DD885}"/>
            </a:ext>
          </a:extLst>
        </xdr:cNvPr>
        <xdr:cNvSpPr>
          <a:spLocks noChangeAspect="1" noChangeArrowheads="1"/>
        </xdr:cNvSpPr>
      </xdr:nvSpPr>
      <xdr:spPr bwMode="auto">
        <a:xfrm>
          <a:off x="3803650" y="344360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232" name="AutoShape 12">
          <a:extLst>
            <a:ext uri="{FF2B5EF4-FFF2-40B4-BE49-F238E27FC236}">
              <a16:creationId xmlns:a16="http://schemas.microsoft.com/office/drawing/2014/main" id="{0E067D22-16D6-4FBD-B076-0CBDB4F97E4D}"/>
            </a:ext>
          </a:extLst>
        </xdr:cNvPr>
        <xdr:cNvSpPr>
          <a:spLocks noChangeAspect="1" noChangeArrowheads="1"/>
        </xdr:cNvSpPr>
      </xdr:nvSpPr>
      <xdr:spPr bwMode="auto">
        <a:xfrm>
          <a:off x="3803650" y="362775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233" name="AutoShape 12">
          <a:extLst>
            <a:ext uri="{FF2B5EF4-FFF2-40B4-BE49-F238E27FC236}">
              <a16:creationId xmlns:a16="http://schemas.microsoft.com/office/drawing/2014/main" id="{EFCD7EC1-A12A-431C-9662-9B0811551060}"/>
            </a:ext>
          </a:extLst>
        </xdr:cNvPr>
        <xdr:cNvSpPr>
          <a:spLocks noChangeAspect="1" noChangeArrowheads="1"/>
        </xdr:cNvSpPr>
      </xdr:nvSpPr>
      <xdr:spPr bwMode="auto">
        <a:xfrm>
          <a:off x="3803650" y="364617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234" name="AutoShape 12">
          <a:extLst>
            <a:ext uri="{FF2B5EF4-FFF2-40B4-BE49-F238E27FC236}">
              <a16:creationId xmlns:a16="http://schemas.microsoft.com/office/drawing/2014/main" id="{8ABB38C5-DB28-4564-8CC9-914F34E1D7DD}"/>
            </a:ext>
          </a:extLst>
        </xdr:cNvPr>
        <xdr:cNvSpPr>
          <a:spLocks noChangeAspect="1" noChangeArrowheads="1"/>
        </xdr:cNvSpPr>
      </xdr:nvSpPr>
      <xdr:spPr bwMode="auto">
        <a:xfrm>
          <a:off x="3803650" y="292798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235" name="AutoShape 12">
          <a:extLst>
            <a:ext uri="{FF2B5EF4-FFF2-40B4-BE49-F238E27FC236}">
              <a16:creationId xmlns:a16="http://schemas.microsoft.com/office/drawing/2014/main" id="{C44ED12C-A85A-4B39-AD11-301774670E51}"/>
            </a:ext>
          </a:extLst>
        </xdr:cNvPr>
        <xdr:cNvSpPr>
          <a:spLocks noChangeAspect="1" noChangeArrowheads="1"/>
        </xdr:cNvSpPr>
      </xdr:nvSpPr>
      <xdr:spPr bwMode="auto">
        <a:xfrm>
          <a:off x="3803650" y="294640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236" name="AutoShape 12">
          <a:extLst>
            <a:ext uri="{FF2B5EF4-FFF2-40B4-BE49-F238E27FC236}">
              <a16:creationId xmlns:a16="http://schemas.microsoft.com/office/drawing/2014/main" id="{72BDCD29-6AD2-4116-9658-54B98A79F2C3}"/>
            </a:ext>
          </a:extLst>
        </xdr:cNvPr>
        <xdr:cNvSpPr>
          <a:spLocks noChangeAspect="1" noChangeArrowheads="1"/>
        </xdr:cNvSpPr>
      </xdr:nvSpPr>
      <xdr:spPr bwMode="auto">
        <a:xfrm>
          <a:off x="3803650" y="313055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237" name="AutoShape 12">
          <a:extLst>
            <a:ext uri="{FF2B5EF4-FFF2-40B4-BE49-F238E27FC236}">
              <a16:creationId xmlns:a16="http://schemas.microsoft.com/office/drawing/2014/main" id="{BA51C176-D7A4-4EDA-A6AB-2761FD7EFBCC}"/>
            </a:ext>
          </a:extLst>
        </xdr:cNvPr>
        <xdr:cNvSpPr>
          <a:spLocks noChangeAspect="1" noChangeArrowheads="1"/>
        </xdr:cNvSpPr>
      </xdr:nvSpPr>
      <xdr:spPr bwMode="auto">
        <a:xfrm>
          <a:off x="3803650" y="314896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238" name="AutoShape 12">
          <a:extLst>
            <a:ext uri="{FF2B5EF4-FFF2-40B4-BE49-F238E27FC236}">
              <a16:creationId xmlns:a16="http://schemas.microsoft.com/office/drawing/2014/main" id="{A53C826C-C475-4834-8A0C-B9980A073250}"/>
            </a:ext>
          </a:extLst>
        </xdr:cNvPr>
        <xdr:cNvSpPr>
          <a:spLocks noChangeAspect="1" noChangeArrowheads="1"/>
        </xdr:cNvSpPr>
      </xdr:nvSpPr>
      <xdr:spPr bwMode="auto">
        <a:xfrm>
          <a:off x="3803650" y="294640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239" name="AutoShape 12">
          <a:extLst>
            <a:ext uri="{FF2B5EF4-FFF2-40B4-BE49-F238E27FC236}">
              <a16:creationId xmlns:a16="http://schemas.microsoft.com/office/drawing/2014/main" id="{64017F5A-F5E0-4BA0-AF61-E248C2BBB72C}"/>
            </a:ext>
          </a:extLst>
        </xdr:cNvPr>
        <xdr:cNvSpPr>
          <a:spLocks noChangeAspect="1" noChangeArrowheads="1"/>
        </xdr:cNvSpPr>
      </xdr:nvSpPr>
      <xdr:spPr bwMode="auto">
        <a:xfrm>
          <a:off x="3803650" y="29648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240" name="AutoShape 12">
          <a:extLst>
            <a:ext uri="{FF2B5EF4-FFF2-40B4-BE49-F238E27FC236}">
              <a16:creationId xmlns:a16="http://schemas.microsoft.com/office/drawing/2014/main" id="{DCEA9394-2C9E-43BA-B9BB-7F99C3A84911}"/>
            </a:ext>
          </a:extLst>
        </xdr:cNvPr>
        <xdr:cNvSpPr>
          <a:spLocks noChangeAspect="1" noChangeArrowheads="1"/>
        </xdr:cNvSpPr>
      </xdr:nvSpPr>
      <xdr:spPr bwMode="auto">
        <a:xfrm>
          <a:off x="3803650" y="314896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241" name="AutoShape 12">
          <a:extLst>
            <a:ext uri="{FF2B5EF4-FFF2-40B4-BE49-F238E27FC236}">
              <a16:creationId xmlns:a16="http://schemas.microsoft.com/office/drawing/2014/main" id="{E8A0DD27-C2B9-4E42-9E44-EFC5660504DD}"/>
            </a:ext>
          </a:extLst>
        </xdr:cNvPr>
        <xdr:cNvSpPr>
          <a:spLocks noChangeAspect="1" noChangeArrowheads="1"/>
        </xdr:cNvSpPr>
      </xdr:nvSpPr>
      <xdr:spPr bwMode="auto">
        <a:xfrm>
          <a:off x="3803650" y="316738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242" name="AutoShape 12">
          <a:extLst>
            <a:ext uri="{FF2B5EF4-FFF2-40B4-BE49-F238E27FC236}">
              <a16:creationId xmlns:a16="http://schemas.microsoft.com/office/drawing/2014/main" id="{217AC7EB-AE48-4386-8AC9-747E73F7A7A3}"/>
            </a:ext>
          </a:extLst>
        </xdr:cNvPr>
        <xdr:cNvSpPr>
          <a:spLocks noChangeAspect="1" noChangeArrowheads="1"/>
        </xdr:cNvSpPr>
      </xdr:nvSpPr>
      <xdr:spPr bwMode="auto">
        <a:xfrm>
          <a:off x="3803650" y="294640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243" name="AutoShape 12">
          <a:extLst>
            <a:ext uri="{FF2B5EF4-FFF2-40B4-BE49-F238E27FC236}">
              <a16:creationId xmlns:a16="http://schemas.microsoft.com/office/drawing/2014/main" id="{ADA45352-A7C9-4592-904D-319D482C90D0}"/>
            </a:ext>
          </a:extLst>
        </xdr:cNvPr>
        <xdr:cNvSpPr>
          <a:spLocks noChangeAspect="1" noChangeArrowheads="1"/>
        </xdr:cNvSpPr>
      </xdr:nvSpPr>
      <xdr:spPr bwMode="auto">
        <a:xfrm>
          <a:off x="3803650" y="29648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244" name="AutoShape 12">
          <a:extLst>
            <a:ext uri="{FF2B5EF4-FFF2-40B4-BE49-F238E27FC236}">
              <a16:creationId xmlns:a16="http://schemas.microsoft.com/office/drawing/2014/main" id="{34AD76A7-6F9F-4A27-AAB8-98659C55F818}"/>
            </a:ext>
          </a:extLst>
        </xdr:cNvPr>
        <xdr:cNvSpPr>
          <a:spLocks noChangeAspect="1" noChangeArrowheads="1"/>
        </xdr:cNvSpPr>
      </xdr:nvSpPr>
      <xdr:spPr bwMode="auto">
        <a:xfrm>
          <a:off x="3803650" y="314896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245" name="AutoShape 12">
          <a:extLst>
            <a:ext uri="{FF2B5EF4-FFF2-40B4-BE49-F238E27FC236}">
              <a16:creationId xmlns:a16="http://schemas.microsoft.com/office/drawing/2014/main" id="{23C50604-7E65-47E0-9312-CC02C995875B}"/>
            </a:ext>
          </a:extLst>
        </xdr:cNvPr>
        <xdr:cNvSpPr>
          <a:spLocks noChangeAspect="1" noChangeArrowheads="1"/>
        </xdr:cNvSpPr>
      </xdr:nvSpPr>
      <xdr:spPr bwMode="auto">
        <a:xfrm>
          <a:off x="3803650" y="316738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246" name="AutoShape 12">
          <a:extLst>
            <a:ext uri="{FF2B5EF4-FFF2-40B4-BE49-F238E27FC236}">
              <a16:creationId xmlns:a16="http://schemas.microsoft.com/office/drawing/2014/main" id="{DC437D4C-2286-4665-99FA-9E1E90D002DB}"/>
            </a:ext>
          </a:extLst>
        </xdr:cNvPr>
        <xdr:cNvSpPr>
          <a:spLocks noChangeAspect="1" noChangeArrowheads="1"/>
        </xdr:cNvSpPr>
      </xdr:nvSpPr>
      <xdr:spPr bwMode="auto">
        <a:xfrm>
          <a:off x="3803650" y="29648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247" name="AutoShape 12">
          <a:extLst>
            <a:ext uri="{FF2B5EF4-FFF2-40B4-BE49-F238E27FC236}">
              <a16:creationId xmlns:a16="http://schemas.microsoft.com/office/drawing/2014/main" id="{1A02E663-667E-41D8-B533-623B766F3EE9}"/>
            </a:ext>
          </a:extLst>
        </xdr:cNvPr>
        <xdr:cNvSpPr>
          <a:spLocks noChangeAspect="1" noChangeArrowheads="1"/>
        </xdr:cNvSpPr>
      </xdr:nvSpPr>
      <xdr:spPr bwMode="auto">
        <a:xfrm>
          <a:off x="3803650" y="298323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248" name="AutoShape 12">
          <a:extLst>
            <a:ext uri="{FF2B5EF4-FFF2-40B4-BE49-F238E27FC236}">
              <a16:creationId xmlns:a16="http://schemas.microsoft.com/office/drawing/2014/main" id="{B44F4FF6-1B43-4D4B-A3BF-16AF6C29CD31}"/>
            </a:ext>
          </a:extLst>
        </xdr:cNvPr>
        <xdr:cNvSpPr>
          <a:spLocks noChangeAspect="1" noChangeArrowheads="1"/>
        </xdr:cNvSpPr>
      </xdr:nvSpPr>
      <xdr:spPr bwMode="auto">
        <a:xfrm>
          <a:off x="3803650" y="316738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249" name="AutoShape 12">
          <a:extLst>
            <a:ext uri="{FF2B5EF4-FFF2-40B4-BE49-F238E27FC236}">
              <a16:creationId xmlns:a16="http://schemas.microsoft.com/office/drawing/2014/main" id="{EFE2E34A-3DFF-4976-8FBA-112EECBD6132}"/>
            </a:ext>
          </a:extLst>
        </xdr:cNvPr>
        <xdr:cNvSpPr>
          <a:spLocks noChangeAspect="1" noChangeArrowheads="1"/>
        </xdr:cNvSpPr>
      </xdr:nvSpPr>
      <xdr:spPr bwMode="auto">
        <a:xfrm>
          <a:off x="3803650" y="318579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250" name="AutoShape 12">
          <a:extLst>
            <a:ext uri="{FF2B5EF4-FFF2-40B4-BE49-F238E27FC236}">
              <a16:creationId xmlns:a16="http://schemas.microsoft.com/office/drawing/2014/main" id="{08865974-7450-43DD-820F-04D748AF8AFB}"/>
            </a:ext>
          </a:extLst>
        </xdr:cNvPr>
        <xdr:cNvSpPr>
          <a:spLocks noChangeAspect="1" noChangeArrowheads="1"/>
        </xdr:cNvSpPr>
      </xdr:nvSpPr>
      <xdr:spPr bwMode="auto">
        <a:xfrm>
          <a:off x="3803650" y="302006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251" name="AutoShape 12">
          <a:extLst>
            <a:ext uri="{FF2B5EF4-FFF2-40B4-BE49-F238E27FC236}">
              <a16:creationId xmlns:a16="http://schemas.microsoft.com/office/drawing/2014/main" id="{2E878CB2-31CD-42FF-9D72-8C83077866D2}"/>
            </a:ext>
          </a:extLst>
        </xdr:cNvPr>
        <xdr:cNvSpPr>
          <a:spLocks noChangeAspect="1" noChangeArrowheads="1"/>
        </xdr:cNvSpPr>
      </xdr:nvSpPr>
      <xdr:spPr bwMode="auto">
        <a:xfrm>
          <a:off x="3803650" y="30384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252" name="AutoShape 12">
          <a:extLst>
            <a:ext uri="{FF2B5EF4-FFF2-40B4-BE49-F238E27FC236}">
              <a16:creationId xmlns:a16="http://schemas.microsoft.com/office/drawing/2014/main" id="{9BA03A6E-1B4F-42FE-9A08-FFD22BB47F20}"/>
            </a:ext>
          </a:extLst>
        </xdr:cNvPr>
        <xdr:cNvSpPr>
          <a:spLocks noChangeAspect="1" noChangeArrowheads="1"/>
        </xdr:cNvSpPr>
      </xdr:nvSpPr>
      <xdr:spPr bwMode="auto">
        <a:xfrm>
          <a:off x="3803650" y="322262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253" name="AutoShape 12">
          <a:extLst>
            <a:ext uri="{FF2B5EF4-FFF2-40B4-BE49-F238E27FC236}">
              <a16:creationId xmlns:a16="http://schemas.microsoft.com/office/drawing/2014/main" id="{8C26C950-0F74-482C-A6F8-628D080A18E8}"/>
            </a:ext>
          </a:extLst>
        </xdr:cNvPr>
        <xdr:cNvSpPr>
          <a:spLocks noChangeAspect="1" noChangeArrowheads="1"/>
        </xdr:cNvSpPr>
      </xdr:nvSpPr>
      <xdr:spPr bwMode="auto">
        <a:xfrm>
          <a:off x="3803650" y="324104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254" name="AutoShape 12">
          <a:extLst>
            <a:ext uri="{FF2B5EF4-FFF2-40B4-BE49-F238E27FC236}">
              <a16:creationId xmlns:a16="http://schemas.microsoft.com/office/drawing/2014/main" id="{03B926C9-61A2-44AD-AD9E-429932FEFC63}"/>
            </a:ext>
          </a:extLst>
        </xdr:cNvPr>
        <xdr:cNvSpPr>
          <a:spLocks noChangeAspect="1" noChangeArrowheads="1"/>
        </xdr:cNvSpPr>
      </xdr:nvSpPr>
      <xdr:spPr bwMode="auto">
        <a:xfrm>
          <a:off x="3803650" y="30384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255" name="AutoShape 12">
          <a:extLst>
            <a:ext uri="{FF2B5EF4-FFF2-40B4-BE49-F238E27FC236}">
              <a16:creationId xmlns:a16="http://schemas.microsoft.com/office/drawing/2014/main" id="{EDBCC7D2-57B2-4BFB-B644-831B172A299F}"/>
            </a:ext>
          </a:extLst>
        </xdr:cNvPr>
        <xdr:cNvSpPr>
          <a:spLocks noChangeAspect="1" noChangeArrowheads="1"/>
        </xdr:cNvSpPr>
      </xdr:nvSpPr>
      <xdr:spPr bwMode="auto">
        <a:xfrm>
          <a:off x="3803650" y="305689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256" name="AutoShape 12">
          <a:extLst>
            <a:ext uri="{FF2B5EF4-FFF2-40B4-BE49-F238E27FC236}">
              <a16:creationId xmlns:a16="http://schemas.microsoft.com/office/drawing/2014/main" id="{04423944-FE53-4B40-8662-EA5BD2B8F69C}"/>
            </a:ext>
          </a:extLst>
        </xdr:cNvPr>
        <xdr:cNvSpPr>
          <a:spLocks noChangeAspect="1" noChangeArrowheads="1"/>
        </xdr:cNvSpPr>
      </xdr:nvSpPr>
      <xdr:spPr bwMode="auto">
        <a:xfrm>
          <a:off x="3803650" y="324104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257" name="AutoShape 12">
          <a:extLst>
            <a:ext uri="{FF2B5EF4-FFF2-40B4-BE49-F238E27FC236}">
              <a16:creationId xmlns:a16="http://schemas.microsoft.com/office/drawing/2014/main" id="{535F7F03-BE8E-4F30-8DD0-C0DC81986151}"/>
            </a:ext>
          </a:extLst>
        </xdr:cNvPr>
        <xdr:cNvSpPr>
          <a:spLocks noChangeAspect="1" noChangeArrowheads="1"/>
        </xdr:cNvSpPr>
      </xdr:nvSpPr>
      <xdr:spPr bwMode="auto">
        <a:xfrm>
          <a:off x="3803650" y="325945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258" name="AutoShape 12">
          <a:extLst>
            <a:ext uri="{FF2B5EF4-FFF2-40B4-BE49-F238E27FC236}">
              <a16:creationId xmlns:a16="http://schemas.microsoft.com/office/drawing/2014/main" id="{D55D8979-8AEB-4B12-8332-776CB4002C6B}"/>
            </a:ext>
          </a:extLst>
        </xdr:cNvPr>
        <xdr:cNvSpPr>
          <a:spLocks noChangeAspect="1" noChangeArrowheads="1"/>
        </xdr:cNvSpPr>
      </xdr:nvSpPr>
      <xdr:spPr bwMode="auto">
        <a:xfrm>
          <a:off x="3803650" y="30384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259" name="AutoShape 12">
          <a:extLst>
            <a:ext uri="{FF2B5EF4-FFF2-40B4-BE49-F238E27FC236}">
              <a16:creationId xmlns:a16="http://schemas.microsoft.com/office/drawing/2014/main" id="{D653C313-C4B5-4890-B2EC-F769E2D2E6BC}"/>
            </a:ext>
          </a:extLst>
        </xdr:cNvPr>
        <xdr:cNvSpPr>
          <a:spLocks noChangeAspect="1" noChangeArrowheads="1"/>
        </xdr:cNvSpPr>
      </xdr:nvSpPr>
      <xdr:spPr bwMode="auto">
        <a:xfrm>
          <a:off x="3803650" y="305689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260" name="AutoShape 12">
          <a:extLst>
            <a:ext uri="{FF2B5EF4-FFF2-40B4-BE49-F238E27FC236}">
              <a16:creationId xmlns:a16="http://schemas.microsoft.com/office/drawing/2014/main" id="{834A74DA-1E36-4B12-9B74-34B1F1D47A58}"/>
            </a:ext>
          </a:extLst>
        </xdr:cNvPr>
        <xdr:cNvSpPr>
          <a:spLocks noChangeAspect="1" noChangeArrowheads="1"/>
        </xdr:cNvSpPr>
      </xdr:nvSpPr>
      <xdr:spPr bwMode="auto">
        <a:xfrm>
          <a:off x="3803650" y="324104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261" name="AutoShape 12">
          <a:extLst>
            <a:ext uri="{FF2B5EF4-FFF2-40B4-BE49-F238E27FC236}">
              <a16:creationId xmlns:a16="http://schemas.microsoft.com/office/drawing/2014/main" id="{83F3A481-B555-42FC-A7CA-2F517F183DDD}"/>
            </a:ext>
          </a:extLst>
        </xdr:cNvPr>
        <xdr:cNvSpPr>
          <a:spLocks noChangeAspect="1" noChangeArrowheads="1"/>
        </xdr:cNvSpPr>
      </xdr:nvSpPr>
      <xdr:spPr bwMode="auto">
        <a:xfrm>
          <a:off x="3803650" y="325945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262" name="AutoShape 12">
          <a:extLst>
            <a:ext uri="{FF2B5EF4-FFF2-40B4-BE49-F238E27FC236}">
              <a16:creationId xmlns:a16="http://schemas.microsoft.com/office/drawing/2014/main" id="{1792C3A0-1BBC-44C8-BA88-937F69E527AF}"/>
            </a:ext>
          </a:extLst>
        </xdr:cNvPr>
        <xdr:cNvSpPr>
          <a:spLocks noChangeAspect="1" noChangeArrowheads="1"/>
        </xdr:cNvSpPr>
      </xdr:nvSpPr>
      <xdr:spPr bwMode="auto">
        <a:xfrm>
          <a:off x="3803650" y="305689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263" name="AutoShape 12">
          <a:extLst>
            <a:ext uri="{FF2B5EF4-FFF2-40B4-BE49-F238E27FC236}">
              <a16:creationId xmlns:a16="http://schemas.microsoft.com/office/drawing/2014/main" id="{2692A6AE-48F5-436B-948C-7D1167773A42}"/>
            </a:ext>
          </a:extLst>
        </xdr:cNvPr>
        <xdr:cNvSpPr>
          <a:spLocks noChangeAspect="1" noChangeArrowheads="1"/>
        </xdr:cNvSpPr>
      </xdr:nvSpPr>
      <xdr:spPr bwMode="auto">
        <a:xfrm>
          <a:off x="3803650" y="307530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264" name="AutoShape 12">
          <a:extLst>
            <a:ext uri="{FF2B5EF4-FFF2-40B4-BE49-F238E27FC236}">
              <a16:creationId xmlns:a16="http://schemas.microsoft.com/office/drawing/2014/main" id="{11A28758-F618-4B19-B722-8F2DFB423D45}"/>
            </a:ext>
          </a:extLst>
        </xdr:cNvPr>
        <xdr:cNvSpPr>
          <a:spLocks noChangeAspect="1" noChangeArrowheads="1"/>
        </xdr:cNvSpPr>
      </xdr:nvSpPr>
      <xdr:spPr bwMode="auto">
        <a:xfrm>
          <a:off x="3803650" y="325945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265" name="AutoShape 12">
          <a:extLst>
            <a:ext uri="{FF2B5EF4-FFF2-40B4-BE49-F238E27FC236}">
              <a16:creationId xmlns:a16="http://schemas.microsoft.com/office/drawing/2014/main" id="{FBA8F9B1-0ADF-4792-BF21-858DE0263ED8}"/>
            </a:ext>
          </a:extLst>
        </xdr:cNvPr>
        <xdr:cNvSpPr>
          <a:spLocks noChangeAspect="1" noChangeArrowheads="1"/>
        </xdr:cNvSpPr>
      </xdr:nvSpPr>
      <xdr:spPr bwMode="auto">
        <a:xfrm>
          <a:off x="3803650" y="327787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266" name="AutoShape 12">
          <a:extLst>
            <a:ext uri="{FF2B5EF4-FFF2-40B4-BE49-F238E27FC236}">
              <a16:creationId xmlns:a16="http://schemas.microsoft.com/office/drawing/2014/main" id="{43851CBA-99DB-4168-BEA0-5967E762EE35}"/>
            </a:ext>
          </a:extLst>
        </xdr:cNvPr>
        <xdr:cNvSpPr>
          <a:spLocks noChangeAspect="1" noChangeArrowheads="1"/>
        </xdr:cNvSpPr>
      </xdr:nvSpPr>
      <xdr:spPr bwMode="auto">
        <a:xfrm>
          <a:off x="3803650" y="383032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267" name="AutoShape 12">
          <a:extLst>
            <a:ext uri="{FF2B5EF4-FFF2-40B4-BE49-F238E27FC236}">
              <a16:creationId xmlns:a16="http://schemas.microsoft.com/office/drawing/2014/main" id="{4DA92C9D-E75C-4BE3-B813-D276321BD129}"/>
            </a:ext>
          </a:extLst>
        </xdr:cNvPr>
        <xdr:cNvSpPr>
          <a:spLocks noChangeAspect="1" noChangeArrowheads="1"/>
        </xdr:cNvSpPr>
      </xdr:nvSpPr>
      <xdr:spPr bwMode="auto">
        <a:xfrm>
          <a:off x="3803650" y="384873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268" name="AutoShape 12">
          <a:extLst>
            <a:ext uri="{FF2B5EF4-FFF2-40B4-BE49-F238E27FC236}">
              <a16:creationId xmlns:a16="http://schemas.microsoft.com/office/drawing/2014/main" id="{6EC96FC0-317F-4A95-A7D0-0F522C5F61E5}"/>
            </a:ext>
          </a:extLst>
        </xdr:cNvPr>
        <xdr:cNvSpPr>
          <a:spLocks noChangeAspect="1" noChangeArrowheads="1"/>
        </xdr:cNvSpPr>
      </xdr:nvSpPr>
      <xdr:spPr bwMode="auto">
        <a:xfrm>
          <a:off x="3803650" y="403288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269" name="AutoShape 12">
          <a:extLst>
            <a:ext uri="{FF2B5EF4-FFF2-40B4-BE49-F238E27FC236}">
              <a16:creationId xmlns:a16="http://schemas.microsoft.com/office/drawing/2014/main" id="{C303FD83-742D-4F2A-9BD5-8DA15F90F654}"/>
            </a:ext>
          </a:extLst>
        </xdr:cNvPr>
        <xdr:cNvSpPr>
          <a:spLocks noChangeAspect="1" noChangeArrowheads="1"/>
        </xdr:cNvSpPr>
      </xdr:nvSpPr>
      <xdr:spPr bwMode="auto">
        <a:xfrm>
          <a:off x="3803650" y="405130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270" name="AutoShape 12">
          <a:extLst>
            <a:ext uri="{FF2B5EF4-FFF2-40B4-BE49-F238E27FC236}">
              <a16:creationId xmlns:a16="http://schemas.microsoft.com/office/drawing/2014/main" id="{946A1F19-F1C1-4B44-AABF-C9949003D92C}"/>
            </a:ext>
          </a:extLst>
        </xdr:cNvPr>
        <xdr:cNvSpPr>
          <a:spLocks noChangeAspect="1" noChangeArrowheads="1"/>
        </xdr:cNvSpPr>
      </xdr:nvSpPr>
      <xdr:spPr bwMode="auto">
        <a:xfrm>
          <a:off x="3803650" y="384873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271" name="AutoShape 12">
          <a:extLst>
            <a:ext uri="{FF2B5EF4-FFF2-40B4-BE49-F238E27FC236}">
              <a16:creationId xmlns:a16="http://schemas.microsoft.com/office/drawing/2014/main" id="{B0F4675A-E9AF-496E-B293-5D292586D03A}"/>
            </a:ext>
          </a:extLst>
        </xdr:cNvPr>
        <xdr:cNvSpPr>
          <a:spLocks noChangeAspect="1" noChangeArrowheads="1"/>
        </xdr:cNvSpPr>
      </xdr:nvSpPr>
      <xdr:spPr bwMode="auto">
        <a:xfrm>
          <a:off x="3803650" y="386715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272" name="AutoShape 12">
          <a:extLst>
            <a:ext uri="{FF2B5EF4-FFF2-40B4-BE49-F238E27FC236}">
              <a16:creationId xmlns:a16="http://schemas.microsoft.com/office/drawing/2014/main" id="{64C0CA4A-53E0-473E-BA3D-90F057729ECF}"/>
            </a:ext>
          </a:extLst>
        </xdr:cNvPr>
        <xdr:cNvSpPr>
          <a:spLocks noChangeAspect="1" noChangeArrowheads="1"/>
        </xdr:cNvSpPr>
      </xdr:nvSpPr>
      <xdr:spPr bwMode="auto">
        <a:xfrm>
          <a:off x="3803650" y="405130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273" name="AutoShape 12">
          <a:extLst>
            <a:ext uri="{FF2B5EF4-FFF2-40B4-BE49-F238E27FC236}">
              <a16:creationId xmlns:a16="http://schemas.microsoft.com/office/drawing/2014/main" id="{F6208650-EB05-4086-94D0-6831999AC137}"/>
            </a:ext>
          </a:extLst>
        </xdr:cNvPr>
        <xdr:cNvSpPr>
          <a:spLocks noChangeAspect="1" noChangeArrowheads="1"/>
        </xdr:cNvSpPr>
      </xdr:nvSpPr>
      <xdr:spPr bwMode="auto">
        <a:xfrm>
          <a:off x="3803650" y="40697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274" name="AutoShape 12">
          <a:extLst>
            <a:ext uri="{FF2B5EF4-FFF2-40B4-BE49-F238E27FC236}">
              <a16:creationId xmlns:a16="http://schemas.microsoft.com/office/drawing/2014/main" id="{8E8F9B1F-C50F-4DA2-BB80-3CB6EC67FB1C}"/>
            </a:ext>
          </a:extLst>
        </xdr:cNvPr>
        <xdr:cNvSpPr>
          <a:spLocks noChangeAspect="1" noChangeArrowheads="1"/>
        </xdr:cNvSpPr>
      </xdr:nvSpPr>
      <xdr:spPr bwMode="auto">
        <a:xfrm>
          <a:off x="3803650" y="384873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275" name="AutoShape 12">
          <a:extLst>
            <a:ext uri="{FF2B5EF4-FFF2-40B4-BE49-F238E27FC236}">
              <a16:creationId xmlns:a16="http://schemas.microsoft.com/office/drawing/2014/main" id="{0EBC2A44-55C9-4B46-AD25-F6B5356A3CC0}"/>
            </a:ext>
          </a:extLst>
        </xdr:cNvPr>
        <xdr:cNvSpPr>
          <a:spLocks noChangeAspect="1" noChangeArrowheads="1"/>
        </xdr:cNvSpPr>
      </xdr:nvSpPr>
      <xdr:spPr bwMode="auto">
        <a:xfrm>
          <a:off x="3803650" y="386715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276" name="AutoShape 12">
          <a:extLst>
            <a:ext uri="{FF2B5EF4-FFF2-40B4-BE49-F238E27FC236}">
              <a16:creationId xmlns:a16="http://schemas.microsoft.com/office/drawing/2014/main" id="{F765B24B-BB6C-4CBF-9EBC-513A597187C7}"/>
            </a:ext>
          </a:extLst>
        </xdr:cNvPr>
        <xdr:cNvSpPr>
          <a:spLocks noChangeAspect="1" noChangeArrowheads="1"/>
        </xdr:cNvSpPr>
      </xdr:nvSpPr>
      <xdr:spPr bwMode="auto">
        <a:xfrm>
          <a:off x="3803650" y="405130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277" name="AutoShape 12">
          <a:extLst>
            <a:ext uri="{FF2B5EF4-FFF2-40B4-BE49-F238E27FC236}">
              <a16:creationId xmlns:a16="http://schemas.microsoft.com/office/drawing/2014/main" id="{28BB791D-2131-4C2A-8A24-734D1DEB05A0}"/>
            </a:ext>
          </a:extLst>
        </xdr:cNvPr>
        <xdr:cNvSpPr>
          <a:spLocks noChangeAspect="1" noChangeArrowheads="1"/>
        </xdr:cNvSpPr>
      </xdr:nvSpPr>
      <xdr:spPr bwMode="auto">
        <a:xfrm>
          <a:off x="3803650" y="40697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278" name="AutoShape 12">
          <a:extLst>
            <a:ext uri="{FF2B5EF4-FFF2-40B4-BE49-F238E27FC236}">
              <a16:creationId xmlns:a16="http://schemas.microsoft.com/office/drawing/2014/main" id="{7A7250BA-7FC8-411F-BD9E-5434A9379AFE}"/>
            </a:ext>
          </a:extLst>
        </xdr:cNvPr>
        <xdr:cNvSpPr>
          <a:spLocks noChangeAspect="1" noChangeArrowheads="1"/>
        </xdr:cNvSpPr>
      </xdr:nvSpPr>
      <xdr:spPr bwMode="auto">
        <a:xfrm>
          <a:off x="3803650" y="386715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279" name="AutoShape 12">
          <a:extLst>
            <a:ext uri="{FF2B5EF4-FFF2-40B4-BE49-F238E27FC236}">
              <a16:creationId xmlns:a16="http://schemas.microsoft.com/office/drawing/2014/main" id="{F393D07A-6E49-4364-B62F-50309D379CB6}"/>
            </a:ext>
          </a:extLst>
        </xdr:cNvPr>
        <xdr:cNvSpPr>
          <a:spLocks noChangeAspect="1" noChangeArrowheads="1"/>
        </xdr:cNvSpPr>
      </xdr:nvSpPr>
      <xdr:spPr bwMode="auto">
        <a:xfrm>
          <a:off x="3803650" y="388556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280" name="AutoShape 12">
          <a:extLst>
            <a:ext uri="{FF2B5EF4-FFF2-40B4-BE49-F238E27FC236}">
              <a16:creationId xmlns:a16="http://schemas.microsoft.com/office/drawing/2014/main" id="{2DEDBECA-3A01-40CA-A6C7-8FA1DC2D25F0}"/>
            </a:ext>
          </a:extLst>
        </xdr:cNvPr>
        <xdr:cNvSpPr>
          <a:spLocks noChangeAspect="1" noChangeArrowheads="1"/>
        </xdr:cNvSpPr>
      </xdr:nvSpPr>
      <xdr:spPr bwMode="auto">
        <a:xfrm>
          <a:off x="3803650" y="40697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281" name="AutoShape 12">
          <a:extLst>
            <a:ext uri="{FF2B5EF4-FFF2-40B4-BE49-F238E27FC236}">
              <a16:creationId xmlns:a16="http://schemas.microsoft.com/office/drawing/2014/main" id="{34E52BFA-E27E-4E14-9057-35BFB6015E9A}"/>
            </a:ext>
          </a:extLst>
        </xdr:cNvPr>
        <xdr:cNvSpPr>
          <a:spLocks noChangeAspect="1" noChangeArrowheads="1"/>
        </xdr:cNvSpPr>
      </xdr:nvSpPr>
      <xdr:spPr bwMode="auto">
        <a:xfrm>
          <a:off x="3803650" y="436435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282" name="AutoShape 12">
          <a:extLst>
            <a:ext uri="{FF2B5EF4-FFF2-40B4-BE49-F238E27FC236}">
              <a16:creationId xmlns:a16="http://schemas.microsoft.com/office/drawing/2014/main" id="{D87FDB4D-6184-4176-8922-6D9077BD3790}"/>
            </a:ext>
          </a:extLst>
        </xdr:cNvPr>
        <xdr:cNvSpPr>
          <a:spLocks noChangeAspect="1" noChangeArrowheads="1"/>
        </xdr:cNvSpPr>
      </xdr:nvSpPr>
      <xdr:spPr bwMode="auto">
        <a:xfrm>
          <a:off x="3803650" y="438277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283" name="AutoShape 12">
          <a:extLst>
            <a:ext uri="{FF2B5EF4-FFF2-40B4-BE49-F238E27FC236}">
              <a16:creationId xmlns:a16="http://schemas.microsoft.com/office/drawing/2014/main" id="{76942713-B2FE-409C-A27A-0F6E9E98504E}"/>
            </a:ext>
          </a:extLst>
        </xdr:cNvPr>
        <xdr:cNvSpPr>
          <a:spLocks noChangeAspect="1" noChangeArrowheads="1"/>
        </xdr:cNvSpPr>
      </xdr:nvSpPr>
      <xdr:spPr bwMode="auto">
        <a:xfrm>
          <a:off x="3803650" y="456692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284" name="AutoShape 12">
          <a:extLst>
            <a:ext uri="{FF2B5EF4-FFF2-40B4-BE49-F238E27FC236}">
              <a16:creationId xmlns:a16="http://schemas.microsoft.com/office/drawing/2014/main" id="{B9182750-6D10-42B6-9859-261752C14764}"/>
            </a:ext>
          </a:extLst>
        </xdr:cNvPr>
        <xdr:cNvSpPr>
          <a:spLocks noChangeAspect="1" noChangeArrowheads="1"/>
        </xdr:cNvSpPr>
      </xdr:nvSpPr>
      <xdr:spPr bwMode="auto">
        <a:xfrm>
          <a:off x="3803650" y="458533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285" name="AutoShape 12">
          <a:extLst>
            <a:ext uri="{FF2B5EF4-FFF2-40B4-BE49-F238E27FC236}">
              <a16:creationId xmlns:a16="http://schemas.microsoft.com/office/drawing/2014/main" id="{B9B8396B-BBCD-4843-B8AE-E472713A1139}"/>
            </a:ext>
          </a:extLst>
        </xdr:cNvPr>
        <xdr:cNvSpPr>
          <a:spLocks noChangeAspect="1" noChangeArrowheads="1"/>
        </xdr:cNvSpPr>
      </xdr:nvSpPr>
      <xdr:spPr bwMode="auto">
        <a:xfrm>
          <a:off x="3803650" y="438277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286" name="AutoShape 12">
          <a:extLst>
            <a:ext uri="{FF2B5EF4-FFF2-40B4-BE49-F238E27FC236}">
              <a16:creationId xmlns:a16="http://schemas.microsoft.com/office/drawing/2014/main" id="{BB6FC08F-24E6-4A19-8851-ED12741FADCF}"/>
            </a:ext>
          </a:extLst>
        </xdr:cNvPr>
        <xdr:cNvSpPr>
          <a:spLocks noChangeAspect="1" noChangeArrowheads="1"/>
        </xdr:cNvSpPr>
      </xdr:nvSpPr>
      <xdr:spPr bwMode="auto">
        <a:xfrm>
          <a:off x="3803650" y="440118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287" name="AutoShape 12">
          <a:extLst>
            <a:ext uri="{FF2B5EF4-FFF2-40B4-BE49-F238E27FC236}">
              <a16:creationId xmlns:a16="http://schemas.microsoft.com/office/drawing/2014/main" id="{BE23D0D2-74BE-492F-B22F-BDA0912B66FE}"/>
            </a:ext>
          </a:extLst>
        </xdr:cNvPr>
        <xdr:cNvSpPr>
          <a:spLocks noChangeAspect="1" noChangeArrowheads="1"/>
        </xdr:cNvSpPr>
      </xdr:nvSpPr>
      <xdr:spPr bwMode="auto">
        <a:xfrm>
          <a:off x="3803650" y="458533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288" name="AutoShape 12">
          <a:extLst>
            <a:ext uri="{FF2B5EF4-FFF2-40B4-BE49-F238E27FC236}">
              <a16:creationId xmlns:a16="http://schemas.microsoft.com/office/drawing/2014/main" id="{3EEE9DCE-7D21-4594-BFC4-A31D081A966C}"/>
            </a:ext>
          </a:extLst>
        </xdr:cNvPr>
        <xdr:cNvSpPr>
          <a:spLocks noChangeAspect="1" noChangeArrowheads="1"/>
        </xdr:cNvSpPr>
      </xdr:nvSpPr>
      <xdr:spPr bwMode="auto">
        <a:xfrm>
          <a:off x="3803650" y="460375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98</xdr:row>
      <xdr:rowOff>0</xdr:rowOff>
    </xdr:from>
    <xdr:ext cx="304800" cy="304094"/>
    <xdr:sp macro="" textlink="">
      <xdr:nvSpPr>
        <xdr:cNvPr id="289" name="AutoShape 12">
          <a:extLst>
            <a:ext uri="{FF2B5EF4-FFF2-40B4-BE49-F238E27FC236}">
              <a16:creationId xmlns:a16="http://schemas.microsoft.com/office/drawing/2014/main" id="{BA475C6A-425E-4A35-BBCB-3A6D5A702347}"/>
            </a:ext>
          </a:extLst>
        </xdr:cNvPr>
        <xdr:cNvSpPr>
          <a:spLocks noChangeAspect="1" noChangeArrowheads="1"/>
        </xdr:cNvSpPr>
      </xdr:nvSpPr>
      <xdr:spPr bwMode="auto">
        <a:xfrm>
          <a:off x="3803650" y="563499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99</xdr:row>
      <xdr:rowOff>0</xdr:rowOff>
    </xdr:from>
    <xdr:ext cx="304800" cy="304094"/>
    <xdr:sp macro="" textlink="">
      <xdr:nvSpPr>
        <xdr:cNvPr id="290" name="AutoShape 12">
          <a:extLst>
            <a:ext uri="{FF2B5EF4-FFF2-40B4-BE49-F238E27FC236}">
              <a16:creationId xmlns:a16="http://schemas.microsoft.com/office/drawing/2014/main" id="{0BF78CE0-6CB3-4305-9121-8CB5EA0579ED}"/>
            </a:ext>
          </a:extLst>
        </xdr:cNvPr>
        <xdr:cNvSpPr>
          <a:spLocks noChangeAspect="1" noChangeArrowheads="1"/>
        </xdr:cNvSpPr>
      </xdr:nvSpPr>
      <xdr:spPr bwMode="auto">
        <a:xfrm>
          <a:off x="3803650" y="565340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109</xdr:row>
      <xdr:rowOff>0</xdr:rowOff>
    </xdr:from>
    <xdr:ext cx="304800" cy="304094"/>
    <xdr:sp macro="" textlink="">
      <xdr:nvSpPr>
        <xdr:cNvPr id="291" name="AutoShape 12">
          <a:extLst>
            <a:ext uri="{FF2B5EF4-FFF2-40B4-BE49-F238E27FC236}">
              <a16:creationId xmlns:a16="http://schemas.microsoft.com/office/drawing/2014/main" id="{C4994FE0-2406-4B98-9981-332EEF316F5A}"/>
            </a:ext>
          </a:extLst>
        </xdr:cNvPr>
        <xdr:cNvSpPr>
          <a:spLocks noChangeAspect="1" noChangeArrowheads="1"/>
        </xdr:cNvSpPr>
      </xdr:nvSpPr>
      <xdr:spPr bwMode="auto">
        <a:xfrm>
          <a:off x="3803650" y="583755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304800" cy="304094"/>
    <xdr:sp macro="" textlink="">
      <xdr:nvSpPr>
        <xdr:cNvPr id="292" name="AutoShape 12">
          <a:extLst>
            <a:ext uri="{FF2B5EF4-FFF2-40B4-BE49-F238E27FC236}">
              <a16:creationId xmlns:a16="http://schemas.microsoft.com/office/drawing/2014/main" id="{09D15EFA-B71D-4FC2-BC70-1529E6D570B5}"/>
            </a:ext>
          </a:extLst>
        </xdr:cNvPr>
        <xdr:cNvSpPr>
          <a:spLocks noChangeAspect="1" noChangeArrowheads="1"/>
        </xdr:cNvSpPr>
      </xdr:nvSpPr>
      <xdr:spPr bwMode="auto">
        <a:xfrm>
          <a:off x="3803650" y="585597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99</xdr:row>
      <xdr:rowOff>0</xdr:rowOff>
    </xdr:from>
    <xdr:ext cx="304800" cy="304094"/>
    <xdr:sp macro="" textlink="">
      <xdr:nvSpPr>
        <xdr:cNvPr id="293" name="AutoShape 12">
          <a:extLst>
            <a:ext uri="{FF2B5EF4-FFF2-40B4-BE49-F238E27FC236}">
              <a16:creationId xmlns:a16="http://schemas.microsoft.com/office/drawing/2014/main" id="{8E5070C2-2A7A-4839-9402-0C6DAE4103BE}"/>
            </a:ext>
          </a:extLst>
        </xdr:cNvPr>
        <xdr:cNvSpPr>
          <a:spLocks noChangeAspect="1" noChangeArrowheads="1"/>
        </xdr:cNvSpPr>
      </xdr:nvSpPr>
      <xdr:spPr bwMode="auto">
        <a:xfrm>
          <a:off x="3803650" y="565340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100</xdr:row>
      <xdr:rowOff>0</xdr:rowOff>
    </xdr:from>
    <xdr:ext cx="304800" cy="304094"/>
    <xdr:sp macro="" textlink="">
      <xdr:nvSpPr>
        <xdr:cNvPr id="294" name="AutoShape 12">
          <a:extLst>
            <a:ext uri="{FF2B5EF4-FFF2-40B4-BE49-F238E27FC236}">
              <a16:creationId xmlns:a16="http://schemas.microsoft.com/office/drawing/2014/main" id="{E2E5CA64-414E-4002-8016-766E703BF7BB}"/>
            </a:ext>
          </a:extLst>
        </xdr:cNvPr>
        <xdr:cNvSpPr>
          <a:spLocks noChangeAspect="1" noChangeArrowheads="1"/>
        </xdr:cNvSpPr>
      </xdr:nvSpPr>
      <xdr:spPr bwMode="auto">
        <a:xfrm>
          <a:off x="3803650" y="567182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304800" cy="304094"/>
    <xdr:sp macro="" textlink="">
      <xdr:nvSpPr>
        <xdr:cNvPr id="295" name="AutoShape 12">
          <a:extLst>
            <a:ext uri="{FF2B5EF4-FFF2-40B4-BE49-F238E27FC236}">
              <a16:creationId xmlns:a16="http://schemas.microsoft.com/office/drawing/2014/main" id="{069D69DE-8E80-4F5D-8F10-E43900186135}"/>
            </a:ext>
          </a:extLst>
        </xdr:cNvPr>
        <xdr:cNvSpPr>
          <a:spLocks noChangeAspect="1" noChangeArrowheads="1"/>
        </xdr:cNvSpPr>
      </xdr:nvSpPr>
      <xdr:spPr bwMode="auto">
        <a:xfrm>
          <a:off x="3803650" y="585597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111</xdr:row>
      <xdr:rowOff>0</xdr:rowOff>
    </xdr:from>
    <xdr:ext cx="304800" cy="304094"/>
    <xdr:sp macro="" textlink="">
      <xdr:nvSpPr>
        <xdr:cNvPr id="296" name="AutoShape 12">
          <a:extLst>
            <a:ext uri="{FF2B5EF4-FFF2-40B4-BE49-F238E27FC236}">
              <a16:creationId xmlns:a16="http://schemas.microsoft.com/office/drawing/2014/main" id="{F2DB8E27-3553-463E-9521-11C879F3A11A}"/>
            </a:ext>
          </a:extLst>
        </xdr:cNvPr>
        <xdr:cNvSpPr>
          <a:spLocks noChangeAspect="1" noChangeArrowheads="1"/>
        </xdr:cNvSpPr>
      </xdr:nvSpPr>
      <xdr:spPr bwMode="auto">
        <a:xfrm>
          <a:off x="3803650" y="587438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297" name="AutoShape 12">
          <a:extLst>
            <a:ext uri="{FF2B5EF4-FFF2-40B4-BE49-F238E27FC236}">
              <a16:creationId xmlns:a16="http://schemas.microsoft.com/office/drawing/2014/main" id="{840CB50E-B340-4A80-A2F5-1AB8502B9F18}"/>
            </a:ext>
          </a:extLst>
        </xdr:cNvPr>
        <xdr:cNvSpPr>
          <a:spLocks noChangeAspect="1" noChangeArrowheads="1"/>
        </xdr:cNvSpPr>
      </xdr:nvSpPr>
      <xdr:spPr bwMode="auto">
        <a:xfrm>
          <a:off x="3803650" y="438277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298" name="AutoShape 12">
          <a:extLst>
            <a:ext uri="{FF2B5EF4-FFF2-40B4-BE49-F238E27FC236}">
              <a16:creationId xmlns:a16="http://schemas.microsoft.com/office/drawing/2014/main" id="{C1C656B5-05E2-4483-BF36-875AB24EC9AD}"/>
            </a:ext>
          </a:extLst>
        </xdr:cNvPr>
        <xdr:cNvSpPr>
          <a:spLocks noChangeAspect="1" noChangeArrowheads="1"/>
        </xdr:cNvSpPr>
      </xdr:nvSpPr>
      <xdr:spPr bwMode="auto">
        <a:xfrm>
          <a:off x="3803650" y="440118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299" name="AutoShape 12">
          <a:extLst>
            <a:ext uri="{FF2B5EF4-FFF2-40B4-BE49-F238E27FC236}">
              <a16:creationId xmlns:a16="http://schemas.microsoft.com/office/drawing/2014/main" id="{7F50463E-76A6-48DE-B829-E6675E24B2F2}"/>
            </a:ext>
          </a:extLst>
        </xdr:cNvPr>
        <xdr:cNvSpPr>
          <a:spLocks noChangeAspect="1" noChangeArrowheads="1"/>
        </xdr:cNvSpPr>
      </xdr:nvSpPr>
      <xdr:spPr bwMode="auto">
        <a:xfrm>
          <a:off x="3803650" y="458533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00" name="AutoShape 12">
          <a:extLst>
            <a:ext uri="{FF2B5EF4-FFF2-40B4-BE49-F238E27FC236}">
              <a16:creationId xmlns:a16="http://schemas.microsoft.com/office/drawing/2014/main" id="{955E349F-EC29-4AAA-AD5F-E923BF2FF6AF}"/>
            </a:ext>
          </a:extLst>
        </xdr:cNvPr>
        <xdr:cNvSpPr>
          <a:spLocks noChangeAspect="1" noChangeArrowheads="1"/>
        </xdr:cNvSpPr>
      </xdr:nvSpPr>
      <xdr:spPr bwMode="auto">
        <a:xfrm>
          <a:off x="3803650" y="460375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01" name="AutoShape 12">
          <a:extLst>
            <a:ext uri="{FF2B5EF4-FFF2-40B4-BE49-F238E27FC236}">
              <a16:creationId xmlns:a16="http://schemas.microsoft.com/office/drawing/2014/main" id="{30DE8849-124D-4A38-B543-9E21CBAC6737}"/>
            </a:ext>
          </a:extLst>
        </xdr:cNvPr>
        <xdr:cNvSpPr>
          <a:spLocks noChangeAspect="1" noChangeArrowheads="1"/>
        </xdr:cNvSpPr>
      </xdr:nvSpPr>
      <xdr:spPr bwMode="auto">
        <a:xfrm>
          <a:off x="3803650" y="440118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02" name="AutoShape 12">
          <a:extLst>
            <a:ext uri="{FF2B5EF4-FFF2-40B4-BE49-F238E27FC236}">
              <a16:creationId xmlns:a16="http://schemas.microsoft.com/office/drawing/2014/main" id="{7A2BC129-8EBF-41BD-B1F2-234435CBE051}"/>
            </a:ext>
          </a:extLst>
        </xdr:cNvPr>
        <xdr:cNvSpPr>
          <a:spLocks noChangeAspect="1" noChangeArrowheads="1"/>
        </xdr:cNvSpPr>
      </xdr:nvSpPr>
      <xdr:spPr bwMode="auto">
        <a:xfrm>
          <a:off x="3803650" y="441960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03" name="AutoShape 12">
          <a:extLst>
            <a:ext uri="{FF2B5EF4-FFF2-40B4-BE49-F238E27FC236}">
              <a16:creationId xmlns:a16="http://schemas.microsoft.com/office/drawing/2014/main" id="{0A517EBB-22E6-4381-9FB9-A6EE07480065}"/>
            </a:ext>
          </a:extLst>
        </xdr:cNvPr>
        <xdr:cNvSpPr>
          <a:spLocks noChangeAspect="1" noChangeArrowheads="1"/>
        </xdr:cNvSpPr>
      </xdr:nvSpPr>
      <xdr:spPr bwMode="auto">
        <a:xfrm>
          <a:off x="3803650" y="460375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45</xdr:row>
      <xdr:rowOff>0</xdr:rowOff>
    </xdr:from>
    <xdr:ext cx="304800" cy="304094"/>
    <xdr:sp macro="" textlink="">
      <xdr:nvSpPr>
        <xdr:cNvPr id="304" name="AutoShape 12">
          <a:extLst>
            <a:ext uri="{FF2B5EF4-FFF2-40B4-BE49-F238E27FC236}">
              <a16:creationId xmlns:a16="http://schemas.microsoft.com/office/drawing/2014/main" id="{27C52CD3-F8AC-4429-8F75-A3B011FB51F8}"/>
            </a:ext>
          </a:extLst>
        </xdr:cNvPr>
        <xdr:cNvSpPr>
          <a:spLocks noChangeAspect="1" noChangeArrowheads="1"/>
        </xdr:cNvSpPr>
      </xdr:nvSpPr>
      <xdr:spPr bwMode="auto">
        <a:xfrm>
          <a:off x="3803650" y="462216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99</xdr:row>
      <xdr:rowOff>0</xdr:rowOff>
    </xdr:from>
    <xdr:ext cx="304800" cy="304094"/>
    <xdr:sp macro="" textlink="">
      <xdr:nvSpPr>
        <xdr:cNvPr id="305" name="AutoShape 12">
          <a:extLst>
            <a:ext uri="{FF2B5EF4-FFF2-40B4-BE49-F238E27FC236}">
              <a16:creationId xmlns:a16="http://schemas.microsoft.com/office/drawing/2014/main" id="{C831E283-79EF-48B1-B3B8-7393C4BB1325}"/>
            </a:ext>
          </a:extLst>
        </xdr:cNvPr>
        <xdr:cNvSpPr>
          <a:spLocks noChangeAspect="1" noChangeArrowheads="1"/>
        </xdr:cNvSpPr>
      </xdr:nvSpPr>
      <xdr:spPr bwMode="auto">
        <a:xfrm>
          <a:off x="3803650" y="565340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100</xdr:row>
      <xdr:rowOff>0</xdr:rowOff>
    </xdr:from>
    <xdr:ext cx="304800" cy="304094"/>
    <xdr:sp macro="" textlink="">
      <xdr:nvSpPr>
        <xdr:cNvPr id="306" name="AutoShape 12">
          <a:extLst>
            <a:ext uri="{FF2B5EF4-FFF2-40B4-BE49-F238E27FC236}">
              <a16:creationId xmlns:a16="http://schemas.microsoft.com/office/drawing/2014/main" id="{A90E7ECD-1072-4A7F-B736-479F5F86C6BB}"/>
            </a:ext>
          </a:extLst>
        </xdr:cNvPr>
        <xdr:cNvSpPr>
          <a:spLocks noChangeAspect="1" noChangeArrowheads="1"/>
        </xdr:cNvSpPr>
      </xdr:nvSpPr>
      <xdr:spPr bwMode="auto">
        <a:xfrm>
          <a:off x="3803650" y="567182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304800" cy="304094"/>
    <xdr:sp macro="" textlink="">
      <xdr:nvSpPr>
        <xdr:cNvPr id="307" name="AutoShape 12">
          <a:extLst>
            <a:ext uri="{FF2B5EF4-FFF2-40B4-BE49-F238E27FC236}">
              <a16:creationId xmlns:a16="http://schemas.microsoft.com/office/drawing/2014/main" id="{1025E516-9215-471F-A85F-FDB779C35EDE}"/>
            </a:ext>
          </a:extLst>
        </xdr:cNvPr>
        <xdr:cNvSpPr>
          <a:spLocks noChangeAspect="1" noChangeArrowheads="1"/>
        </xdr:cNvSpPr>
      </xdr:nvSpPr>
      <xdr:spPr bwMode="auto">
        <a:xfrm>
          <a:off x="3803650" y="585597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111</xdr:row>
      <xdr:rowOff>0</xdr:rowOff>
    </xdr:from>
    <xdr:ext cx="304800" cy="304094"/>
    <xdr:sp macro="" textlink="">
      <xdr:nvSpPr>
        <xdr:cNvPr id="308" name="AutoShape 12">
          <a:extLst>
            <a:ext uri="{FF2B5EF4-FFF2-40B4-BE49-F238E27FC236}">
              <a16:creationId xmlns:a16="http://schemas.microsoft.com/office/drawing/2014/main" id="{FFAF6950-75BD-4A60-9F3F-4B35326DEAC8}"/>
            </a:ext>
          </a:extLst>
        </xdr:cNvPr>
        <xdr:cNvSpPr>
          <a:spLocks noChangeAspect="1" noChangeArrowheads="1"/>
        </xdr:cNvSpPr>
      </xdr:nvSpPr>
      <xdr:spPr bwMode="auto">
        <a:xfrm>
          <a:off x="3803650" y="587438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100</xdr:row>
      <xdr:rowOff>0</xdr:rowOff>
    </xdr:from>
    <xdr:ext cx="304800" cy="304094"/>
    <xdr:sp macro="" textlink="">
      <xdr:nvSpPr>
        <xdr:cNvPr id="309" name="AutoShape 12">
          <a:extLst>
            <a:ext uri="{FF2B5EF4-FFF2-40B4-BE49-F238E27FC236}">
              <a16:creationId xmlns:a16="http://schemas.microsoft.com/office/drawing/2014/main" id="{AD655FFB-0E9B-4DAB-914B-F33AA0A87B00}"/>
            </a:ext>
          </a:extLst>
        </xdr:cNvPr>
        <xdr:cNvSpPr>
          <a:spLocks noChangeAspect="1" noChangeArrowheads="1"/>
        </xdr:cNvSpPr>
      </xdr:nvSpPr>
      <xdr:spPr bwMode="auto">
        <a:xfrm>
          <a:off x="3803650" y="567182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</xdr:row>
      <xdr:rowOff>0</xdr:rowOff>
    </xdr:from>
    <xdr:ext cx="304800" cy="304094"/>
    <xdr:sp macro="" textlink="">
      <xdr:nvSpPr>
        <xdr:cNvPr id="310" name="AutoShape 12">
          <a:extLst>
            <a:ext uri="{FF2B5EF4-FFF2-40B4-BE49-F238E27FC236}">
              <a16:creationId xmlns:a16="http://schemas.microsoft.com/office/drawing/2014/main" id="{2C4704FF-6AFA-4089-8A3D-E079D11C0082}"/>
            </a:ext>
          </a:extLst>
        </xdr:cNvPr>
        <xdr:cNvSpPr>
          <a:spLocks noChangeAspect="1" noChangeArrowheads="1"/>
        </xdr:cNvSpPr>
      </xdr:nvSpPr>
      <xdr:spPr bwMode="auto">
        <a:xfrm>
          <a:off x="3803650" y="569023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111</xdr:row>
      <xdr:rowOff>0</xdr:rowOff>
    </xdr:from>
    <xdr:ext cx="304800" cy="304094"/>
    <xdr:sp macro="" textlink="">
      <xdr:nvSpPr>
        <xdr:cNvPr id="311" name="AutoShape 12">
          <a:extLst>
            <a:ext uri="{FF2B5EF4-FFF2-40B4-BE49-F238E27FC236}">
              <a16:creationId xmlns:a16="http://schemas.microsoft.com/office/drawing/2014/main" id="{F70ECD05-2BED-4D17-A4C1-B8F4E09DA36B}"/>
            </a:ext>
          </a:extLst>
        </xdr:cNvPr>
        <xdr:cNvSpPr>
          <a:spLocks noChangeAspect="1" noChangeArrowheads="1"/>
        </xdr:cNvSpPr>
      </xdr:nvSpPr>
      <xdr:spPr bwMode="auto">
        <a:xfrm>
          <a:off x="3803650" y="587438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112</xdr:row>
      <xdr:rowOff>0</xdr:rowOff>
    </xdr:from>
    <xdr:ext cx="304800" cy="304094"/>
    <xdr:sp macro="" textlink="">
      <xdr:nvSpPr>
        <xdr:cNvPr id="312" name="AutoShape 12">
          <a:extLst>
            <a:ext uri="{FF2B5EF4-FFF2-40B4-BE49-F238E27FC236}">
              <a16:creationId xmlns:a16="http://schemas.microsoft.com/office/drawing/2014/main" id="{5C8C08C5-6307-4542-9DDB-2614D244C512}"/>
            </a:ext>
          </a:extLst>
        </xdr:cNvPr>
        <xdr:cNvSpPr>
          <a:spLocks noChangeAspect="1" noChangeArrowheads="1"/>
        </xdr:cNvSpPr>
      </xdr:nvSpPr>
      <xdr:spPr bwMode="auto">
        <a:xfrm>
          <a:off x="3803650" y="589280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75</xdr:row>
      <xdr:rowOff>0</xdr:rowOff>
    </xdr:from>
    <xdr:ext cx="304800" cy="304094"/>
    <xdr:sp macro="" textlink="">
      <xdr:nvSpPr>
        <xdr:cNvPr id="313" name="AutoShape 12">
          <a:extLst>
            <a:ext uri="{FF2B5EF4-FFF2-40B4-BE49-F238E27FC236}">
              <a16:creationId xmlns:a16="http://schemas.microsoft.com/office/drawing/2014/main" id="{6A033A40-EF0E-46D0-8FC1-3A437EA309BE}"/>
            </a:ext>
          </a:extLst>
        </xdr:cNvPr>
        <xdr:cNvSpPr>
          <a:spLocks noChangeAspect="1" noChangeArrowheads="1"/>
        </xdr:cNvSpPr>
      </xdr:nvSpPr>
      <xdr:spPr bwMode="auto">
        <a:xfrm>
          <a:off x="3803650" y="51746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76</xdr:row>
      <xdr:rowOff>0</xdr:rowOff>
    </xdr:from>
    <xdr:ext cx="304800" cy="304094"/>
    <xdr:sp macro="" textlink="">
      <xdr:nvSpPr>
        <xdr:cNvPr id="314" name="AutoShape 12">
          <a:extLst>
            <a:ext uri="{FF2B5EF4-FFF2-40B4-BE49-F238E27FC236}">
              <a16:creationId xmlns:a16="http://schemas.microsoft.com/office/drawing/2014/main" id="{79DEA9F4-7C00-4104-86A7-385A4EF22765}"/>
            </a:ext>
          </a:extLst>
        </xdr:cNvPr>
        <xdr:cNvSpPr>
          <a:spLocks noChangeAspect="1" noChangeArrowheads="1"/>
        </xdr:cNvSpPr>
      </xdr:nvSpPr>
      <xdr:spPr bwMode="auto">
        <a:xfrm>
          <a:off x="3803650" y="519303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</xdr:row>
      <xdr:rowOff>0</xdr:rowOff>
    </xdr:from>
    <xdr:ext cx="304800" cy="304094"/>
    <xdr:sp macro="" textlink="">
      <xdr:nvSpPr>
        <xdr:cNvPr id="315" name="AutoShape 12">
          <a:extLst>
            <a:ext uri="{FF2B5EF4-FFF2-40B4-BE49-F238E27FC236}">
              <a16:creationId xmlns:a16="http://schemas.microsoft.com/office/drawing/2014/main" id="{2084F1A4-F728-4E9A-BED9-112431CEE4BF}"/>
            </a:ext>
          </a:extLst>
        </xdr:cNvPr>
        <xdr:cNvSpPr>
          <a:spLocks noChangeAspect="1" noChangeArrowheads="1"/>
        </xdr:cNvSpPr>
      </xdr:nvSpPr>
      <xdr:spPr bwMode="auto">
        <a:xfrm>
          <a:off x="3803650" y="537718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</xdr:row>
      <xdr:rowOff>0</xdr:rowOff>
    </xdr:from>
    <xdr:ext cx="304800" cy="304094"/>
    <xdr:sp macro="" textlink="">
      <xdr:nvSpPr>
        <xdr:cNvPr id="316" name="AutoShape 12">
          <a:extLst>
            <a:ext uri="{FF2B5EF4-FFF2-40B4-BE49-F238E27FC236}">
              <a16:creationId xmlns:a16="http://schemas.microsoft.com/office/drawing/2014/main" id="{09E4F6F4-FC8D-47E6-9ED2-1632FACF138C}"/>
            </a:ext>
          </a:extLst>
        </xdr:cNvPr>
        <xdr:cNvSpPr>
          <a:spLocks noChangeAspect="1" noChangeArrowheads="1"/>
        </xdr:cNvSpPr>
      </xdr:nvSpPr>
      <xdr:spPr bwMode="auto">
        <a:xfrm>
          <a:off x="3803650" y="539559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76</xdr:row>
      <xdr:rowOff>0</xdr:rowOff>
    </xdr:from>
    <xdr:ext cx="304800" cy="304094"/>
    <xdr:sp macro="" textlink="">
      <xdr:nvSpPr>
        <xdr:cNvPr id="317" name="AutoShape 12">
          <a:extLst>
            <a:ext uri="{FF2B5EF4-FFF2-40B4-BE49-F238E27FC236}">
              <a16:creationId xmlns:a16="http://schemas.microsoft.com/office/drawing/2014/main" id="{3DBD568B-1638-43D6-8E60-6665C98520D9}"/>
            </a:ext>
          </a:extLst>
        </xdr:cNvPr>
        <xdr:cNvSpPr>
          <a:spLocks noChangeAspect="1" noChangeArrowheads="1"/>
        </xdr:cNvSpPr>
      </xdr:nvSpPr>
      <xdr:spPr bwMode="auto">
        <a:xfrm>
          <a:off x="3803650" y="519303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</xdr:row>
      <xdr:rowOff>0</xdr:rowOff>
    </xdr:from>
    <xdr:ext cx="304800" cy="304094"/>
    <xdr:sp macro="" textlink="">
      <xdr:nvSpPr>
        <xdr:cNvPr id="318" name="AutoShape 12">
          <a:extLst>
            <a:ext uri="{FF2B5EF4-FFF2-40B4-BE49-F238E27FC236}">
              <a16:creationId xmlns:a16="http://schemas.microsoft.com/office/drawing/2014/main" id="{7FA4EF60-D6A0-484F-BF4D-D35B5B64AAC2}"/>
            </a:ext>
          </a:extLst>
        </xdr:cNvPr>
        <xdr:cNvSpPr>
          <a:spLocks noChangeAspect="1" noChangeArrowheads="1"/>
        </xdr:cNvSpPr>
      </xdr:nvSpPr>
      <xdr:spPr bwMode="auto">
        <a:xfrm>
          <a:off x="3803650" y="521144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</xdr:row>
      <xdr:rowOff>0</xdr:rowOff>
    </xdr:from>
    <xdr:ext cx="304800" cy="304094"/>
    <xdr:sp macro="" textlink="">
      <xdr:nvSpPr>
        <xdr:cNvPr id="319" name="AutoShape 12">
          <a:extLst>
            <a:ext uri="{FF2B5EF4-FFF2-40B4-BE49-F238E27FC236}">
              <a16:creationId xmlns:a16="http://schemas.microsoft.com/office/drawing/2014/main" id="{F39DB55E-63E1-40EC-9B12-F4181A6ECB2D}"/>
            </a:ext>
          </a:extLst>
        </xdr:cNvPr>
        <xdr:cNvSpPr>
          <a:spLocks noChangeAspect="1" noChangeArrowheads="1"/>
        </xdr:cNvSpPr>
      </xdr:nvSpPr>
      <xdr:spPr bwMode="auto">
        <a:xfrm>
          <a:off x="3803650" y="539559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</xdr:row>
      <xdr:rowOff>0</xdr:rowOff>
    </xdr:from>
    <xdr:ext cx="304800" cy="304094"/>
    <xdr:sp macro="" textlink="">
      <xdr:nvSpPr>
        <xdr:cNvPr id="320" name="AutoShape 12">
          <a:extLst>
            <a:ext uri="{FF2B5EF4-FFF2-40B4-BE49-F238E27FC236}">
              <a16:creationId xmlns:a16="http://schemas.microsoft.com/office/drawing/2014/main" id="{E74522F5-93D7-4E30-8CB0-4D9FC8507BD0}"/>
            </a:ext>
          </a:extLst>
        </xdr:cNvPr>
        <xdr:cNvSpPr>
          <a:spLocks noChangeAspect="1" noChangeArrowheads="1"/>
        </xdr:cNvSpPr>
      </xdr:nvSpPr>
      <xdr:spPr bwMode="auto">
        <a:xfrm>
          <a:off x="3803650" y="541401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76</xdr:row>
      <xdr:rowOff>0</xdr:rowOff>
    </xdr:from>
    <xdr:ext cx="304800" cy="304094"/>
    <xdr:sp macro="" textlink="">
      <xdr:nvSpPr>
        <xdr:cNvPr id="321" name="AutoShape 12">
          <a:extLst>
            <a:ext uri="{FF2B5EF4-FFF2-40B4-BE49-F238E27FC236}">
              <a16:creationId xmlns:a16="http://schemas.microsoft.com/office/drawing/2014/main" id="{CF229453-96ED-4E00-BC50-3CE3CB4A43CC}"/>
            </a:ext>
          </a:extLst>
        </xdr:cNvPr>
        <xdr:cNvSpPr>
          <a:spLocks noChangeAspect="1" noChangeArrowheads="1"/>
        </xdr:cNvSpPr>
      </xdr:nvSpPr>
      <xdr:spPr bwMode="auto">
        <a:xfrm>
          <a:off x="3803650" y="519303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</xdr:row>
      <xdr:rowOff>0</xdr:rowOff>
    </xdr:from>
    <xdr:ext cx="304800" cy="304094"/>
    <xdr:sp macro="" textlink="">
      <xdr:nvSpPr>
        <xdr:cNvPr id="322" name="AutoShape 12">
          <a:extLst>
            <a:ext uri="{FF2B5EF4-FFF2-40B4-BE49-F238E27FC236}">
              <a16:creationId xmlns:a16="http://schemas.microsoft.com/office/drawing/2014/main" id="{0CDEE2BE-0BCC-4796-866A-CB1F85812560}"/>
            </a:ext>
          </a:extLst>
        </xdr:cNvPr>
        <xdr:cNvSpPr>
          <a:spLocks noChangeAspect="1" noChangeArrowheads="1"/>
        </xdr:cNvSpPr>
      </xdr:nvSpPr>
      <xdr:spPr bwMode="auto">
        <a:xfrm>
          <a:off x="3803650" y="521144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</xdr:row>
      <xdr:rowOff>0</xdr:rowOff>
    </xdr:from>
    <xdr:ext cx="304800" cy="304094"/>
    <xdr:sp macro="" textlink="">
      <xdr:nvSpPr>
        <xdr:cNvPr id="323" name="AutoShape 12">
          <a:extLst>
            <a:ext uri="{FF2B5EF4-FFF2-40B4-BE49-F238E27FC236}">
              <a16:creationId xmlns:a16="http://schemas.microsoft.com/office/drawing/2014/main" id="{32AD5612-F97C-4DE7-A72E-A0B0453AC8A6}"/>
            </a:ext>
          </a:extLst>
        </xdr:cNvPr>
        <xdr:cNvSpPr>
          <a:spLocks noChangeAspect="1" noChangeArrowheads="1"/>
        </xdr:cNvSpPr>
      </xdr:nvSpPr>
      <xdr:spPr bwMode="auto">
        <a:xfrm>
          <a:off x="3803650" y="539559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</xdr:row>
      <xdr:rowOff>0</xdr:rowOff>
    </xdr:from>
    <xdr:ext cx="304800" cy="304094"/>
    <xdr:sp macro="" textlink="">
      <xdr:nvSpPr>
        <xdr:cNvPr id="324" name="AutoShape 12">
          <a:extLst>
            <a:ext uri="{FF2B5EF4-FFF2-40B4-BE49-F238E27FC236}">
              <a16:creationId xmlns:a16="http://schemas.microsoft.com/office/drawing/2014/main" id="{C16EFA23-5E5F-4433-A506-58D4DEC3EA18}"/>
            </a:ext>
          </a:extLst>
        </xdr:cNvPr>
        <xdr:cNvSpPr>
          <a:spLocks noChangeAspect="1" noChangeArrowheads="1"/>
        </xdr:cNvSpPr>
      </xdr:nvSpPr>
      <xdr:spPr bwMode="auto">
        <a:xfrm>
          <a:off x="3803650" y="541401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</xdr:row>
      <xdr:rowOff>0</xdr:rowOff>
    </xdr:from>
    <xdr:ext cx="304800" cy="304094"/>
    <xdr:sp macro="" textlink="">
      <xdr:nvSpPr>
        <xdr:cNvPr id="325" name="AutoShape 12">
          <a:extLst>
            <a:ext uri="{FF2B5EF4-FFF2-40B4-BE49-F238E27FC236}">
              <a16:creationId xmlns:a16="http://schemas.microsoft.com/office/drawing/2014/main" id="{19604470-DD2D-4FCD-A232-714C792FBB9B}"/>
            </a:ext>
          </a:extLst>
        </xdr:cNvPr>
        <xdr:cNvSpPr>
          <a:spLocks noChangeAspect="1" noChangeArrowheads="1"/>
        </xdr:cNvSpPr>
      </xdr:nvSpPr>
      <xdr:spPr bwMode="auto">
        <a:xfrm>
          <a:off x="3803650" y="521144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78</xdr:row>
      <xdr:rowOff>0</xdr:rowOff>
    </xdr:from>
    <xdr:ext cx="304800" cy="304094"/>
    <xdr:sp macro="" textlink="">
      <xdr:nvSpPr>
        <xdr:cNvPr id="326" name="AutoShape 12">
          <a:extLst>
            <a:ext uri="{FF2B5EF4-FFF2-40B4-BE49-F238E27FC236}">
              <a16:creationId xmlns:a16="http://schemas.microsoft.com/office/drawing/2014/main" id="{681F5633-0CFD-4C84-87E0-4E7DCA08F889}"/>
            </a:ext>
          </a:extLst>
        </xdr:cNvPr>
        <xdr:cNvSpPr>
          <a:spLocks noChangeAspect="1" noChangeArrowheads="1"/>
        </xdr:cNvSpPr>
      </xdr:nvSpPr>
      <xdr:spPr bwMode="auto">
        <a:xfrm>
          <a:off x="3803650" y="522986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</xdr:row>
      <xdr:rowOff>0</xdr:rowOff>
    </xdr:from>
    <xdr:ext cx="304800" cy="304094"/>
    <xdr:sp macro="" textlink="">
      <xdr:nvSpPr>
        <xdr:cNvPr id="327" name="AutoShape 12">
          <a:extLst>
            <a:ext uri="{FF2B5EF4-FFF2-40B4-BE49-F238E27FC236}">
              <a16:creationId xmlns:a16="http://schemas.microsoft.com/office/drawing/2014/main" id="{2E5FAB79-B815-4710-AAFC-EFA39C76A803}"/>
            </a:ext>
          </a:extLst>
        </xdr:cNvPr>
        <xdr:cNvSpPr>
          <a:spLocks noChangeAspect="1" noChangeArrowheads="1"/>
        </xdr:cNvSpPr>
      </xdr:nvSpPr>
      <xdr:spPr bwMode="auto">
        <a:xfrm>
          <a:off x="3803650" y="541401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88</xdr:row>
      <xdr:rowOff>0</xdr:rowOff>
    </xdr:from>
    <xdr:ext cx="304800" cy="304094"/>
    <xdr:sp macro="" textlink="">
      <xdr:nvSpPr>
        <xdr:cNvPr id="328" name="AutoShape 12">
          <a:extLst>
            <a:ext uri="{FF2B5EF4-FFF2-40B4-BE49-F238E27FC236}">
              <a16:creationId xmlns:a16="http://schemas.microsoft.com/office/drawing/2014/main" id="{6D3649FB-E9E3-4619-BDFD-8C629E348642}"/>
            </a:ext>
          </a:extLst>
        </xdr:cNvPr>
        <xdr:cNvSpPr>
          <a:spLocks noChangeAspect="1" noChangeArrowheads="1"/>
        </xdr:cNvSpPr>
      </xdr:nvSpPr>
      <xdr:spPr bwMode="auto">
        <a:xfrm>
          <a:off x="3803650" y="543242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80</xdr:row>
      <xdr:rowOff>0</xdr:rowOff>
    </xdr:from>
    <xdr:ext cx="304800" cy="304094"/>
    <xdr:sp macro="" textlink="">
      <xdr:nvSpPr>
        <xdr:cNvPr id="329" name="AutoShape 12">
          <a:extLst>
            <a:ext uri="{FF2B5EF4-FFF2-40B4-BE49-F238E27FC236}">
              <a16:creationId xmlns:a16="http://schemas.microsoft.com/office/drawing/2014/main" id="{43275190-EFF9-447A-9FED-24E638843DBB}"/>
            </a:ext>
          </a:extLst>
        </xdr:cNvPr>
        <xdr:cNvSpPr>
          <a:spLocks noChangeAspect="1" noChangeArrowheads="1"/>
        </xdr:cNvSpPr>
      </xdr:nvSpPr>
      <xdr:spPr bwMode="auto">
        <a:xfrm>
          <a:off x="3803650" y="526669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81</xdr:row>
      <xdr:rowOff>0</xdr:rowOff>
    </xdr:from>
    <xdr:ext cx="304800" cy="304094"/>
    <xdr:sp macro="" textlink="">
      <xdr:nvSpPr>
        <xdr:cNvPr id="330" name="AutoShape 12">
          <a:extLst>
            <a:ext uri="{FF2B5EF4-FFF2-40B4-BE49-F238E27FC236}">
              <a16:creationId xmlns:a16="http://schemas.microsoft.com/office/drawing/2014/main" id="{9D1D36F0-377D-4E9F-8D1E-A6DB8624B321}"/>
            </a:ext>
          </a:extLst>
        </xdr:cNvPr>
        <xdr:cNvSpPr>
          <a:spLocks noChangeAspect="1" noChangeArrowheads="1"/>
        </xdr:cNvSpPr>
      </xdr:nvSpPr>
      <xdr:spPr bwMode="auto">
        <a:xfrm>
          <a:off x="3803650" y="528510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90</xdr:row>
      <xdr:rowOff>0</xdr:rowOff>
    </xdr:from>
    <xdr:ext cx="304800" cy="304094"/>
    <xdr:sp macro="" textlink="">
      <xdr:nvSpPr>
        <xdr:cNvPr id="331" name="AutoShape 12">
          <a:extLst>
            <a:ext uri="{FF2B5EF4-FFF2-40B4-BE49-F238E27FC236}">
              <a16:creationId xmlns:a16="http://schemas.microsoft.com/office/drawing/2014/main" id="{803CA760-3565-4FF4-9387-B31F7130DF52}"/>
            </a:ext>
          </a:extLst>
        </xdr:cNvPr>
        <xdr:cNvSpPr>
          <a:spLocks noChangeAspect="1" noChangeArrowheads="1"/>
        </xdr:cNvSpPr>
      </xdr:nvSpPr>
      <xdr:spPr bwMode="auto">
        <a:xfrm>
          <a:off x="3803650" y="546925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90</xdr:row>
      <xdr:rowOff>0</xdr:rowOff>
    </xdr:from>
    <xdr:ext cx="304800" cy="304094"/>
    <xdr:sp macro="" textlink="">
      <xdr:nvSpPr>
        <xdr:cNvPr id="332" name="AutoShape 12">
          <a:extLst>
            <a:ext uri="{FF2B5EF4-FFF2-40B4-BE49-F238E27FC236}">
              <a16:creationId xmlns:a16="http://schemas.microsoft.com/office/drawing/2014/main" id="{F9DF6D93-AC2D-41E2-ADE2-5F7C59079646}"/>
            </a:ext>
          </a:extLst>
        </xdr:cNvPr>
        <xdr:cNvSpPr>
          <a:spLocks noChangeAspect="1" noChangeArrowheads="1"/>
        </xdr:cNvSpPr>
      </xdr:nvSpPr>
      <xdr:spPr bwMode="auto">
        <a:xfrm>
          <a:off x="3803650" y="548767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81</xdr:row>
      <xdr:rowOff>0</xdr:rowOff>
    </xdr:from>
    <xdr:ext cx="304800" cy="304094"/>
    <xdr:sp macro="" textlink="">
      <xdr:nvSpPr>
        <xdr:cNvPr id="333" name="AutoShape 12">
          <a:extLst>
            <a:ext uri="{FF2B5EF4-FFF2-40B4-BE49-F238E27FC236}">
              <a16:creationId xmlns:a16="http://schemas.microsoft.com/office/drawing/2014/main" id="{ABC1031A-C741-4436-8AA3-DD88C3F5F807}"/>
            </a:ext>
          </a:extLst>
        </xdr:cNvPr>
        <xdr:cNvSpPr>
          <a:spLocks noChangeAspect="1" noChangeArrowheads="1"/>
        </xdr:cNvSpPr>
      </xdr:nvSpPr>
      <xdr:spPr bwMode="auto">
        <a:xfrm>
          <a:off x="3803650" y="528510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82</xdr:row>
      <xdr:rowOff>0</xdr:rowOff>
    </xdr:from>
    <xdr:ext cx="304800" cy="304094"/>
    <xdr:sp macro="" textlink="">
      <xdr:nvSpPr>
        <xdr:cNvPr id="334" name="AutoShape 12">
          <a:extLst>
            <a:ext uri="{FF2B5EF4-FFF2-40B4-BE49-F238E27FC236}">
              <a16:creationId xmlns:a16="http://schemas.microsoft.com/office/drawing/2014/main" id="{6E9E06BD-4A36-48A3-AB97-FC28AB083DC2}"/>
            </a:ext>
          </a:extLst>
        </xdr:cNvPr>
        <xdr:cNvSpPr>
          <a:spLocks noChangeAspect="1" noChangeArrowheads="1"/>
        </xdr:cNvSpPr>
      </xdr:nvSpPr>
      <xdr:spPr bwMode="auto">
        <a:xfrm>
          <a:off x="3803650" y="530352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90</xdr:row>
      <xdr:rowOff>0</xdr:rowOff>
    </xdr:from>
    <xdr:ext cx="304800" cy="304094"/>
    <xdr:sp macro="" textlink="">
      <xdr:nvSpPr>
        <xdr:cNvPr id="335" name="AutoShape 12">
          <a:extLst>
            <a:ext uri="{FF2B5EF4-FFF2-40B4-BE49-F238E27FC236}">
              <a16:creationId xmlns:a16="http://schemas.microsoft.com/office/drawing/2014/main" id="{20E15B6E-0564-4E2B-AB79-4282D236D141}"/>
            </a:ext>
          </a:extLst>
        </xdr:cNvPr>
        <xdr:cNvSpPr>
          <a:spLocks noChangeAspect="1" noChangeArrowheads="1"/>
        </xdr:cNvSpPr>
      </xdr:nvSpPr>
      <xdr:spPr bwMode="auto">
        <a:xfrm>
          <a:off x="3803650" y="548767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</xdr:row>
      <xdr:rowOff>0</xdr:rowOff>
    </xdr:from>
    <xdr:ext cx="304800" cy="304094"/>
    <xdr:sp macro="" textlink="">
      <xdr:nvSpPr>
        <xdr:cNvPr id="336" name="AutoShape 12">
          <a:extLst>
            <a:ext uri="{FF2B5EF4-FFF2-40B4-BE49-F238E27FC236}">
              <a16:creationId xmlns:a16="http://schemas.microsoft.com/office/drawing/2014/main" id="{7577A92B-B9EA-4FA6-B0D5-7FB40D36FD0F}"/>
            </a:ext>
          </a:extLst>
        </xdr:cNvPr>
        <xdr:cNvSpPr>
          <a:spLocks noChangeAspect="1" noChangeArrowheads="1"/>
        </xdr:cNvSpPr>
      </xdr:nvSpPr>
      <xdr:spPr bwMode="auto">
        <a:xfrm>
          <a:off x="3803650" y="550608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81</xdr:row>
      <xdr:rowOff>0</xdr:rowOff>
    </xdr:from>
    <xdr:ext cx="304800" cy="304094"/>
    <xdr:sp macro="" textlink="">
      <xdr:nvSpPr>
        <xdr:cNvPr id="337" name="AutoShape 12">
          <a:extLst>
            <a:ext uri="{FF2B5EF4-FFF2-40B4-BE49-F238E27FC236}">
              <a16:creationId xmlns:a16="http://schemas.microsoft.com/office/drawing/2014/main" id="{1D99E841-2EB0-4690-8630-7356F2C7F3FC}"/>
            </a:ext>
          </a:extLst>
        </xdr:cNvPr>
        <xdr:cNvSpPr>
          <a:spLocks noChangeAspect="1" noChangeArrowheads="1"/>
        </xdr:cNvSpPr>
      </xdr:nvSpPr>
      <xdr:spPr bwMode="auto">
        <a:xfrm>
          <a:off x="3803650" y="528510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82</xdr:row>
      <xdr:rowOff>0</xdr:rowOff>
    </xdr:from>
    <xdr:ext cx="304800" cy="304094"/>
    <xdr:sp macro="" textlink="">
      <xdr:nvSpPr>
        <xdr:cNvPr id="338" name="AutoShape 12">
          <a:extLst>
            <a:ext uri="{FF2B5EF4-FFF2-40B4-BE49-F238E27FC236}">
              <a16:creationId xmlns:a16="http://schemas.microsoft.com/office/drawing/2014/main" id="{F73FF48C-2A8C-40CC-AE3E-92BEEC329B02}"/>
            </a:ext>
          </a:extLst>
        </xdr:cNvPr>
        <xdr:cNvSpPr>
          <a:spLocks noChangeAspect="1" noChangeArrowheads="1"/>
        </xdr:cNvSpPr>
      </xdr:nvSpPr>
      <xdr:spPr bwMode="auto">
        <a:xfrm>
          <a:off x="3803650" y="530352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90</xdr:row>
      <xdr:rowOff>0</xdr:rowOff>
    </xdr:from>
    <xdr:ext cx="304800" cy="304094"/>
    <xdr:sp macro="" textlink="">
      <xdr:nvSpPr>
        <xdr:cNvPr id="339" name="AutoShape 12">
          <a:extLst>
            <a:ext uri="{FF2B5EF4-FFF2-40B4-BE49-F238E27FC236}">
              <a16:creationId xmlns:a16="http://schemas.microsoft.com/office/drawing/2014/main" id="{02DD1479-3B73-4B82-8BE8-6AB00450D816}"/>
            </a:ext>
          </a:extLst>
        </xdr:cNvPr>
        <xdr:cNvSpPr>
          <a:spLocks noChangeAspect="1" noChangeArrowheads="1"/>
        </xdr:cNvSpPr>
      </xdr:nvSpPr>
      <xdr:spPr bwMode="auto">
        <a:xfrm>
          <a:off x="3803650" y="548767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</xdr:row>
      <xdr:rowOff>0</xdr:rowOff>
    </xdr:from>
    <xdr:ext cx="304800" cy="304094"/>
    <xdr:sp macro="" textlink="">
      <xdr:nvSpPr>
        <xdr:cNvPr id="340" name="AutoShape 12">
          <a:extLst>
            <a:ext uri="{FF2B5EF4-FFF2-40B4-BE49-F238E27FC236}">
              <a16:creationId xmlns:a16="http://schemas.microsoft.com/office/drawing/2014/main" id="{92C3FF42-6013-4669-B35E-32E88540D706}"/>
            </a:ext>
          </a:extLst>
        </xdr:cNvPr>
        <xdr:cNvSpPr>
          <a:spLocks noChangeAspect="1" noChangeArrowheads="1"/>
        </xdr:cNvSpPr>
      </xdr:nvSpPr>
      <xdr:spPr bwMode="auto">
        <a:xfrm>
          <a:off x="3803650" y="550608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82</xdr:row>
      <xdr:rowOff>0</xdr:rowOff>
    </xdr:from>
    <xdr:ext cx="304800" cy="304094"/>
    <xdr:sp macro="" textlink="">
      <xdr:nvSpPr>
        <xdr:cNvPr id="341" name="AutoShape 12">
          <a:extLst>
            <a:ext uri="{FF2B5EF4-FFF2-40B4-BE49-F238E27FC236}">
              <a16:creationId xmlns:a16="http://schemas.microsoft.com/office/drawing/2014/main" id="{7B423A46-DF0B-44A7-8B81-531EFFCF9BFE}"/>
            </a:ext>
          </a:extLst>
        </xdr:cNvPr>
        <xdr:cNvSpPr>
          <a:spLocks noChangeAspect="1" noChangeArrowheads="1"/>
        </xdr:cNvSpPr>
      </xdr:nvSpPr>
      <xdr:spPr bwMode="auto">
        <a:xfrm>
          <a:off x="3803650" y="530352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</xdr:row>
      <xdr:rowOff>0</xdr:rowOff>
    </xdr:from>
    <xdr:ext cx="304800" cy="304094"/>
    <xdr:sp macro="" textlink="">
      <xdr:nvSpPr>
        <xdr:cNvPr id="342" name="AutoShape 12">
          <a:extLst>
            <a:ext uri="{FF2B5EF4-FFF2-40B4-BE49-F238E27FC236}">
              <a16:creationId xmlns:a16="http://schemas.microsoft.com/office/drawing/2014/main" id="{6DE2DF99-6651-410D-9A80-DFBA6755587E}"/>
            </a:ext>
          </a:extLst>
        </xdr:cNvPr>
        <xdr:cNvSpPr>
          <a:spLocks noChangeAspect="1" noChangeArrowheads="1"/>
        </xdr:cNvSpPr>
      </xdr:nvSpPr>
      <xdr:spPr bwMode="auto">
        <a:xfrm>
          <a:off x="3803650" y="532193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</xdr:row>
      <xdr:rowOff>0</xdr:rowOff>
    </xdr:from>
    <xdr:ext cx="304800" cy="304094"/>
    <xdr:sp macro="" textlink="">
      <xdr:nvSpPr>
        <xdr:cNvPr id="343" name="AutoShape 12">
          <a:extLst>
            <a:ext uri="{FF2B5EF4-FFF2-40B4-BE49-F238E27FC236}">
              <a16:creationId xmlns:a16="http://schemas.microsoft.com/office/drawing/2014/main" id="{D8BE940C-2640-4191-B9C3-CC3E5C449B72}"/>
            </a:ext>
          </a:extLst>
        </xdr:cNvPr>
        <xdr:cNvSpPr>
          <a:spLocks noChangeAspect="1" noChangeArrowheads="1"/>
        </xdr:cNvSpPr>
      </xdr:nvSpPr>
      <xdr:spPr bwMode="auto">
        <a:xfrm>
          <a:off x="3803650" y="550608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92</xdr:row>
      <xdr:rowOff>0</xdr:rowOff>
    </xdr:from>
    <xdr:ext cx="304800" cy="304094"/>
    <xdr:sp macro="" textlink="">
      <xdr:nvSpPr>
        <xdr:cNvPr id="344" name="AutoShape 12">
          <a:extLst>
            <a:ext uri="{FF2B5EF4-FFF2-40B4-BE49-F238E27FC236}">
              <a16:creationId xmlns:a16="http://schemas.microsoft.com/office/drawing/2014/main" id="{B77DE4F2-FB52-4666-8959-931E2D019498}"/>
            </a:ext>
          </a:extLst>
        </xdr:cNvPr>
        <xdr:cNvSpPr>
          <a:spLocks noChangeAspect="1" noChangeArrowheads="1"/>
        </xdr:cNvSpPr>
      </xdr:nvSpPr>
      <xdr:spPr bwMode="auto">
        <a:xfrm>
          <a:off x="3803650" y="552450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122</xdr:row>
      <xdr:rowOff>0</xdr:rowOff>
    </xdr:from>
    <xdr:ext cx="304800" cy="304094"/>
    <xdr:sp macro="" textlink="">
      <xdr:nvSpPr>
        <xdr:cNvPr id="345" name="AutoShape 12">
          <a:extLst>
            <a:ext uri="{FF2B5EF4-FFF2-40B4-BE49-F238E27FC236}">
              <a16:creationId xmlns:a16="http://schemas.microsoft.com/office/drawing/2014/main" id="{967EA74C-84AE-412C-B2C8-91C3E2F19494}"/>
            </a:ext>
          </a:extLst>
        </xdr:cNvPr>
        <xdr:cNvSpPr>
          <a:spLocks noChangeAspect="1" noChangeArrowheads="1"/>
        </xdr:cNvSpPr>
      </xdr:nvSpPr>
      <xdr:spPr bwMode="auto">
        <a:xfrm>
          <a:off x="3803650" y="607695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123</xdr:row>
      <xdr:rowOff>0</xdr:rowOff>
    </xdr:from>
    <xdr:ext cx="304800" cy="304094"/>
    <xdr:sp macro="" textlink="">
      <xdr:nvSpPr>
        <xdr:cNvPr id="346" name="AutoShape 12">
          <a:extLst>
            <a:ext uri="{FF2B5EF4-FFF2-40B4-BE49-F238E27FC236}">
              <a16:creationId xmlns:a16="http://schemas.microsoft.com/office/drawing/2014/main" id="{D11AD98C-F746-4FC9-91F2-4FCCE278E31D}"/>
            </a:ext>
          </a:extLst>
        </xdr:cNvPr>
        <xdr:cNvSpPr>
          <a:spLocks noChangeAspect="1" noChangeArrowheads="1"/>
        </xdr:cNvSpPr>
      </xdr:nvSpPr>
      <xdr:spPr bwMode="auto">
        <a:xfrm>
          <a:off x="3803650" y="609536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133</xdr:row>
      <xdr:rowOff>0</xdr:rowOff>
    </xdr:from>
    <xdr:ext cx="304800" cy="304094"/>
    <xdr:sp macro="" textlink="">
      <xdr:nvSpPr>
        <xdr:cNvPr id="347" name="AutoShape 12">
          <a:extLst>
            <a:ext uri="{FF2B5EF4-FFF2-40B4-BE49-F238E27FC236}">
              <a16:creationId xmlns:a16="http://schemas.microsoft.com/office/drawing/2014/main" id="{95FD53D6-21DE-41FD-9F67-9FA8CE352209}"/>
            </a:ext>
          </a:extLst>
        </xdr:cNvPr>
        <xdr:cNvSpPr>
          <a:spLocks noChangeAspect="1" noChangeArrowheads="1"/>
        </xdr:cNvSpPr>
      </xdr:nvSpPr>
      <xdr:spPr bwMode="auto">
        <a:xfrm>
          <a:off x="3803650" y="62795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134</xdr:row>
      <xdr:rowOff>0</xdr:rowOff>
    </xdr:from>
    <xdr:ext cx="304800" cy="304094"/>
    <xdr:sp macro="" textlink="">
      <xdr:nvSpPr>
        <xdr:cNvPr id="348" name="AutoShape 12">
          <a:extLst>
            <a:ext uri="{FF2B5EF4-FFF2-40B4-BE49-F238E27FC236}">
              <a16:creationId xmlns:a16="http://schemas.microsoft.com/office/drawing/2014/main" id="{3D496572-196C-4E49-A12E-3EAD852EF7EE}"/>
            </a:ext>
          </a:extLst>
        </xdr:cNvPr>
        <xdr:cNvSpPr>
          <a:spLocks noChangeAspect="1" noChangeArrowheads="1"/>
        </xdr:cNvSpPr>
      </xdr:nvSpPr>
      <xdr:spPr bwMode="auto">
        <a:xfrm>
          <a:off x="3803650" y="629793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123</xdr:row>
      <xdr:rowOff>0</xdr:rowOff>
    </xdr:from>
    <xdr:ext cx="304800" cy="304094"/>
    <xdr:sp macro="" textlink="">
      <xdr:nvSpPr>
        <xdr:cNvPr id="349" name="AutoShape 12">
          <a:extLst>
            <a:ext uri="{FF2B5EF4-FFF2-40B4-BE49-F238E27FC236}">
              <a16:creationId xmlns:a16="http://schemas.microsoft.com/office/drawing/2014/main" id="{A1BA10A3-F937-4E24-BB8D-C2B15A969D17}"/>
            </a:ext>
          </a:extLst>
        </xdr:cNvPr>
        <xdr:cNvSpPr>
          <a:spLocks noChangeAspect="1" noChangeArrowheads="1"/>
        </xdr:cNvSpPr>
      </xdr:nvSpPr>
      <xdr:spPr bwMode="auto">
        <a:xfrm>
          <a:off x="3803650" y="609536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124</xdr:row>
      <xdr:rowOff>0</xdr:rowOff>
    </xdr:from>
    <xdr:ext cx="304800" cy="304094"/>
    <xdr:sp macro="" textlink="">
      <xdr:nvSpPr>
        <xdr:cNvPr id="350" name="AutoShape 12">
          <a:extLst>
            <a:ext uri="{FF2B5EF4-FFF2-40B4-BE49-F238E27FC236}">
              <a16:creationId xmlns:a16="http://schemas.microsoft.com/office/drawing/2014/main" id="{F9A70C69-0345-48F9-A450-68DF755FD4E6}"/>
            </a:ext>
          </a:extLst>
        </xdr:cNvPr>
        <xdr:cNvSpPr>
          <a:spLocks noChangeAspect="1" noChangeArrowheads="1"/>
        </xdr:cNvSpPr>
      </xdr:nvSpPr>
      <xdr:spPr bwMode="auto">
        <a:xfrm>
          <a:off x="3803650" y="611378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134</xdr:row>
      <xdr:rowOff>0</xdr:rowOff>
    </xdr:from>
    <xdr:ext cx="304800" cy="304094"/>
    <xdr:sp macro="" textlink="">
      <xdr:nvSpPr>
        <xdr:cNvPr id="351" name="AutoShape 12">
          <a:extLst>
            <a:ext uri="{FF2B5EF4-FFF2-40B4-BE49-F238E27FC236}">
              <a16:creationId xmlns:a16="http://schemas.microsoft.com/office/drawing/2014/main" id="{80C0FFF3-99C3-4B39-B62F-97EA7E70160C}"/>
            </a:ext>
          </a:extLst>
        </xdr:cNvPr>
        <xdr:cNvSpPr>
          <a:spLocks noChangeAspect="1" noChangeArrowheads="1"/>
        </xdr:cNvSpPr>
      </xdr:nvSpPr>
      <xdr:spPr bwMode="auto">
        <a:xfrm>
          <a:off x="3803650" y="629793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135</xdr:row>
      <xdr:rowOff>0</xdr:rowOff>
    </xdr:from>
    <xdr:ext cx="304800" cy="304094"/>
    <xdr:sp macro="" textlink="">
      <xdr:nvSpPr>
        <xdr:cNvPr id="352" name="AutoShape 12">
          <a:extLst>
            <a:ext uri="{FF2B5EF4-FFF2-40B4-BE49-F238E27FC236}">
              <a16:creationId xmlns:a16="http://schemas.microsoft.com/office/drawing/2014/main" id="{A86C8914-2810-4F39-B47B-A445BF5912F2}"/>
            </a:ext>
          </a:extLst>
        </xdr:cNvPr>
        <xdr:cNvSpPr>
          <a:spLocks noChangeAspect="1" noChangeArrowheads="1"/>
        </xdr:cNvSpPr>
      </xdr:nvSpPr>
      <xdr:spPr bwMode="auto">
        <a:xfrm>
          <a:off x="3803650" y="631634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123</xdr:row>
      <xdr:rowOff>0</xdr:rowOff>
    </xdr:from>
    <xdr:ext cx="304800" cy="304094"/>
    <xdr:sp macro="" textlink="">
      <xdr:nvSpPr>
        <xdr:cNvPr id="353" name="AutoShape 12">
          <a:extLst>
            <a:ext uri="{FF2B5EF4-FFF2-40B4-BE49-F238E27FC236}">
              <a16:creationId xmlns:a16="http://schemas.microsoft.com/office/drawing/2014/main" id="{EA0198F0-71DC-4C68-A554-5F02E801E549}"/>
            </a:ext>
          </a:extLst>
        </xdr:cNvPr>
        <xdr:cNvSpPr>
          <a:spLocks noChangeAspect="1" noChangeArrowheads="1"/>
        </xdr:cNvSpPr>
      </xdr:nvSpPr>
      <xdr:spPr bwMode="auto">
        <a:xfrm>
          <a:off x="3803650" y="609536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124</xdr:row>
      <xdr:rowOff>0</xdr:rowOff>
    </xdr:from>
    <xdr:ext cx="304800" cy="304094"/>
    <xdr:sp macro="" textlink="">
      <xdr:nvSpPr>
        <xdr:cNvPr id="354" name="AutoShape 12">
          <a:extLst>
            <a:ext uri="{FF2B5EF4-FFF2-40B4-BE49-F238E27FC236}">
              <a16:creationId xmlns:a16="http://schemas.microsoft.com/office/drawing/2014/main" id="{E7CEBD88-3C51-4914-B89D-CA9DDBBAC651}"/>
            </a:ext>
          </a:extLst>
        </xdr:cNvPr>
        <xdr:cNvSpPr>
          <a:spLocks noChangeAspect="1" noChangeArrowheads="1"/>
        </xdr:cNvSpPr>
      </xdr:nvSpPr>
      <xdr:spPr bwMode="auto">
        <a:xfrm>
          <a:off x="3803650" y="611378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134</xdr:row>
      <xdr:rowOff>0</xdr:rowOff>
    </xdr:from>
    <xdr:ext cx="304800" cy="304094"/>
    <xdr:sp macro="" textlink="">
      <xdr:nvSpPr>
        <xdr:cNvPr id="355" name="AutoShape 12">
          <a:extLst>
            <a:ext uri="{FF2B5EF4-FFF2-40B4-BE49-F238E27FC236}">
              <a16:creationId xmlns:a16="http://schemas.microsoft.com/office/drawing/2014/main" id="{5D1D92A2-5E18-4581-AD72-86367541F1A9}"/>
            </a:ext>
          </a:extLst>
        </xdr:cNvPr>
        <xdr:cNvSpPr>
          <a:spLocks noChangeAspect="1" noChangeArrowheads="1"/>
        </xdr:cNvSpPr>
      </xdr:nvSpPr>
      <xdr:spPr bwMode="auto">
        <a:xfrm>
          <a:off x="3803650" y="629793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135</xdr:row>
      <xdr:rowOff>0</xdr:rowOff>
    </xdr:from>
    <xdr:ext cx="304800" cy="304094"/>
    <xdr:sp macro="" textlink="">
      <xdr:nvSpPr>
        <xdr:cNvPr id="356" name="AutoShape 12">
          <a:extLst>
            <a:ext uri="{FF2B5EF4-FFF2-40B4-BE49-F238E27FC236}">
              <a16:creationId xmlns:a16="http://schemas.microsoft.com/office/drawing/2014/main" id="{24171501-3E58-4DBD-965E-131E2837D58B}"/>
            </a:ext>
          </a:extLst>
        </xdr:cNvPr>
        <xdr:cNvSpPr>
          <a:spLocks noChangeAspect="1" noChangeArrowheads="1"/>
        </xdr:cNvSpPr>
      </xdr:nvSpPr>
      <xdr:spPr bwMode="auto">
        <a:xfrm>
          <a:off x="3803650" y="631634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124</xdr:row>
      <xdr:rowOff>0</xdr:rowOff>
    </xdr:from>
    <xdr:ext cx="304800" cy="304094"/>
    <xdr:sp macro="" textlink="">
      <xdr:nvSpPr>
        <xdr:cNvPr id="357" name="AutoShape 12">
          <a:extLst>
            <a:ext uri="{FF2B5EF4-FFF2-40B4-BE49-F238E27FC236}">
              <a16:creationId xmlns:a16="http://schemas.microsoft.com/office/drawing/2014/main" id="{81AF3488-DF4D-4CF1-A5AC-C8C7352E8BB4}"/>
            </a:ext>
          </a:extLst>
        </xdr:cNvPr>
        <xdr:cNvSpPr>
          <a:spLocks noChangeAspect="1" noChangeArrowheads="1"/>
        </xdr:cNvSpPr>
      </xdr:nvSpPr>
      <xdr:spPr bwMode="auto">
        <a:xfrm>
          <a:off x="3803650" y="611378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125</xdr:row>
      <xdr:rowOff>0</xdr:rowOff>
    </xdr:from>
    <xdr:ext cx="304800" cy="304094"/>
    <xdr:sp macro="" textlink="">
      <xdr:nvSpPr>
        <xdr:cNvPr id="358" name="AutoShape 12">
          <a:extLst>
            <a:ext uri="{FF2B5EF4-FFF2-40B4-BE49-F238E27FC236}">
              <a16:creationId xmlns:a16="http://schemas.microsoft.com/office/drawing/2014/main" id="{137C0303-DE00-4003-A627-F08D3D0114E5}"/>
            </a:ext>
          </a:extLst>
        </xdr:cNvPr>
        <xdr:cNvSpPr>
          <a:spLocks noChangeAspect="1" noChangeArrowheads="1"/>
        </xdr:cNvSpPr>
      </xdr:nvSpPr>
      <xdr:spPr bwMode="auto">
        <a:xfrm>
          <a:off x="3803650" y="613219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135</xdr:row>
      <xdr:rowOff>0</xdr:rowOff>
    </xdr:from>
    <xdr:ext cx="304800" cy="304094"/>
    <xdr:sp macro="" textlink="">
      <xdr:nvSpPr>
        <xdr:cNvPr id="359" name="AutoShape 12">
          <a:extLst>
            <a:ext uri="{FF2B5EF4-FFF2-40B4-BE49-F238E27FC236}">
              <a16:creationId xmlns:a16="http://schemas.microsoft.com/office/drawing/2014/main" id="{64C5243D-F5DD-4B0D-9D01-82616E99A3D9}"/>
            </a:ext>
          </a:extLst>
        </xdr:cNvPr>
        <xdr:cNvSpPr>
          <a:spLocks noChangeAspect="1" noChangeArrowheads="1"/>
        </xdr:cNvSpPr>
      </xdr:nvSpPr>
      <xdr:spPr bwMode="auto">
        <a:xfrm>
          <a:off x="3803650" y="631634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125</xdr:row>
      <xdr:rowOff>0</xdr:rowOff>
    </xdr:from>
    <xdr:ext cx="304800" cy="304094"/>
    <xdr:sp macro="" textlink="">
      <xdr:nvSpPr>
        <xdr:cNvPr id="360" name="AutoShape 12">
          <a:extLst>
            <a:ext uri="{FF2B5EF4-FFF2-40B4-BE49-F238E27FC236}">
              <a16:creationId xmlns:a16="http://schemas.microsoft.com/office/drawing/2014/main" id="{6B6B088A-7265-4298-A116-9312F2878253}"/>
            </a:ext>
          </a:extLst>
        </xdr:cNvPr>
        <xdr:cNvSpPr>
          <a:spLocks noChangeAspect="1" noChangeArrowheads="1"/>
        </xdr:cNvSpPr>
      </xdr:nvSpPr>
      <xdr:spPr bwMode="auto">
        <a:xfrm>
          <a:off x="3803650" y="613219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126</xdr:row>
      <xdr:rowOff>0</xdr:rowOff>
    </xdr:from>
    <xdr:ext cx="304800" cy="304094"/>
    <xdr:sp macro="" textlink="">
      <xdr:nvSpPr>
        <xdr:cNvPr id="361" name="AutoShape 12">
          <a:extLst>
            <a:ext uri="{FF2B5EF4-FFF2-40B4-BE49-F238E27FC236}">
              <a16:creationId xmlns:a16="http://schemas.microsoft.com/office/drawing/2014/main" id="{4AED51FB-AF2B-4048-BF44-898247666124}"/>
            </a:ext>
          </a:extLst>
        </xdr:cNvPr>
        <xdr:cNvSpPr>
          <a:spLocks noChangeAspect="1" noChangeArrowheads="1"/>
        </xdr:cNvSpPr>
      </xdr:nvSpPr>
      <xdr:spPr bwMode="auto">
        <a:xfrm>
          <a:off x="3803650" y="615061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126</xdr:row>
      <xdr:rowOff>0</xdr:rowOff>
    </xdr:from>
    <xdr:ext cx="304800" cy="304094"/>
    <xdr:sp macro="" textlink="">
      <xdr:nvSpPr>
        <xdr:cNvPr id="362" name="AutoShape 12">
          <a:extLst>
            <a:ext uri="{FF2B5EF4-FFF2-40B4-BE49-F238E27FC236}">
              <a16:creationId xmlns:a16="http://schemas.microsoft.com/office/drawing/2014/main" id="{7B710BC0-8FD1-43F0-B68D-0659BB8757BF}"/>
            </a:ext>
          </a:extLst>
        </xdr:cNvPr>
        <xdr:cNvSpPr>
          <a:spLocks noChangeAspect="1" noChangeArrowheads="1"/>
        </xdr:cNvSpPr>
      </xdr:nvSpPr>
      <xdr:spPr bwMode="auto">
        <a:xfrm>
          <a:off x="3803650" y="615061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127</xdr:row>
      <xdr:rowOff>0</xdr:rowOff>
    </xdr:from>
    <xdr:ext cx="304800" cy="304094"/>
    <xdr:sp macro="" textlink="">
      <xdr:nvSpPr>
        <xdr:cNvPr id="363" name="AutoShape 12">
          <a:extLst>
            <a:ext uri="{FF2B5EF4-FFF2-40B4-BE49-F238E27FC236}">
              <a16:creationId xmlns:a16="http://schemas.microsoft.com/office/drawing/2014/main" id="{306A1995-2088-42DA-A7E6-B461251A0972}"/>
            </a:ext>
          </a:extLst>
        </xdr:cNvPr>
        <xdr:cNvSpPr>
          <a:spLocks noChangeAspect="1" noChangeArrowheads="1"/>
        </xdr:cNvSpPr>
      </xdr:nvSpPr>
      <xdr:spPr bwMode="auto">
        <a:xfrm>
          <a:off x="3803650" y="616902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126</xdr:row>
      <xdr:rowOff>0</xdr:rowOff>
    </xdr:from>
    <xdr:ext cx="304800" cy="304094"/>
    <xdr:sp macro="" textlink="">
      <xdr:nvSpPr>
        <xdr:cNvPr id="364" name="AutoShape 12">
          <a:extLst>
            <a:ext uri="{FF2B5EF4-FFF2-40B4-BE49-F238E27FC236}">
              <a16:creationId xmlns:a16="http://schemas.microsoft.com/office/drawing/2014/main" id="{A599695E-5056-4DBD-8DC7-EE5FB7BA13F2}"/>
            </a:ext>
          </a:extLst>
        </xdr:cNvPr>
        <xdr:cNvSpPr>
          <a:spLocks noChangeAspect="1" noChangeArrowheads="1"/>
        </xdr:cNvSpPr>
      </xdr:nvSpPr>
      <xdr:spPr bwMode="auto">
        <a:xfrm>
          <a:off x="3803650" y="615061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127</xdr:row>
      <xdr:rowOff>0</xdr:rowOff>
    </xdr:from>
    <xdr:ext cx="304800" cy="304094"/>
    <xdr:sp macro="" textlink="">
      <xdr:nvSpPr>
        <xdr:cNvPr id="365" name="AutoShape 12">
          <a:extLst>
            <a:ext uri="{FF2B5EF4-FFF2-40B4-BE49-F238E27FC236}">
              <a16:creationId xmlns:a16="http://schemas.microsoft.com/office/drawing/2014/main" id="{5649EE3F-761C-481E-8BD9-775619025E29}"/>
            </a:ext>
          </a:extLst>
        </xdr:cNvPr>
        <xdr:cNvSpPr>
          <a:spLocks noChangeAspect="1" noChangeArrowheads="1"/>
        </xdr:cNvSpPr>
      </xdr:nvSpPr>
      <xdr:spPr bwMode="auto">
        <a:xfrm>
          <a:off x="3803650" y="616902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127</xdr:row>
      <xdr:rowOff>0</xdr:rowOff>
    </xdr:from>
    <xdr:ext cx="304800" cy="304094"/>
    <xdr:sp macro="" textlink="">
      <xdr:nvSpPr>
        <xdr:cNvPr id="366" name="AutoShape 12">
          <a:extLst>
            <a:ext uri="{FF2B5EF4-FFF2-40B4-BE49-F238E27FC236}">
              <a16:creationId xmlns:a16="http://schemas.microsoft.com/office/drawing/2014/main" id="{940E42F2-8C88-49C3-9241-2690E31B42C5}"/>
            </a:ext>
          </a:extLst>
        </xdr:cNvPr>
        <xdr:cNvSpPr>
          <a:spLocks noChangeAspect="1" noChangeArrowheads="1"/>
        </xdr:cNvSpPr>
      </xdr:nvSpPr>
      <xdr:spPr bwMode="auto">
        <a:xfrm>
          <a:off x="3803650" y="616902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128</xdr:row>
      <xdr:rowOff>0</xdr:rowOff>
    </xdr:from>
    <xdr:ext cx="304800" cy="304094"/>
    <xdr:sp macro="" textlink="">
      <xdr:nvSpPr>
        <xdr:cNvPr id="367" name="AutoShape 12">
          <a:extLst>
            <a:ext uri="{FF2B5EF4-FFF2-40B4-BE49-F238E27FC236}">
              <a16:creationId xmlns:a16="http://schemas.microsoft.com/office/drawing/2014/main" id="{B3CF5196-3AD1-46ED-955F-2CF00ADDC66F}"/>
            </a:ext>
          </a:extLst>
        </xdr:cNvPr>
        <xdr:cNvSpPr>
          <a:spLocks noChangeAspect="1" noChangeArrowheads="1"/>
        </xdr:cNvSpPr>
      </xdr:nvSpPr>
      <xdr:spPr bwMode="auto">
        <a:xfrm>
          <a:off x="3803650" y="618744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50</xdr:row>
      <xdr:rowOff>0</xdr:rowOff>
    </xdr:from>
    <xdr:ext cx="304800" cy="304094"/>
    <xdr:sp macro="" textlink="">
      <xdr:nvSpPr>
        <xdr:cNvPr id="368" name="AutoShape 12">
          <a:extLst>
            <a:ext uri="{FF2B5EF4-FFF2-40B4-BE49-F238E27FC236}">
              <a16:creationId xmlns:a16="http://schemas.microsoft.com/office/drawing/2014/main" id="{CDAF2E77-DE96-494D-A07C-59CD09746430}"/>
            </a:ext>
          </a:extLst>
        </xdr:cNvPr>
        <xdr:cNvSpPr>
          <a:spLocks noChangeAspect="1" noChangeArrowheads="1"/>
        </xdr:cNvSpPr>
      </xdr:nvSpPr>
      <xdr:spPr bwMode="auto">
        <a:xfrm>
          <a:off x="3803650" y="471424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51</xdr:row>
      <xdr:rowOff>0</xdr:rowOff>
    </xdr:from>
    <xdr:ext cx="304800" cy="304094"/>
    <xdr:sp macro="" textlink="">
      <xdr:nvSpPr>
        <xdr:cNvPr id="369" name="AutoShape 12">
          <a:extLst>
            <a:ext uri="{FF2B5EF4-FFF2-40B4-BE49-F238E27FC236}">
              <a16:creationId xmlns:a16="http://schemas.microsoft.com/office/drawing/2014/main" id="{6289CD82-1A0F-435C-87C7-B5A145C5D55A}"/>
            </a:ext>
          </a:extLst>
        </xdr:cNvPr>
        <xdr:cNvSpPr>
          <a:spLocks noChangeAspect="1" noChangeArrowheads="1"/>
        </xdr:cNvSpPr>
      </xdr:nvSpPr>
      <xdr:spPr bwMode="auto">
        <a:xfrm>
          <a:off x="3803650" y="473265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61</xdr:row>
      <xdr:rowOff>0</xdr:rowOff>
    </xdr:from>
    <xdr:ext cx="304800" cy="304094"/>
    <xdr:sp macro="" textlink="">
      <xdr:nvSpPr>
        <xdr:cNvPr id="370" name="AutoShape 12">
          <a:extLst>
            <a:ext uri="{FF2B5EF4-FFF2-40B4-BE49-F238E27FC236}">
              <a16:creationId xmlns:a16="http://schemas.microsoft.com/office/drawing/2014/main" id="{DC113A8A-918B-4A89-A92A-99D60C129E25}"/>
            </a:ext>
          </a:extLst>
        </xdr:cNvPr>
        <xdr:cNvSpPr>
          <a:spLocks noChangeAspect="1" noChangeArrowheads="1"/>
        </xdr:cNvSpPr>
      </xdr:nvSpPr>
      <xdr:spPr bwMode="auto">
        <a:xfrm>
          <a:off x="3803650" y="491680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62</xdr:row>
      <xdr:rowOff>0</xdr:rowOff>
    </xdr:from>
    <xdr:ext cx="304800" cy="304094"/>
    <xdr:sp macro="" textlink="">
      <xdr:nvSpPr>
        <xdr:cNvPr id="371" name="AutoShape 12">
          <a:extLst>
            <a:ext uri="{FF2B5EF4-FFF2-40B4-BE49-F238E27FC236}">
              <a16:creationId xmlns:a16="http://schemas.microsoft.com/office/drawing/2014/main" id="{074AA082-23C3-49A5-8216-1BF344386383}"/>
            </a:ext>
          </a:extLst>
        </xdr:cNvPr>
        <xdr:cNvSpPr>
          <a:spLocks noChangeAspect="1" noChangeArrowheads="1"/>
        </xdr:cNvSpPr>
      </xdr:nvSpPr>
      <xdr:spPr bwMode="auto">
        <a:xfrm>
          <a:off x="3803650" y="493522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51</xdr:row>
      <xdr:rowOff>0</xdr:rowOff>
    </xdr:from>
    <xdr:ext cx="304800" cy="304094"/>
    <xdr:sp macro="" textlink="">
      <xdr:nvSpPr>
        <xdr:cNvPr id="372" name="AutoShape 12">
          <a:extLst>
            <a:ext uri="{FF2B5EF4-FFF2-40B4-BE49-F238E27FC236}">
              <a16:creationId xmlns:a16="http://schemas.microsoft.com/office/drawing/2014/main" id="{6FF3E000-981C-491F-9EDB-56F12C2ED912}"/>
            </a:ext>
          </a:extLst>
        </xdr:cNvPr>
        <xdr:cNvSpPr>
          <a:spLocks noChangeAspect="1" noChangeArrowheads="1"/>
        </xdr:cNvSpPr>
      </xdr:nvSpPr>
      <xdr:spPr bwMode="auto">
        <a:xfrm>
          <a:off x="3803650" y="473265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52</xdr:row>
      <xdr:rowOff>0</xdr:rowOff>
    </xdr:from>
    <xdr:ext cx="304800" cy="304094"/>
    <xdr:sp macro="" textlink="">
      <xdr:nvSpPr>
        <xdr:cNvPr id="373" name="AutoShape 12">
          <a:extLst>
            <a:ext uri="{FF2B5EF4-FFF2-40B4-BE49-F238E27FC236}">
              <a16:creationId xmlns:a16="http://schemas.microsoft.com/office/drawing/2014/main" id="{AB4BC671-05B4-4F7F-8AA7-A05C044D3046}"/>
            </a:ext>
          </a:extLst>
        </xdr:cNvPr>
        <xdr:cNvSpPr>
          <a:spLocks noChangeAspect="1" noChangeArrowheads="1"/>
        </xdr:cNvSpPr>
      </xdr:nvSpPr>
      <xdr:spPr bwMode="auto">
        <a:xfrm>
          <a:off x="3803650" y="475107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62</xdr:row>
      <xdr:rowOff>0</xdr:rowOff>
    </xdr:from>
    <xdr:ext cx="304800" cy="304094"/>
    <xdr:sp macro="" textlink="">
      <xdr:nvSpPr>
        <xdr:cNvPr id="374" name="AutoShape 12">
          <a:extLst>
            <a:ext uri="{FF2B5EF4-FFF2-40B4-BE49-F238E27FC236}">
              <a16:creationId xmlns:a16="http://schemas.microsoft.com/office/drawing/2014/main" id="{EE2F8050-6267-456C-8B03-11FE2C8D9B9D}"/>
            </a:ext>
          </a:extLst>
        </xdr:cNvPr>
        <xdr:cNvSpPr>
          <a:spLocks noChangeAspect="1" noChangeArrowheads="1"/>
        </xdr:cNvSpPr>
      </xdr:nvSpPr>
      <xdr:spPr bwMode="auto">
        <a:xfrm>
          <a:off x="3803650" y="493522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63</xdr:row>
      <xdr:rowOff>0</xdr:rowOff>
    </xdr:from>
    <xdr:ext cx="304800" cy="304094"/>
    <xdr:sp macro="" textlink="">
      <xdr:nvSpPr>
        <xdr:cNvPr id="375" name="AutoShape 12">
          <a:extLst>
            <a:ext uri="{FF2B5EF4-FFF2-40B4-BE49-F238E27FC236}">
              <a16:creationId xmlns:a16="http://schemas.microsoft.com/office/drawing/2014/main" id="{309BB8D2-E59F-44A2-B97C-F15FB2F16F44}"/>
            </a:ext>
          </a:extLst>
        </xdr:cNvPr>
        <xdr:cNvSpPr>
          <a:spLocks noChangeAspect="1" noChangeArrowheads="1"/>
        </xdr:cNvSpPr>
      </xdr:nvSpPr>
      <xdr:spPr bwMode="auto">
        <a:xfrm>
          <a:off x="3803650" y="495363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117</xdr:row>
      <xdr:rowOff>0</xdr:rowOff>
    </xdr:from>
    <xdr:ext cx="304800" cy="304094"/>
    <xdr:sp macro="" textlink="">
      <xdr:nvSpPr>
        <xdr:cNvPr id="376" name="AutoShape 12">
          <a:extLst>
            <a:ext uri="{FF2B5EF4-FFF2-40B4-BE49-F238E27FC236}">
              <a16:creationId xmlns:a16="http://schemas.microsoft.com/office/drawing/2014/main" id="{0DA0D179-0B1D-4AB0-B257-D5CF497681FF}"/>
            </a:ext>
          </a:extLst>
        </xdr:cNvPr>
        <xdr:cNvSpPr>
          <a:spLocks noChangeAspect="1" noChangeArrowheads="1"/>
        </xdr:cNvSpPr>
      </xdr:nvSpPr>
      <xdr:spPr bwMode="auto">
        <a:xfrm>
          <a:off x="3803650" y="59848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118</xdr:row>
      <xdr:rowOff>0</xdr:rowOff>
    </xdr:from>
    <xdr:ext cx="304800" cy="304094"/>
    <xdr:sp macro="" textlink="">
      <xdr:nvSpPr>
        <xdr:cNvPr id="377" name="AutoShape 12">
          <a:extLst>
            <a:ext uri="{FF2B5EF4-FFF2-40B4-BE49-F238E27FC236}">
              <a16:creationId xmlns:a16="http://schemas.microsoft.com/office/drawing/2014/main" id="{230AEC0E-D85E-45F5-8C60-70C068153B46}"/>
            </a:ext>
          </a:extLst>
        </xdr:cNvPr>
        <xdr:cNvSpPr>
          <a:spLocks noChangeAspect="1" noChangeArrowheads="1"/>
        </xdr:cNvSpPr>
      </xdr:nvSpPr>
      <xdr:spPr bwMode="auto">
        <a:xfrm>
          <a:off x="3803650" y="600329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128</xdr:row>
      <xdr:rowOff>0</xdr:rowOff>
    </xdr:from>
    <xdr:ext cx="304800" cy="304094"/>
    <xdr:sp macro="" textlink="">
      <xdr:nvSpPr>
        <xdr:cNvPr id="378" name="AutoShape 12">
          <a:extLst>
            <a:ext uri="{FF2B5EF4-FFF2-40B4-BE49-F238E27FC236}">
              <a16:creationId xmlns:a16="http://schemas.microsoft.com/office/drawing/2014/main" id="{A1B61467-8A89-4E18-AA4E-BA42F3CD2BFF}"/>
            </a:ext>
          </a:extLst>
        </xdr:cNvPr>
        <xdr:cNvSpPr>
          <a:spLocks noChangeAspect="1" noChangeArrowheads="1"/>
        </xdr:cNvSpPr>
      </xdr:nvSpPr>
      <xdr:spPr bwMode="auto">
        <a:xfrm>
          <a:off x="3803650" y="618744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129</xdr:row>
      <xdr:rowOff>0</xdr:rowOff>
    </xdr:from>
    <xdr:ext cx="304800" cy="304094"/>
    <xdr:sp macro="" textlink="">
      <xdr:nvSpPr>
        <xdr:cNvPr id="379" name="AutoShape 12">
          <a:extLst>
            <a:ext uri="{FF2B5EF4-FFF2-40B4-BE49-F238E27FC236}">
              <a16:creationId xmlns:a16="http://schemas.microsoft.com/office/drawing/2014/main" id="{495A1292-C69F-4A20-B678-34BE3D1286EE}"/>
            </a:ext>
          </a:extLst>
        </xdr:cNvPr>
        <xdr:cNvSpPr>
          <a:spLocks noChangeAspect="1" noChangeArrowheads="1"/>
        </xdr:cNvSpPr>
      </xdr:nvSpPr>
      <xdr:spPr bwMode="auto">
        <a:xfrm>
          <a:off x="3803650" y="620585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118</xdr:row>
      <xdr:rowOff>0</xdr:rowOff>
    </xdr:from>
    <xdr:ext cx="304800" cy="304094"/>
    <xdr:sp macro="" textlink="">
      <xdr:nvSpPr>
        <xdr:cNvPr id="380" name="AutoShape 12">
          <a:extLst>
            <a:ext uri="{FF2B5EF4-FFF2-40B4-BE49-F238E27FC236}">
              <a16:creationId xmlns:a16="http://schemas.microsoft.com/office/drawing/2014/main" id="{7ECDE780-A722-4235-B889-E8F27A9A25B6}"/>
            </a:ext>
          </a:extLst>
        </xdr:cNvPr>
        <xdr:cNvSpPr>
          <a:spLocks noChangeAspect="1" noChangeArrowheads="1"/>
        </xdr:cNvSpPr>
      </xdr:nvSpPr>
      <xdr:spPr bwMode="auto">
        <a:xfrm>
          <a:off x="3803650" y="600329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119</xdr:row>
      <xdr:rowOff>0</xdr:rowOff>
    </xdr:from>
    <xdr:ext cx="304800" cy="304094"/>
    <xdr:sp macro="" textlink="">
      <xdr:nvSpPr>
        <xdr:cNvPr id="381" name="AutoShape 12">
          <a:extLst>
            <a:ext uri="{FF2B5EF4-FFF2-40B4-BE49-F238E27FC236}">
              <a16:creationId xmlns:a16="http://schemas.microsoft.com/office/drawing/2014/main" id="{DE745B48-42F4-41C9-895B-E63DC55CAFE4}"/>
            </a:ext>
          </a:extLst>
        </xdr:cNvPr>
        <xdr:cNvSpPr>
          <a:spLocks noChangeAspect="1" noChangeArrowheads="1"/>
        </xdr:cNvSpPr>
      </xdr:nvSpPr>
      <xdr:spPr bwMode="auto">
        <a:xfrm>
          <a:off x="3803650" y="602170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129</xdr:row>
      <xdr:rowOff>0</xdr:rowOff>
    </xdr:from>
    <xdr:ext cx="304800" cy="304094"/>
    <xdr:sp macro="" textlink="">
      <xdr:nvSpPr>
        <xdr:cNvPr id="382" name="AutoShape 12">
          <a:extLst>
            <a:ext uri="{FF2B5EF4-FFF2-40B4-BE49-F238E27FC236}">
              <a16:creationId xmlns:a16="http://schemas.microsoft.com/office/drawing/2014/main" id="{438EFAA0-FDBA-4452-8347-6A521508368D}"/>
            </a:ext>
          </a:extLst>
        </xdr:cNvPr>
        <xdr:cNvSpPr>
          <a:spLocks noChangeAspect="1" noChangeArrowheads="1"/>
        </xdr:cNvSpPr>
      </xdr:nvSpPr>
      <xdr:spPr bwMode="auto">
        <a:xfrm>
          <a:off x="3803650" y="620585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</xdr:row>
      <xdr:rowOff>0</xdr:rowOff>
    </xdr:from>
    <xdr:ext cx="304800" cy="304094"/>
    <xdr:sp macro="" textlink="">
      <xdr:nvSpPr>
        <xdr:cNvPr id="383" name="AutoShape 12">
          <a:extLst>
            <a:ext uri="{FF2B5EF4-FFF2-40B4-BE49-F238E27FC236}">
              <a16:creationId xmlns:a16="http://schemas.microsoft.com/office/drawing/2014/main" id="{69682BDC-1F13-4255-B22D-7418A8E1AD13}"/>
            </a:ext>
          </a:extLst>
        </xdr:cNvPr>
        <xdr:cNvSpPr>
          <a:spLocks noChangeAspect="1" noChangeArrowheads="1"/>
        </xdr:cNvSpPr>
      </xdr:nvSpPr>
      <xdr:spPr bwMode="auto">
        <a:xfrm>
          <a:off x="3803650" y="622427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51</xdr:row>
      <xdr:rowOff>0</xdr:rowOff>
    </xdr:from>
    <xdr:ext cx="304800" cy="304094"/>
    <xdr:sp macro="" textlink="">
      <xdr:nvSpPr>
        <xdr:cNvPr id="384" name="AutoShape 12">
          <a:extLst>
            <a:ext uri="{FF2B5EF4-FFF2-40B4-BE49-F238E27FC236}">
              <a16:creationId xmlns:a16="http://schemas.microsoft.com/office/drawing/2014/main" id="{0B3C57AD-3BD5-4FB0-81E7-0CEDF85F8E77}"/>
            </a:ext>
          </a:extLst>
        </xdr:cNvPr>
        <xdr:cNvSpPr>
          <a:spLocks noChangeAspect="1" noChangeArrowheads="1"/>
        </xdr:cNvSpPr>
      </xdr:nvSpPr>
      <xdr:spPr bwMode="auto">
        <a:xfrm>
          <a:off x="3803650" y="473265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52</xdr:row>
      <xdr:rowOff>0</xdr:rowOff>
    </xdr:from>
    <xdr:ext cx="304800" cy="304094"/>
    <xdr:sp macro="" textlink="">
      <xdr:nvSpPr>
        <xdr:cNvPr id="385" name="AutoShape 12">
          <a:extLst>
            <a:ext uri="{FF2B5EF4-FFF2-40B4-BE49-F238E27FC236}">
              <a16:creationId xmlns:a16="http://schemas.microsoft.com/office/drawing/2014/main" id="{5FA2DBA7-EDE6-4D5B-84DD-C5ABEBED39E4}"/>
            </a:ext>
          </a:extLst>
        </xdr:cNvPr>
        <xdr:cNvSpPr>
          <a:spLocks noChangeAspect="1" noChangeArrowheads="1"/>
        </xdr:cNvSpPr>
      </xdr:nvSpPr>
      <xdr:spPr bwMode="auto">
        <a:xfrm>
          <a:off x="3803650" y="475107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62</xdr:row>
      <xdr:rowOff>0</xdr:rowOff>
    </xdr:from>
    <xdr:ext cx="304800" cy="304094"/>
    <xdr:sp macro="" textlink="">
      <xdr:nvSpPr>
        <xdr:cNvPr id="386" name="AutoShape 12">
          <a:extLst>
            <a:ext uri="{FF2B5EF4-FFF2-40B4-BE49-F238E27FC236}">
              <a16:creationId xmlns:a16="http://schemas.microsoft.com/office/drawing/2014/main" id="{86343DFE-0173-4B08-9433-CD7B3DB6B4DF}"/>
            </a:ext>
          </a:extLst>
        </xdr:cNvPr>
        <xdr:cNvSpPr>
          <a:spLocks noChangeAspect="1" noChangeArrowheads="1"/>
        </xdr:cNvSpPr>
      </xdr:nvSpPr>
      <xdr:spPr bwMode="auto">
        <a:xfrm>
          <a:off x="3803650" y="493522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63</xdr:row>
      <xdr:rowOff>0</xdr:rowOff>
    </xdr:from>
    <xdr:ext cx="304800" cy="304094"/>
    <xdr:sp macro="" textlink="">
      <xdr:nvSpPr>
        <xdr:cNvPr id="387" name="AutoShape 12">
          <a:extLst>
            <a:ext uri="{FF2B5EF4-FFF2-40B4-BE49-F238E27FC236}">
              <a16:creationId xmlns:a16="http://schemas.microsoft.com/office/drawing/2014/main" id="{898394ED-7A61-4249-B505-73EA759733DE}"/>
            </a:ext>
          </a:extLst>
        </xdr:cNvPr>
        <xdr:cNvSpPr>
          <a:spLocks noChangeAspect="1" noChangeArrowheads="1"/>
        </xdr:cNvSpPr>
      </xdr:nvSpPr>
      <xdr:spPr bwMode="auto">
        <a:xfrm>
          <a:off x="3803650" y="495363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52</xdr:row>
      <xdr:rowOff>0</xdr:rowOff>
    </xdr:from>
    <xdr:ext cx="304800" cy="304094"/>
    <xdr:sp macro="" textlink="">
      <xdr:nvSpPr>
        <xdr:cNvPr id="388" name="AutoShape 12">
          <a:extLst>
            <a:ext uri="{FF2B5EF4-FFF2-40B4-BE49-F238E27FC236}">
              <a16:creationId xmlns:a16="http://schemas.microsoft.com/office/drawing/2014/main" id="{9A3A3443-0728-4F3B-B850-080AEDFCE956}"/>
            </a:ext>
          </a:extLst>
        </xdr:cNvPr>
        <xdr:cNvSpPr>
          <a:spLocks noChangeAspect="1" noChangeArrowheads="1"/>
        </xdr:cNvSpPr>
      </xdr:nvSpPr>
      <xdr:spPr bwMode="auto">
        <a:xfrm>
          <a:off x="3803650" y="475107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53</xdr:row>
      <xdr:rowOff>0</xdr:rowOff>
    </xdr:from>
    <xdr:ext cx="304800" cy="304094"/>
    <xdr:sp macro="" textlink="">
      <xdr:nvSpPr>
        <xdr:cNvPr id="389" name="AutoShape 12">
          <a:extLst>
            <a:ext uri="{FF2B5EF4-FFF2-40B4-BE49-F238E27FC236}">
              <a16:creationId xmlns:a16="http://schemas.microsoft.com/office/drawing/2014/main" id="{81D001C5-3476-4E48-9F9F-5C13859B4D76}"/>
            </a:ext>
          </a:extLst>
        </xdr:cNvPr>
        <xdr:cNvSpPr>
          <a:spLocks noChangeAspect="1" noChangeArrowheads="1"/>
        </xdr:cNvSpPr>
      </xdr:nvSpPr>
      <xdr:spPr bwMode="auto">
        <a:xfrm>
          <a:off x="3803650" y="476948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63</xdr:row>
      <xdr:rowOff>0</xdr:rowOff>
    </xdr:from>
    <xdr:ext cx="304800" cy="304094"/>
    <xdr:sp macro="" textlink="">
      <xdr:nvSpPr>
        <xdr:cNvPr id="390" name="AutoShape 12">
          <a:extLst>
            <a:ext uri="{FF2B5EF4-FFF2-40B4-BE49-F238E27FC236}">
              <a16:creationId xmlns:a16="http://schemas.microsoft.com/office/drawing/2014/main" id="{4F4FCFFF-C9F3-4A96-ABAA-8087DC32FED2}"/>
            </a:ext>
          </a:extLst>
        </xdr:cNvPr>
        <xdr:cNvSpPr>
          <a:spLocks noChangeAspect="1" noChangeArrowheads="1"/>
        </xdr:cNvSpPr>
      </xdr:nvSpPr>
      <xdr:spPr bwMode="auto">
        <a:xfrm>
          <a:off x="3803650" y="495363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</xdr:row>
      <xdr:rowOff>0</xdr:rowOff>
    </xdr:from>
    <xdr:ext cx="304800" cy="304094"/>
    <xdr:sp macro="" textlink="">
      <xdr:nvSpPr>
        <xdr:cNvPr id="391" name="AutoShape 12">
          <a:extLst>
            <a:ext uri="{FF2B5EF4-FFF2-40B4-BE49-F238E27FC236}">
              <a16:creationId xmlns:a16="http://schemas.microsoft.com/office/drawing/2014/main" id="{7BE6147E-68C7-4DD3-B9E2-550F4A5E4CD7}"/>
            </a:ext>
          </a:extLst>
        </xdr:cNvPr>
        <xdr:cNvSpPr>
          <a:spLocks noChangeAspect="1" noChangeArrowheads="1"/>
        </xdr:cNvSpPr>
      </xdr:nvSpPr>
      <xdr:spPr bwMode="auto">
        <a:xfrm>
          <a:off x="3803650" y="497205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118</xdr:row>
      <xdr:rowOff>0</xdr:rowOff>
    </xdr:from>
    <xdr:ext cx="304800" cy="304094"/>
    <xdr:sp macro="" textlink="">
      <xdr:nvSpPr>
        <xdr:cNvPr id="392" name="AutoShape 12">
          <a:extLst>
            <a:ext uri="{FF2B5EF4-FFF2-40B4-BE49-F238E27FC236}">
              <a16:creationId xmlns:a16="http://schemas.microsoft.com/office/drawing/2014/main" id="{3C753808-B87B-422F-8C17-D8AF63EDC5A5}"/>
            </a:ext>
          </a:extLst>
        </xdr:cNvPr>
        <xdr:cNvSpPr>
          <a:spLocks noChangeAspect="1" noChangeArrowheads="1"/>
        </xdr:cNvSpPr>
      </xdr:nvSpPr>
      <xdr:spPr bwMode="auto">
        <a:xfrm>
          <a:off x="3803650" y="600329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119</xdr:row>
      <xdr:rowOff>0</xdr:rowOff>
    </xdr:from>
    <xdr:ext cx="304800" cy="304094"/>
    <xdr:sp macro="" textlink="">
      <xdr:nvSpPr>
        <xdr:cNvPr id="393" name="AutoShape 12">
          <a:extLst>
            <a:ext uri="{FF2B5EF4-FFF2-40B4-BE49-F238E27FC236}">
              <a16:creationId xmlns:a16="http://schemas.microsoft.com/office/drawing/2014/main" id="{D8B15324-1B72-41EE-BD32-D1C103A15F69}"/>
            </a:ext>
          </a:extLst>
        </xdr:cNvPr>
        <xdr:cNvSpPr>
          <a:spLocks noChangeAspect="1" noChangeArrowheads="1"/>
        </xdr:cNvSpPr>
      </xdr:nvSpPr>
      <xdr:spPr bwMode="auto">
        <a:xfrm>
          <a:off x="3803650" y="602170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129</xdr:row>
      <xdr:rowOff>0</xdr:rowOff>
    </xdr:from>
    <xdr:ext cx="304800" cy="304094"/>
    <xdr:sp macro="" textlink="">
      <xdr:nvSpPr>
        <xdr:cNvPr id="394" name="AutoShape 12">
          <a:extLst>
            <a:ext uri="{FF2B5EF4-FFF2-40B4-BE49-F238E27FC236}">
              <a16:creationId xmlns:a16="http://schemas.microsoft.com/office/drawing/2014/main" id="{60B3FC9C-B9C4-4C0A-B459-998129CDAFA2}"/>
            </a:ext>
          </a:extLst>
        </xdr:cNvPr>
        <xdr:cNvSpPr>
          <a:spLocks noChangeAspect="1" noChangeArrowheads="1"/>
        </xdr:cNvSpPr>
      </xdr:nvSpPr>
      <xdr:spPr bwMode="auto">
        <a:xfrm>
          <a:off x="3803650" y="620585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</xdr:row>
      <xdr:rowOff>0</xdr:rowOff>
    </xdr:from>
    <xdr:ext cx="304800" cy="304094"/>
    <xdr:sp macro="" textlink="">
      <xdr:nvSpPr>
        <xdr:cNvPr id="395" name="AutoShape 12">
          <a:extLst>
            <a:ext uri="{FF2B5EF4-FFF2-40B4-BE49-F238E27FC236}">
              <a16:creationId xmlns:a16="http://schemas.microsoft.com/office/drawing/2014/main" id="{B94E2778-5911-4A4B-ABC8-741575CCDF47}"/>
            </a:ext>
          </a:extLst>
        </xdr:cNvPr>
        <xdr:cNvSpPr>
          <a:spLocks noChangeAspect="1" noChangeArrowheads="1"/>
        </xdr:cNvSpPr>
      </xdr:nvSpPr>
      <xdr:spPr bwMode="auto">
        <a:xfrm>
          <a:off x="3803650" y="622427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119</xdr:row>
      <xdr:rowOff>0</xdr:rowOff>
    </xdr:from>
    <xdr:ext cx="304800" cy="304094"/>
    <xdr:sp macro="" textlink="">
      <xdr:nvSpPr>
        <xdr:cNvPr id="396" name="AutoShape 12">
          <a:extLst>
            <a:ext uri="{FF2B5EF4-FFF2-40B4-BE49-F238E27FC236}">
              <a16:creationId xmlns:a16="http://schemas.microsoft.com/office/drawing/2014/main" id="{E7A7D8B9-4225-439A-829A-D3C263D134BD}"/>
            </a:ext>
          </a:extLst>
        </xdr:cNvPr>
        <xdr:cNvSpPr>
          <a:spLocks noChangeAspect="1" noChangeArrowheads="1"/>
        </xdr:cNvSpPr>
      </xdr:nvSpPr>
      <xdr:spPr bwMode="auto">
        <a:xfrm>
          <a:off x="3803650" y="602170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120</xdr:row>
      <xdr:rowOff>0</xdr:rowOff>
    </xdr:from>
    <xdr:ext cx="304800" cy="304094"/>
    <xdr:sp macro="" textlink="">
      <xdr:nvSpPr>
        <xdr:cNvPr id="397" name="AutoShape 12">
          <a:extLst>
            <a:ext uri="{FF2B5EF4-FFF2-40B4-BE49-F238E27FC236}">
              <a16:creationId xmlns:a16="http://schemas.microsoft.com/office/drawing/2014/main" id="{36E257F5-6B07-4CC6-98A2-EA85495E194D}"/>
            </a:ext>
          </a:extLst>
        </xdr:cNvPr>
        <xdr:cNvSpPr>
          <a:spLocks noChangeAspect="1" noChangeArrowheads="1"/>
        </xdr:cNvSpPr>
      </xdr:nvSpPr>
      <xdr:spPr bwMode="auto">
        <a:xfrm>
          <a:off x="3803650" y="604012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</xdr:row>
      <xdr:rowOff>0</xdr:rowOff>
    </xdr:from>
    <xdr:ext cx="304800" cy="304094"/>
    <xdr:sp macro="" textlink="">
      <xdr:nvSpPr>
        <xdr:cNvPr id="398" name="AutoShape 12">
          <a:extLst>
            <a:ext uri="{FF2B5EF4-FFF2-40B4-BE49-F238E27FC236}">
              <a16:creationId xmlns:a16="http://schemas.microsoft.com/office/drawing/2014/main" id="{B679C5EB-4D8A-4D23-B680-F20DE9168DEF}"/>
            </a:ext>
          </a:extLst>
        </xdr:cNvPr>
        <xdr:cNvSpPr>
          <a:spLocks noChangeAspect="1" noChangeArrowheads="1"/>
        </xdr:cNvSpPr>
      </xdr:nvSpPr>
      <xdr:spPr bwMode="auto">
        <a:xfrm>
          <a:off x="3803650" y="622427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131</xdr:row>
      <xdr:rowOff>0</xdr:rowOff>
    </xdr:from>
    <xdr:ext cx="304800" cy="304094"/>
    <xdr:sp macro="" textlink="">
      <xdr:nvSpPr>
        <xdr:cNvPr id="399" name="AutoShape 12">
          <a:extLst>
            <a:ext uri="{FF2B5EF4-FFF2-40B4-BE49-F238E27FC236}">
              <a16:creationId xmlns:a16="http://schemas.microsoft.com/office/drawing/2014/main" id="{CBCEBC10-B3E8-43C1-878A-CA0E2A534D42}"/>
            </a:ext>
          </a:extLst>
        </xdr:cNvPr>
        <xdr:cNvSpPr>
          <a:spLocks noChangeAspect="1" noChangeArrowheads="1"/>
        </xdr:cNvSpPr>
      </xdr:nvSpPr>
      <xdr:spPr bwMode="auto">
        <a:xfrm>
          <a:off x="3803650" y="624268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92</xdr:row>
      <xdr:rowOff>0</xdr:rowOff>
    </xdr:from>
    <xdr:ext cx="304800" cy="304094"/>
    <xdr:sp macro="" textlink="">
      <xdr:nvSpPr>
        <xdr:cNvPr id="400" name="AutoShape 12">
          <a:extLst>
            <a:ext uri="{FF2B5EF4-FFF2-40B4-BE49-F238E27FC236}">
              <a16:creationId xmlns:a16="http://schemas.microsoft.com/office/drawing/2014/main" id="{E952D7C7-208D-48EC-9F12-D2515524BA95}"/>
            </a:ext>
          </a:extLst>
        </xdr:cNvPr>
        <xdr:cNvSpPr>
          <a:spLocks noChangeAspect="1" noChangeArrowheads="1"/>
        </xdr:cNvSpPr>
      </xdr:nvSpPr>
      <xdr:spPr bwMode="auto">
        <a:xfrm>
          <a:off x="3803650" y="552450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93</xdr:row>
      <xdr:rowOff>0</xdr:rowOff>
    </xdr:from>
    <xdr:ext cx="304800" cy="304094"/>
    <xdr:sp macro="" textlink="">
      <xdr:nvSpPr>
        <xdr:cNvPr id="401" name="AutoShape 12">
          <a:extLst>
            <a:ext uri="{FF2B5EF4-FFF2-40B4-BE49-F238E27FC236}">
              <a16:creationId xmlns:a16="http://schemas.microsoft.com/office/drawing/2014/main" id="{05B30C27-8C1A-4D0D-ACD8-EADA58164307}"/>
            </a:ext>
          </a:extLst>
        </xdr:cNvPr>
        <xdr:cNvSpPr>
          <a:spLocks noChangeAspect="1" noChangeArrowheads="1"/>
        </xdr:cNvSpPr>
      </xdr:nvSpPr>
      <xdr:spPr bwMode="auto">
        <a:xfrm>
          <a:off x="3803650" y="55429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103</xdr:row>
      <xdr:rowOff>0</xdr:rowOff>
    </xdr:from>
    <xdr:ext cx="304800" cy="304094"/>
    <xdr:sp macro="" textlink="">
      <xdr:nvSpPr>
        <xdr:cNvPr id="402" name="AutoShape 12">
          <a:extLst>
            <a:ext uri="{FF2B5EF4-FFF2-40B4-BE49-F238E27FC236}">
              <a16:creationId xmlns:a16="http://schemas.microsoft.com/office/drawing/2014/main" id="{62D53232-0CB1-4FAD-8AF2-BB430E3458BF}"/>
            </a:ext>
          </a:extLst>
        </xdr:cNvPr>
        <xdr:cNvSpPr>
          <a:spLocks noChangeAspect="1" noChangeArrowheads="1"/>
        </xdr:cNvSpPr>
      </xdr:nvSpPr>
      <xdr:spPr bwMode="auto">
        <a:xfrm>
          <a:off x="3803650" y="572706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104</xdr:row>
      <xdr:rowOff>0</xdr:rowOff>
    </xdr:from>
    <xdr:ext cx="304800" cy="304094"/>
    <xdr:sp macro="" textlink="">
      <xdr:nvSpPr>
        <xdr:cNvPr id="403" name="AutoShape 12">
          <a:extLst>
            <a:ext uri="{FF2B5EF4-FFF2-40B4-BE49-F238E27FC236}">
              <a16:creationId xmlns:a16="http://schemas.microsoft.com/office/drawing/2014/main" id="{974A3B8F-B1F1-44B9-BB90-9C8FD152EB8E}"/>
            </a:ext>
          </a:extLst>
        </xdr:cNvPr>
        <xdr:cNvSpPr>
          <a:spLocks noChangeAspect="1" noChangeArrowheads="1"/>
        </xdr:cNvSpPr>
      </xdr:nvSpPr>
      <xdr:spPr bwMode="auto">
        <a:xfrm>
          <a:off x="3803650" y="574548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93</xdr:row>
      <xdr:rowOff>0</xdr:rowOff>
    </xdr:from>
    <xdr:ext cx="304800" cy="304094"/>
    <xdr:sp macro="" textlink="">
      <xdr:nvSpPr>
        <xdr:cNvPr id="404" name="AutoShape 12">
          <a:extLst>
            <a:ext uri="{FF2B5EF4-FFF2-40B4-BE49-F238E27FC236}">
              <a16:creationId xmlns:a16="http://schemas.microsoft.com/office/drawing/2014/main" id="{016F3794-8A07-40B7-858C-66675657B1D5}"/>
            </a:ext>
          </a:extLst>
        </xdr:cNvPr>
        <xdr:cNvSpPr>
          <a:spLocks noChangeAspect="1" noChangeArrowheads="1"/>
        </xdr:cNvSpPr>
      </xdr:nvSpPr>
      <xdr:spPr bwMode="auto">
        <a:xfrm>
          <a:off x="3803650" y="55429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</xdr:row>
      <xdr:rowOff>0</xdr:rowOff>
    </xdr:from>
    <xdr:ext cx="304800" cy="304094"/>
    <xdr:sp macro="" textlink="">
      <xdr:nvSpPr>
        <xdr:cNvPr id="405" name="AutoShape 12">
          <a:extLst>
            <a:ext uri="{FF2B5EF4-FFF2-40B4-BE49-F238E27FC236}">
              <a16:creationId xmlns:a16="http://schemas.microsoft.com/office/drawing/2014/main" id="{5FFAD8F7-4658-4AF0-BCF1-0F29320E9D84}"/>
            </a:ext>
          </a:extLst>
        </xdr:cNvPr>
        <xdr:cNvSpPr>
          <a:spLocks noChangeAspect="1" noChangeArrowheads="1"/>
        </xdr:cNvSpPr>
      </xdr:nvSpPr>
      <xdr:spPr bwMode="auto">
        <a:xfrm>
          <a:off x="3803650" y="556133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104</xdr:row>
      <xdr:rowOff>0</xdr:rowOff>
    </xdr:from>
    <xdr:ext cx="304800" cy="304094"/>
    <xdr:sp macro="" textlink="">
      <xdr:nvSpPr>
        <xdr:cNvPr id="406" name="AutoShape 12">
          <a:extLst>
            <a:ext uri="{FF2B5EF4-FFF2-40B4-BE49-F238E27FC236}">
              <a16:creationId xmlns:a16="http://schemas.microsoft.com/office/drawing/2014/main" id="{F3B3131F-4CA7-40F6-BDCF-60D0E5D9ECC2}"/>
            </a:ext>
          </a:extLst>
        </xdr:cNvPr>
        <xdr:cNvSpPr>
          <a:spLocks noChangeAspect="1" noChangeArrowheads="1"/>
        </xdr:cNvSpPr>
      </xdr:nvSpPr>
      <xdr:spPr bwMode="auto">
        <a:xfrm>
          <a:off x="3803650" y="574548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</xdr:row>
      <xdr:rowOff>0</xdr:rowOff>
    </xdr:from>
    <xdr:ext cx="304800" cy="304094"/>
    <xdr:sp macro="" textlink="">
      <xdr:nvSpPr>
        <xdr:cNvPr id="407" name="AutoShape 12">
          <a:extLst>
            <a:ext uri="{FF2B5EF4-FFF2-40B4-BE49-F238E27FC236}">
              <a16:creationId xmlns:a16="http://schemas.microsoft.com/office/drawing/2014/main" id="{42F845C6-67AA-40CA-8C8A-80DA99038F5E}"/>
            </a:ext>
          </a:extLst>
        </xdr:cNvPr>
        <xdr:cNvSpPr>
          <a:spLocks noChangeAspect="1" noChangeArrowheads="1"/>
        </xdr:cNvSpPr>
      </xdr:nvSpPr>
      <xdr:spPr bwMode="auto">
        <a:xfrm>
          <a:off x="3803650" y="576389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93</xdr:row>
      <xdr:rowOff>0</xdr:rowOff>
    </xdr:from>
    <xdr:ext cx="304800" cy="304094"/>
    <xdr:sp macro="" textlink="">
      <xdr:nvSpPr>
        <xdr:cNvPr id="408" name="AutoShape 12">
          <a:extLst>
            <a:ext uri="{FF2B5EF4-FFF2-40B4-BE49-F238E27FC236}">
              <a16:creationId xmlns:a16="http://schemas.microsoft.com/office/drawing/2014/main" id="{00689CAB-FF9D-4EF5-AD1F-2900A35E45A4}"/>
            </a:ext>
          </a:extLst>
        </xdr:cNvPr>
        <xdr:cNvSpPr>
          <a:spLocks noChangeAspect="1" noChangeArrowheads="1"/>
        </xdr:cNvSpPr>
      </xdr:nvSpPr>
      <xdr:spPr bwMode="auto">
        <a:xfrm>
          <a:off x="3803650" y="55429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</xdr:row>
      <xdr:rowOff>0</xdr:rowOff>
    </xdr:from>
    <xdr:ext cx="304800" cy="304094"/>
    <xdr:sp macro="" textlink="">
      <xdr:nvSpPr>
        <xdr:cNvPr id="409" name="AutoShape 12">
          <a:extLst>
            <a:ext uri="{FF2B5EF4-FFF2-40B4-BE49-F238E27FC236}">
              <a16:creationId xmlns:a16="http://schemas.microsoft.com/office/drawing/2014/main" id="{B687B1D6-325C-479E-BA05-70EEF3883720}"/>
            </a:ext>
          </a:extLst>
        </xdr:cNvPr>
        <xdr:cNvSpPr>
          <a:spLocks noChangeAspect="1" noChangeArrowheads="1"/>
        </xdr:cNvSpPr>
      </xdr:nvSpPr>
      <xdr:spPr bwMode="auto">
        <a:xfrm>
          <a:off x="3803650" y="556133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104</xdr:row>
      <xdr:rowOff>0</xdr:rowOff>
    </xdr:from>
    <xdr:ext cx="304800" cy="304094"/>
    <xdr:sp macro="" textlink="">
      <xdr:nvSpPr>
        <xdr:cNvPr id="410" name="AutoShape 12">
          <a:extLst>
            <a:ext uri="{FF2B5EF4-FFF2-40B4-BE49-F238E27FC236}">
              <a16:creationId xmlns:a16="http://schemas.microsoft.com/office/drawing/2014/main" id="{13AA7F5E-7466-4E84-9AE9-9593BD01FD6C}"/>
            </a:ext>
          </a:extLst>
        </xdr:cNvPr>
        <xdr:cNvSpPr>
          <a:spLocks noChangeAspect="1" noChangeArrowheads="1"/>
        </xdr:cNvSpPr>
      </xdr:nvSpPr>
      <xdr:spPr bwMode="auto">
        <a:xfrm>
          <a:off x="3803650" y="574548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</xdr:row>
      <xdr:rowOff>0</xdr:rowOff>
    </xdr:from>
    <xdr:ext cx="304800" cy="304094"/>
    <xdr:sp macro="" textlink="">
      <xdr:nvSpPr>
        <xdr:cNvPr id="411" name="AutoShape 12">
          <a:extLst>
            <a:ext uri="{FF2B5EF4-FFF2-40B4-BE49-F238E27FC236}">
              <a16:creationId xmlns:a16="http://schemas.microsoft.com/office/drawing/2014/main" id="{3B579A87-EBB9-4746-9459-280E9C17D366}"/>
            </a:ext>
          </a:extLst>
        </xdr:cNvPr>
        <xdr:cNvSpPr>
          <a:spLocks noChangeAspect="1" noChangeArrowheads="1"/>
        </xdr:cNvSpPr>
      </xdr:nvSpPr>
      <xdr:spPr bwMode="auto">
        <a:xfrm>
          <a:off x="3803650" y="576389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</xdr:row>
      <xdr:rowOff>0</xdr:rowOff>
    </xdr:from>
    <xdr:ext cx="304800" cy="304094"/>
    <xdr:sp macro="" textlink="">
      <xdr:nvSpPr>
        <xdr:cNvPr id="412" name="AutoShape 12">
          <a:extLst>
            <a:ext uri="{FF2B5EF4-FFF2-40B4-BE49-F238E27FC236}">
              <a16:creationId xmlns:a16="http://schemas.microsoft.com/office/drawing/2014/main" id="{FBF0E73C-2FEB-4886-9777-9141AD5AE65C}"/>
            </a:ext>
          </a:extLst>
        </xdr:cNvPr>
        <xdr:cNvSpPr>
          <a:spLocks noChangeAspect="1" noChangeArrowheads="1"/>
        </xdr:cNvSpPr>
      </xdr:nvSpPr>
      <xdr:spPr bwMode="auto">
        <a:xfrm>
          <a:off x="3803650" y="556133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</xdr:row>
      <xdr:rowOff>0</xdr:rowOff>
    </xdr:from>
    <xdr:ext cx="304800" cy="304094"/>
    <xdr:sp macro="" textlink="">
      <xdr:nvSpPr>
        <xdr:cNvPr id="413" name="AutoShape 12">
          <a:extLst>
            <a:ext uri="{FF2B5EF4-FFF2-40B4-BE49-F238E27FC236}">
              <a16:creationId xmlns:a16="http://schemas.microsoft.com/office/drawing/2014/main" id="{9A399185-1A33-4F49-8EB9-948ACF1811D6}"/>
            </a:ext>
          </a:extLst>
        </xdr:cNvPr>
        <xdr:cNvSpPr>
          <a:spLocks noChangeAspect="1" noChangeArrowheads="1"/>
        </xdr:cNvSpPr>
      </xdr:nvSpPr>
      <xdr:spPr bwMode="auto">
        <a:xfrm>
          <a:off x="3803650" y="557974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</xdr:row>
      <xdr:rowOff>0</xdr:rowOff>
    </xdr:from>
    <xdr:ext cx="304800" cy="304094"/>
    <xdr:sp macro="" textlink="">
      <xdr:nvSpPr>
        <xdr:cNvPr id="414" name="AutoShape 12">
          <a:extLst>
            <a:ext uri="{FF2B5EF4-FFF2-40B4-BE49-F238E27FC236}">
              <a16:creationId xmlns:a16="http://schemas.microsoft.com/office/drawing/2014/main" id="{BBBEDB4E-7B88-43B1-9599-3F50FB3BB9CD}"/>
            </a:ext>
          </a:extLst>
        </xdr:cNvPr>
        <xdr:cNvSpPr>
          <a:spLocks noChangeAspect="1" noChangeArrowheads="1"/>
        </xdr:cNvSpPr>
      </xdr:nvSpPr>
      <xdr:spPr bwMode="auto">
        <a:xfrm>
          <a:off x="3803650" y="576389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</xdr:row>
      <xdr:rowOff>0</xdr:rowOff>
    </xdr:from>
    <xdr:ext cx="304800" cy="304094"/>
    <xdr:sp macro="" textlink="">
      <xdr:nvSpPr>
        <xdr:cNvPr id="415" name="AutoShape 12">
          <a:extLst>
            <a:ext uri="{FF2B5EF4-FFF2-40B4-BE49-F238E27FC236}">
              <a16:creationId xmlns:a16="http://schemas.microsoft.com/office/drawing/2014/main" id="{ABDA1D75-0C96-4827-95E9-C8BD199BD995}"/>
            </a:ext>
          </a:extLst>
        </xdr:cNvPr>
        <xdr:cNvSpPr>
          <a:spLocks noChangeAspect="1" noChangeArrowheads="1"/>
        </xdr:cNvSpPr>
      </xdr:nvSpPr>
      <xdr:spPr bwMode="auto">
        <a:xfrm>
          <a:off x="3803650" y="578231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97</xdr:row>
      <xdr:rowOff>0</xdr:rowOff>
    </xdr:from>
    <xdr:ext cx="304800" cy="304094"/>
    <xdr:sp macro="" textlink="">
      <xdr:nvSpPr>
        <xdr:cNvPr id="416" name="AutoShape 12">
          <a:extLst>
            <a:ext uri="{FF2B5EF4-FFF2-40B4-BE49-F238E27FC236}">
              <a16:creationId xmlns:a16="http://schemas.microsoft.com/office/drawing/2014/main" id="{B071D7DE-DE43-407F-BA4B-CCAAC5A4984D}"/>
            </a:ext>
          </a:extLst>
        </xdr:cNvPr>
        <xdr:cNvSpPr>
          <a:spLocks noChangeAspect="1" noChangeArrowheads="1"/>
        </xdr:cNvSpPr>
      </xdr:nvSpPr>
      <xdr:spPr bwMode="auto">
        <a:xfrm>
          <a:off x="3803650" y="56165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98</xdr:row>
      <xdr:rowOff>0</xdr:rowOff>
    </xdr:from>
    <xdr:ext cx="304800" cy="304094"/>
    <xdr:sp macro="" textlink="">
      <xdr:nvSpPr>
        <xdr:cNvPr id="417" name="AutoShape 12">
          <a:extLst>
            <a:ext uri="{FF2B5EF4-FFF2-40B4-BE49-F238E27FC236}">
              <a16:creationId xmlns:a16="http://schemas.microsoft.com/office/drawing/2014/main" id="{CF73E1FE-2FEE-4B36-82F8-1912F07E6404}"/>
            </a:ext>
          </a:extLst>
        </xdr:cNvPr>
        <xdr:cNvSpPr>
          <a:spLocks noChangeAspect="1" noChangeArrowheads="1"/>
        </xdr:cNvSpPr>
      </xdr:nvSpPr>
      <xdr:spPr bwMode="auto">
        <a:xfrm>
          <a:off x="3803650" y="563499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108</xdr:row>
      <xdr:rowOff>0</xdr:rowOff>
    </xdr:from>
    <xdr:ext cx="304800" cy="304094"/>
    <xdr:sp macro="" textlink="">
      <xdr:nvSpPr>
        <xdr:cNvPr id="418" name="AutoShape 12">
          <a:extLst>
            <a:ext uri="{FF2B5EF4-FFF2-40B4-BE49-F238E27FC236}">
              <a16:creationId xmlns:a16="http://schemas.microsoft.com/office/drawing/2014/main" id="{087C95C9-D522-4C55-A8CF-3B6D688C8CBB}"/>
            </a:ext>
          </a:extLst>
        </xdr:cNvPr>
        <xdr:cNvSpPr>
          <a:spLocks noChangeAspect="1" noChangeArrowheads="1"/>
        </xdr:cNvSpPr>
      </xdr:nvSpPr>
      <xdr:spPr bwMode="auto">
        <a:xfrm>
          <a:off x="3803650" y="581914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109</xdr:row>
      <xdr:rowOff>0</xdr:rowOff>
    </xdr:from>
    <xdr:ext cx="304800" cy="304094"/>
    <xdr:sp macro="" textlink="">
      <xdr:nvSpPr>
        <xdr:cNvPr id="419" name="AutoShape 12">
          <a:extLst>
            <a:ext uri="{FF2B5EF4-FFF2-40B4-BE49-F238E27FC236}">
              <a16:creationId xmlns:a16="http://schemas.microsoft.com/office/drawing/2014/main" id="{055B707F-5044-453C-8739-307D684DCD1C}"/>
            </a:ext>
          </a:extLst>
        </xdr:cNvPr>
        <xdr:cNvSpPr>
          <a:spLocks noChangeAspect="1" noChangeArrowheads="1"/>
        </xdr:cNvSpPr>
      </xdr:nvSpPr>
      <xdr:spPr bwMode="auto">
        <a:xfrm>
          <a:off x="3803650" y="583755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98</xdr:row>
      <xdr:rowOff>0</xdr:rowOff>
    </xdr:from>
    <xdr:ext cx="304800" cy="304094"/>
    <xdr:sp macro="" textlink="">
      <xdr:nvSpPr>
        <xdr:cNvPr id="420" name="AutoShape 12">
          <a:extLst>
            <a:ext uri="{FF2B5EF4-FFF2-40B4-BE49-F238E27FC236}">
              <a16:creationId xmlns:a16="http://schemas.microsoft.com/office/drawing/2014/main" id="{1A178B24-2AF2-4A1F-8F5E-C64AEF55DF08}"/>
            </a:ext>
          </a:extLst>
        </xdr:cNvPr>
        <xdr:cNvSpPr>
          <a:spLocks noChangeAspect="1" noChangeArrowheads="1"/>
        </xdr:cNvSpPr>
      </xdr:nvSpPr>
      <xdr:spPr bwMode="auto">
        <a:xfrm>
          <a:off x="3803650" y="563499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99</xdr:row>
      <xdr:rowOff>0</xdr:rowOff>
    </xdr:from>
    <xdr:ext cx="304800" cy="304094"/>
    <xdr:sp macro="" textlink="">
      <xdr:nvSpPr>
        <xdr:cNvPr id="421" name="AutoShape 12">
          <a:extLst>
            <a:ext uri="{FF2B5EF4-FFF2-40B4-BE49-F238E27FC236}">
              <a16:creationId xmlns:a16="http://schemas.microsoft.com/office/drawing/2014/main" id="{5B2251FB-444D-4CC4-B877-236B235B29B3}"/>
            </a:ext>
          </a:extLst>
        </xdr:cNvPr>
        <xdr:cNvSpPr>
          <a:spLocks noChangeAspect="1" noChangeArrowheads="1"/>
        </xdr:cNvSpPr>
      </xdr:nvSpPr>
      <xdr:spPr bwMode="auto">
        <a:xfrm>
          <a:off x="3803650" y="565340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109</xdr:row>
      <xdr:rowOff>0</xdr:rowOff>
    </xdr:from>
    <xdr:ext cx="304800" cy="304094"/>
    <xdr:sp macro="" textlink="">
      <xdr:nvSpPr>
        <xdr:cNvPr id="422" name="AutoShape 12">
          <a:extLst>
            <a:ext uri="{FF2B5EF4-FFF2-40B4-BE49-F238E27FC236}">
              <a16:creationId xmlns:a16="http://schemas.microsoft.com/office/drawing/2014/main" id="{46A84DEB-C956-45AB-9673-ABDB4D1BD780}"/>
            </a:ext>
          </a:extLst>
        </xdr:cNvPr>
        <xdr:cNvSpPr>
          <a:spLocks noChangeAspect="1" noChangeArrowheads="1"/>
        </xdr:cNvSpPr>
      </xdr:nvSpPr>
      <xdr:spPr bwMode="auto">
        <a:xfrm>
          <a:off x="3803650" y="583755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304800" cy="304094"/>
    <xdr:sp macro="" textlink="">
      <xdr:nvSpPr>
        <xdr:cNvPr id="423" name="AutoShape 12">
          <a:extLst>
            <a:ext uri="{FF2B5EF4-FFF2-40B4-BE49-F238E27FC236}">
              <a16:creationId xmlns:a16="http://schemas.microsoft.com/office/drawing/2014/main" id="{6E88B2F1-ECC6-419E-AC82-F3D0BDDB8595}"/>
            </a:ext>
          </a:extLst>
        </xdr:cNvPr>
        <xdr:cNvSpPr>
          <a:spLocks noChangeAspect="1" noChangeArrowheads="1"/>
        </xdr:cNvSpPr>
      </xdr:nvSpPr>
      <xdr:spPr bwMode="auto">
        <a:xfrm>
          <a:off x="3803650" y="585597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98</xdr:row>
      <xdr:rowOff>0</xdr:rowOff>
    </xdr:from>
    <xdr:ext cx="304800" cy="304094"/>
    <xdr:sp macro="" textlink="">
      <xdr:nvSpPr>
        <xdr:cNvPr id="424" name="AutoShape 12">
          <a:extLst>
            <a:ext uri="{FF2B5EF4-FFF2-40B4-BE49-F238E27FC236}">
              <a16:creationId xmlns:a16="http://schemas.microsoft.com/office/drawing/2014/main" id="{395C4552-7C81-4238-BFDB-AA3EA40B5C63}"/>
            </a:ext>
          </a:extLst>
        </xdr:cNvPr>
        <xdr:cNvSpPr>
          <a:spLocks noChangeAspect="1" noChangeArrowheads="1"/>
        </xdr:cNvSpPr>
      </xdr:nvSpPr>
      <xdr:spPr bwMode="auto">
        <a:xfrm>
          <a:off x="3803650" y="563499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99</xdr:row>
      <xdr:rowOff>0</xdr:rowOff>
    </xdr:from>
    <xdr:ext cx="304800" cy="304094"/>
    <xdr:sp macro="" textlink="">
      <xdr:nvSpPr>
        <xdr:cNvPr id="425" name="AutoShape 12">
          <a:extLst>
            <a:ext uri="{FF2B5EF4-FFF2-40B4-BE49-F238E27FC236}">
              <a16:creationId xmlns:a16="http://schemas.microsoft.com/office/drawing/2014/main" id="{515BE4E2-0BC4-4B60-99C5-406A06F0D16D}"/>
            </a:ext>
          </a:extLst>
        </xdr:cNvPr>
        <xdr:cNvSpPr>
          <a:spLocks noChangeAspect="1" noChangeArrowheads="1"/>
        </xdr:cNvSpPr>
      </xdr:nvSpPr>
      <xdr:spPr bwMode="auto">
        <a:xfrm>
          <a:off x="3803650" y="565340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109</xdr:row>
      <xdr:rowOff>0</xdr:rowOff>
    </xdr:from>
    <xdr:ext cx="304800" cy="304094"/>
    <xdr:sp macro="" textlink="">
      <xdr:nvSpPr>
        <xdr:cNvPr id="426" name="AutoShape 12">
          <a:extLst>
            <a:ext uri="{FF2B5EF4-FFF2-40B4-BE49-F238E27FC236}">
              <a16:creationId xmlns:a16="http://schemas.microsoft.com/office/drawing/2014/main" id="{0EF98AFF-260C-4C1D-87FC-C116975EF59B}"/>
            </a:ext>
          </a:extLst>
        </xdr:cNvPr>
        <xdr:cNvSpPr>
          <a:spLocks noChangeAspect="1" noChangeArrowheads="1"/>
        </xdr:cNvSpPr>
      </xdr:nvSpPr>
      <xdr:spPr bwMode="auto">
        <a:xfrm>
          <a:off x="3803650" y="583755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304800" cy="304094"/>
    <xdr:sp macro="" textlink="">
      <xdr:nvSpPr>
        <xdr:cNvPr id="427" name="AutoShape 12">
          <a:extLst>
            <a:ext uri="{FF2B5EF4-FFF2-40B4-BE49-F238E27FC236}">
              <a16:creationId xmlns:a16="http://schemas.microsoft.com/office/drawing/2014/main" id="{B5B2D063-263B-4096-AE95-92E285A63F2C}"/>
            </a:ext>
          </a:extLst>
        </xdr:cNvPr>
        <xdr:cNvSpPr>
          <a:spLocks noChangeAspect="1" noChangeArrowheads="1"/>
        </xdr:cNvSpPr>
      </xdr:nvSpPr>
      <xdr:spPr bwMode="auto">
        <a:xfrm>
          <a:off x="3803650" y="585597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99</xdr:row>
      <xdr:rowOff>0</xdr:rowOff>
    </xdr:from>
    <xdr:ext cx="304800" cy="304094"/>
    <xdr:sp macro="" textlink="">
      <xdr:nvSpPr>
        <xdr:cNvPr id="428" name="AutoShape 12">
          <a:extLst>
            <a:ext uri="{FF2B5EF4-FFF2-40B4-BE49-F238E27FC236}">
              <a16:creationId xmlns:a16="http://schemas.microsoft.com/office/drawing/2014/main" id="{3B169158-C707-4ECB-865B-9DD2AC6717BE}"/>
            </a:ext>
          </a:extLst>
        </xdr:cNvPr>
        <xdr:cNvSpPr>
          <a:spLocks noChangeAspect="1" noChangeArrowheads="1"/>
        </xdr:cNvSpPr>
      </xdr:nvSpPr>
      <xdr:spPr bwMode="auto">
        <a:xfrm>
          <a:off x="3803650" y="565340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100</xdr:row>
      <xdr:rowOff>0</xdr:rowOff>
    </xdr:from>
    <xdr:ext cx="304800" cy="304094"/>
    <xdr:sp macro="" textlink="">
      <xdr:nvSpPr>
        <xdr:cNvPr id="429" name="AutoShape 12">
          <a:extLst>
            <a:ext uri="{FF2B5EF4-FFF2-40B4-BE49-F238E27FC236}">
              <a16:creationId xmlns:a16="http://schemas.microsoft.com/office/drawing/2014/main" id="{4C45A5BE-80AB-4C27-ADB5-F2E3FC9974D1}"/>
            </a:ext>
          </a:extLst>
        </xdr:cNvPr>
        <xdr:cNvSpPr>
          <a:spLocks noChangeAspect="1" noChangeArrowheads="1"/>
        </xdr:cNvSpPr>
      </xdr:nvSpPr>
      <xdr:spPr bwMode="auto">
        <a:xfrm>
          <a:off x="3803650" y="567182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304800" cy="304094"/>
    <xdr:sp macro="" textlink="">
      <xdr:nvSpPr>
        <xdr:cNvPr id="430" name="AutoShape 12">
          <a:extLst>
            <a:ext uri="{FF2B5EF4-FFF2-40B4-BE49-F238E27FC236}">
              <a16:creationId xmlns:a16="http://schemas.microsoft.com/office/drawing/2014/main" id="{FE187B35-1027-483E-8E3C-58538E01E432}"/>
            </a:ext>
          </a:extLst>
        </xdr:cNvPr>
        <xdr:cNvSpPr>
          <a:spLocks noChangeAspect="1" noChangeArrowheads="1"/>
        </xdr:cNvSpPr>
      </xdr:nvSpPr>
      <xdr:spPr bwMode="auto">
        <a:xfrm>
          <a:off x="3803650" y="585597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111</xdr:row>
      <xdr:rowOff>0</xdr:rowOff>
    </xdr:from>
    <xdr:ext cx="304800" cy="304094"/>
    <xdr:sp macro="" textlink="">
      <xdr:nvSpPr>
        <xdr:cNvPr id="431" name="AutoShape 12">
          <a:extLst>
            <a:ext uri="{FF2B5EF4-FFF2-40B4-BE49-F238E27FC236}">
              <a16:creationId xmlns:a16="http://schemas.microsoft.com/office/drawing/2014/main" id="{2A7A4485-FDA7-46B4-B93F-BDB4F086BCD6}"/>
            </a:ext>
          </a:extLst>
        </xdr:cNvPr>
        <xdr:cNvSpPr>
          <a:spLocks noChangeAspect="1" noChangeArrowheads="1"/>
        </xdr:cNvSpPr>
      </xdr:nvSpPr>
      <xdr:spPr bwMode="auto">
        <a:xfrm>
          <a:off x="3803650" y="587438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141</xdr:row>
      <xdr:rowOff>0</xdr:rowOff>
    </xdr:from>
    <xdr:ext cx="304800" cy="304094"/>
    <xdr:sp macro="" textlink="">
      <xdr:nvSpPr>
        <xdr:cNvPr id="432" name="AutoShape 12">
          <a:extLst>
            <a:ext uri="{FF2B5EF4-FFF2-40B4-BE49-F238E27FC236}">
              <a16:creationId xmlns:a16="http://schemas.microsoft.com/office/drawing/2014/main" id="{70C96BBA-C57E-4C94-827D-2740BFD52D42}"/>
            </a:ext>
          </a:extLst>
        </xdr:cNvPr>
        <xdr:cNvSpPr>
          <a:spLocks noChangeAspect="1" noChangeArrowheads="1"/>
        </xdr:cNvSpPr>
      </xdr:nvSpPr>
      <xdr:spPr bwMode="auto">
        <a:xfrm>
          <a:off x="3803650" y="642683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142</xdr:row>
      <xdr:rowOff>0</xdr:rowOff>
    </xdr:from>
    <xdr:ext cx="304800" cy="304094"/>
    <xdr:sp macro="" textlink="">
      <xdr:nvSpPr>
        <xdr:cNvPr id="433" name="AutoShape 12">
          <a:extLst>
            <a:ext uri="{FF2B5EF4-FFF2-40B4-BE49-F238E27FC236}">
              <a16:creationId xmlns:a16="http://schemas.microsoft.com/office/drawing/2014/main" id="{5A64CF0B-4E7A-47D5-A98A-B3755A9A1790}"/>
            </a:ext>
          </a:extLst>
        </xdr:cNvPr>
        <xdr:cNvSpPr>
          <a:spLocks noChangeAspect="1" noChangeArrowheads="1"/>
        </xdr:cNvSpPr>
      </xdr:nvSpPr>
      <xdr:spPr bwMode="auto">
        <a:xfrm>
          <a:off x="3803650" y="644525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152</xdr:row>
      <xdr:rowOff>0</xdr:rowOff>
    </xdr:from>
    <xdr:ext cx="304800" cy="304094"/>
    <xdr:sp macro="" textlink="">
      <xdr:nvSpPr>
        <xdr:cNvPr id="434" name="AutoShape 12">
          <a:extLst>
            <a:ext uri="{FF2B5EF4-FFF2-40B4-BE49-F238E27FC236}">
              <a16:creationId xmlns:a16="http://schemas.microsoft.com/office/drawing/2014/main" id="{2C4A6D26-CEBA-4BC9-AF3B-6AA34565BA3E}"/>
            </a:ext>
          </a:extLst>
        </xdr:cNvPr>
        <xdr:cNvSpPr>
          <a:spLocks noChangeAspect="1" noChangeArrowheads="1"/>
        </xdr:cNvSpPr>
      </xdr:nvSpPr>
      <xdr:spPr bwMode="auto">
        <a:xfrm>
          <a:off x="3803650" y="662940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153</xdr:row>
      <xdr:rowOff>0</xdr:rowOff>
    </xdr:from>
    <xdr:ext cx="304800" cy="304094"/>
    <xdr:sp macro="" textlink="">
      <xdr:nvSpPr>
        <xdr:cNvPr id="435" name="AutoShape 12">
          <a:extLst>
            <a:ext uri="{FF2B5EF4-FFF2-40B4-BE49-F238E27FC236}">
              <a16:creationId xmlns:a16="http://schemas.microsoft.com/office/drawing/2014/main" id="{57830637-A232-49C8-99BB-E8882428CBDE}"/>
            </a:ext>
          </a:extLst>
        </xdr:cNvPr>
        <xdr:cNvSpPr>
          <a:spLocks noChangeAspect="1" noChangeArrowheads="1"/>
        </xdr:cNvSpPr>
      </xdr:nvSpPr>
      <xdr:spPr bwMode="auto">
        <a:xfrm>
          <a:off x="3803650" y="66478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142</xdr:row>
      <xdr:rowOff>0</xdr:rowOff>
    </xdr:from>
    <xdr:ext cx="304800" cy="304094"/>
    <xdr:sp macro="" textlink="">
      <xdr:nvSpPr>
        <xdr:cNvPr id="436" name="AutoShape 12">
          <a:extLst>
            <a:ext uri="{FF2B5EF4-FFF2-40B4-BE49-F238E27FC236}">
              <a16:creationId xmlns:a16="http://schemas.microsoft.com/office/drawing/2014/main" id="{2D1CE0FB-37F9-4237-855B-CA593B28FC00}"/>
            </a:ext>
          </a:extLst>
        </xdr:cNvPr>
        <xdr:cNvSpPr>
          <a:spLocks noChangeAspect="1" noChangeArrowheads="1"/>
        </xdr:cNvSpPr>
      </xdr:nvSpPr>
      <xdr:spPr bwMode="auto">
        <a:xfrm>
          <a:off x="3803650" y="644525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143</xdr:row>
      <xdr:rowOff>0</xdr:rowOff>
    </xdr:from>
    <xdr:ext cx="304800" cy="304094"/>
    <xdr:sp macro="" textlink="">
      <xdr:nvSpPr>
        <xdr:cNvPr id="437" name="AutoShape 12">
          <a:extLst>
            <a:ext uri="{FF2B5EF4-FFF2-40B4-BE49-F238E27FC236}">
              <a16:creationId xmlns:a16="http://schemas.microsoft.com/office/drawing/2014/main" id="{8DD648FA-8534-40D6-8CDA-89BE1DC7A523}"/>
            </a:ext>
          </a:extLst>
        </xdr:cNvPr>
        <xdr:cNvSpPr>
          <a:spLocks noChangeAspect="1" noChangeArrowheads="1"/>
        </xdr:cNvSpPr>
      </xdr:nvSpPr>
      <xdr:spPr bwMode="auto">
        <a:xfrm>
          <a:off x="3803650" y="646366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153</xdr:row>
      <xdr:rowOff>0</xdr:rowOff>
    </xdr:from>
    <xdr:ext cx="304800" cy="304094"/>
    <xdr:sp macro="" textlink="">
      <xdr:nvSpPr>
        <xdr:cNvPr id="438" name="AutoShape 12">
          <a:extLst>
            <a:ext uri="{FF2B5EF4-FFF2-40B4-BE49-F238E27FC236}">
              <a16:creationId xmlns:a16="http://schemas.microsoft.com/office/drawing/2014/main" id="{7EA5DEC7-50CE-4EBA-97F2-E30F884FF72A}"/>
            </a:ext>
          </a:extLst>
        </xdr:cNvPr>
        <xdr:cNvSpPr>
          <a:spLocks noChangeAspect="1" noChangeArrowheads="1"/>
        </xdr:cNvSpPr>
      </xdr:nvSpPr>
      <xdr:spPr bwMode="auto">
        <a:xfrm>
          <a:off x="3803650" y="66478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154</xdr:row>
      <xdr:rowOff>0</xdr:rowOff>
    </xdr:from>
    <xdr:ext cx="304800" cy="304094"/>
    <xdr:sp macro="" textlink="">
      <xdr:nvSpPr>
        <xdr:cNvPr id="439" name="AutoShape 12">
          <a:extLst>
            <a:ext uri="{FF2B5EF4-FFF2-40B4-BE49-F238E27FC236}">
              <a16:creationId xmlns:a16="http://schemas.microsoft.com/office/drawing/2014/main" id="{FA597AA1-411F-4FE4-ACD6-6DF90EDBCB7F}"/>
            </a:ext>
          </a:extLst>
        </xdr:cNvPr>
        <xdr:cNvSpPr>
          <a:spLocks noChangeAspect="1" noChangeArrowheads="1"/>
        </xdr:cNvSpPr>
      </xdr:nvSpPr>
      <xdr:spPr bwMode="auto">
        <a:xfrm>
          <a:off x="3803650" y="666623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142</xdr:row>
      <xdr:rowOff>0</xdr:rowOff>
    </xdr:from>
    <xdr:ext cx="304800" cy="304094"/>
    <xdr:sp macro="" textlink="">
      <xdr:nvSpPr>
        <xdr:cNvPr id="440" name="AutoShape 12">
          <a:extLst>
            <a:ext uri="{FF2B5EF4-FFF2-40B4-BE49-F238E27FC236}">
              <a16:creationId xmlns:a16="http://schemas.microsoft.com/office/drawing/2014/main" id="{E976BF22-CC50-4D20-9A32-CE1CB63942C7}"/>
            </a:ext>
          </a:extLst>
        </xdr:cNvPr>
        <xdr:cNvSpPr>
          <a:spLocks noChangeAspect="1" noChangeArrowheads="1"/>
        </xdr:cNvSpPr>
      </xdr:nvSpPr>
      <xdr:spPr bwMode="auto">
        <a:xfrm>
          <a:off x="3803650" y="644525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143</xdr:row>
      <xdr:rowOff>0</xdr:rowOff>
    </xdr:from>
    <xdr:ext cx="304800" cy="304094"/>
    <xdr:sp macro="" textlink="">
      <xdr:nvSpPr>
        <xdr:cNvPr id="441" name="AutoShape 12">
          <a:extLst>
            <a:ext uri="{FF2B5EF4-FFF2-40B4-BE49-F238E27FC236}">
              <a16:creationId xmlns:a16="http://schemas.microsoft.com/office/drawing/2014/main" id="{0AF706F2-CDDD-4FB0-9E08-0B8FF0EFCE53}"/>
            </a:ext>
          </a:extLst>
        </xdr:cNvPr>
        <xdr:cNvSpPr>
          <a:spLocks noChangeAspect="1" noChangeArrowheads="1"/>
        </xdr:cNvSpPr>
      </xdr:nvSpPr>
      <xdr:spPr bwMode="auto">
        <a:xfrm>
          <a:off x="3803650" y="646366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153</xdr:row>
      <xdr:rowOff>0</xdr:rowOff>
    </xdr:from>
    <xdr:ext cx="304800" cy="304094"/>
    <xdr:sp macro="" textlink="">
      <xdr:nvSpPr>
        <xdr:cNvPr id="442" name="AutoShape 12">
          <a:extLst>
            <a:ext uri="{FF2B5EF4-FFF2-40B4-BE49-F238E27FC236}">
              <a16:creationId xmlns:a16="http://schemas.microsoft.com/office/drawing/2014/main" id="{2BE4D3B7-5BE7-4471-9D0A-0290A6230E80}"/>
            </a:ext>
          </a:extLst>
        </xdr:cNvPr>
        <xdr:cNvSpPr>
          <a:spLocks noChangeAspect="1" noChangeArrowheads="1"/>
        </xdr:cNvSpPr>
      </xdr:nvSpPr>
      <xdr:spPr bwMode="auto">
        <a:xfrm>
          <a:off x="3803650" y="66478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154</xdr:row>
      <xdr:rowOff>0</xdr:rowOff>
    </xdr:from>
    <xdr:ext cx="304800" cy="304094"/>
    <xdr:sp macro="" textlink="">
      <xdr:nvSpPr>
        <xdr:cNvPr id="443" name="AutoShape 12">
          <a:extLst>
            <a:ext uri="{FF2B5EF4-FFF2-40B4-BE49-F238E27FC236}">
              <a16:creationId xmlns:a16="http://schemas.microsoft.com/office/drawing/2014/main" id="{D77DF41C-8569-4E10-9363-A20FF95351BC}"/>
            </a:ext>
          </a:extLst>
        </xdr:cNvPr>
        <xdr:cNvSpPr>
          <a:spLocks noChangeAspect="1" noChangeArrowheads="1"/>
        </xdr:cNvSpPr>
      </xdr:nvSpPr>
      <xdr:spPr bwMode="auto">
        <a:xfrm>
          <a:off x="3803650" y="666623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143</xdr:row>
      <xdr:rowOff>0</xdr:rowOff>
    </xdr:from>
    <xdr:ext cx="304800" cy="304094"/>
    <xdr:sp macro="" textlink="">
      <xdr:nvSpPr>
        <xdr:cNvPr id="444" name="AutoShape 12">
          <a:extLst>
            <a:ext uri="{FF2B5EF4-FFF2-40B4-BE49-F238E27FC236}">
              <a16:creationId xmlns:a16="http://schemas.microsoft.com/office/drawing/2014/main" id="{D2A3ED1B-2DE3-4EFC-8865-F496622735EB}"/>
            </a:ext>
          </a:extLst>
        </xdr:cNvPr>
        <xdr:cNvSpPr>
          <a:spLocks noChangeAspect="1" noChangeArrowheads="1"/>
        </xdr:cNvSpPr>
      </xdr:nvSpPr>
      <xdr:spPr bwMode="auto">
        <a:xfrm>
          <a:off x="3803650" y="646366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144</xdr:row>
      <xdr:rowOff>0</xdr:rowOff>
    </xdr:from>
    <xdr:ext cx="304800" cy="304094"/>
    <xdr:sp macro="" textlink="">
      <xdr:nvSpPr>
        <xdr:cNvPr id="445" name="AutoShape 12">
          <a:extLst>
            <a:ext uri="{FF2B5EF4-FFF2-40B4-BE49-F238E27FC236}">
              <a16:creationId xmlns:a16="http://schemas.microsoft.com/office/drawing/2014/main" id="{098DC7F9-8DED-4064-9D9F-3102C44EB528}"/>
            </a:ext>
          </a:extLst>
        </xdr:cNvPr>
        <xdr:cNvSpPr>
          <a:spLocks noChangeAspect="1" noChangeArrowheads="1"/>
        </xdr:cNvSpPr>
      </xdr:nvSpPr>
      <xdr:spPr bwMode="auto">
        <a:xfrm>
          <a:off x="3803650" y="648208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154</xdr:row>
      <xdr:rowOff>0</xdr:rowOff>
    </xdr:from>
    <xdr:ext cx="304800" cy="304094"/>
    <xdr:sp macro="" textlink="">
      <xdr:nvSpPr>
        <xdr:cNvPr id="446" name="AutoShape 12">
          <a:extLst>
            <a:ext uri="{FF2B5EF4-FFF2-40B4-BE49-F238E27FC236}">
              <a16:creationId xmlns:a16="http://schemas.microsoft.com/office/drawing/2014/main" id="{800AB17C-E712-4932-AFD7-F6EA8877178D}"/>
            </a:ext>
          </a:extLst>
        </xdr:cNvPr>
        <xdr:cNvSpPr>
          <a:spLocks noChangeAspect="1" noChangeArrowheads="1"/>
        </xdr:cNvSpPr>
      </xdr:nvSpPr>
      <xdr:spPr bwMode="auto">
        <a:xfrm>
          <a:off x="3803650" y="666623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144</xdr:row>
      <xdr:rowOff>0</xdr:rowOff>
    </xdr:from>
    <xdr:ext cx="304800" cy="304094"/>
    <xdr:sp macro="" textlink="">
      <xdr:nvSpPr>
        <xdr:cNvPr id="447" name="AutoShape 12">
          <a:extLst>
            <a:ext uri="{FF2B5EF4-FFF2-40B4-BE49-F238E27FC236}">
              <a16:creationId xmlns:a16="http://schemas.microsoft.com/office/drawing/2014/main" id="{35407D78-8BA5-4A9B-A1D3-47388AE39717}"/>
            </a:ext>
          </a:extLst>
        </xdr:cNvPr>
        <xdr:cNvSpPr>
          <a:spLocks noChangeAspect="1" noChangeArrowheads="1"/>
        </xdr:cNvSpPr>
      </xdr:nvSpPr>
      <xdr:spPr bwMode="auto">
        <a:xfrm>
          <a:off x="3803650" y="648208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145</xdr:row>
      <xdr:rowOff>0</xdr:rowOff>
    </xdr:from>
    <xdr:ext cx="304800" cy="304094"/>
    <xdr:sp macro="" textlink="">
      <xdr:nvSpPr>
        <xdr:cNvPr id="448" name="AutoShape 12">
          <a:extLst>
            <a:ext uri="{FF2B5EF4-FFF2-40B4-BE49-F238E27FC236}">
              <a16:creationId xmlns:a16="http://schemas.microsoft.com/office/drawing/2014/main" id="{A5FA488E-69CA-494E-94B9-E55EE0A5F4CE}"/>
            </a:ext>
          </a:extLst>
        </xdr:cNvPr>
        <xdr:cNvSpPr>
          <a:spLocks noChangeAspect="1" noChangeArrowheads="1"/>
        </xdr:cNvSpPr>
      </xdr:nvSpPr>
      <xdr:spPr bwMode="auto">
        <a:xfrm>
          <a:off x="3803650" y="650049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145</xdr:row>
      <xdr:rowOff>0</xdr:rowOff>
    </xdr:from>
    <xdr:ext cx="304800" cy="304094"/>
    <xdr:sp macro="" textlink="">
      <xdr:nvSpPr>
        <xdr:cNvPr id="449" name="AutoShape 12">
          <a:extLst>
            <a:ext uri="{FF2B5EF4-FFF2-40B4-BE49-F238E27FC236}">
              <a16:creationId xmlns:a16="http://schemas.microsoft.com/office/drawing/2014/main" id="{4E7D76A5-87BC-4724-B3C1-DE4DC8015F5D}"/>
            </a:ext>
          </a:extLst>
        </xdr:cNvPr>
        <xdr:cNvSpPr>
          <a:spLocks noChangeAspect="1" noChangeArrowheads="1"/>
        </xdr:cNvSpPr>
      </xdr:nvSpPr>
      <xdr:spPr bwMode="auto">
        <a:xfrm>
          <a:off x="3803650" y="650049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146</xdr:row>
      <xdr:rowOff>0</xdr:rowOff>
    </xdr:from>
    <xdr:ext cx="304800" cy="304094"/>
    <xdr:sp macro="" textlink="">
      <xdr:nvSpPr>
        <xdr:cNvPr id="450" name="AutoShape 12">
          <a:extLst>
            <a:ext uri="{FF2B5EF4-FFF2-40B4-BE49-F238E27FC236}">
              <a16:creationId xmlns:a16="http://schemas.microsoft.com/office/drawing/2014/main" id="{943A07F7-3CC8-4E9A-93B2-BBF245F8AE7A}"/>
            </a:ext>
          </a:extLst>
        </xdr:cNvPr>
        <xdr:cNvSpPr>
          <a:spLocks noChangeAspect="1" noChangeArrowheads="1"/>
        </xdr:cNvSpPr>
      </xdr:nvSpPr>
      <xdr:spPr bwMode="auto">
        <a:xfrm>
          <a:off x="3803650" y="651891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145</xdr:row>
      <xdr:rowOff>0</xdr:rowOff>
    </xdr:from>
    <xdr:ext cx="304800" cy="304094"/>
    <xdr:sp macro="" textlink="">
      <xdr:nvSpPr>
        <xdr:cNvPr id="451" name="AutoShape 12">
          <a:extLst>
            <a:ext uri="{FF2B5EF4-FFF2-40B4-BE49-F238E27FC236}">
              <a16:creationId xmlns:a16="http://schemas.microsoft.com/office/drawing/2014/main" id="{E931C3F1-0FC8-4EF3-902F-B48EDA73B7DF}"/>
            </a:ext>
          </a:extLst>
        </xdr:cNvPr>
        <xdr:cNvSpPr>
          <a:spLocks noChangeAspect="1" noChangeArrowheads="1"/>
        </xdr:cNvSpPr>
      </xdr:nvSpPr>
      <xdr:spPr bwMode="auto">
        <a:xfrm>
          <a:off x="3803650" y="650049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146</xdr:row>
      <xdr:rowOff>0</xdr:rowOff>
    </xdr:from>
    <xdr:ext cx="304800" cy="304094"/>
    <xdr:sp macro="" textlink="">
      <xdr:nvSpPr>
        <xdr:cNvPr id="452" name="AutoShape 12">
          <a:extLst>
            <a:ext uri="{FF2B5EF4-FFF2-40B4-BE49-F238E27FC236}">
              <a16:creationId xmlns:a16="http://schemas.microsoft.com/office/drawing/2014/main" id="{84FCA1B8-ECF4-433F-9170-524F11908AE6}"/>
            </a:ext>
          </a:extLst>
        </xdr:cNvPr>
        <xdr:cNvSpPr>
          <a:spLocks noChangeAspect="1" noChangeArrowheads="1"/>
        </xdr:cNvSpPr>
      </xdr:nvSpPr>
      <xdr:spPr bwMode="auto">
        <a:xfrm>
          <a:off x="3803650" y="651891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146</xdr:row>
      <xdr:rowOff>0</xdr:rowOff>
    </xdr:from>
    <xdr:ext cx="304800" cy="304094"/>
    <xdr:sp macro="" textlink="">
      <xdr:nvSpPr>
        <xdr:cNvPr id="453" name="AutoShape 12">
          <a:extLst>
            <a:ext uri="{FF2B5EF4-FFF2-40B4-BE49-F238E27FC236}">
              <a16:creationId xmlns:a16="http://schemas.microsoft.com/office/drawing/2014/main" id="{FCDF31BD-44D6-4F66-B49F-EDEB6F740D6D}"/>
            </a:ext>
          </a:extLst>
        </xdr:cNvPr>
        <xdr:cNvSpPr>
          <a:spLocks noChangeAspect="1" noChangeArrowheads="1"/>
        </xdr:cNvSpPr>
      </xdr:nvSpPr>
      <xdr:spPr bwMode="auto">
        <a:xfrm>
          <a:off x="3803650" y="651891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094"/>
    <xdr:sp macro="" textlink="">
      <xdr:nvSpPr>
        <xdr:cNvPr id="454" name="AutoShape 12">
          <a:extLst>
            <a:ext uri="{FF2B5EF4-FFF2-40B4-BE49-F238E27FC236}">
              <a16:creationId xmlns:a16="http://schemas.microsoft.com/office/drawing/2014/main" id="{39AFEF24-5035-4EBF-878B-89E3736CD38C}"/>
            </a:ext>
          </a:extLst>
        </xdr:cNvPr>
        <xdr:cNvSpPr>
          <a:spLocks noChangeAspect="1" noChangeArrowheads="1"/>
        </xdr:cNvSpPr>
      </xdr:nvSpPr>
      <xdr:spPr bwMode="auto">
        <a:xfrm>
          <a:off x="3803650" y="653732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90</xdr:row>
      <xdr:rowOff>0</xdr:rowOff>
    </xdr:from>
    <xdr:ext cx="304800" cy="304094"/>
    <xdr:sp macro="" textlink="">
      <xdr:nvSpPr>
        <xdr:cNvPr id="455" name="AutoShape 12">
          <a:extLst>
            <a:ext uri="{FF2B5EF4-FFF2-40B4-BE49-F238E27FC236}">
              <a16:creationId xmlns:a16="http://schemas.microsoft.com/office/drawing/2014/main" id="{98307577-8C6D-469B-8B73-6EF68E10255D}"/>
            </a:ext>
          </a:extLst>
        </xdr:cNvPr>
        <xdr:cNvSpPr>
          <a:spLocks noChangeAspect="1" noChangeArrowheads="1"/>
        </xdr:cNvSpPr>
      </xdr:nvSpPr>
      <xdr:spPr bwMode="auto">
        <a:xfrm>
          <a:off x="3803650" y="546925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90</xdr:row>
      <xdr:rowOff>0</xdr:rowOff>
    </xdr:from>
    <xdr:ext cx="304800" cy="304094"/>
    <xdr:sp macro="" textlink="">
      <xdr:nvSpPr>
        <xdr:cNvPr id="456" name="AutoShape 12">
          <a:extLst>
            <a:ext uri="{FF2B5EF4-FFF2-40B4-BE49-F238E27FC236}">
              <a16:creationId xmlns:a16="http://schemas.microsoft.com/office/drawing/2014/main" id="{EA927504-4BE0-4699-AC25-0D350131FAAC}"/>
            </a:ext>
          </a:extLst>
        </xdr:cNvPr>
        <xdr:cNvSpPr>
          <a:spLocks noChangeAspect="1" noChangeArrowheads="1"/>
        </xdr:cNvSpPr>
      </xdr:nvSpPr>
      <xdr:spPr bwMode="auto">
        <a:xfrm>
          <a:off x="3803650" y="548767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100</xdr:row>
      <xdr:rowOff>0</xdr:rowOff>
    </xdr:from>
    <xdr:ext cx="304800" cy="304094"/>
    <xdr:sp macro="" textlink="">
      <xdr:nvSpPr>
        <xdr:cNvPr id="457" name="AutoShape 12">
          <a:extLst>
            <a:ext uri="{FF2B5EF4-FFF2-40B4-BE49-F238E27FC236}">
              <a16:creationId xmlns:a16="http://schemas.microsoft.com/office/drawing/2014/main" id="{ECB7C66B-F674-47D4-924B-5B0DDFB10BBC}"/>
            </a:ext>
          </a:extLst>
        </xdr:cNvPr>
        <xdr:cNvSpPr>
          <a:spLocks noChangeAspect="1" noChangeArrowheads="1"/>
        </xdr:cNvSpPr>
      </xdr:nvSpPr>
      <xdr:spPr bwMode="auto">
        <a:xfrm>
          <a:off x="3803650" y="567182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</xdr:row>
      <xdr:rowOff>0</xdr:rowOff>
    </xdr:from>
    <xdr:ext cx="304800" cy="304094"/>
    <xdr:sp macro="" textlink="">
      <xdr:nvSpPr>
        <xdr:cNvPr id="458" name="AutoShape 12">
          <a:extLst>
            <a:ext uri="{FF2B5EF4-FFF2-40B4-BE49-F238E27FC236}">
              <a16:creationId xmlns:a16="http://schemas.microsoft.com/office/drawing/2014/main" id="{0910B3DA-2F3D-4FC2-B284-7F5724930E1E}"/>
            </a:ext>
          </a:extLst>
        </xdr:cNvPr>
        <xdr:cNvSpPr>
          <a:spLocks noChangeAspect="1" noChangeArrowheads="1"/>
        </xdr:cNvSpPr>
      </xdr:nvSpPr>
      <xdr:spPr bwMode="auto">
        <a:xfrm>
          <a:off x="3803650" y="569023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90</xdr:row>
      <xdr:rowOff>0</xdr:rowOff>
    </xdr:from>
    <xdr:ext cx="304800" cy="304094"/>
    <xdr:sp macro="" textlink="">
      <xdr:nvSpPr>
        <xdr:cNvPr id="459" name="AutoShape 12">
          <a:extLst>
            <a:ext uri="{FF2B5EF4-FFF2-40B4-BE49-F238E27FC236}">
              <a16:creationId xmlns:a16="http://schemas.microsoft.com/office/drawing/2014/main" id="{8B273A28-B4D5-4E3B-AC27-CC2137E00CA9}"/>
            </a:ext>
          </a:extLst>
        </xdr:cNvPr>
        <xdr:cNvSpPr>
          <a:spLocks noChangeAspect="1" noChangeArrowheads="1"/>
        </xdr:cNvSpPr>
      </xdr:nvSpPr>
      <xdr:spPr bwMode="auto">
        <a:xfrm>
          <a:off x="3803650" y="548767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</xdr:row>
      <xdr:rowOff>0</xdr:rowOff>
    </xdr:from>
    <xdr:ext cx="304800" cy="304094"/>
    <xdr:sp macro="" textlink="">
      <xdr:nvSpPr>
        <xdr:cNvPr id="460" name="AutoShape 12">
          <a:extLst>
            <a:ext uri="{FF2B5EF4-FFF2-40B4-BE49-F238E27FC236}">
              <a16:creationId xmlns:a16="http://schemas.microsoft.com/office/drawing/2014/main" id="{55C6BF3D-8DD4-4FF6-BE6F-4989BED942D2}"/>
            </a:ext>
          </a:extLst>
        </xdr:cNvPr>
        <xdr:cNvSpPr>
          <a:spLocks noChangeAspect="1" noChangeArrowheads="1"/>
        </xdr:cNvSpPr>
      </xdr:nvSpPr>
      <xdr:spPr bwMode="auto">
        <a:xfrm>
          <a:off x="3803650" y="550608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</xdr:row>
      <xdr:rowOff>0</xdr:rowOff>
    </xdr:from>
    <xdr:ext cx="304800" cy="304094"/>
    <xdr:sp macro="" textlink="">
      <xdr:nvSpPr>
        <xdr:cNvPr id="461" name="AutoShape 12">
          <a:extLst>
            <a:ext uri="{FF2B5EF4-FFF2-40B4-BE49-F238E27FC236}">
              <a16:creationId xmlns:a16="http://schemas.microsoft.com/office/drawing/2014/main" id="{AF43D803-8A92-4CEC-9889-5EC2E8C094D5}"/>
            </a:ext>
          </a:extLst>
        </xdr:cNvPr>
        <xdr:cNvSpPr>
          <a:spLocks noChangeAspect="1" noChangeArrowheads="1"/>
        </xdr:cNvSpPr>
      </xdr:nvSpPr>
      <xdr:spPr bwMode="auto">
        <a:xfrm>
          <a:off x="3803650" y="569023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462" name="AutoShape 12">
          <a:extLst>
            <a:ext uri="{FF2B5EF4-FFF2-40B4-BE49-F238E27FC236}">
              <a16:creationId xmlns:a16="http://schemas.microsoft.com/office/drawing/2014/main" id="{F8095A8E-FB7B-4E86-AD33-80CBDE74BBCD}"/>
            </a:ext>
          </a:extLst>
        </xdr:cNvPr>
        <xdr:cNvSpPr>
          <a:spLocks noChangeAspect="1" noChangeArrowheads="1"/>
        </xdr:cNvSpPr>
      </xdr:nvSpPr>
      <xdr:spPr bwMode="auto">
        <a:xfrm>
          <a:off x="3803650" y="570865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158</xdr:row>
      <xdr:rowOff>0</xdr:rowOff>
    </xdr:from>
    <xdr:ext cx="304800" cy="304094"/>
    <xdr:sp macro="" textlink="">
      <xdr:nvSpPr>
        <xdr:cNvPr id="463" name="AutoShape 12">
          <a:extLst>
            <a:ext uri="{FF2B5EF4-FFF2-40B4-BE49-F238E27FC236}">
              <a16:creationId xmlns:a16="http://schemas.microsoft.com/office/drawing/2014/main" id="{C755267A-E9DC-4711-ABB6-C7E7D6D8ACCB}"/>
            </a:ext>
          </a:extLst>
        </xdr:cNvPr>
        <xdr:cNvSpPr>
          <a:spLocks noChangeAspect="1" noChangeArrowheads="1"/>
        </xdr:cNvSpPr>
      </xdr:nvSpPr>
      <xdr:spPr bwMode="auto">
        <a:xfrm>
          <a:off x="3803650" y="673989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159</xdr:row>
      <xdr:rowOff>0</xdr:rowOff>
    </xdr:from>
    <xdr:ext cx="304800" cy="304094"/>
    <xdr:sp macro="" textlink="">
      <xdr:nvSpPr>
        <xdr:cNvPr id="464" name="AutoShape 12">
          <a:extLst>
            <a:ext uri="{FF2B5EF4-FFF2-40B4-BE49-F238E27FC236}">
              <a16:creationId xmlns:a16="http://schemas.microsoft.com/office/drawing/2014/main" id="{0C98FBB7-E4F8-4C18-AE20-B17251239F04}"/>
            </a:ext>
          </a:extLst>
        </xdr:cNvPr>
        <xdr:cNvSpPr>
          <a:spLocks noChangeAspect="1" noChangeArrowheads="1"/>
        </xdr:cNvSpPr>
      </xdr:nvSpPr>
      <xdr:spPr bwMode="auto">
        <a:xfrm>
          <a:off x="3803650" y="675830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169</xdr:row>
      <xdr:rowOff>0</xdr:rowOff>
    </xdr:from>
    <xdr:ext cx="304800" cy="304094"/>
    <xdr:sp macro="" textlink="">
      <xdr:nvSpPr>
        <xdr:cNvPr id="465" name="AutoShape 12">
          <a:extLst>
            <a:ext uri="{FF2B5EF4-FFF2-40B4-BE49-F238E27FC236}">
              <a16:creationId xmlns:a16="http://schemas.microsoft.com/office/drawing/2014/main" id="{15014637-4EEE-487B-B18B-D5EB3403E3C4}"/>
            </a:ext>
          </a:extLst>
        </xdr:cNvPr>
        <xdr:cNvSpPr>
          <a:spLocks noChangeAspect="1" noChangeArrowheads="1"/>
        </xdr:cNvSpPr>
      </xdr:nvSpPr>
      <xdr:spPr bwMode="auto">
        <a:xfrm>
          <a:off x="3803650" y="694245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170</xdr:row>
      <xdr:rowOff>0</xdr:rowOff>
    </xdr:from>
    <xdr:ext cx="304800" cy="304094"/>
    <xdr:sp macro="" textlink="">
      <xdr:nvSpPr>
        <xdr:cNvPr id="466" name="AutoShape 12">
          <a:extLst>
            <a:ext uri="{FF2B5EF4-FFF2-40B4-BE49-F238E27FC236}">
              <a16:creationId xmlns:a16="http://schemas.microsoft.com/office/drawing/2014/main" id="{B7B8D22B-8C7D-449A-B6D1-49AF215758BC}"/>
            </a:ext>
          </a:extLst>
        </xdr:cNvPr>
        <xdr:cNvSpPr>
          <a:spLocks noChangeAspect="1" noChangeArrowheads="1"/>
        </xdr:cNvSpPr>
      </xdr:nvSpPr>
      <xdr:spPr bwMode="auto">
        <a:xfrm>
          <a:off x="3803650" y="696087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159</xdr:row>
      <xdr:rowOff>0</xdr:rowOff>
    </xdr:from>
    <xdr:ext cx="304800" cy="304094"/>
    <xdr:sp macro="" textlink="">
      <xdr:nvSpPr>
        <xdr:cNvPr id="467" name="AutoShape 12">
          <a:extLst>
            <a:ext uri="{FF2B5EF4-FFF2-40B4-BE49-F238E27FC236}">
              <a16:creationId xmlns:a16="http://schemas.microsoft.com/office/drawing/2014/main" id="{1429249B-D2CD-4C20-A1C8-C2AB17ED291C}"/>
            </a:ext>
          </a:extLst>
        </xdr:cNvPr>
        <xdr:cNvSpPr>
          <a:spLocks noChangeAspect="1" noChangeArrowheads="1"/>
        </xdr:cNvSpPr>
      </xdr:nvSpPr>
      <xdr:spPr bwMode="auto">
        <a:xfrm>
          <a:off x="3803650" y="675830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160</xdr:row>
      <xdr:rowOff>0</xdr:rowOff>
    </xdr:from>
    <xdr:ext cx="304800" cy="304094"/>
    <xdr:sp macro="" textlink="">
      <xdr:nvSpPr>
        <xdr:cNvPr id="468" name="AutoShape 12">
          <a:extLst>
            <a:ext uri="{FF2B5EF4-FFF2-40B4-BE49-F238E27FC236}">
              <a16:creationId xmlns:a16="http://schemas.microsoft.com/office/drawing/2014/main" id="{1C037B4C-BEEF-41BA-B8AF-69CB5BDFA932}"/>
            </a:ext>
          </a:extLst>
        </xdr:cNvPr>
        <xdr:cNvSpPr>
          <a:spLocks noChangeAspect="1" noChangeArrowheads="1"/>
        </xdr:cNvSpPr>
      </xdr:nvSpPr>
      <xdr:spPr bwMode="auto">
        <a:xfrm>
          <a:off x="3803650" y="677672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170</xdr:row>
      <xdr:rowOff>0</xdr:rowOff>
    </xdr:from>
    <xdr:ext cx="304800" cy="304094"/>
    <xdr:sp macro="" textlink="">
      <xdr:nvSpPr>
        <xdr:cNvPr id="469" name="AutoShape 12">
          <a:extLst>
            <a:ext uri="{FF2B5EF4-FFF2-40B4-BE49-F238E27FC236}">
              <a16:creationId xmlns:a16="http://schemas.microsoft.com/office/drawing/2014/main" id="{D45B2E7D-0BDB-469A-A100-73BBBDB32209}"/>
            </a:ext>
          </a:extLst>
        </xdr:cNvPr>
        <xdr:cNvSpPr>
          <a:spLocks noChangeAspect="1" noChangeArrowheads="1"/>
        </xdr:cNvSpPr>
      </xdr:nvSpPr>
      <xdr:spPr bwMode="auto">
        <a:xfrm>
          <a:off x="3803650" y="696087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171</xdr:row>
      <xdr:rowOff>0</xdr:rowOff>
    </xdr:from>
    <xdr:ext cx="304800" cy="304094"/>
    <xdr:sp macro="" textlink="">
      <xdr:nvSpPr>
        <xdr:cNvPr id="470" name="AutoShape 12">
          <a:extLst>
            <a:ext uri="{FF2B5EF4-FFF2-40B4-BE49-F238E27FC236}">
              <a16:creationId xmlns:a16="http://schemas.microsoft.com/office/drawing/2014/main" id="{D69FA882-0930-4D91-8AB7-BC63817194B2}"/>
            </a:ext>
          </a:extLst>
        </xdr:cNvPr>
        <xdr:cNvSpPr>
          <a:spLocks noChangeAspect="1" noChangeArrowheads="1"/>
        </xdr:cNvSpPr>
      </xdr:nvSpPr>
      <xdr:spPr bwMode="auto">
        <a:xfrm>
          <a:off x="3803650" y="697928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90</xdr:row>
      <xdr:rowOff>0</xdr:rowOff>
    </xdr:from>
    <xdr:ext cx="304800" cy="304094"/>
    <xdr:sp macro="" textlink="">
      <xdr:nvSpPr>
        <xdr:cNvPr id="471" name="AutoShape 12">
          <a:extLst>
            <a:ext uri="{FF2B5EF4-FFF2-40B4-BE49-F238E27FC236}">
              <a16:creationId xmlns:a16="http://schemas.microsoft.com/office/drawing/2014/main" id="{8C2B1FD2-3F81-48B6-8024-68F82A4BB8D2}"/>
            </a:ext>
          </a:extLst>
        </xdr:cNvPr>
        <xdr:cNvSpPr>
          <a:spLocks noChangeAspect="1" noChangeArrowheads="1"/>
        </xdr:cNvSpPr>
      </xdr:nvSpPr>
      <xdr:spPr bwMode="auto">
        <a:xfrm>
          <a:off x="3803650" y="548767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</xdr:row>
      <xdr:rowOff>0</xdr:rowOff>
    </xdr:from>
    <xdr:ext cx="304800" cy="304094"/>
    <xdr:sp macro="" textlink="">
      <xdr:nvSpPr>
        <xdr:cNvPr id="472" name="AutoShape 12">
          <a:extLst>
            <a:ext uri="{FF2B5EF4-FFF2-40B4-BE49-F238E27FC236}">
              <a16:creationId xmlns:a16="http://schemas.microsoft.com/office/drawing/2014/main" id="{713A4BF1-832A-4040-8821-F87ADBDA59AD}"/>
            </a:ext>
          </a:extLst>
        </xdr:cNvPr>
        <xdr:cNvSpPr>
          <a:spLocks noChangeAspect="1" noChangeArrowheads="1"/>
        </xdr:cNvSpPr>
      </xdr:nvSpPr>
      <xdr:spPr bwMode="auto">
        <a:xfrm>
          <a:off x="3803650" y="550608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</xdr:row>
      <xdr:rowOff>0</xdr:rowOff>
    </xdr:from>
    <xdr:ext cx="304800" cy="304094"/>
    <xdr:sp macro="" textlink="">
      <xdr:nvSpPr>
        <xdr:cNvPr id="473" name="AutoShape 12">
          <a:extLst>
            <a:ext uri="{FF2B5EF4-FFF2-40B4-BE49-F238E27FC236}">
              <a16:creationId xmlns:a16="http://schemas.microsoft.com/office/drawing/2014/main" id="{6FFD2450-E077-49ED-9071-B09FABA0175A}"/>
            </a:ext>
          </a:extLst>
        </xdr:cNvPr>
        <xdr:cNvSpPr>
          <a:spLocks noChangeAspect="1" noChangeArrowheads="1"/>
        </xdr:cNvSpPr>
      </xdr:nvSpPr>
      <xdr:spPr bwMode="auto">
        <a:xfrm>
          <a:off x="3803650" y="569023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474" name="AutoShape 12">
          <a:extLst>
            <a:ext uri="{FF2B5EF4-FFF2-40B4-BE49-F238E27FC236}">
              <a16:creationId xmlns:a16="http://schemas.microsoft.com/office/drawing/2014/main" id="{EEC5D2BC-F853-4969-B47D-018AAB918F38}"/>
            </a:ext>
          </a:extLst>
        </xdr:cNvPr>
        <xdr:cNvSpPr>
          <a:spLocks noChangeAspect="1" noChangeArrowheads="1"/>
        </xdr:cNvSpPr>
      </xdr:nvSpPr>
      <xdr:spPr bwMode="auto">
        <a:xfrm>
          <a:off x="3803650" y="570865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</xdr:row>
      <xdr:rowOff>0</xdr:rowOff>
    </xdr:from>
    <xdr:ext cx="304800" cy="304094"/>
    <xdr:sp macro="" textlink="">
      <xdr:nvSpPr>
        <xdr:cNvPr id="475" name="AutoShape 12">
          <a:extLst>
            <a:ext uri="{FF2B5EF4-FFF2-40B4-BE49-F238E27FC236}">
              <a16:creationId xmlns:a16="http://schemas.microsoft.com/office/drawing/2014/main" id="{568646AB-48AE-4C58-8DE5-803DDBABC36F}"/>
            </a:ext>
          </a:extLst>
        </xdr:cNvPr>
        <xdr:cNvSpPr>
          <a:spLocks noChangeAspect="1" noChangeArrowheads="1"/>
        </xdr:cNvSpPr>
      </xdr:nvSpPr>
      <xdr:spPr bwMode="auto">
        <a:xfrm>
          <a:off x="3803650" y="550608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92</xdr:row>
      <xdr:rowOff>0</xdr:rowOff>
    </xdr:from>
    <xdr:ext cx="304800" cy="304094"/>
    <xdr:sp macro="" textlink="">
      <xdr:nvSpPr>
        <xdr:cNvPr id="476" name="AutoShape 12">
          <a:extLst>
            <a:ext uri="{FF2B5EF4-FFF2-40B4-BE49-F238E27FC236}">
              <a16:creationId xmlns:a16="http://schemas.microsoft.com/office/drawing/2014/main" id="{91B65BCB-51C0-4EFE-80A3-0A80EADDC100}"/>
            </a:ext>
          </a:extLst>
        </xdr:cNvPr>
        <xdr:cNvSpPr>
          <a:spLocks noChangeAspect="1" noChangeArrowheads="1"/>
        </xdr:cNvSpPr>
      </xdr:nvSpPr>
      <xdr:spPr bwMode="auto">
        <a:xfrm>
          <a:off x="3803650" y="552450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477" name="AutoShape 12">
          <a:extLst>
            <a:ext uri="{FF2B5EF4-FFF2-40B4-BE49-F238E27FC236}">
              <a16:creationId xmlns:a16="http://schemas.microsoft.com/office/drawing/2014/main" id="{C5A46BEC-FBED-4490-A378-C23D8DE354FA}"/>
            </a:ext>
          </a:extLst>
        </xdr:cNvPr>
        <xdr:cNvSpPr>
          <a:spLocks noChangeAspect="1" noChangeArrowheads="1"/>
        </xdr:cNvSpPr>
      </xdr:nvSpPr>
      <xdr:spPr bwMode="auto">
        <a:xfrm>
          <a:off x="3803650" y="570865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103</xdr:row>
      <xdr:rowOff>0</xdr:rowOff>
    </xdr:from>
    <xdr:ext cx="304800" cy="304094"/>
    <xdr:sp macro="" textlink="">
      <xdr:nvSpPr>
        <xdr:cNvPr id="478" name="AutoShape 12">
          <a:extLst>
            <a:ext uri="{FF2B5EF4-FFF2-40B4-BE49-F238E27FC236}">
              <a16:creationId xmlns:a16="http://schemas.microsoft.com/office/drawing/2014/main" id="{3DCA472A-FCE4-4FD9-8753-3DA57B1ED7AE}"/>
            </a:ext>
          </a:extLst>
        </xdr:cNvPr>
        <xdr:cNvSpPr>
          <a:spLocks noChangeAspect="1" noChangeArrowheads="1"/>
        </xdr:cNvSpPr>
      </xdr:nvSpPr>
      <xdr:spPr bwMode="auto">
        <a:xfrm>
          <a:off x="3803650" y="572706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159</xdr:row>
      <xdr:rowOff>0</xdr:rowOff>
    </xdr:from>
    <xdr:ext cx="304800" cy="304094"/>
    <xdr:sp macro="" textlink="">
      <xdr:nvSpPr>
        <xdr:cNvPr id="479" name="AutoShape 12">
          <a:extLst>
            <a:ext uri="{FF2B5EF4-FFF2-40B4-BE49-F238E27FC236}">
              <a16:creationId xmlns:a16="http://schemas.microsoft.com/office/drawing/2014/main" id="{8566F0A8-9DA1-4077-8639-209364281844}"/>
            </a:ext>
          </a:extLst>
        </xdr:cNvPr>
        <xdr:cNvSpPr>
          <a:spLocks noChangeAspect="1" noChangeArrowheads="1"/>
        </xdr:cNvSpPr>
      </xdr:nvSpPr>
      <xdr:spPr bwMode="auto">
        <a:xfrm>
          <a:off x="3803650" y="675830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160</xdr:row>
      <xdr:rowOff>0</xdr:rowOff>
    </xdr:from>
    <xdr:ext cx="304800" cy="304094"/>
    <xdr:sp macro="" textlink="">
      <xdr:nvSpPr>
        <xdr:cNvPr id="480" name="AutoShape 12">
          <a:extLst>
            <a:ext uri="{FF2B5EF4-FFF2-40B4-BE49-F238E27FC236}">
              <a16:creationId xmlns:a16="http://schemas.microsoft.com/office/drawing/2014/main" id="{8F3AEA7E-E66A-4F76-B6DD-B83100F29E0B}"/>
            </a:ext>
          </a:extLst>
        </xdr:cNvPr>
        <xdr:cNvSpPr>
          <a:spLocks noChangeAspect="1" noChangeArrowheads="1"/>
        </xdr:cNvSpPr>
      </xdr:nvSpPr>
      <xdr:spPr bwMode="auto">
        <a:xfrm>
          <a:off x="3803650" y="677672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170</xdr:row>
      <xdr:rowOff>0</xdr:rowOff>
    </xdr:from>
    <xdr:ext cx="304800" cy="304094"/>
    <xdr:sp macro="" textlink="">
      <xdr:nvSpPr>
        <xdr:cNvPr id="481" name="AutoShape 12">
          <a:extLst>
            <a:ext uri="{FF2B5EF4-FFF2-40B4-BE49-F238E27FC236}">
              <a16:creationId xmlns:a16="http://schemas.microsoft.com/office/drawing/2014/main" id="{1725D04D-48BF-4BE9-8037-BC777D5FCE2C}"/>
            </a:ext>
          </a:extLst>
        </xdr:cNvPr>
        <xdr:cNvSpPr>
          <a:spLocks noChangeAspect="1" noChangeArrowheads="1"/>
        </xdr:cNvSpPr>
      </xdr:nvSpPr>
      <xdr:spPr bwMode="auto">
        <a:xfrm>
          <a:off x="3803650" y="696087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171</xdr:row>
      <xdr:rowOff>0</xdr:rowOff>
    </xdr:from>
    <xdr:ext cx="304800" cy="304094"/>
    <xdr:sp macro="" textlink="">
      <xdr:nvSpPr>
        <xdr:cNvPr id="482" name="AutoShape 12">
          <a:extLst>
            <a:ext uri="{FF2B5EF4-FFF2-40B4-BE49-F238E27FC236}">
              <a16:creationId xmlns:a16="http://schemas.microsoft.com/office/drawing/2014/main" id="{DF2A3C52-FFB9-4807-8BEB-BF57DD85B483}"/>
            </a:ext>
          </a:extLst>
        </xdr:cNvPr>
        <xdr:cNvSpPr>
          <a:spLocks noChangeAspect="1" noChangeArrowheads="1"/>
        </xdr:cNvSpPr>
      </xdr:nvSpPr>
      <xdr:spPr bwMode="auto">
        <a:xfrm>
          <a:off x="3803650" y="697928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160</xdr:row>
      <xdr:rowOff>0</xdr:rowOff>
    </xdr:from>
    <xdr:ext cx="304800" cy="304094"/>
    <xdr:sp macro="" textlink="">
      <xdr:nvSpPr>
        <xdr:cNvPr id="483" name="AutoShape 12">
          <a:extLst>
            <a:ext uri="{FF2B5EF4-FFF2-40B4-BE49-F238E27FC236}">
              <a16:creationId xmlns:a16="http://schemas.microsoft.com/office/drawing/2014/main" id="{0103DBB5-F8BE-4AC1-A584-8903DE611A01}"/>
            </a:ext>
          </a:extLst>
        </xdr:cNvPr>
        <xdr:cNvSpPr>
          <a:spLocks noChangeAspect="1" noChangeArrowheads="1"/>
        </xdr:cNvSpPr>
      </xdr:nvSpPr>
      <xdr:spPr bwMode="auto">
        <a:xfrm>
          <a:off x="3803650" y="677672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161</xdr:row>
      <xdr:rowOff>0</xdr:rowOff>
    </xdr:from>
    <xdr:ext cx="304800" cy="304094"/>
    <xdr:sp macro="" textlink="">
      <xdr:nvSpPr>
        <xdr:cNvPr id="484" name="AutoShape 12">
          <a:extLst>
            <a:ext uri="{FF2B5EF4-FFF2-40B4-BE49-F238E27FC236}">
              <a16:creationId xmlns:a16="http://schemas.microsoft.com/office/drawing/2014/main" id="{47713ACA-ABC7-444B-A942-2EDC5477704C}"/>
            </a:ext>
          </a:extLst>
        </xdr:cNvPr>
        <xdr:cNvSpPr>
          <a:spLocks noChangeAspect="1" noChangeArrowheads="1"/>
        </xdr:cNvSpPr>
      </xdr:nvSpPr>
      <xdr:spPr bwMode="auto">
        <a:xfrm>
          <a:off x="3803650" y="679513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171</xdr:row>
      <xdr:rowOff>0</xdr:rowOff>
    </xdr:from>
    <xdr:ext cx="304800" cy="304094"/>
    <xdr:sp macro="" textlink="">
      <xdr:nvSpPr>
        <xdr:cNvPr id="485" name="AutoShape 12">
          <a:extLst>
            <a:ext uri="{FF2B5EF4-FFF2-40B4-BE49-F238E27FC236}">
              <a16:creationId xmlns:a16="http://schemas.microsoft.com/office/drawing/2014/main" id="{DAB35CF4-4F27-4E39-B5E4-611F5E6972FB}"/>
            </a:ext>
          </a:extLst>
        </xdr:cNvPr>
        <xdr:cNvSpPr>
          <a:spLocks noChangeAspect="1" noChangeArrowheads="1"/>
        </xdr:cNvSpPr>
      </xdr:nvSpPr>
      <xdr:spPr bwMode="auto">
        <a:xfrm>
          <a:off x="3803650" y="697928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172</xdr:row>
      <xdr:rowOff>0</xdr:rowOff>
    </xdr:from>
    <xdr:ext cx="304800" cy="304094"/>
    <xdr:sp macro="" textlink="">
      <xdr:nvSpPr>
        <xdr:cNvPr id="486" name="AutoShape 12">
          <a:extLst>
            <a:ext uri="{FF2B5EF4-FFF2-40B4-BE49-F238E27FC236}">
              <a16:creationId xmlns:a16="http://schemas.microsoft.com/office/drawing/2014/main" id="{9C1D0F74-58B1-4C63-BC48-EF4CC6E7DFEA}"/>
            </a:ext>
          </a:extLst>
        </xdr:cNvPr>
        <xdr:cNvSpPr>
          <a:spLocks noChangeAspect="1" noChangeArrowheads="1"/>
        </xdr:cNvSpPr>
      </xdr:nvSpPr>
      <xdr:spPr bwMode="auto">
        <a:xfrm>
          <a:off x="3803650" y="699770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133</xdr:row>
      <xdr:rowOff>0</xdr:rowOff>
    </xdr:from>
    <xdr:ext cx="304800" cy="304094"/>
    <xdr:sp macro="" textlink="">
      <xdr:nvSpPr>
        <xdr:cNvPr id="487" name="AutoShape 12">
          <a:extLst>
            <a:ext uri="{FF2B5EF4-FFF2-40B4-BE49-F238E27FC236}">
              <a16:creationId xmlns:a16="http://schemas.microsoft.com/office/drawing/2014/main" id="{38E14060-CA90-4D64-8983-2E30BFB92B84}"/>
            </a:ext>
          </a:extLst>
        </xdr:cNvPr>
        <xdr:cNvSpPr>
          <a:spLocks noChangeAspect="1" noChangeArrowheads="1"/>
        </xdr:cNvSpPr>
      </xdr:nvSpPr>
      <xdr:spPr bwMode="auto">
        <a:xfrm>
          <a:off x="3803650" y="62795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134</xdr:row>
      <xdr:rowOff>0</xdr:rowOff>
    </xdr:from>
    <xdr:ext cx="304800" cy="304094"/>
    <xdr:sp macro="" textlink="">
      <xdr:nvSpPr>
        <xdr:cNvPr id="488" name="AutoShape 12">
          <a:extLst>
            <a:ext uri="{FF2B5EF4-FFF2-40B4-BE49-F238E27FC236}">
              <a16:creationId xmlns:a16="http://schemas.microsoft.com/office/drawing/2014/main" id="{BA9685D1-A85E-422F-A3DF-4FDDCEBBD979}"/>
            </a:ext>
          </a:extLst>
        </xdr:cNvPr>
        <xdr:cNvSpPr>
          <a:spLocks noChangeAspect="1" noChangeArrowheads="1"/>
        </xdr:cNvSpPr>
      </xdr:nvSpPr>
      <xdr:spPr bwMode="auto">
        <a:xfrm>
          <a:off x="3803650" y="629793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144</xdr:row>
      <xdr:rowOff>0</xdr:rowOff>
    </xdr:from>
    <xdr:ext cx="304800" cy="304094"/>
    <xdr:sp macro="" textlink="">
      <xdr:nvSpPr>
        <xdr:cNvPr id="489" name="AutoShape 12">
          <a:extLst>
            <a:ext uri="{FF2B5EF4-FFF2-40B4-BE49-F238E27FC236}">
              <a16:creationId xmlns:a16="http://schemas.microsoft.com/office/drawing/2014/main" id="{B051689C-5CF9-47C3-A29C-899E02E5D3C2}"/>
            </a:ext>
          </a:extLst>
        </xdr:cNvPr>
        <xdr:cNvSpPr>
          <a:spLocks noChangeAspect="1" noChangeArrowheads="1"/>
        </xdr:cNvSpPr>
      </xdr:nvSpPr>
      <xdr:spPr bwMode="auto">
        <a:xfrm>
          <a:off x="3803650" y="648208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145</xdr:row>
      <xdr:rowOff>0</xdr:rowOff>
    </xdr:from>
    <xdr:ext cx="304800" cy="304094"/>
    <xdr:sp macro="" textlink="">
      <xdr:nvSpPr>
        <xdr:cNvPr id="490" name="AutoShape 12">
          <a:extLst>
            <a:ext uri="{FF2B5EF4-FFF2-40B4-BE49-F238E27FC236}">
              <a16:creationId xmlns:a16="http://schemas.microsoft.com/office/drawing/2014/main" id="{15178C9B-4091-4CA2-B4B6-21E2E783072F}"/>
            </a:ext>
          </a:extLst>
        </xdr:cNvPr>
        <xdr:cNvSpPr>
          <a:spLocks noChangeAspect="1" noChangeArrowheads="1"/>
        </xdr:cNvSpPr>
      </xdr:nvSpPr>
      <xdr:spPr bwMode="auto">
        <a:xfrm>
          <a:off x="3803650" y="650049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134</xdr:row>
      <xdr:rowOff>0</xdr:rowOff>
    </xdr:from>
    <xdr:ext cx="304800" cy="304094"/>
    <xdr:sp macro="" textlink="">
      <xdr:nvSpPr>
        <xdr:cNvPr id="491" name="AutoShape 12">
          <a:extLst>
            <a:ext uri="{FF2B5EF4-FFF2-40B4-BE49-F238E27FC236}">
              <a16:creationId xmlns:a16="http://schemas.microsoft.com/office/drawing/2014/main" id="{8316451F-E595-4730-8D07-E1BF220E71A7}"/>
            </a:ext>
          </a:extLst>
        </xdr:cNvPr>
        <xdr:cNvSpPr>
          <a:spLocks noChangeAspect="1" noChangeArrowheads="1"/>
        </xdr:cNvSpPr>
      </xdr:nvSpPr>
      <xdr:spPr bwMode="auto">
        <a:xfrm>
          <a:off x="3803650" y="629793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135</xdr:row>
      <xdr:rowOff>0</xdr:rowOff>
    </xdr:from>
    <xdr:ext cx="304800" cy="304094"/>
    <xdr:sp macro="" textlink="">
      <xdr:nvSpPr>
        <xdr:cNvPr id="492" name="AutoShape 12">
          <a:extLst>
            <a:ext uri="{FF2B5EF4-FFF2-40B4-BE49-F238E27FC236}">
              <a16:creationId xmlns:a16="http://schemas.microsoft.com/office/drawing/2014/main" id="{E4C5F899-BC11-44CB-B623-8EA883735E6F}"/>
            </a:ext>
          </a:extLst>
        </xdr:cNvPr>
        <xdr:cNvSpPr>
          <a:spLocks noChangeAspect="1" noChangeArrowheads="1"/>
        </xdr:cNvSpPr>
      </xdr:nvSpPr>
      <xdr:spPr bwMode="auto">
        <a:xfrm>
          <a:off x="3803650" y="631634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145</xdr:row>
      <xdr:rowOff>0</xdr:rowOff>
    </xdr:from>
    <xdr:ext cx="304800" cy="304094"/>
    <xdr:sp macro="" textlink="">
      <xdr:nvSpPr>
        <xdr:cNvPr id="493" name="AutoShape 12">
          <a:extLst>
            <a:ext uri="{FF2B5EF4-FFF2-40B4-BE49-F238E27FC236}">
              <a16:creationId xmlns:a16="http://schemas.microsoft.com/office/drawing/2014/main" id="{DA59066D-F82A-4C35-B767-11C68F366772}"/>
            </a:ext>
          </a:extLst>
        </xdr:cNvPr>
        <xdr:cNvSpPr>
          <a:spLocks noChangeAspect="1" noChangeArrowheads="1"/>
        </xdr:cNvSpPr>
      </xdr:nvSpPr>
      <xdr:spPr bwMode="auto">
        <a:xfrm>
          <a:off x="3803650" y="650049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146</xdr:row>
      <xdr:rowOff>0</xdr:rowOff>
    </xdr:from>
    <xdr:ext cx="304800" cy="304094"/>
    <xdr:sp macro="" textlink="">
      <xdr:nvSpPr>
        <xdr:cNvPr id="494" name="AutoShape 12">
          <a:extLst>
            <a:ext uri="{FF2B5EF4-FFF2-40B4-BE49-F238E27FC236}">
              <a16:creationId xmlns:a16="http://schemas.microsoft.com/office/drawing/2014/main" id="{37650A03-569C-4D60-BAF2-B1E26FEB663D}"/>
            </a:ext>
          </a:extLst>
        </xdr:cNvPr>
        <xdr:cNvSpPr>
          <a:spLocks noChangeAspect="1" noChangeArrowheads="1"/>
        </xdr:cNvSpPr>
      </xdr:nvSpPr>
      <xdr:spPr bwMode="auto">
        <a:xfrm>
          <a:off x="3803650" y="651891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134</xdr:row>
      <xdr:rowOff>0</xdr:rowOff>
    </xdr:from>
    <xdr:ext cx="304800" cy="304094"/>
    <xdr:sp macro="" textlink="">
      <xdr:nvSpPr>
        <xdr:cNvPr id="495" name="AutoShape 12">
          <a:extLst>
            <a:ext uri="{FF2B5EF4-FFF2-40B4-BE49-F238E27FC236}">
              <a16:creationId xmlns:a16="http://schemas.microsoft.com/office/drawing/2014/main" id="{6F22586B-3433-45FB-AFBD-9E4697233BAB}"/>
            </a:ext>
          </a:extLst>
        </xdr:cNvPr>
        <xdr:cNvSpPr>
          <a:spLocks noChangeAspect="1" noChangeArrowheads="1"/>
        </xdr:cNvSpPr>
      </xdr:nvSpPr>
      <xdr:spPr bwMode="auto">
        <a:xfrm>
          <a:off x="3803650" y="629793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135</xdr:row>
      <xdr:rowOff>0</xdr:rowOff>
    </xdr:from>
    <xdr:ext cx="304800" cy="304094"/>
    <xdr:sp macro="" textlink="">
      <xdr:nvSpPr>
        <xdr:cNvPr id="496" name="AutoShape 12">
          <a:extLst>
            <a:ext uri="{FF2B5EF4-FFF2-40B4-BE49-F238E27FC236}">
              <a16:creationId xmlns:a16="http://schemas.microsoft.com/office/drawing/2014/main" id="{754DEB86-3F9E-400B-BEAE-5C9BE9DBA32F}"/>
            </a:ext>
          </a:extLst>
        </xdr:cNvPr>
        <xdr:cNvSpPr>
          <a:spLocks noChangeAspect="1" noChangeArrowheads="1"/>
        </xdr:cNvSpPr>
      </xdr:nvSpPr>
      <xdr:spPr bwMode="auto">
        <a:xfrm>
          <a:off x="3803650" y="631634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145</xdr:row>
      <xdr:rowOff>0</xdr:rowOff>
    </xdr:from>
    <xdr:ext cx="304800" cy="304094"/>
    <xdr:sp macro="" textlink="">
      <xdr:nvSpPr>
        <xdr:cNvPr id="497" name="AutoShape 12">
          <a:extLst>
            <a:ext uri="{FF2B5EF4-FFF2-40B4-BE49-F238E27FC236}">
              <a16:creationId xmlns:a16="http://schemas.microsoft.com/office/drawing/2014/main" id="{FE291F80-66DF-485B-AE48-5BC247936BCB}"/>
            </a:ext>
          </a:extLst>
        </xdr:cNvPr>
        <xdr:cNvSpPr>
          <a:spLocks noChangeAspect="1" noChangeArrowheads="1"/>
        </xdr:cNvSpPr>
      </xdr:nvSpPr>
      <xdr:spPr bwMode="auto">
        <a:xfrm>
          <a:off x="3803650" y="650049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146</xdr:row>
      <xdr:rowOff>0</xdr:rowOff>
    </xdr:from>
    <xdr:ext cx="304800" cy="304094"/>
    <xdr:sp macro="" textlink="">
      <xdr:nvSpPr>
        <xdr:cNvPr id="498" name="AutoShape 12">
          <a:extLst>
            <a:ext uri="{FF2B5EF4-FFF2-40B4-BE49-F238E27FC236}">
              <a16:creationId xmlns:a16="http://schemas.microsoft.com/office/drawing/2014/main" id="{C714807D-3AF2-4B45-B3DE-CCE13D118467}"/>
            </a:ext>
          </a:extLst>
        </xdr:cNvPr>
        <xdr:cNvSpPr>
          <a:spLocks noChangeAspect="1" noChangeArrowheads="1"/>
        </xdr:cNvSpPr>
      </xdr:nvSpPr>
      <xdr:spPr bwMode="auto">
        <a:xfrm>
          <a:off x="3803650" y="651891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135</xdr:row>
      <xdr:rowOff>0</xdr:rowOff>
    </xdr:from>
    <xdr:ext cx="304800" cy="304094"/>
    <xdr:sp macro="" textlink="">
      <xdr:nvSpPr>
        <xdr:cNvPr id="499" name="AutoShape 12">
          <a:extLst>
            <a:ext uri="{FF2B5EF4-FFF2-40B4-BE49-F238E27FC236}">
              <a16:creationId xmlns:a16="http://schemas.microsoft.com/office/drawing/2014/main" id="{244AC8EC-FE0B-419B-896C-972A8D84CD70}"/>
            </a:ext>
          </a:extLst>
        </xdr:cNvPr>
        <xdr:cNvSpPr>
          <a:spLocks noChangeAspect="1" noChangeArrowheads="1"/>
        </xdr:cNvSpPr>
      </xdr:nvSpPr>
      <xdr:spPr bwMode="auto">
        <a:xfrm>
          <a:off x="3803650" y="631634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136</xdr:row>
      <xdr:rowOff>0</xdr:rowOff>
    </xdr:from>
    <xdr:ext cx="304800" cy="304094"/>
    <xdr:sp macro="" textlink="">
      <xdr:nvSpPr>
        <xdr:cNvPr id="500" name="AutoShape 12">
          <a:extLst>
            <a:ext uri="{FF2B5EF4-FFF2-40B4-BE49-F238E27FC236}">
              <a16:creationId xmlns:a16="http://schemas.microsoft.com/office/drawing/2014/main" id="{21E16386-EF67-4BDA-9F1C-3AB27087AEA9}"/>
            </a:ext>
          </a:extLst>
        </xdr:cNvPr>
        <xdr:cNvSpPr>
          <a:spLocks noChangeAspect="1" noChangeArrowheads="1"/>
        </xdr:cNvSpPr>
      </xdr:nvSpPr>
      <xdr:spPr bwMode="auto">
        <a:xfrm>
          <a:off x="3803650" y="633476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146</xdr:row>
      <xdr:rowOff>0</xdr:rowOff>
    </xdr:from>
    <xdr:ext cx="304800" cy="304094"/>
    <xdr:sp macro="" textlink="">
      <xdr:nvSpPr>
        <xdr:cNvPr id="501" name="AutoShape 12">
          <a:extLst>
            <a:ext uri="{FF2B5EF4-FFF2-40B4-BE49-F238E27FC236}">
              <a16:creationId xmlns:a16="http://schemas.microsoft.com/office/drawing/2014/main" id="{FA02D0E2-E02D-4148-BC1F-165CCCC927B2}"/>
            </a:ext>
          </a:extLst>
        </xdr:cNvPr>
        <xdr:cNvSpPr>
          <a:spLocks noChangeAspect="1" noChangeArrowheads="1"/>
        </xdr:cNvSpPr>
      </xdr:nvSpPr>
      <xdr:spPr bwMode="auto">
        <a:xfrm>
          <a:off x="3803650" y="651891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147</xdr:row>
      <xdr:rowOff>0</xdr:rowOff>
    </xdr:from>
    <xdr:ext cx="304800" cy="304094"/>
    <xdr:sp macro="" textlink="">
      <xdr:nvSpPr>
        <xdr:cNvPr id="502" name="AutoShape 12">
          <a:extLst>
            <a:ext uri="{FF2B5EF4-FFF2-40B4-BE49-F238E27FC236}">
              <a16:creationId xmlns:a16="http://schemas.microsoft.com/office/drawing/2014/main" id="{FD2A3993-60BA-4DB0-8509-D365281772EF}"/>
            </a:ext>
          </a:extLst>
        </xdr:cNvPr>
        <xdr:cNvSpPr>
          <a:spLocks noChangeAspect="1" noChangeArrowheads="1"/>
        </xdr:cNvSpPr>
      </xdr:nvSpPr>
      <xdr:spPr bwMode="auto">
        <a:xfrm>
          <a:off x="3803650" y="653732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138</xdr:row>
      <xdr:rowOff>0</xdr:rowOff>
    </xdr:from>
    <xdr:ext cx="304800" cy="304094"/>
    <xdr:sp macro="" textlink="">
      <xdr:nvSpPr>
        <xdr:cNvPr id="503" name="AutoShape 12">
          <a:extLst>
            <a:ext uri="{FF2B5EF4-FFF2-40B4-BE49-F238E27FC236}">
              <a16:creationId xmlns:a16="http://schemas.microsoft.com/office/drawing/2014/main" id="{8428F3CC-8BF5-491C-9229-CB428003E014}"/>
            </a:ext>
          </a:extLst>
        </xdr:cNvPr>
        <xdr:cNvSpPr>
          <a:spLocks noChangeAspect="1" noChangeArrowheads="1"/>
        </xdr:cNvSpPr>
      </xdr:nvSpPr>
      <xdr:spPr bwMode="auto">
        <a:xfrm>
          <a:off x="3803650" y="637159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139</xdr:row>
      <xdr:rowOff>0</xdr:rowOff>
    </xdr:from>
    <xdr:ext cx="304800" cy="304094"/>
    <xdr:sp macro="" textlink="">
      <xdr:nvSpPr>
        <xdr:cNvPr id="504" name="AutoShape 12">
          <a:extLst>
            <a:ext uri="{FF2B5EF4-FFF2-40B4-BE49-F238E27FC236}">
              <a16:creationId xmlns:a16="http://schemas.microsoft.com/office/drawing/2014/main" id="{B9658E8D-D586-420F-857E-6462AB4E7B4B}"/>
            </a:ext>
          </a:extLst>
        </xdr:cNvPr>
        <xdr:cNvSpPr>
          <a:spLocks noChangeAspect="1" noChangeArrowheads="1"/>
        </xdr:cNvSpPr>
      </xdr:nvSpPr>
      <xdr:spPr bwMode="auto">
        <a:xfrm>
          <a:off x="3803650" y="639000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149</xdr:row>
      <xdr:rowOff>0</xdr:rowOff>
    </xdr:from>
    <xdr:ext cx="304800" cy="304094"/>
    <xdr:sp macro="" textlink="">
      <xdr:nvSpPr>
        <xdr:cNvPr id="505" name="AutoShape 12">
          <a:extLst>
            <a:ext uri="{FF2B5EF4-FFF2-40B4-BE49-F238E27FC236}">
              <a16:creationId xmlns:a16="http://schemas.microsoft.com/office/drawing/2014/main" id="{80713DDE-E908-48F4-B073-B8D08E3C493F}"/>
            </a:ext>
          </a:extLst>
        </xdr:cNvPr>
        <xdr:cNvSpPr>
          <a:spLocks noChangeAspect="1" noChangeArrowheads="1"/>
        </xdr:cNvSpPr>
      </xdr:nvSpPr>
      <xdr:spPr bwMode="auto">
        <a:xfrm>
          <a:off x="3803650" y="657415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150</xdr:row>
      <xdr:rowOff>0</xdr:rowOff>
    </xdr:from>
    <xdr:ext cx="304800" cy="304094"/>
    <xdr:sp macro="" textlink="">
      <xdr:nvSpPr>
        <xdr:cNvPr id="506" name="AutoShape 12">
          <a:extLst>
            <a:ext uri="{FF2B5EF4-FFF2-40B4-BE49-F238E27FC236}">
              <a16:creationId xmlns:a16="http://schemas.microsoft.com/office/drawing/2014/main" id="{F4EC2D6D-2DB6-468F-AEF2-DDFAFBD202C5}"/>
            </a:ext>
          </a:extLst>
        </xdr:cNvPr>
        <xdr:cNvSpPr>
          <a:spLocks noChangeAspect="1" noChangeArrowheads="1"/>
        </xdr:cNvSpPr>
      </xdr:nvSpPr>
      <xdr:spPr bwMode="auto">
        <a:xfrm>
          <a:off x="3803650" y="659257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139</xdr:row>
      <xdr:rowOff>0</xdr:rowOff>
    </xdr:from>
    <xdr:ext cx="304800" cy="304094"/>
    <xdr:sp macro="" textlink="">
      <xdr:nvSpPr>
        <xdr:cNvPr id="507" name="AutoShape 12">
          <a:extLst>
            <a:ext uri="{FF2B5EF4-FFF2-40B4-BE49-F238E27FC236}">
              <a16:creationId xmlns:a16="http://schemas.microsoft.com/office/drawing/2014/main" id="{149C2CEC-A728-47CC-97FA-D7B86049422C}"/>
            </a:ext>
          </a:extLst>
        </xdr:cNvPr>
        <xdr:cNvSpPr>
          <a:spLocks noChangeAspect="1" noChangeArrowheads="1"/>
        </xdr:cNvSpPr>
      </xdr:nvSpPr>
      <xdr:spPr bwMode="auto">
        <a:xfrm>
          <a:off x="3803650" y="639000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140</xdr:row>
      <xdr:rowOff>0</xdr:rowOff>
    </xdr:from>
    <xdr:ext cx="304800" cy="304094"/>
    <xdr:sp macro="" textlink="">
      <xdr:nvSpPr>
        <xdr:cNvPr id="508" name="AutoShape 12">
          <a:extLst>
            <a:ext uri="{FF2B5EF4-FFF2-40B4-BE49-F238E27FC236}">
              <a16:creationId xmlns:a16="http://schemas.microsoft.com/office/drawing/2014/main" id="{6A0F7D4A-D2FD-4D32-8013-D8C174705C6C}"/>
            </a:ext>
          </a:extLst>
        </xdr:cNvPr>
        <xdr:cNvSpPr>
          <a:spLocks noChangeAspect="1" noChangeArrowheads="1"/>
        </xdr:cNvSpPr>
      </xdr:nvSpPr>
      <xdr:spPr bwMode="auto">
        <a:xfrm>
          <a:off x="3803650" y="640842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150</xdr:row>
      <xdr:rowOff>0</xdr:rowOff>
    </xdr:from>
    <xdr:ext cx="304800" cy="304094"/>
    <xdr:sp macro="" textlink="">
      <xdr:nvSpPr>
        <xdr:cNvPr id="509" name="AutoShape 12">
          <a:extLst>
            <a:ext uri="{FF2B5EF4-FFF2-40B4-BE49-F238E27FC236}">
              <a16:creationId xmlns:a16="http://schemas.microsoft.com/office/drawing/2014/main" id="{D795E490-A2C6-4699-92F1-B55A81904A89}"/>
            </a:ext>
          </a:extLst>
        </xdr:cNvPr>
        <xdr:cNvSpPr>
          <a:spLocks noChangeAspect="1" noChangeArrowheads="1"/>
        </xdr:cNvSpPr>
      </xdr:nvSpPr>
      <xdr:spPr bwMode="auto">
        <a:xfrm>
          <a:off x="3803650" y="659257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151</xdr:row>
      <xdr:rowOff>0</xdr:rowOff>
    </xdr:from>
    <xdr:ext cx="304800" cy="304094"/>
    <xdr:sp macro="" textlink="">
      <xdr:nvSpPr>
        <xdr:cNvPr id="510" name="AutoShape 12">
          <a:extLst>
            <a:ext uri="{FF2B5EF4-FFF2-40B4-BE49-F238E27FC236}">
              <a16:creationId xmlns:a16="http://schemas.microsoft.com/office/drawing/2014/main" id="{DBF43F3D-4EAC-422A-8722-6FD194D6F13E}"/>
            </a:ext>
          </a:extLst>
        </xdr:cNvPr>
        <xdr:cNvSpPr>
          <a:spLocks noChangeAspect="1" noChangeArrowheads="1"/>
        </xdr:cNvSpPr>
      </xdr:nvSpPr>
      <xdr:spPr bwMode="auto">
        <a:xfrm>
          <a:off x="3803650" y="661098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139</xdr:row>
      <xdr:rowOff>0</xdr:rowOff>
    </xdr:from>
    <xdr:ext cx="304800" cy="304094"/>
    <xdr:sp macro="" textlink="">
      <xdr:nvSpPr>
        <xdr:cNvPr id="511" name="AutoShape 12">
          <a:extLst>
            <a:ext uri="{FF2B5EF4-FFF2-40B4-BE49-F238E27FC236}">
              <a16:creationId xmlns:a16="http://schemas.microsoft.com/office/drawing/2014/main" id="{DF56E52F-F3D6-4B2A-AADC-A9FA6A2F7ABF}"/>
            </a:ext>
          </a:extLst>
        </xdr:cNvPr>
        <xdr:cNvSpPr>
          <a:spLocks noChangeAspect="1" noChangeArrowheads="1"/>
        </xdr:cNvSpPr>
      </xdr:nvSpPr>
      <xdr:spPr bwMode="auto">
        <a:xfrm>
          <a:off x="3803650" y="639000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140</xdr:row>
      <xdr:rowOff>0</xdr:rowOff>
    </xdr:from>
    <xdr:ext cx="304800" cy="304094"/>
    <xdr:sp macro="" textlink="">
      <xdr:nvSpPr>
        <xdr:cNvPr id="512" name="AutoShape 12">
          <a:extLst>
            <a:ext uri="{FF2B5EF4-FFF2-40B4-BE49-F238E27FC236}">
              <a16:creationId xmlns:a16="http://schemas.microsoft.com/office/drawing/2014/main" id="{E8E88AC5-964E-4BF3-B2FF-488CE4196AEA}"/>
            </a:ext>
          </a:extLst>
        </xdr:cNvPr>
        <xdr:cNvSpPr>
          <a:spLocks noChangeAspect="1" noChangeArrowheads="1"/>
        </xdr:cNvSpPr>
      </xdr:nvSpPr>
      <xdr:spPr bwMode="auto">
        <a:xfrm>
          <a:off x="3803650" y="640842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150</xdr:row>
      <xdr:rowOff>0</xdr:rowOff>
    </xdr:from>
    <xdr:ext cx="304800" cy="304094"/>
    <xdr:sp macro="" textlink="">
      <xdr:nvSpPr>
        <xdr:cNvPr id="513" name="AutoShape 12">
          <a:extLst>
            <a:ext uri="{FF2B5EF4-FFF2-40B4-BE49-F238E27FC236}">
              <a16:creationId xmlns:a16="http://schemas.microsoft.com/office/drawing/2014/main" id="{D9FCB71C-FF16-4FFE-9E42-E0B23277F41F}"/>
            </a:ext>
          </a:extLst>
        </xdr:cNvPr>
        <xdr:cNvSpPr>
          <a:spLocks noChangeAspect="1" noChangeArrowheads="1"/>
        </xdr:cNvSpPr>
      </xdr:nvSpPr>
      <xdr:spPr bwMode="auto">
        <a:xfrm>
          <a:off x="3803650" y="659257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151</xdr:row>
      <xdr:rowOff>0</xdr:rowOff>
    </xdr:from>
    <xdr:ext cx="304800" cy="304094"/>
    <xdr:sp macro="" textlink="">
      <xdr:nvSpPr>
        <xdr:cNvPr id="514" name="AutoShape 12">
          <a:extLst>
            <a:ext uri="{FF2B5EF4-FFF2-40B4-BE49-F238E27FC236}">
              <a16:creationId xmlns:a16="http://schemas.microsoft.com/office/drawing/2014/main" id="{6B5BC83F-9A7A-4C2E-A50C-E0565CE1D972}"/>
            </a:ext>
          </a:extLst>
        </xdr:cNvPr>
        <xdr:cNvSpPr>
          <a:spLocks noChangeAspect="1" noChangeArrowheads="1"/>
        </xdr:cNvSpPr>
      </xdr:nvSpPr>
      <xdr:spPr bwMode="auto">
        <a:xfrm>
          <a:off x="3803650" y="661098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140</xdr:row>
      <xdr:rowOff>0</xdr:rowOff>
    </xdr:from>
    <xdr:ext cx="304800" cy="304094"/>
    <xdr:sp macro="" textlink="">
      <xdr:nvSpPr>
        <xdr:cNvPr id="515" name="AutoShape 12">
          <a:extLst>
            <a:ext uri="{FF2B5EF4-FFF2-40B4-BE49-F238E27FC236}">
              <a16:creationId xmlns:a16="http://schemas.microsoft.com/office/drawing/2014/main" id="{8596C19A-C062-42AC-9B90-5E227E3629C8}"/>
            </a:ext>
          </a:extLst>
        </xdr:cNvPr>
        <xdr:cNvSpPr>
          <a:spLocks noChangeAspect="1" noChangeArrowheads="1"/>
        </xdr:cNvSpPr>
      </xdr:nvSpPr>
      <xdr:spPr bwMode="auto">
        <a:xfrm>
          <a:off x="3803650" y="640842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141</xdr:row>
      <xdr:rowOff>0</xdr:rowOff>
    </xdr:from>
    <xdr:ext cx="304800" cy="304094"/>
    <xdr:sp macro="" textlink="">
      <xdr:nvSpPr>
        <xdr:cNvPr id="516" name="AutoShape 12">
          <a:extLst>
            <a:ext uri="{FF2B5EF4-FFF2-40B4-BE49-F238E27FC236}">
              <a16:creationId xmlns:a16="http://schemas.microsoft.com/office/drawing/2014/main" id="{AEE7348A-B9D0-4E20-B5AA-A03CED8AA942}"/>
            </a:ext>
          </a:extLst>
        </xdr:cNvPr>
        <xdr:cNvSpPr>
          <a:spLocks noChangeAspect="1" noChangeArrowheads="1"/>
        </xdr:cNvSpPr>
      </xdr:nvSpPr>
      <xdr:spPr bwMode="auto">
        <a:xfrm>
          <a:off x="3803650" y="642683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151</xdr:row>
      <xdr:rowOff>0</xdr:rowOff>
    </xdr:from>
    <xdr:ext cx="304800" cy="304094"/>
    <xdr:sp macro="" textlink="">
      <xdr:nvSpPr>
        <xdr:cNvPr id="517" name="AutoShape 12">
          <a:extLst>
            <a:ext uri="{FF2B5EF4-FFF2-40B4-BE49-F238E27FC236}">
              <a16:creationId xmlns:a16="http://schemas.microsoft.com/office/drawing/2014/main" id="{E8CB8C4B-C0A7-4994-9961-BF1525F701C1}"/>
            </a:ext>
          </a:extLst>
        </xdr:cNvPr>
        <xdr:cNvSpPr>
          <a:spLocks noChangeAspect="1" noChangeArrowheads="1"/>
        </xdr:cNvSpPr>
      </xdr:nvSpPr>
      <xdr:spPr bwMode="auto">
        <a:xfrm>
          <a:off x="3803650" y="661098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152</xdr:row>
      <xdr:rowOff>0</xdr:rowOff>
    </xdr:from>
    <xdr:ext cx="304800" cy="304094"/>
    <xdr:sp macro="" textlink="">
      <xdr:nvSpPr>
        <xdr:cNvPr id="518" name="AutoShape 12">
          <a:extLst>
            <a:ext uri="{FF2B5EF4-FFF2-40B4-BE49-F238E27FC236}">
              <a16:creationId xmlns:a16="http://schemas.microsoft.com/office/drawing/2014/main" id="{3E78036E-D0B1-453E-A973-EAC05A2E019E}"/>
            </a:ext>
          </a:extLst>
        </xdr:cNvPr>
        <xdr:cNvSpPr>
          <a:spLocks noChangeAspect="1" noChangeArrowheads="1"/>
        </xdr:cNvSpPr>
      </xdr:nvSpPr>
      <xdr:spPr bwMode="auto">
        <a:xfrm>
          <a:off x="3803650" y="662940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519" name="AutoShape 12">
          <a:extLst>
            <a:ext uri="{FF2B5EF4-FFF2-40B4-BE49-F238E27FC236}">
              <a16:creationId xmlns:a16="http://schemas.microsoft.com/office/drawing/2014/main" id="{7A0F5B54-BD6F-4ED5-ACBF-A4558E2DBDFB}"/>
            </a:ext>
          </a:extLst>
        </xdr:cNvPr>
        <xdr:cNvSpPr>
          <a:spLocks noChangeAspect="1" noChangeArrowheads="1"/>
        </xdr:cNvSpPr>
      </xdr:nvSpPr>
      <xdr:spPr bwMode="auto">
        <a:xfrm>
          <a:off x="3803650" y="718185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183</xdr:row>
      <xdr:rowOff>0</xdr:rowOff>
    </xdr:from>
    <xdr:ext cx="304800" cy="304094"/>
    <xdr:sp macro="" textlink="">
      <xdr:nvSpPr>
        <xdr:cNvPr id="520" name="AutoShape 12">
          <a:extLst>
            <a:ext uri="{FF2B5EF4-FFF2-40B4-BE49-F238E27FC236}">
              <a16:creationId xmlns:a16="http://schemas.microsoft.com/office/drawing/2014/main" id="{A0E349B4-928F-438C-B61C-50B47603B726}"/>
            </a:ext>
          </a:extLst>
        </xdr:cNvPr>
        <xdr:cNvSpPr>
          <a:spLocks noChangeAspect="1" noChangeArrowheads="1"/>
        </xdr:cNvSpPr>
      </xdr:nvSpPr>
      <xdr:spPr bwMode="auto">
        <a:xfrm>
          <a:off x="3803650" y="720026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193</xdr:row>
      <xdr:rowOff>0</xdr:rowOff>
    </xdr:from>
    <xdr:ext cx="304800" cy="304094"/>
    <xdr:sp macro="" textlink="">
      <xdr:nvSpPr>
        <xdr:cNvPr id="521" name="AutoShape 12">
          <a:extLst>
            <a:ext uri="{FF2B5EF4-FFF2-40B4-BE49-F238E27FC236}">
              <a16:creationId xmlns:a16="http://schemas.microsoft.com/office/drawing/2014/main" id="{63C41529-4451-446F-95AD-31EC1366550A}"/>
            </a:ext>
          </a:extLst>
        </xdr:cNvPr>
        <xdr:cNvSpPr>
          <a:spLocks noChangeAspect="1" noChangeArrowheads="1"/>
        </xdr:cNvSpPr>
      </xdr:nvSpPr>
      <xdr:spPr bwMode="auto">
        <a:xfrm>
          <a:off x="3803650" y="7384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194</xdr:row>
      <xdr:rowOff>0</xdr:rowOff>
    </xdr:from>
    <xdr:ext cx="304800" cy="304094"/>
    <xdr:sp macro="" textlink="">
      <xdr:nvSpPr>
        <xdr:cNvPr id="522" name="AutoShape 12">
          <a:extLst>
            <a:ext uri="{FF2B5EF4-FFF2-40B4-BE49-F238E27FC236}">
              <a16:creationId xmlns:a16="http://schemas.microsoft.com/office/drawing/2014/main" id="{F2784AD5-B164-4751-9EA4-3F4982133416}"/>
            </a:ext>
          </a:extLst>
        </xdr:cNvPr>
        <xdr:cNvSpPr>
          <a:spLocks noChangeAspect="1" noChangeArrowheads="1"/>
        </xdr:cNvSpPr>
      </xdr:nvSpPr>
      <xdr:spPr bwMode="auto">
        <a:xfrm>
          <a:off x="3803650" y="740283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183</xdr:row>
      <xdr:rowOff>0</xdr:rowOff>
    </xdr:from>
    <xdr:ext cx="304800" cy="304094"/>
    <xdr:sp macro="" textlink="">
      <xdr:nvSpPr>
        <xdr:cNvPr id="523" name="AutoShape 12">
          <a:extLst>
            <a:ext uri="{FF2B5EF4-FFF2-40B4-BE49-F238E27FC236}">
              <a16:creationId xmlns:a16="http://schemas.microsoft.com/office/drawing/2014/main" id="{64BB4E08-6EF5-4569-B4A6-463AB0E87AEC}"/>
            </a:ext>
          </a:extLst>
        </xdr:cNvPr>
        <xdr:cNvSpPr>
          <a:spLocks noChangeAspect="1" noChangeArrowheads="1"/>
        </xdr:cNvSpPr>
      </xdr:nvSpPr>
      <xdr:spPr bwMode="auto">
        <a:xfrm>
          <a:off x="3803650" y="720026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184</xdr:row>
      <xdr:rowOff>0</xdr:rowOff>
    </xdr:from>
    <xdr:ext cx="304800" cy="304094"/>
    <xdr:sp macro="" textlink="">
      <xdr:nvSpPr>
        <xdr:cNvPr id="524" name="AutoShape 12">
          <a:extLst>
            <a:ext uri="{FF2B5EF4-FFF2-40B4-BE49-F238E27FC236}">
              <a16:creationId xmlns:a16="http://schemas.microsoft.com/office/drawing/2014/main" id="{38D5002A-5E46-4257-80E9-219427B82379}"/>
            </a:ext>
          </a:extLst>
        </xdr:cNvPr>
        <xdr:cNvSpPr>
          <a:spLocks noChangeAspect="1" noChangeArrowheads="1"/>
        </xdr:cNvSpPr>
      </xdr:nvSpPr>
      <xdr:spPr bwMode="auto">
        <a:xfrm>
          <a:off x="3803650" y="721868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194</xdr:row>
      <xdr:rowOff>0</xdr:rowOff>
    </xdr:from>
    <xdr:ext cx="304800" cy="304094"/>
    <xdr:sp macro="" textlink="">
      <xdr:nvSpPr>
        <xdr:cNvPr id="525" name="AutoShape 12">
          <a:extLst>
            <a:ext uri="{FF2B5EF4-FFF2-40B4-BE49-F238E27FC236}">
              <a16:creationId xmlns:a16="http://schemas.microsoft.com/office/drawing/2014/main" id="{C5A671AA-C9E6-4633-A8A3-C3EA08489D90}"/>
            </a:ext>
          </a:extLst>
        </xdr:cNvPr>
        <xdr:cNvSpPr>
          <a:spLocks noChangeAspect="1" noChangeArrowheads="1"/>
        </xdr:cNvSpPr>
      </xdr:nvSpPr>
      <xdr:spPr bwMode="auto">
        <a:xfrm>
          <a:off x="3803650" y="740283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195</xdr:row>
      <xdr:rowOff>0</xdr:rowOff>
    </xdr:from>
    <xdr:ext cx="304800" cy="304094"/>
    <xdr:sp macro="" textlink="">
      <xdr:nvSpPr>
        <xdr:cNvPr id="526" name="AutoShape 12">
          <a:extLst>
            <a:ext uri="{FF2B5EF4-FFF2-40B4-BE49-F238E27FC236}">
              <a16:creationId xmlns:a16="http://schemas.microsoft.com/office/drawing/2014/main" id="{CA89F09C-99FD-4732-8E20-C04E793C5092}"/>
            </a:ext>
          </a:extLst>
        </xdr:cNvPr>
        <xdr:cNvSpPr>
          <a:spLocks noChangeAspect="1" noChangeArrowheads="1"/>
        </xdr:cNvSpPr>
      </xdr:nvSpPr>
      <xdr:spPr bwMode="auto">
        <a:xfrm>
          <a:off x="3803650" y="742124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183</xdr:row>
      <xdr:rowOff>0</xdr:rowOff>
    </xdr:from>
    <xdr:ext cx="304800" cy="304094"/>
    <xdr:sp macro="" textlink="">
      <xdr:nvSpPr>
        <xdr:cNvPr id="527" name="AutoShape 12">
          <a:extLst>
            <a:ext uri="{FF2B5EF4-FFF2-40B4-BE49-F238E27FC236}">
              <a16:creationId xmlns:a16="http://schemas.microsoft.com/office/drawing/2014/main" id="{563B8EF9-322D-4795-B0D1-A619356C850E}"/>
            </a:ext>
          </a:extLst>
        </xdr:cNvPr>
        <xdr:cNvSpPr>
          <a:spLocks noChangeAspect="1" noChangeArrowheads="1"/>
        </xdr:cNvSpPr>
      </xdr:nvSpPr>
      <xdr:spPr bwMode="auto">
        <a:xfrm>
          <a:off x="3803650" y="720026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184</xdr:row>
      <xdr:rowOff>0</xdr:rowOff>
    </xdr:from>
    <xdr:ext cx="304800" cy="304094"/>
    <xdr:sp macro="" textlink="">
      <xdr:nvSpPr>
        <xdr:cNvPr id="528" name="AutoShape 12">
          <a:extLst>
            <a:ext uri="{FF2B5EF4-FFF2-40B4-BE49-F238E27FC236}">
              <a16:creationId xmlns:a16="http://schemas.microsoft.com/office/drawing/2014/main" id="{A9D0D78B-E86D-4A49-8B01-89166BADCB85}"/>
            </a:ext>
          </a:extLst>
        </xdr:cNvPr>
        <xdr:cNvSpPr>
          <a:spLocks noChangeAspect="1" noChangeArrowheads="1"/>
        </xdr:cNvSpPr>
      </xdr:nvSpPr>
      <xdr:spPr bwMode="auto">
        <a:xfrm>
          <a:off x="3803650" y="721868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194</xdr:row>
      <xdr:rowOff>0</xdr:rowOff>
    </xdr:from>
    <xdr:ext cx="304800" cy="304094"/>
    <xdr:sp macro="" textlink="">
      <xdr:nvSpPr>
        <xdr:cNvPr id="529" name="AutoShape 12">
          <a:extLst>
            <a:ext uri="{FF2B5EF4-FFF2-40B4-BE49-F238E27FC236}">
              <a16:creationId xmlns:a16="http://schemas.microsoft.com/office/drawing/2014/main" id="{BAA38633-DB12-4F14-85A7-D8B250AEB6C0}"/>
            </a:ext>
          </a:extLst>
        </xdr:cNvPr>
        <xdr:cNvSpPr>
          <a:spLocks noChangeAspect="1" noChangeArrowheads="1"/>
        </xdr:cNvSpPr>
      </xdr:nvSpPr>
      <xdr:spPr bwMode="auto">
        <a:xfrm>
          <a:off x="3803650" y="740283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195</xdr:row>
      <xdr:rowOff>0</xdr:rowOff>
    </xdr:from>
    <xdr:ext cx="304800" cy="304094"/>
    <xdr:sp macro="" textlink="">
      <xdr:nvSpPr>
        <xdr:cNvPr id="530" name="AutoShape 12">
          <a:extLst>
            <a:ext uri="{FF2B5EF4-FFF2-40B4-BE49-F238E27FC236}">
              <a16:creationId xmlns:a16="http://schemas.microsoft.com/office/drawing/2014/main" id="{7AB28212-8EDE-4154-8FFE-CAE9FBD209B0}"/>
            </a:ext>
          </a:extLst>
        </xdr:cNvPr>
        <xdr:cNvSpPr>
          <a:spLocks noChangeAspect="1" noChangeArrowheads="1"/>
        </xdr:cNvSpPr>
      </xdr:nvSpPr>
      <xdr:spPr bwMode="auto">
        <a:xfrm>
          <a:off x="3803650" y="742124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184</xdr:row>
      <xdr:rowOff>0</xdr:rowOff>
    </xdr:from>
    <xdr:ext cx="304800" cy="304094"/>
    <xdr:sp macro="" textlink="">
      <xdr:nvSpPr>
        <xdr:cNvPr id="531" name="AutoShape 12">
          <a:extLst>
            <a:ext uri="{FF2B5EF4-FFF2-40B4-BE49-F238E27FC236}">
              <a16:creationId xmlns:a16="http://schemas.microsoft.com/office/drawing/2014/main" id="{05B01EA4-D84A-4A5B-BC97-B4F4B52E9838}"/>
            </a:ext>
          </a:extLst>
        </xdr:cNvPr>
        <xdr:cNvSpPr>
          <a:spLocks noChangeAspect="1" noChangeArrowheads="1"/>
        </xdr:cNvSpPr>
      </xdr:nvSpPr>
      <xdr:spPr bwMode="auto">
        <a:xfrm>
          <a:off x="3803650" y="721868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185</xdr:row>
      <xdr:rowOff>0</xdr:rowOff>
    </xdr:from>
    <xdr:ext cx="304800" cy="304094"/>
    <xdr:sp macro="" textlink="">
      <xdr:nvSpPr>
        <xdr:cNvPr id="532" name="AutoShape 12">
          <a:extLst>
            <a:ext uri="{FF2B5EF4-FFF2-40B4-BE49-F238E27FC236}">
              <a16:creationId xmlns:a16="http://schemas.microsoft.com/office/drawing/2014/main" id="{6649B923-D2C7-429D-98F7-13A6A5602BB1}"/>
            </a:ext>
          </a:extLst>
        </xdr:cNvPr>
        <xdr:cNvSpPr>
          <a:spLocks noChangeAspect="1" noChangeArrowheads="1"/>
        </xdr:cNvSpPr>
      </xdr:nvSpPr>
      <xdr:spPr bwMode="auto">
        <a:xfrm>
          <a:off x="3803650" y="723709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195</xdr:row>
      <xdr:rowOff>0</xdr:rowOff>
    </xdr:from>
    <xdr:ext cx="304800" cy="304094"/>
    <xdr:sp macro="" textlink="">
      <xdr:nvSpPr>
        <xdr:cNvPr id="533" name="AutoShape 12">
          <a:extLst>
            <a:ext uri="{FF2B5EF4-FFF2-40B4-BE49-F238E27FC236}">
              <a16:creationId xmlns:a16="http://schemas.microsoft.com/office/drawing/2014/main" id="{908EE618-FDA3-4447-8746-7BFA308B4B33}"/>
            </a:ext>
          </a:extLst>
        </xdr:cNvPr>
        <xdr:cNvSpPr>
          <a:spLocks noChangeAspect="1" noChangeArrowheads="1"/>
        </xdr:cNvSpPr>
      </xdr:nvSpPr>
      <xdr:spPr bwMode="auto">
        <a:xfrm>
          <a:off x="3803650" y="742124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185</xdr:row>
      <xdr:rowOff>0</xdr:rowOff>
    </xdr:from>
    <xdr:ext cx="304800" cy="304094"/>
    <xdr:sp macro="" textlink="">
      <xdr:nvSpPr>
        <xdr:cNvPr id="534" name="AutoShape 12">
          <a:extLst>
            <a:ext uri="{FF2B5EF4-FFF2-40B4-BE49-F238E27FC236}">
              <a16:creationId xmlns:a16="http://schemas.microsoft.com/office/drawing/2014/main" id="{122933B4-0191-4F4B-84C7-3098D30BC24C}"/>
            </a:ext>
          </a:extLst>
        </xdr:cNvPr>
        <xdr:cNvSpPr>
          <a:spLocks noChangeAspect="1" noChangeArrowheads="1"/>
        </xdr:cNvSpPr>
      </xdr:nvSpPr>
      <xdr:spPr bwMode="auto">
        <a:xfrm>
          <a:off x="3803650" y="723709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186</xdr:row>
      <xdr:rowOff>0</xdr:rowOff>
    </xdr:from>
    <xdr:ext cx="304800" cy="304094"/>
    <xdr:sp macro="" textlink="">
      <xdr:nvSpPr>
        <xdr:cNvPr id="535" name="AutoShape 12">
          <a:extLst>
            <a:ext uri="{FF2B5EF4-FFF2-40B4-BE49-F238E27FC236}">
              <a16:creationId xmlns:a16="http://schemas.microsoft.com/office/drawing/2014/main" id="{EC39D3F8-F75D-4E8A-BE8C-EBDFD63FC01E}"/>
            </a:ext>
          </a:extLst>
        </xdr:cNvPr>
        <xdr:cNvSpPr>
          <a:spLocks noChangeAspect="1" noChangeArrowheads="1"/>
        </xdr:cNvSpPr>
      </xdr:nvSpPr>
      <xdr:spPr bwMode="auto">
        <a:xfrm>
          <a:off x="3803650" y="725551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186</xdr:row>
      <xdr:rowOff>0</xdr:rowOff>
    </xdr:from>
    <xdr:ext cx="304800" cy="304094"/>
    <xdr:sp macro="" textlink="">
      <xdr:nvSpPr>
        <xdr:cNvPr id="536" name="AutoShape 12">
          <a:extLst>
            <a:ext uri="{FF2B5EF4-FFF2-40B4-BE49-F238E27FC236}">
              <a16:creationId xmlns:a16="http://schemas.microsoft.com/office/drawing/2014/main" id="{7D331486-6124-4C48-94B1-7F6EDFCBAFA9}"/>
            </a:ext>
          </a:extLst>
        </xdr:cNvPr>
        <xdr:cNvSpPr>
          <a:spLocks noChangeAspect="1" noChangeArrowheads="1"/>
        </xdr:cNvSpPr>
      </xdr:nvSpPr>
      <xdr:spPr bwMode="auto">
        <a:xfrm>
          <a:off x="3803650" y="725551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187</xdr:row>
      <xdr:rowOff>0</xdr:rowOff>
    </xdr:from>
    <xdr:ext cx="304800" cy="304094"/>
    <xdr:sp macro="" textlink="">
      <xdr:nvSpPr>
        <xdr:cNvPr id="537" name="AutoShape 12">
          <a:extLst>
            <a:ext uri="{FF2B5EF4-FFF2-40B4-BE49-F238E27FC236}">
              <a16:creationId xmlns:a16="http://schemas.microsoft.com/office/drawing/2014/main" id="{B058826E-69CC-4F6E-B61F-C99E77F36AA3}"/>
            </a:ext>
          </a:extLst>
        </xdr:cNvPr>
        <xdr:cNvSpPr>
          <a:spLocks noChangeAspect="1" noChangeArrowheads="1"/>
        </xdr:cNvSpPr>
      </xdr:nvSpPr>
      <xdr:spPr bwMode="auto">
        <a:xfrm>
          <a:off x="3803650" y="727392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186</xdr:row>
      <xdr:rowOff>0</xdr:rowOff>
    </xdr:from>
    <xdr:ext cx="304800" cy="304094"/>
    <xdr:sp macro="" textlink="">
      <xdr:nvSpPr>
        <xdr:cNvPr id="538" name="AutoShape 12">
          <a:extLst>
            <a:ext uri="{FF2B5EF4-FFF2-40B4-BE49-F238E27FC236}">
              <a16:creationId xmlns:a16="http://schemas.microsoft.com/office/drawing/2014/main" id="{C39D3D8B-E5A5-458B-9E2C-6D0D9150C829}"/>
            </a:ext>
          </a:extLst>
        </xdr:cNvPr>
        <xdr:cNvSpPr>
          <a:spLocks noChangeAspect="1" noChangeArrowheads="1"/>
        </xdr:cNvSpPr>
      </xdr:nvSpPr>
      <xdr:spPr bwMode="auto">
        <a:xfrm>
          <a:off x="3803650" y="725551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187</xdr:row>
      <xdr:rowOff>0</xdr:rowOff>
    </xdr:from>
    <xdr:ext cx="304800" cy="304094"/>
    <xdr:sp macro="" textlink="">
      <xdr:nvSpPr>
        <xdr:cNvPr id="539" name="AutoShape 12">
          <a:extLst>
            <a:ext uri="{FF2B5EF4-FFF2-40B4-BE49-F238E27FC236}">
              <a16:creationId xmlns:a16="http://schemas.microsoft.com/office/drawing/2014/main" id="{0A7C391E-9D65-4D3D-AD5B-254E812AC2D0}"/>
            </a:ext>
          </a:extLst>
        </xdr:cNvPr>
        <xdr:cNvSpPr>
          <a:spLocks noChangeAspect="1" noChangeArrowheads="1"/>
        </xdr:cNvSpPr>
      </xdr:nvSpPr>
      <xdr:spPr bwMode="auto">
        <a:xfrm>
          <a:off x="3803650" y="727392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187</xdr:row>
      <xdr:rowOff>0</xdr:rowOff>
    </xdr:from>
    <xdr:ext cx="304800" cy="304094"/>
    <xdr:sp macro="" textlink="">
      <xdr:nvSpPr>
        <xdr:cNvPr id="540" name="AutoShape 12">
          <a:extLst>
            <a:ext uri="{FF2B5EF4-FFF2-40B4-BE49-F238E27FC236}">
              <a16:creationId xmlns:a16="http://schemas.microsoft.com/office/drawing/2014/main" id="{3B8235A3-780F-41D5-A61B-638E045AA447}"/>
            </a:ext>
          </a:extLst>
        </xdr:cNvPr>
        <xdr:cNvSpPr>
          <a:spLocks noChangeAspect="1" noChangeArrowheads="1"/>
        </xdr:cNvSpPr>
      </xdr:nvSpPr>
      <xdr:spPr bwMode="auto">
        <a:xfrm>
          <a:off x="3803650" y="727392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188</xdr:row>
      <xdr:rowOff>0</xdr:rowOff>
    </xdr:from>
    <xdr:ext cx="304800" cy="304094"/>
    <xdr:sp macro="" textlink="">
      <xdr:nvSpPr>
        <xdr:cNvPr id="541" name="AutoShape 12">
          <a:extLst>
            <a:ext uri="{FF2B5EF4-FFF2-40B4-BE49-F238E27FC236}">
              <a16:creationId xmlns:a16="http://schemas.microsoft.com/office/drawing/2014/main" id="{34972F51-818C-4A10-B34F-1E9E59A878F6}"/>
            </a:ext>
          </a:extLst>
        </xdr:cNvPr>
        <xdr:cNvSpPr>
          <a:spLocks noChangeAspect="1" noChangeArrowheads="1"/>
        </xdr:cNvSpPr>
      </xdr:nvSpPr>
      <xdr:spPr bwMode="auto">
        <a:xfrm>
          <a:off x="3803650" y="729234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110</xdr:row>
      <xdr:rowOff>0</xdr:rowOff>
    </xdr:from>
    <xdr:ext cx="304800" cy="304094"/>
    <xdr:sp macro="" textlink="">
      <xdr:nvSpPr>
        <xdr:cNvPr id="542" name="AutoShape 12">
          <a:extLst>
            <a:ext uri="{FF2B5EF4-FFF2-40B4-BE49-F238E27FC236}">
              <a16:creationId xmlns:a16="http://schemas.microsoft.com/office/drawing/2014/main" id="{A0E06D2A-0419-44EC-BB55-8B5C49615929}"/>
            </a:ext>
          </a:extLst>
        </xdr:cNvPr>
        <xdr:cNvSpPr>
          <a:spLocks noChangeAspect="1" noChangeArrowheads="1"/>
        </xdr:cNvSpPr>
      </xdr:nvSpPr>
      <xdr:spPr bwMode="auto">
        <a:xfrm>
          <a:off x="3803650" y="585597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111</xdr:row>
      <xdr:rowOff>0</xdr:rowOff>
    </xdr:from>
    <xdr:ext cx="304800" cy="304094"/>
    <xdr:sp macro="" textlink="">
      <xdr:nvSpPr>
        <xdr:cNvPr id="543" name="AutoShape 12">
          <a:extLst>
            <a:ext uri="{FF2B5EF4-FFF2-40B4-BE49-F238E27FC236}">
              <a16:creationId xmlns:a16="http://schemas.microsoft.com/office/drawing/2014/main" id="{BB4863ED-7998-4BB8-B8D5-66CA8F505FC6}"/>
            </a:ext>
          </a:extLst>
        </xdr:cNvPr>
        <xdr:cNvSpPr>
          <a:spLocks noChangeAspect="1" noChangeArrowheads="1"/>
        </xdr:cNvSpPr>
      </xdr:nvSpPr>
      <xdr:spPr bwMode="auto">
        <a:xfrm>
          <a:off x="3803650" y="587438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121</xdr:row>
      <xdr:rowOff>0</xdr:rowOff>
    </xdr:from>
    <xdr:ext cx="304800" cy="304094"/>
    <xdr:sp macro="" textlink="">
      <xdr:nvSpPr>
        <xdr:cNvPr id="544" name="AutoShape 12">
          <a:extLst>
            <a:ext uri="{FF2B5EF4-FFF2-40B4-BE49-F238E27FC236}">
              <a16:creationId xmlns:a16="http://schemas.microsoft.com/office/drawing/2014/main" id="{9E6BA118-867D-4D46-B67A-8D481975C9D5}"/>
            </a:ext>
          </a:extLst>
        </xdr:cNvPr>
        <xdr:cNvSpPr>
          <a:spLocks noChangeAspect="1" noChangeArrowheads="1"/>
        </xdr:cNvSpPr>
      </xdr:nvSpPr>
      <xdr:spPr bwMode="auto">
        <a:xfrm>
          <a:off x="3803650" y="605853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122</xdr:row>
      <xdr:rowOff>0</xdr:rowOff>
    </xdr:from>
    <xdr:ext cx="304800" cy="304094"/>
    <xdr:sp macro="" textlink="">
      <xdr:nvSpPr>
        <xdr:cNvPr id="545" name="AutoShape 12">
          <a:extLst>
            <a:ext uri="{FF2B5EF4-FFF2-40B4-BE49-F238E27FC236}">
              <a16:creationId xmlns:a16="http://schemas.microsoft.com/office/drawing/2014/main" id="{449FD720-492C-49F5-A386-9A476455ABC9}"/>
            </a:ext>
          </a:extLst>
        </xdr:cNvPr>
        <xdr:cNvSpPr>
          <a:spLocks noChangeAspect="1" noChangeArrowheads="1"/>
        </xdr:cNvSpPr>
      </xdr:nvSpPr>
      <xdr:spPr bwMode="auto">
        <a:xfrm>
          <a:off x="3803650" y="607695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111</xdr:row>
      <xdr:rowOff>0</xdr:rowOff>
    </xdr:from>
    <xdr:ext cx="304800" cy="304094"/>
    <xdr:sp macro="" textlink="">
      <xdr:nvSpPr>
        <xdr:cNvPr id="546" name="AutoShape 12">
          <a:extLst>
            <a:ext uri="{FF2B5EF4-FFF2-40B4-BE49-F238E27FC236}">
              <a16:creationId xmlns:a16="http://schemas.microsoft.com/office/drawing/2014/main" id="{6600234F-91E0-4D19-ADAC-3787A8EDC043}"/>
            </a:ext>
          </a:extLst>
        </xdr:cNvPr>
        <xdr:cNvSpPr>
          <a:spLocks noChangeAspect="1" noChangeArrowheads="1"/>
        </xdr:cNvSpPr>
      </xdr:nvSpPr>
      <xdr:spPr bwMode="auto">
        <a:xfrm>
          <a:off x="3803650" y="587438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112</xdr:row>
      <xdr:rowOff>0</xdr:rowOff>
    </xdr:from>
    <xdr:ext cx="304800" cy="304094"/>
    <xdr:sp macro="" textlink="">
      <xdr:nvSpPr>
        <xdr:cNvPr id="547" name="AutoShape 12">
          <a:extLst>
            <a:ext uri="{FF2B5EF4-FFF2-40B4-BE49-F238E27FC236}">
              <a16:creationId xmlns:a16="http://schemas.microsoft.com/office/drawing/2014/main" id="{2BF70EFC-AF2E-44EA-B307-B585919BC3C2}"/>
            </a:ext>
          </a:extLst>
        </xdr:cNvPr>
        <xdr:cNvSpPr>
          <a:spLocks noChangeAspect="1" noChangeArrowheads="1"/>
        </xdr:cNvSpPr>
      </xdr:nvSpPr>
      <xdr:spPr bwMode="auto">
        <a:xfrm>
          <a:off x="3803650" y="589280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122</xdr:row>
      <xdr:rowOff>0</xdr:rowOff>
    </xdr:from>
    <xdr:ext cx="304800" cy="304094"/>
    <xdr:sp macro="" textlink="">
      <xdr:nvSpPr>
        <xdr:cNvPr id="548" name="AutoShape 12">
          <a:extLst>
            <a:ext uri="{FF2B5EF4-FFF2-40B4-BE49-F238E27FC236}">
              <a16:creationId xmlns:a16="http://schemas.microsoft.com/office/drawing/2014/main" id="{1951C742-06C7-46D2-A3F8-AE6B59928451}"/>
            </a:ext>
          </a:extLst>
        </xdr:cNvPr>
        <xdr:cNvSpPr>
          <a:spLocks noChangeAspect="1" noChangeArrowheads="1"/>
        </xdr:cNvSpPr>
      </xdr:nvSpPr>
      <xdr:spPr bwMode="auto">
        <a:xfrm>
          <a:off x="3803650" y="607695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123</xdr:row>
      <xdr:rowOff>0</xdr:rowOff>
    </xdr:from>
    <xdr:ext cx="304800" cy="304094"/>
    <xdr:sp macro="" textlink="">
      <xdr:nvSpPr>
        <xdr:cNvPr id="549" name="AutoShape 12">
          <a:extLst>
            <a:ext uri="{FF2B5EF4-FFF2-40B4-BE49-F238E27FC236}">
              <a16:creationId xmlns:a16="http://schemas.microsoft.com/office/drawing/2014/main" id="{7F7B8334-F4DB-4C73-BE91-31EF674AE22F}"/>
            </a:ext>
          </a:extLst>
        </xdr:cNvPr>
        <xdr:cNvSpPr>
          <a:spLocks noChangeAspect="1" noChangeArrowheads="1"/>
        </xdr:cNvSpPr>
      </xdr:nvSpPr>
      <xdr:spPr bwMode="auto">
        <a:xfrm>
          <a:off x="3803650" y="609536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550" name="AutoShape 12">
          <a:extLst>
            <a:ext uri="{FF2B5EF4-FFF2-40B4-BE49-F238E27FC236}">
              <a16:creationId xmlns:a16="http://schemas.microsoft.com/office/drawing/2014/main" id="{FD223DFB-0091-4D79-BF9A-433FF26DC339}"/>
            </a:ext>
          </a:extLst>
        </xdr:cNvPr>
        <xdr:cNvSpPr>
          <a:spLocks noChangeAspect="1" noChangeArrowheads="1"/>
        </xdr:cNvSpPr>
      </xdr:nvSpPr>
      <xdr:spPr bwMode="auto">
        <a:xfrm>
          <a:off x="3803650" y="712660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551" name="AutoShape 12">
          <a:extLst>
            <a:ext uri="{FF2B5EF4-FFF2-40B4-BE49-F238E27FC236}">
              <a16:creationId xmlns:a16="http://schemas.microsoft.com/office/drawing/2014/main" id="{940B323F-425A-44FD-B2EE-6EDC8ED3A073}"/>
            </a:ext>
          </a:extLst>
        </xdr:cNvPr>
        <xdr:cNvSpPr>
          <a:spLocks noChangeAspect="1" noChangeArrowheads="1"/>
        </xdr:cNvSpPr>
      </xdr:nvSpPr>
      <xdr:spPr bwMode="auto">
        <a:xfrm>
          <a:off x="3803650" y="714502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190</xdr:row>
      <xdr:rowOff>0</xdr:rowOff>
    </xdr:from>
    <xdr:ext cx="304800" cy="304094"/>
    <xdr:sp macro="" textlink="">
      <xdr:nvSpPr>
        <xdr:cNvPr id="552" name="AutoShape 12">
          <a:extLst>
            <a:ext uri="{FF2B5EF4-FFF2-40B4-BE49-F238E27FC236}">
              <a16:creationId xmlns:a16="http://schemas.microsoft.com/office/drawing/2014/main" id="{B0343923-72E5-45AD-B1D4-FA2FD4ED8EAF}"/>
            </a:ext>
          </a:extLst>
        </xdr:cNvPr>
        <xdr:cNvSpPr>
          <a:spLocks noChangeAspect="1" noChangeArrowheads="1"/>
        </xdr:cNvSpPr>
      </xdr:nvSpPr>
      <xdr:spPr bwMode="auto">
        <a:xfrm>
          <a:off x="3803650" y="732917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191</xdr:row>
      <xdr:rowOff>0</xdr:rowOff>
    </xdr:from>
    <xdr:ext cx="304800" cy="304094"/>
    <xdr:sp macro="" textlink="">
      <xdr:nvSpPr>
        <xdr:cNvPr id="553" name="AutoShape 12">
          <a:extLst>
            <a:ext uri="{FF2B5EF4-FFF2-40B4-BE49-F238E27FC236}">
              <a16:creationId xmlns:a16="http://schemas.microsoft.com/office/drawing/2014/main" id="{610A1459-0CB2-4943-AD8C-E55387C2A81F}"/>
            </a:ext>
          </a:extLst>
        </xdr:cNvPr>
        <xdr:cNvSpPr>
          <a:spLocks noChangeAspect="1" noChangeArrowheads="1"/>
        </xdr:cNvSpPr>
      </xdr:nvSpPr>
      <xdr:spPr bwMode="auto">
        <a:xfrm>
          <a:off x="3803650" y="734758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554" name="AutoShape 12">
          <a:extLst>
            <a:ext uri="{FF2B5EF4-FFF2-40B4-BE49-F238E27FC236}">
              <a16:creationId xmlns:a16="http://schemas.microsoft.com/office/drawing/2014/main" id="{6FE8F106-DA6D-4E9B-AC71-B18793276622}"/>
            </a:ext>
          </a:extLst>
        </xdr:cNvPr>
        <xdr:cNvSpPr>
          <a:spLocks noChangeAspect="1" noChangeArrowheads="1"/>
        </xdr:cNvSpPr>
      </xdr:nvSpPr>
      <xdr:spPr bwMode="auto">
        <a:xfrm>
          <a:off x="3803650" y="714502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555" name="AutoShape 12">
          <a:extLst>
            <a:ext uri="{FF2B5EF4-FFF2-40B4-BE49-F238E27FC236}">
              <a16:creationId xmlns:a16="http://schemas.microsoft.com/office/drawing/2014/main" id="{6B7C3D5A-4137-4A01-9128-E7F8BD71B13F}"/>
            </a:ext>
          </a:extLst>
        </xdr:cNvPr>
        <xdr:cNvSpPr>
          <a:spLocks noChangeAspect="1" noChangeArrowheads="1"/>
        </xdr:cNvSpPr>
      </xdr:nvSpPr>
      <xdr:spPr bwMode="auto">
        <a:xfrm>
          <a:off x="3803650" y="716343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191</xdr:row>
      <xdr:rowOff>0</xdr:rowOff>
    </xdr:from>
    <xdr:ext cx="304800" cy="304094"/>
    <xdr:sp macro="" textlink="">
      <xdr:nvSpPr>
        <xdr:cNvPr id="556" name="AutoShape 12">
          <a:extLst>
            <a:ext uri="{FF2B5EF4-FFF2-40B4-BE49-F238E27FC236}">
              <a16:creationId xmlns:a16="http://schemas.microsoft.com/office/drawing/2014/main" id="{C34461ED-D67D-40CA-B148-339F5F5A9536}"/>
            </a:ext>
          </a:extLst>
        </xdr:cNvPr>
        <xdr:cNvSpPr>
          <a:spLocks noChangeAspect="1" noChangeArrowheads="1"/>
        </xdr:cNvSpPr>
      </xdr:nvSpPr>
      <xdr:spPr bwMode="auto">
        <a:xfrm>
          <a:off x="3803650" y="734758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192</xdr:row>
      <xdr:rowOff>0</xdr:rowOff>
    </xdr:from>
    <xdr:ext cx="304800" cy="304094"/>
    <xdr:sp macro="" textlink="">
      <xdr:nvSpPr>
        <xdr:cNvPr id="557" name="AutoShape 12">
          <a:extLst>
            <a:ext uri="{FF2B5EF4-FFF2-40B4-BE49-F238E27FC236}">
              <a16:creationId xmlns:a16="http://schemas.microsoft.com/office/drawing/2014/main" id="{DDEA6AA0-EC34-4548-85AB-7F73F8F9FC24}"/>
            </a:ext>
          </a:extLst>
        </xdr:cNvPr>
        <xdr:cNvSpPr>
          <a:spLocks noChangeAspect="1" noChangeArrowheads="1"/>
        </xdr:cNvSpPr>
      </xdr:nvSpPr>
      <xdr:spPr bwMode="auto">
        <a:xfrm>
          <a:off x="3803650" y="736600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111</xdr:row>
      <xdr:rowOff>0</xdr:rowOff>
    </xdr:from>
    <xdr:ext cx="304800" cy="304094"/>
    <xdr:sp macro="" textlink="">
      <xdr:nvSpPr>
        <xdr:cNvPr id="558" name="AutoShape 12">
          <a:extLst>
            <a:ext uri="{FF2B5EF4-FFF2-40B4-BE49-F238E27FC236}">
              <a16:creationId xmlns:a16="http://schemas.microsoft.com/office/drawing/2014/main" id="{407D796F-E81A-45BD-A974-2BB04C074640}"/>
            </a:ext>
          </a:extLst>
        </xdr:cNvPr>
        <xdr:cNvSpPr>
          <a:spLocks noChangeAspect="1" noChangeArrowheads="1"/>
        </xdr:cNvSpPr>
      </xdr:nvSpPr>
      <xdr:spPr bwMode="auto">
        <a:xfrm>
          <a:off x="3803650" y="587438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112</xdr:row>
      <xdr:rowOff>0</xdr:rowOff>
    </xdr:from>
    <xdr:ext cx="304800" cy="304094"/>
    <xdr:sp macro="" textlink="">
      <xdr:nvSpPr>
        <xdr:cNvPr id="559" name="AutoShape 12">
          <a:extLst>
            <a:ext uri="{FF2B5EF4-FFF2-40B4-BE49-F238E27FC236}">
              <a16:creationId xmlns:a16="http://schemas.microsoft.com/office/drawing/2014/main" id="{C3E0A826-61FD-4E60-A9F6-C2FD8F1A5610}"/>
            </a:ext>
          </a:extLst>
        </xdr:cNvPr>
        <xdr:cNvSpPr>
          <a:spLocks noChangeAspect="1" noChangeArrowheads="1"/>
        </xdr:cNvSpPr>
      </xdr:nvSpPr>
      <xdr:spPr bwMode="auto">
        <a:xfrm>
          <a:off x="3803650" y="589280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122</xdr:row>
      <xdr:rowOff>0</xdr:rowOff>
    </xdr:from>
    <xdr:ext cx="304800" cy="304094"/>
    <xdr:sp macro="" textlink="">
      <xdr:nvSpPr>
        <xdr:cNvPr id="560" name="AutoShape 12">
          <a:extLst>
            <a:ext uri="{FF2B5EF4-FFF2-40B4-BE49-F238E27FC236}">
              <a16:creationId xmlns:a16="http://schemas.microsoft.com/office/drawing/2014/main" id="{37A7E913-47BE-4569-B333-977C02D4D420}"/>
            </a:ext>
          </a:extLst>
        </xdr:cNvPr>
        <xdr:cNvSpPr>
          <a:spLocks noChangeAspect="1" noChangeArrowheads="1"/>
        </xdr:cNvSpPr>
      </xdr:nvSpPr>
      <xdr:spPr bwMode="auto">
        <a:xfrm>
          <a:off x="3803650" y="607695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123</xdr:row>
      <xdr:rowOff>0</xdr:rowOff>
    </xdr:from>
    <xdr:ext cx="304800" cy="304094"/>
    <xdr:sp macro="" textlink="">
      <xdr:nvSpPr>
        <xdr:cNvPr id="561" name="AutoShape 12">
          <a:extLst>
            <a:ext uri="{FF2B5EF4-FFF2-40B4-BE49-F238E27FC236}">
              <a16:creationId xmlns:a16="http://schemas.microsoft.com/office/drawing/2014/main" id="{11ABEC23-2CFB-4B7D-A42B-71C9CBE0519A}"/>
            </a:ext>
          </a:extLst>
        </xdr:cNvPr>
        <xdr:cNvSpPr>
          <a:spLocks noChangeAspect="1" noChangeArrowheads="1"/>
        </xdr:cNvSpPr>
      </xdr:nvSpPr>
      <xdr:spPr bwMode="auto">
        <a:xfrm>
          <a:off x="3803650" y="609536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112</xdr:row>
      <xdr:rowOff>0</xdr:rowOff>
    </xdr:from>
    <xdr:ext cx="304800" cy="304094"/>
    <xdr:sp macro="" textlink="">
      <xdr:nvSpPr>
        <xdr:cNvPr id="562" name="AutoShape 12">
          <a:extLst>
            <a:ext uri="{FF2B5EF4-FFF2-40B4-BE49-F238E27FC236}">
              <a16:creationId xmlns:a16="http://schemas.microsoft.com/office/drawing/2014/main" id="{1EB50962-B90F-4B43-9EBF-EBBEAD20AF6E}"/>
            </a:ext>
          </a:extLst>
        </xdr:cNvPr>
        <xdr:cNvSpPr>
          <a:spLocks noChangeAspect="1" noChangeArrowheads="1"/>
        </xdr:cNvSpPr>
      </xdr:nvSpPr>
      <xdr:spPr bwMode="auto">
        <a:xfrm>
          <a:off x="3803650" y="589280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113</xdr:row>
      <xdr:rowOff>0</xdr:rowOff>
    </xdr:from>
    <xdr:ext cx="304800" cy="304094"/>
    <xdr:sp macro="" textlink="">
      <xdr:nvSpPr>
        <xdr:cNvPr id="563" name="AutoShape 12">
          <a:extLst>
            <a:ext uri="{FF2B5EF4-FFF2-40B4-BE49-F238E27FC236}">
              <a16:creationId xmlns:a16="http://schemas.microsoft.com/office/drawing/2014/main" id="{2460D570-13C1-4285-B13F-EC1D75AB1510}"/>
            </a:ext>
          </a:extLst>
        </xdr:cNvPr>
        <xdr:cNvSpPr>
          <a:spLocks noChangeAspect="1" noChangeArrowheads="1"/>
        </xdr:cNvSpPr>
      </xdr:nvSpPr>
      <xdr:spPr bwMode="auto">
        <a:xfrm>
          <a:off x="3803650" y="59112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123</xdr:row>
      <xdr:rowOff>0</xdr:rowOff>
    </xdr:from>
    <xdr:ext cx="304800" cy="304094"/>
    <xdr:sp macro="" textlink="">
      <xdr:nvSpPr>
        <xdr:cNvPr id="564" name="AutoShape 12">
          <a:extLst>
            <a:ext uri="{FF2B5EF4-FFF2-40B4-BE49-F238E27FC236}">
              <a16:creationId xmlns:a16="http://schemas.microsoft.com/office/drawing/2014/main" id="{C91F3363-1C94-42B9-8BCB-DE07F80F370F}"/>
            </a:ext>
          </a:extLst>
        </xdr:cNvPr>
        <xdr:cNvSpPr>
          <a:spLocks noChangeAspect="1" noChangeArrowheads="1"/>
        </xdr:cNvSpPr>
      </xdr:nvSpPr>
      <xdr:spPr bwMode="auto">
        <a:xfrm>
          <a:off x="3803650" y="609536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124</xdr:row>
      <xdr:rowOff>0</xdr:rowOff>
    </xdr:from>
    <xdr:ext cx="304800" cy="304094"/>
    <xdr:sp macro="" textlink="">
      <xdr:nvSpPr>
        <xdr:cNvPr id="565" name="AutoShape 12">
          <a:extLst>
            <a:ext uri="{FF2B5EF4-FFF2-40B4-BE49-F238E27FC236}">
              <a16:creationId xmlns:a16="http://schemas.microsoft.com/office/drawing/2014/main" id="{F3C2E21D-237F-48DD-AF16-95E4F594F19D}"/>
            </a:ext>
          </a:extLst>
        </xdr:cNvPr>
        <xdr:cNvSpPr>
          <a:spLocks noChangeAspect="1" noChangeArrowheads="1"/>
        </xdr:cNvSpPr>
      </xdr:nvSpPr>
      <xdr:spPr bwMode="auto">
        <a:xfrm>
          <a:off x="3803650" y="611378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566" name="AutoShape 12">
          <a:extLst>
            <a:ext uri="{FF2B5EF4-FFF2-40B4-BE49-F238E27FC236}">
              <a16:creationId xmlns:a16="http://schemas.microsoft.com/office/drawing/2014/main" id="{CCE07133-2A55-4D40-B345-C972730F21AF}"/>
            </a:ext>
          </a:extLst>
        </xdr:cNvPr>
        <xdr:cNvSpPr>
          <a:spLocks noChangeAspect="1" noChangeArrowheads="1"/>
        </xdr:cNvSpPr>
      </xdr:nvSpPr>
      <xdr:spPr bwMode="auto">
        <a:xfrm>
          <a:off x="3803650" y="714502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567" name="AutoShape 12">
          <a:extLst>
            <a:ext uri="{FF2B5EF4-FFF2-40B4-BE49-F238E27FC236}">
              <a16:creationId xmlns:a16="http://schemas.microsoft.com/office/drawing/2014/main" id="{F73F6007-8892-4C5A-86DE-26C5590E9A63}"/>
            </a:ext>
          </a:extLst>
        </xdr:cNvPr>
        <xdr:cNvSpPr>
          <a:spLocks noChangeAspect="1" noChangeArrowheads="1"/>
        </xdr:cNvSpPr>
      </xdr:nvSpPr>
      <xdr:spPr bwMode="auto">
        <a:xfrm>
          <a:off x="3803650" y="716343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191</xdr:row>
      <xdr:rowOff>0</xdr:rowOff>
    </xdr:from>
    <xdr:ext cx="304800" cy="304094"/>
    <xdr:sp macro="" textlink="">
      <xdr:nvSpPr>
        <xdr:cNvPr id="568" name="AutoShape 12">
          <a:extLst>
            <a:ext uri="{FF2B5EF4-FFF2-40B4-BE49-F238E27FC236}">
              <a16:creationId xmlns:a16="http://schemas.microsoft.com/office/drawing/2014/main" id="{9A852266-CDA4-4126-B603-4D574EFD1891}"/>
            </a:ext>
          </a:extLst>
        </xdr:cNvPr>
        <xdr:cNvSpPr>
          <a:spLocks noChangeAspect="1" noChangeArrowheads="1"/>
        </xdr:cNvSpPr>
      </xdr:nvSpPr>
      <xdr:spPr bwMode="auto">
        <a:xfrm>
          <a:off x="3803650" y="734758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192</xdr:row>
      <xdr:rowOff>0</xdr:rowOff>
    </xdr:from>
    <xdr:ext cx="304800" cy="304094"/>
    <xdr:sp macro="" textlink="">
      <xdr:nvSpPr>
        <xdr:cNvPr id="569" name="AutoShape 12">
          <a:extLst>
            <a:ext uri="{FF2B5EF4-FFF2-40B4-BE49-F238E27FC236}">
              <a16:creationId xmlns:a16="http://schemas.microsoft.com/office/drawing/2014/main" id="{4AEE715E-3DFF-40F2-A6C4-E6B4AF469F88}"/>
            </a:ext>
          </a:extLst>
        </xdr:cNvPr>
        <xdr:cNvSpPr>
          <a:spLocks noChangeAspect="1" noChangeArrowheads="1"/>
        </xdr:cNvSpPr>
      </xdr:nvSpPr>
      <xdr:spPr bwMode="auto">
        <a:xfrm>
          <a:off x="3803650" y="736600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570" name="AutoShape 12">
          <a:extLst>
            <a:ext uri="{FF2B5EF4-FFF2-40B4-BE49-F238E27FC236}">
              <a16:creationId xmlns:a16="http://schemas.microsoft.com/office/drawing/2014/main" id="{4BD4B382-9793-432E-9AD4-7BE0AB865981}"/>
            </a:ext>
          </a:extLst>
        </xdr:cNvPr>
        <xdr:cNvSpPr>
          <a:spLocks noChangeAspect="1" noChangeArrowheads="1"/>
        </xdr:cNvSpPr>
      </xdr:nvSpPr>
      <xdr:spPr bwMode="auto">
        <a:xfrm>
          <a:off x="3803650" y="716343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571" name="AutoShape 12">
          <a:extLst>
            <a:ext uri="{FF2B5EF4-FFF2-40B4-BE49-F238E27FC236}">
              <a16:creationId xmlns:a16="http://schemas.microsoft.com/office/drawing/2014/main" id="{F36087D9-3612-4BAE-BB1B-3C35BFF0290F}"/>
            </a:ext>
          </a:extLst>
        </xdr:cNvPr>
        <xdr:cNvSpPr>
          <a:spLocks noChangeAspect="1" noChangeArrowheads="1"/>
        </xdr:cNvSpPr>
      </xdr:nvSpPr>
      <xdr:spPr bwMode="auto">
        <a:xfrm>
          <a:off x="3803650" y="718185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192</xdr:row>
      <xdr:rowOff>0</xdr:rowOff>
    </xdr:from>
    <xdr:ext cx="304800" cy="304094"/>
    <xdr:sp macro="" textlink="">
      <xdr:nvSpPr>
        <xdr:cNvPr id="572" name="AutoShape 12">
          <a:extLst>
            <a:ext uri="{FF2B5EF4-FFF2-40B4-BE49-F238E27FC236}">
              <a16:creationId xmlns:a16="http://schemas.microsoft.com/office/drawing/2014/main" id="{4011380F-7C69-4B6A-A0D4-10B717F47511}"/>
            </a:ext>
          </a:extLst>
        </xdr:cNvPr>
        <xdr:cNvSpPr>
          <a:spLocks noChangeAspect="1" noChangeArrowheads="1"/>
        </xdr:cNvSpPr>
      </xdr:nvSpPr>
      <xdr:spPr bwMode="auto">
        <a:xfrm>
          <a:off x="3803650" y="736600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193</xdr:row>
      <xdr:rowOff>0</xdr:rowOff>
    </xdr:from>
    <xdr:ext cx="304800" cy="304094"/>
    <xdr:sp macro="" textlink="">
      <xdr:nvSpPr>
        <xdr:cNvPr id="573" name="AutoShape 12">
          <a:extLst>
            <a:ext uri="{FF2B5EF4-FFF2-40B4-BE49-F238E27FC236}">
              <a16:creationId xmlns:a16="http://schemas.microsoft.com/office/drawing/2014/main" id="{CC03B833-75A7-4239-9B91-F1DE74466885}"/>
            </a:ext>
          </a:extLst>
        </xdr:cNvPr>
        <xdr:cNvSpPr>
          <a:spLocks noChangeAspect="1" noChangeArrowheads="1"/>
        </xdr:cNvSpPr>
      </xdr:nvSpPr>
      <xdr:spPr bwMode="auto">
        <a:xfrm>
          <a:off x="3803650" y="7384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154</xdr:row>
      <xdr:rowOff>0</xdr:rowOff>
    </xdr:from>
    <xdr:ext cx="304800" cy="304094"/>
    <xdr:sp macro="" textlink="">
      <xdr:nvSpPr>
        <xdr:cNvPr id="574" name="AutoShape 12">
          <a:extLst>
            <a:ext uri="{FF2B5EF4-FFF2-40B4-BE49-F238E27FC236}">
              <a16:creationId xmlns:a16="http://schemas.microsoft.com/office/drawing/2014/main" id="{F0479CE2-2B01-4B23-81B0-4F3ADBE5623B}"/>
            </a:ext>
          </a:extLst>
        </xdr:cNvPr>
        <xdr:cNvSpPr>
          <a:spLocks noChangeAspect="1" noChangeArrowheads="1"/>
        </xdr:cNvSpPr>
      </xdr:nvSpPr>
      <xdr:spPr bwMode="auto">
        <a:xfrm>
          <a:off x="3803650" y="666623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155</xdr:row>
      <xdr:rowOff>0</xdr:rowOff>
    </xdr:from>
    <xdr:ext cx="304800" cy="304094"/>
    <xdr:sp macro="" textlink="">
      <xdr:nvSpPr>
        <xdr:cNvPr id="575" name="AutoShape 12">
          <a:extLst>
            <a:ext uri="{FF2B5EF4-FFF2-40B4-BE49-F238E27FC236}">
              <a16:creationId xmlns:a16="http://schemas.microsoft.com/office/drawing/2014/main" id="{DDB5CFFE-C432-4812-B15E-CAA1C2E2B4E7}"/>
            </a:ext>
          </a:extLst>
        </xdr:cNvPr>
        <xdr:cNvSpPr>
          <a:spLocks noChangeAspect="1" noChangeArrowheads="1"/>
        </xdr:cNvSpPr>
      </xdr:nvSpPr>
      <xdr:spPr bwMode="auto">
        <a:xfrm>
          <a:off x="3803650" y="668464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165</xdr:row>
      <xdr:rowOff>0</xdr:rowOff>
    </xdr:from>
    <xdr:ext cx="304800" cy="304094"/>
    <xdr:sp macro="" textlink="">
      <xdr:nvSpPr>
        <xdr:cNvPr id="576" name="AutoShape 12">
          <a:extLst>
            <a:ext uri="{FF2B5EF4-FFF2-40B4-BE49-F238E27FC236}">
              <a16:creationId xmlns:a16="http://schemas.microsoft.com/office/drawing/2014/main" id="{44AC6D11-E466-4B45-AC43-2AFF7B405AC6}"/>
            </a:ext>
          </a:extLst>
        </xdr:cNvPr>
        <xdr:cNvSpPr>
          <a:spLocks noChangeAspect="1" noChangeArrowheads="1"/>
        </xdr:cNvSpPr>
      </xdr:nvSpPr>
      <xdr:spPr bwMode="auto">
        <a:xfrm>
          <a:off x="3803650" y="686879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166</xdr:row>
      <xdr:rowOff>0</xdr:rowOff>
    </xdr:from>
    <xdr:ext cx="304800" cy="304094"/>
    <xdr:sp macro="" textlink="">
      <xdr:nvSpPr>
        <xdr:cNvPr id="577" name="AutoShape 12">
          <a:extLst>
            <a:ext uri="{FF2B5EF4-FFF2-40B4-BE49-F238E27FC236}">
              <a16:creationId xmlns:a16="http://schemas.microsoft.com/office/drawing/2014/main" id="{94865143-3E68-4787-BE3B-D954CDB49412}"/>
            </a:ext>
          </a:extLst>
        </xdr:cNvPr>
        <xdr:cNvSpPr>
          <a:spLocks noChangeAspect="1" noChangeArrowheads="1"/>
        </xdr:cNvSpPr>
      </xdr:nvSpPr>
      <xdr:spPr bwMode="auto">
        <a:xfrm>
          <a:off x="3803650" y="688721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155</xdr:row>
      <xdr:rowOff>0</xdr:rowOff>
    </xdr:from>
    <xdr:ext cx="304800" cy="304094"/>
    <xdr:sp macro="" textlink="">
      <xdr:nvSpPr>
        <xdr:cNvPr id="578" name="AutoShape 12">
          <a:extLst>
            <a:ext uri="{FF2B5EF4-FFF2-40B4-BE49-F238E27FC236}">
              <a16:creationId xmlns:a16="http://schemas.microsoft.com/office/drawing/2014/main" id="{A75F1B64-FBEC-4088-ABBF-98399A429A33}"/>
            </a:ext>
          </a:extLst>
        </xdr:cNvPr>
        <xdr:cNvSpPr>
          <a:spLocks noChangeAspect="1" noChangeArrowheads="1"/>
        </xdr:cNvSpPr>
      </xdr:nvSpPr>
      <xdr:spPr bwMode="auto">
        <a:xfrm>
          <a:off x="3803650" y="668464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156</xdr:row>
      <xdr:rowOff>0</xdr:rowOff>
    </xdr:from>
    <xdr:ext cx="304800" cy="304094"/>
    <xdr:sp macro="" textlink="">
      <xdr:nvSpPr>
        <xdr:cNvPr id="579" name="AutoShape 12">
          <a:extLst>
            <a:ext uri="{FF2B5EF4-FFF2-40B4-BE49-F238E27FC236}">
              <a16:creationId xmlns:a16="http://schemas.microsoft.com/office/drawing/2014/main" id="{BEFA2C71-75A0-4F11-AA7F-DE47FEA21BE2}"/>
            </a:ext>
          </a:extLst>
        </xdr:cNvPr>
        <xdr:cNvSpPr>
          <a:spLocks noChangeAspect="1" noChangeArrowheads="1"/>
        </xdr:cNvSpPr>
      </xdr:nvSpPr>
      <xdr:spPr bwMode="auto">
        <a:xfrm>
          <a:off x="3803650" y="670306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166</xdr:row>
      <xdr:rowOff>0</xdr:rowOff>
    </xdr:from>
    <xdr:ext cx="304800" cy="304094"/>
    <xdr:sp macro="" textlink="">
      <xdr:nvSpPr>
        <xdr:cNvPr id="580" name="AutoShape 12">
          <a:extLst>
            <a:ext uri="{FF2B5EF4-FFF2-40B4-BE49-F238E27FC236}">
              <a16:creationId xmlns:a16="http://schemas.microsoft.com/office/drawing/2014/main" id="{9920B58D-C0E2-4BA2-A2D7-D523D0AD4276}"/>
            </a:ext>
          </a:extLst>
        </xdr:cNvPr>
        <xdr:cNvSpPr>
          <a:spLocks noChangeAspect="1" noChangeArrowheads="1"/>
        </xdr:cNvSpPr>
      </xdr:nvSpPr>
      <xdr:spPr bwMode="auto">
        <a:xfrm>
          <a:off x="3803650" y="688721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167</xdr:row>
      <xdr:rowOff>0</xdr:rowOff>
    </xdr:from>
    <xdr:ext cx="304800" cy="304094"/>
    <xdr:sp macro="" textlink="">
      <xdr:nvSpPr>
        <xdr:cNvPr id="581" name="AutoShape 12">
          <a:extLst>
            <a:ext uri="{FF2B5EF4-FFF2-40B4-BE49-F238E27FC236}">
              <a16:creationId xmlns:a16="http://schemas.microsoft.com/office/drawing/2014/main" id="{5B3FE05D-2312-4E03-9ED8-77354EF2ED84}"/>
            </a:ext>
          </a:extLst>
        </xdr:cNvPr>
        <xdr:cNvSpPr>
          <a:spLocks noChangeAspect="1" noChangeArrowheads="1"/>
        </xdr:cNvSpPr>
      </xdr:nvSpPr>
      <xdr:spPr bwMode="auto">
        <a:xfrm>
          <a:off x="3803650" y="690562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155</xdr:row>
      <xdr:rowOff>0</xdr:rowOff>
    </xdr:from>
    <xdr:ext cx="304800" cy="304094"/>
    <xdr:sp macro="" textlink="">
      <xdr:nvSpPr>
        <xdr:cNvPr id="582" name="AutoShape 12">
          <a:extLst>
            <a:ext uri="{FF2B5EF4-FFF2-40B4-BE49-F238E27FC236}">
              <a16:creationId xmlns:a16="http://schemas.microsoft.com/office/drawing/2014/main" id="{1C2E6808-9DBD-477F-A6F8-2BC1E18BA745}"/>
            </a:ext>
          </a:extLst>
        </xdr:cNvPr>
        <xdr:cNvSpPr>
          <a:spLocks noChangeAspect="1" noChangeArrowheads="1"/>
        </xdr:cNvSpPr>
      </xdr:nvSpPr>
      <xdr:spPr bwMode="auto">
        <a:xfrm>
          <a:off x="3803650" y="668464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156</xdr:row>
      <xdr:rowOff>0</xdr:rowOff>
    </xdr:from>
    <xdr:ext cx="304800" cy="304094"/>
    <xdr:sp macro="" textlink="">
      <xdr:nvSpPr>
        <xdr:cNvPr id="583" name="AutoShape 12">
          <a:extLst>
            <a:ext uri="{FF2B5EF4-FFF2-40B4-BE49-F238E27FC236}">
              <a16:creationId xmlns:a16="http://schemas.microsoft.com/office/drawing/2014/main" id="{FD9D28B3-05E5-46E7-AD07-8E939EDE7570}"/>
            </a:ext>
          </a:extLst>
        </xdr:cNvPr>
        <xdr:cNvSpPr>
          <a:spLocks noChangeAspect="1" noChangeArrowheads="1"/>
        </xdr:cNvSpPr>
      </xdr:nvSpPr>
      <xdr:spPr bwMode="auto">
        <a:xfrm>
          <a:off x="3803650" y="670306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166</xdr:row>
      <xdr:rowOff>0</xdr:rowOff>
    </xdr:from>
    <xdr:ext cx="304800" cy="304094"/>
    <xdr:sp macro="" textlink="">
      <xdr:nvSpPr>
        <xdr:cNvPr id="584" name="AutoShape 12">
          <a:extLst>
            <a:ext uri="{FF2B5EF4-FFF2-40B4-BE49-F238E27FC236}">
              <a16:creationId xmlns:a16="http://schemas.microsoft.com/office/drawing/2014/main" id="{A597BC6D-F573-4BFC-84F2-B549B2CDF4EB}"/>
            </a:ext>
          </a:extLst>
        </xdr:cNvPr>
        <xdr:cNvSpPr>
          <a:spLocks noChangeAspect="1" noChangeArrowheads="1"/>
        </xdr:cNvSpPr>
      </xdr:nvSpPr>
      <xdr:spPr bwMode="auto">
        <a:xfrm>
          <a:off x="3803650" y="688721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167</xdr:row>
      <xdr:rowOff>0</xdr:rowOff>
    </xdr:from>
    <xdr:ext cx="304800" cy="304094"/>
    <xdr:sp macro="" textlink="">
      <xdr:nvSpPr>
        <xdr:cNvPr id="585" name="AutoShape 12">
          <a:extLst>
            <a:ext uri="{FF2B5EF4-FFF2-40B4-BE49-F238E27FC236}">
              <a16:creationId xmlns:a16="http://schemas.microsoft.com/office/drawing/2014/main" id="{B9968EC4-14AE-4834-ADD4-A36D793A215E}"/>
            </a:ext>
          </a:extLst>
        </xdr:cNvPr>
        <xdr:cNvSpPr>
          <a:spLocks noChangeAspect="1" noChangeArrowheads="1"/>
        </xdr:cNvSpPr>
      </xdr:nvSpPr>
      <xdr:spPr bwMode="auto">
        <a:xfrm>
          <a:off x="3803650" y="690562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156</xdr:row>
      <xdr:rowOff>0</xdr:rowOff>
    </xdr:from>
    <xdr:ext cx="304800" cy="304094"/>
    <xdr:sp macro="" textlink="">
      <xdr:nvSpPr>
        <xdr:cNvPr id="586" name="AutoShape 12">
          <a:extLst>
            <a:ext uri="{FF2B5EF4-FFF2-40B4-BE49-F238E27FC236}">
              <a16:creationId xmlns:a16="http://schemas.microsoft.com/office/drawing/2014/main" id="{B6DEA8BF-D873-4DFB-84B8-872DF05D85D6}"/>
            </a:ext>
          </a:extLst>
        </xdr:cNvPr>
        <xdr:cNvSpPr>
          <a:spLocks noChangeAspect="1" noChangeArrowheads="1"/>
        </xdr:cNvSpPr>
      </xdr:nvSpPr>
      <xdr:spPr bwMode="auto">
        <a:xfrm>
          <a:off x="3803650" y="670306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157</xdr:row>
      <xdr:rowOff>0</xdr:rowOff>
    </xdr:from>
    <xdr:ext cx="304800" cy="304094"/>
    <xdr:sp macro="" textlink="">
      <xdr:nvSpPr>
        <xdr:cNvPr id="587" name="AutoShape 12">
          <a:extLst>
            <a:ext uri="{FF2B5EF4-FFF2-40B4-BE49-F238E27FC236}">
              <a16:creationId xmlns:a16="http://schemas.microsoft.com/office/drawing/2014/main" id="{E8863E31-EECE-49E2-97D5-D7E624A205BC}"/>
            </a:ext>
          </a:extLst>
        </xdr:cNvPr>
        <xdr:cNvSpPr>
          <a:spLocks noChangeAspect="1" noChangeArrowheads="1"/>
        </xdr:cNvSpPr>
      </xdr:nvSpPr>
      <xdr:spPr bwMode="auto">
        <a:xfrm>
          <a:off x="3803650" y="67214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167</xdr:row>
      <xdr:rowOff>0</xdr:rowOff>
    </xdr:from>
    <xdr:ext cx="304800" cy="304094"/>
    <xdr:sp macro="" textlink="">
      <xdr:nvSpPr>
        <xdr:cNvPr id="588" name="AutoShape 12">
          <a:extLst>
            <a:ext uri="{FF2B5EF4-FFF2-40B4-BE49-F238E27FC236}">
              <a16:creationId xmlns:a16="http://schemas.microsoft.com/office/drawing/2014/main" id="{02FF4791-8DC0-4DE2-9274-8600D553BCA8}"/>
            </a:ext>
          </a:extLst>
        </xdr:cNvPr>
        <xdr:cNvSpPr>
          <a:spLocks noChangeAspect="1" noChangeArrowheads="1"/>
        </xdr:cNvSpPr>
      </xdr:nvSpPr>
      <xdr:spPr bwMode="auto">
        <a:xfrm>
          <a:off x="3803650" y="690562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168</xdr:row>
      <xdr:rowOff>0</xdr:rowOff>
    </xdr:from>
    <xdr:ext cx="304800" cy="304094"/>
    <xdr:sp macro="" textlink="">
      <xdr:nvSpPr>
        <xdr:cNvPr id="589" name="AutoShape 12">
          <a:extLst>
            <a:ext uri="{FF2B5EF4-FFF2-40B4-BE49-F238E27FC236}">
              <a16:creationId xmlns:a16="http://schemas.microsoft.com/office/drawing/2014/main" id="{BA60EC84-B258-44F2-8DFF-7A17F2A74B85}"/>
            </a:ext>
          </a:extLst>
        </xdr:cNvPr>
        <xdr:cNvSpPr>
          <a:spLocks noChangeAspect="1" noChangeArrowheads="1"/>
        </xdr:cNvSpPr>
      </xdr:nvSpPr>
      <xdr:spPr bwMode="auto">
        <a:xfrm>
          <a:off x="3803650" y="692404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159</xdr:row>
      <xdr:rowOff>0</xdr:rowOff>
    </xdr:from>
    <xdr:ext cx="304800" cy="304094"/>
    <xdr:sp macro="" textlink="">
      <xdr:nvSpPr>
        <xdr:cNvPr id="590" name="AutoShape 12">
          <a:extLst>
            <a:ext uri="{FF2B5EF4-FFF2-40B4-BE49-F238E27FC236}">
              <a16:creationId xmlns:a16="http://schemas.microsoft.com/office/drawing/2014/main" id="{250BDD55-5106-41EC-A355-B6FC383FF96A}"/>
            </a:ext>
          </a:extLst>
        </xdr:cNvPr>
        <xdr:cNvSpPr>
          <a:spLocks noChangeAspect="1" noChangeArrowheads="1"/>
        </xdr:cNvSpPr>
      </xdr:nvSpPr>
      <xdr:spPr bwMode="auto">
        <a:xfrm>
          <a:off x="3803650" y="675830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160</xdr:row>
      <xdr:rowOff>0</xdr:rowOff>
    </xdr:from>
    <xdr:ext cx="304800" cy="304094"/>
    <xdr:sp macro="" textlink="">
      <xdr:nvSpPr>
        <xdr:cNvPr id="591" name="AutoShape 12">
          <a:extLst>
            <a:ext uri="{FF2B5EF4-FFF2-40B4-BE49-F238E27FC236}">
              <a16:creationId xmlns:a16="http://schemas.microsoft.com/office/drawing/2014/main" id="{F64FE52F-58C6-4E3B-B3CA-FACFBB9515A5}"/>
            </a:ext>
          </a:extLst>
        </xdr:cNvPr>
        <xdr:cNvSpPr>
          <a:spLocks noChangeAspect="1" noChangeArrowheads="1"/>
        </xdr:cNvSpPr>
      </xdr:nvSpPr>
      <xdr:spPr bwMode="auto">
        <a:xfrm>
          <a:off x="3803650" y="677672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170</xdr:row>
      <xdr:rowOff>0</xdr:rowOff>
    </xdr:from>
    <xdr:ext cx="304800" cy="304094"/>
    <xdr:sp macro="" textlink="">
      <xdr:nvSpPr>
        <xdr:cNvPr id="592" name="AutoShape 12">
          <a:extLst>
            <a:ext uri="{FF2B5EF4-FFF2-40B4-BE49-F238E27FC236}">
              <a16:creationId xmlns:a16="http://schemas.microsoft.com/office/drawing/2014/main" id="{59003D42-10F0-4D74-A4BD-33564BDDE395}"/>
            </a:ext>
          </a:extLst>
        </xdr:cNvPr>
        <xdr:cNvSpPr>
          <a:spLocks noChangeAspect="1" noChangeArrowheads="1"/>
        </xdr:cNvSpPr>
      </xdr:nvSpPr>
      <xdr:spPr bwMode="auto">
        <a:xfrm>
          <a:off x="3803650" y="696087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171</xdr:row>
      <xdr:rowOff>0</xdr:rowOff>
    </xdr:from>
    <xdr:ext cx="304800" cy="304094"/>
    <xdr:sp macro="" textlink="">
      <xdr:nvSpPr>
        <xdr:cNvPr id="593" name="AutoShape 12">
          <a:extLst>
            <a:ext uri="{FF2B5EF4-FFF2-40B4-BE49-F238E27FC236}">
              <a16:creationId xmlns:a16="http://schemas.microsoft.com/office/drawing/2014/main" id="{F854F499-9848-4B45-B961-20F8A0DF429E}"/>
            </a:ext>
          </a:extLst>
        </xdr:cNvPr>
        <xdr:cNvSpPr>
          <a:spLocks noChangeAspect="1" noChangeArrowheads="1"/>
        </xdr:cNvSpPr>
      </xdr:nvSpPr>
      <xdr:spPr bwMode="auto">
        <a:xfrm>
          <a:off x="3803650" y="697928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160</xdr:row>
      <xdr:rowOff>0</xdr:rowOff>
    </xdr:from>
    <xdr:ext cx="304800" cy="304094"/>
    <xdr:sp macro="" textlink="">
      <xdr:nvSpPr>
        <xdr:cNvPr id="594" name="AutoShape 12">
          <a:extLst>
            <a:ext uri="{FF2B5EF4-FFF2-40B4-BE49-F238E27FC236}">
              <a16:creationId xmlns:a16="http://schemas.microsoft.com/office/drawing/2014/main" id="{4B29E97D-D45B-4960-9175-FBCB428F4750}"/>
            </a:ext>
          </a:extLst>
        </xdr:cNvPr>
        <xdr:cNvSpPr>
          <a:spLocks noChangeAspect="1" noChangeArrowheads="1"/>
        </xdr:cNvSpPr>
      </xdr:nvSpPr>
      <xdr:spPr bwMode="auto">
        <a:xfrm>
          <a:off x="3803650" y="677672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161</xdr:row>
      <xdr:rowOff>0</xdr:rowOff>
    </xdr:from>
    <xdr:ext cx="304800" cy="304094"/>
    <xdr:sp macro="" textlink="">
      <xdr:nvSpPr>
        <xdr:cNvPr id="595" name="AutoShape 12">
          <a:extLst>
            <a:ext uri="{FF2B5EF4-FFF2-40B4-BE49-F238E27FC236}">
              <a16:creationId xmlns:a16="http://schemas.microsoft.com/office/drawing/2014/main" id="{917F97C6-B848-4DDF-B440-5EA33285143F}"/>
            </a:ext>
          </a:extLst>
        </xdr:cNvPr>
        <xdr:cNvSpPr>
          <a:spLocks noChangeAspect="1" noChangeArrowheads="1"/>
        </xdr:cNvSpPr>
      </xdr:nvSpPr>
      <xdr:spPr bwMode="auto">
        <a:xfrm>
          <a:off x="3803650" y="679513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171</xdr:row>
      <xdr:rowOff>0</xdr:rowOff>
    </xdr:from>
    <xdr:ext cx="304800" cy="304094"/>
    <xdr:sp macro="" textlink="">
      <xdr:nvSpPr>
        <xdr:cNvPr id="596" name="AutoShape 12">
          <a:extLst>
            <a:ext uri="{FF2B5EF4-FFF2-40B4-BE49-F238E27FC236}">
              <a16:creationId xmlns:a16="http://schemas.microsoft.com/office/drawing/2014/main" id="{EAB2FC9A-F695-4BB5-AF6A-2FD20A7AD84F}"/>
            </a:ext>
          </a:extLst>
        </xdr:cNvPr>
        <xdr:cNvSpPr>
          <a:spLocks noChangeAspect="1" noChangeArrowheads="1"/>
        </xdr:cNvSpPr>
      </xdr:nvSpPr>
      <xdr:spPr bwMode="auto">
        <a:xfrm>
          <a:off x="3803650" y="697928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172</xdr:row>
      <xdr:rowOff>0</xdr:rowOff>
    </xdr:from>
    <xdr:ext cx="304800" cy="304094"/>
    <xdr:sp macro="" textlink="">
      <xdr:nvSpPr>
        <xdr:cNvPr id="597" name="AutoShape 12">
          <a:extLst>
            <a:ext uri="{FF2B5EF4-FFF2-40B4-BE49-F238E27FC236}">
              <a16:creationId xmlns:a16="http://schemas.microsoft.com/office/drawing/2014/main" id="{E11BCB63-CE7D-48AB-B4F9-83B40C99D1F6}"/>
            </a:ext>
          </a:extLst>
        </xdr:cNvPr>
        <xdr:cNvSpPr>
          <a:spLocks noChangeAspect="1" noChangeArrowheads="1"/>
        </xdr:cNvSpPr>
      </xdr:nvSpPr>
      <xdr:spPr bwMode="auto">
        <a:xfrm>
          <a:off x="3803650" y="699770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160</xdr:row>
      <xdr:rowOff>0</xdr:rowOff>
    </xdr:from>
    <xdr:ext cx="304800" cy="304094"/>
    <xdr:sp macro="" textlink="">
      <xdr:nvSpPr>
        <xdr:cNvPr id="598" name="AutoShape 12">
          <a:extLst>
            <a:ext uri="{FF2B5EF4-FFF2-40B4-BE49-F238E27FC236}">
              <a16:creationId xmlns:a16="http://schemas.microsoft.com/office/drawing/2014/main" id="{BB908E0A-ACA7-4A4F-B3B3-5738BBF1B567}"/>
            </a:ext>
          </a:extLst>
        </xdr:cNvPr>
        <xdr:cNvSpPr>
          <a:spLocks noChangeAspect="1" noChangeArrowheads="1"/>
        </xdr:cNvSpPr>
      </xdr:nvSpPr>
      <xdr:spPr bwMode="auto">
        <a:xfrm>
          <a:off x="3803650" y="677672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161</xdr:row>
      <xdr:rowOff>0</xdr:rowOff>
    </xdr:from>
    <xdr:ext cx="304800" cy="304094"/>
    <xdr:sp macro="" textlink="">
      <xdr:nvSpPr>
        <xdr:cNvPr id="599" name="AutoShape 12">
          <a:extLst>
            <a:ext uri="{FF2B5EF4-FFF2-40B4-BE49-F238E27FC236}">
              <a16:creationId xmlns:a16="http://schemas.microsoft.com/office/drawing/2014/main" id="{A0C2FCEE-AE7B-4415-9F48-8BDD5A595382}"/>
            </a:ext>
          </a:extLst>
        </xdr:cNvPr>
        <xdr:cNvSpPr>
          <a:spLocks noChangeAspect="1" noChangeArrowheads="1"/>
        </xdr:cNvSpPr>
      </xdr:nvSpPr>
      <xdr:spPr bwMode="auto">
        <a:xfrm>
          <a:off x="3803650" y="679513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171</xdr:row>
      <xdr:rowOff>0</xdr:rowOff>
    </xdr:from>
    <xdr:ext cx="304800" cy="304094"/>
    <xdr:sp macro="" textlink="">
      <xdr:nvSpPr>
        <xdr:cNvPr id="600" name="AutoShape 12">
          <a:extLst>
            <a:ext uri="{FF2B5EF4-FFF2-40B4-BE49-F238E27FC236}">
              <a16:creationId xmlns:a16="http://schemas.microsoft.com/office/drawing/2014/main" id="{E4ABBA5A-EE0A-42BB-999B-4DDB7615548D}"/>
            </a:ext>
          </a:extLst>
        </xdr:cNvPr>
        <xdr:cNvSpPr>
          <a:spLocks noChangeAspect="1" noChangeArrowheads="1"/>
        </xdr:cNvSpPr>
      </xdr:nvSpPr>
      <xdr:spPr bwMode="auto">
        <a:xfrm>
          <a:off x="3803650" y="697928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172</xdr:row>
      <xdr:rowOff>0</xdr:rowOff>
    </xdr:from>
    <xdr:ext cx="304800" cy="304094"/>
    <xdr:sp macro="" textlink="">
      <xdr:nvSpPr>
        <xdr:cNvPr id="601" name="AutoShape 12">
          <a:extLst>
            <a:ext uri="{FF2B5EF4-FFF2-40B4-BE49-F238E27FC236}">
              <a16:creationId xmlns:a16="http://schemas.microsoft.com/office/drawing/2014/main" id="{3BC59F6B-5C5D-42C1-AAD9-D013F7F92DD4}"/>
            </a:ext>
          </a:extLst>
        </xdr:cNvPr>
        <xdr:cNvSpPr>
          <a:spLocks noChangeAspect="1" noChangeArrowheads="1"/>
        </xdr:cNvSpPr>
      </xdr:nvSpPr>
      <xdr:spPr bwMode="auto">
        <a:xfrm>
          <a:off x="3803650" y="699770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161</xdr:row>
      <xdr:rowOff>0</xdr:rowOff>
    </xdr:from>
    <xdr:ext cx="304800" cy="304094"/>
    <xdr:sp macro="" textlink="">
      <xdr:nvSpPr>
        <xdr:cNvPr id="602" name="AutoShape 12">
          <a:extLst>
            <a:ext uri="{FF2B5EF4-FFF2-40B4-BE49-F238E27FC236}">
              <a16:creationId xmlns:a16="http://schemas.microsoft.com/office/drawing/2014/main" id="{A9E15AED-32E3-4484-A135-2A735EF5B257}"/>
            </a:ext>
          </a:extLst>
        </xdr:cNvPr>
        <xdr:cNvSpPr>
          <a:spLocks noChangeAspect="1" noChangeArrowheads="1"/>
        </xdr:cNvSpPr>
      </xdr:nvSpPr>
      <xdr:spPr bwMode="auto">
        <a:xfrm>
          <a:off x="3803650" y="679513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162</xdr:row>
      <xdr:rowOff>0</xdr:rowOff>
    </xdr:from>
    <xdr:ext cx="304800" cy="304094"/>
    <xdr:sp macro="" textlink="">
      <xdr:nvSpPr>
        <xdr:cNvPr id="603" name="AutoShape 12">
          <a:extLst>
            <a:ext uri="{FF2B5EF4-FFF2-40B4-BE49-F238E27FC236}">
              <a16:creationId xmlns:a16="http://schemas.microsoft.com/office/drawing/2014/main" id="{4C6234D1-5D70-4083-9279-946AC80AED53}"/>
            </a:ext>
          </a:extLst>
        </xdr:cNvPr>
        <xdr:cNvSpPr>
          <a:spLocks noChangeAspect="1" noChangeArrowheads="1"/>
        </xdr:cNvSpPr>
      </xdr:nvSpPr>
      <xdr:spPr bwMode="auto">
        <a:xfrm>
          <a:off x="3803650" y="681355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172</xdr:row>
      <xdr:rowOff>0</xdr:rowOff>
    </xdr:from>
    <xdr:ext cx="304800" cy="304094"/>
    <xdr:sp macro="" textlink="">
      <xdr:nvSpPr>
        <xdr:cNvPr id="604" name="AutoShape 12">
          <a:extLst>
            <a:ext uri="{FF2B5EF4-FFF2-40B4-BE49-F238E27FC236}">
              <a16:creationId xmlns:a16="http://schemas.microsoft.com/office/drawing/2014/main" id="{094E6531-175B-497C-B53F-824664D2E7B9}"/>
            </a:ext>
          </a:extLst>
        </xdr:cNvPr>
        <xdr:cNvSpPr>
          <a:spLocks noChangeAspect="1" noChangeArrowheads="1"/>
        </xdr:cNvSpPr>
      </xdr:nvSpPr>
      <xdr:spPr bwMode="auto">
        <a:xfrm>
          <a:off x="3803650" y="699770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173</xdr:row>
      <xdr:rowOff>0</xdr:rowOff>
    </xdr:from>
    <xdr:ext cx="304800" cy="304094"/>
    <xdr:sp macro="" textlink="">
      <xdr:nvSpPr>
        <xdr:cNvPr id="605" name="AutoShape 12">
          <a:extLst>
            <a:ext uri="{FF2B5EF4-FFF2-40B4-BE49-F238E27FC236}">
              <a16:creationId xmlns:a16="http://schemas.microsoft.com/office/drawing/2014/main" id="{D5A62CEA-2EEF-4A5B-93EE-B17DE0059D65}"/>
            </a:ext>
          </a:extLst>
        </xdr:cNvPr>
        <xdr:cNvSpPr>
          <a:spLocks noChangeAspect="1" noChangeArrowheads="1"/>
        </xdr:cNvSpPr>
      </xdr:nvSpPr>
      <xdr:spPr bwMode="auto">
        <a:xfrm>
          <a:off x="3803650" y="70161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203</xdr:row>
      <xdr:rowOff>0</xdr:rowOff>
    </xdr:from>
    <xdr:ext cx="304800" cy="304094"/>
    <xdr:sp macro="" textlink="">
      <xdr:nvSpPr>
        <xdr:cNvPr id="606" name="AutoShape 12">
          <a:extLst>
            <a:ext uri="{FF2B5EF4-FFF2-40B4-BE49-F238E27FC236}">
              <a16:creationId xmlns:a16="http://schemas.microsoft.com/office/drawing/2014/main" id="{76DE687F-E2DF-4B5A-AB22-861E92E74AFD}"/>
            </a:ext>
          </a:extLst>
        </xdr:cNvPr>
        <xdr:cNvSpPr>
          <a:spLocks noChangeAspect="1" noChangeArrowheads="1"/>
        </xdr:cNvSpPr>
      </xdr:nvSpPr>
      <xdr:spPr bwMode="auto">
        <a:xfrm>
          <a:off x="3803650" y="756856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204</xdr:row>
      <xdr:rowOff>0</xdr:rowOff>
    </xdr:from>
    <xdr:ext cx="304800" cy="304094"/>
    <xdr:sp macro="" textlink="">
      <xdr:nvSpPr>
        <xdr:cNvPr id="607" name="AutoShape 12">
          <a:extLst>
            <a:ext uri="{FF2B5EF4-FFF2-40B4-BE49-F238E27FC236}">
              <a16:creationId xmlns:a16="http://schemas.microsoft.com/office/drawing/2014/main" id="{8BD12D6C-EB4D-41E2-94C2-64CDA595093E}"/>
            </a:ext>
          </a:extLst>
        </xdr:cNvPr>
        <xdr:cNvSpPr>
          <a:spLocks noChangeAspect="1" noChangeArrowheads="1"/>
        </xdr:cNvSpPr>
      </xdr:nvSpPr>
      <xdr:spPr bwMode="auto">
        <a:xfrm>
          <a:off x="3803650" y="758698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214</xdr:row>
      <xdr:rowOff>0</xdr:rowOff>
    </xdr:from>
    <xdr:ext cx="304800" cy="304094"/>
    <xdr:sp macro="" textlink="">
      <xdr:nvSpPr>
        <xdr:cNvPr id="608" name="AutoShape 12">
          <a:extLst>
            <a:ext uri="{FF2B5EF4-FFF2-40B4-BE49-F238E27FC236}">
              <a16:creationId xmlns:a16="http://schemas.microsoft.com/office/drawing/2014/main" id="{9E2B2661-28EE-4E90-9485-866853CE9DFB}"/>
            </a:ext>
          </a:extLst>
        </xdr:cNvPr>
        <xdr:cNvSpPr>
          <a:spLocks noChangeAspect="1" noChangeArrowheads="1"/>
        </xdr:cNvSpPr>
      </xdr:nvSpPr>
      <xdr:spPr bwMode="auto">
        <a:xfrm>
          <a:off x="3803650" y="777113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215</xdr:row>
      <xdr:rowOff>0</xdr:rowOff>
    </xdr:from>
    <xdr:ext cx="304800" cy="304094"/>
    <xdr:sp macro="" textlink="">
      <xdr:nvSpPr>
        <xdr:cNvPr id="609" name="AutoShape 12">
          <a:extLst>
            <a:ext uri="{FF2B5EF4-FFF2-40B4-BE49-F238E27FC236}">
              <a16:creationId xmlns:a16="http://schemas.microsoft.com/office/drawing/2014/main" id="{673A094A-A7AF-467F-A5BA-0B52C865907B}"/>
            </a:ext>
          </a:extLst>
        </xdr:cNvPr>
        <xdr:cNvSpPr>
          <a:spLocks noChangeAspect="1" noChangeArrowheads="1"/>
        </xdr:cNvSpPr>
      </xdr:nvSpPr>
      <xdr:spPr bwMode="auto">
        <a:xfrm>
          <a:off x="3803650" y="778954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204</xdr:row>
      <xdr:rowOff>0</xdr:rowOff>
    </xdr:from>
    <xdr:ext cx="304800" cy="304094"/>
    <xdr:sp macro="" textlink="">
      <xdr:nvSpPr>
        <xdr:cNvPr id="610" name="AutoShape 12">
          <a:extLst>
            <a:ext uri="{FF2B5EF4-FFF2-40B4-BE49-F238E27FC236}">
              <a16:creationId xmlns:a16="http://schemas.microsoft.com/office/drawing/2014/main" id="{6212316E-8744-43A0-8C85-0CA8498148DD}"/>
            </a:ext>
          </a:extLst>
        </xdr:cNvPr>
        <xdr:cNvSpPr>
          <a:spLocks noChangeAspect="1" noChangeArrowheads="1"/>
        </xdr:cNvSpPr>
      </xdr:nvSpPr>
      <xdr:spPr bwMode="auto">
        <a:xfrm>
          <a:off x="3803650" y="758698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205</xdr:row>
      <xdr:rowOff>0</xdr:rowOff>
    </xdr:from>
    <xdr:ext cx="304800" cy="304094"/>
    <xdr:sp macro="" textlink="">
      <xdr:nvSpPr>
        <xdr:cNvPr id="611" name="AutoShape 12">
          <a:extLst>
            <a:ext uri="{FF2B5EF4-FFF2-40B4-BE49-F238E27FC236}">
              <a16:creationId xmlns:a16="http://schemas.microsoft.com/office/drawing/2014/main" id="{9C8B44E9-CDEA-4302-863C-1AFE6341A8DE}"/>
            </a:ext>
          </a:extLst>
        </xdr:cNvPr>
        <xdr:cNvSpPr>
          <a:spLocks noChangeAspect="1" noChangeArrowheads="1"/>
        </xdr:cNvSpPr>
      </xdr:nvSpPr>
      <xdr:spPr bwMode="auto">
        <a:xfrm>
          <a:off x="3803650" y="760539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215</xdr:row>
      <xdr:rowOff>0</xdr:rowOff>
    </xdr:from>
    <xdr:ext cx="304800" cy="304094"/>
    <xdr:sp macro="" textlink="">
      <xdr:nvSpPr>
        <xdr:cNvPr id="612" name="AutoShape 12">
          <a:extLst>
            <a:ext uri="{FF2B5EF4-FFF2-40B4-BE49-F238E27FC236}">
              <a16:creationId xmlns:a16="http://schemas.microsoft.com/office/drawing/2014/main" id="{A2B32A40-0F2B-4FD7-B5DD-CFA8637614D8}"/>
            </a:ext>
          </a:extLst>
        </xdr:cNvPr>
        <xdr:cNvSpPr>
          <a:spLocks noChangeAspect="1" noChangeArrowheads="1"/>
        </xdr:cNvSpPr>
      </xdr:nvSpPr>
      <xdr:spPr bwMode="auto">
        <a:xfrm>
          <a:off x="3803650" y="778954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216</xdr:row>
      <xdr:rowOff>0</xdr:rowOff>
    </xdr:from>
    <xdr:ext cx="304800" cy="304094"/>
    <xdr:sp macro="" textlink="">
      <xdr:nvSpPr>
        <xdr:cNvPr id="613" name="AutoShape 12">
          <a:extLst>
            <a:ext uri="{FF2B5EF4-FFF2-40B4-BE49-F238E27FC236}">
              <a16:creationId xmlns:a16="http://schemas.microsoft.com/office/drawing/2014/main" id="{3190CA47-65E4-4386-970F-8F18F6EA4153}"/>
            </a:ext>
          </a:extLst>
        </xdr:cNvPr>
        <xdr:cNvSpPr>
          <a:spLocks noChangeAspect="1" noChangeArrowheads="1"/>
        </xdr:cNvSpPr>
      </xdr:nvSpPr>
      <xdr:spPr bwMode="auto">
        <a:xfrm>
          <a:off x="3803650" y="780796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204</xdr:row>
      <xdr:rowOff>0</xdr:rowOff>
    </xdr:from>
    <xdr:ext cx="304800" cy="304094"/>
    <xdr:sp macro="" textlink="">
      <xdr:nvSpPr>
        <xdr:cNvPr id="614" name="AutoShape 12">
          <a:extLst>
            <a:ext uri="{FF2B5EF4-FFF2-40B4-BE49-F238E27FC236}">
              <a16:creationId xmlns:a16="http://schemas.microsoft.com/office/drawing/2014/main" id="{AC905F4B-9620-407E-A2FF-7FB49F0A2C43}"/>
            </a:ext>
          </a:extLst>
        </xdr:cNvPr>
        <xdr:cNvSpPr>
          <a:spLocks noChangeAspect="1" noChangeArrowheads="1"/>
        </xdr:cNvSpPr>
      </xdr:nvSpPr>
      <xdr:spPr bwMode="auto">
        <a:xfrm>
          <a:off x="3803650" y="758698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205</xdr:row>
      <xdr:rowOff>0</xdr:rowOff>
    </xdr:from>
    <xdr:ext cx="304800" cy="304094"/>
    <xdr:sp macro="" textlink="">
      <xdr:nvSpPr>
        <xdr:cNvPr id="615" name="AutoShape 12">
          <a:extLst>
            <a:ext uri="{FF2B5EF4-FFF2-40B4-BE49-F238E27FC236}">
              <a16:creationId xmlns:a16="http://schemas.microsoft.com/office/drawing/2014/main" id="{9652F595-0B70-4415-827F-288A06A17540}"/>
            </a:ext>
          </a:extLst>
        </xdr:cNvPr>
        <xdr:cNvSpPr>
          <a:spLocks noChangeAspect="1" noChangeArrowheads="1"/>
        </xdr:cNvSpPr>
      </xdr:nvSpPr>
      <xdr:spPr bwMode="auto">
        <a:xfrm>
          <a:off x="3803650" y="760539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215</xdr:row>
      <xdr:rowOff>0</xdr:rowOff>
    </xdr:from>
    <xdr:ext cx="304800" cy="304094"/>
    <xdr:sp macro="" textlink="">
      <xdr:nvSpPr>
        <xdr:cNvPr id="616" name="AutoShape 12">
          <a:extLst>
            <a:ext uri="{FF2B5EF4-FFF2-40B4-BE49-F238E27FC236}">
              <a16:creationId xmlns:a16="http://schemas.microsoft.com/office/drawing/2014/main" id="{BCF3E839-CC94-45FD-8604-B6B280CDC623}"/>
            </a:ext>
          </a:extLst>
        </xdr:cNvPr>
        <xdr:cNvSpPr>
          <a:spLocks noChangeAspect="1" noChangeArrowheads="1"/>
        </xdr:cNvSpPr>
      </xdr:nvSpPr>
      <xdr:spPr bwMode="auto">
        <a:xfrm>
          <a:off x="3803650" y="778954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216</xdr:row>
      <xdr:rowOff>0</xdr:rowOff>
    </xdr:from>
    <xdr:ext cx="304800" cy="304094"/>
    <xdr:sp macro="" textlink="">
      <xdr:nvSpPr>
        <xdr:cNvPr id="617" name="AutoShape 12">
          <a:extLst>
            <a:ext uri="{FF2B5EF4-FFF2-40B4-BE49-F238E27FC236}">
              <a16:creationId xmlns:a16="http://schemas.microsoft.com/office/drawing/2014/main" id="{30A767D8-085C-4565-B9F3-76E09D9E9792}"/>
            </a:ext>
          </a:extLst>
        </xdr:cNvPr>
        <xdr:cNvSpPr>
          <a:spLocks noChangeAspect="1" noChangeArrowheads="1"/>
        </xdr:cNvSpPr>
      </xdr:nvSpPr>
      <xdr:spPr bwMode="auto">
        <a:xfrm>
          <a:off x="3803650" y="780796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205</xdr:row>
      <xdr:rowOff>0</xdr:rowOff>
    </xdr:from>
    <xdr:ext cx="304800" cy="304094"/>
    <xdr:sp macro="" textlink="">
      <xdr:nvSpPr>
        <xdr:cNvPr id="618" name="AutoShape 12">
          <a:extLst>
            <a:ext uri="{FF2B5EF4-FFF2-40B4-BE49-F238E27FC236}">
              <a16:creationId xmlns:a16="http://schemas.microsoft.com/office/drawing/2014/main" id="{AA7118EE-87AA-40B6-9E77-806898AC4F91}"/>
            </a:ext>
          </a:extLst>
        </xdr:cNvPr>
        <xdr:cNvSpPr>
          <a:spLocks noChangeAspect="1" noChangeArrowheads="1"/>
        </xdr:cNvSpPr>
      </xdr:nvSpPr>
      <xdr:spPr bwMode="auto">
        <a:xfrm>
          <a:off x="3803650" y="760539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206</xdr:row>
      <xdr:rowOff>0</xdr:rowOff>
    </xdr:from>
    <xdr:ext cx="304800" cy="304094"/>
    <xdr:sp macro="" textlink="">
      <xdr:nvSpPr>
        <xdr:cNvPr id="619" name="AutoShape 12">
          <a:extLst>
            <a:ext uri="{FF2B5EF4-FFF2-40B4-BE49-F238E27FC236}">
              <a16:creationId xmlns:a16="http://schemas.microsoft.com/office/drawing/2014/main" id="{135FB2AF-F7DF-413E-B825-B4693512BCAB}"/>
            </a:ext>
          </a:extLst>
        </xdr:cNvPr>
        <xdr:cNvSpPr>
          <a:spLocks noChangeAspect="1" noChangeArrowheads="1"/>
        </xdr:cNvSpPr>
      </xdr:nvSpPr>
      <xdr:spPr bwMode="auto">
        <a:xfrm>
          <a:off x="3803650" y="762381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216</xdr:row>
      <xdr:rowOff>0</xdr:rowOff>
    </xdr:from>
    <xdr:ext cx="304800" cy="304094"/>
    <xdr:sp macro="" textlink="">
      <xdr:nvSpPr>
        <xdr:cNvPr id="620" name="AutoShape 12">
          <a:extLst>
            <a:ext uri="{FF2B5EF4-FFF2-40B4-BE49-F238E27FC236}">
              <a16:creationId xmlns:a16="http://schemas.microsoft.com/office/drawing/2014/main" id="{6C0975E1-AFF3-4A32-812C-FCAAC87FD300}"/>
            </a:ext>
          </a:extLst>
        </xdr:cNvPr>
        <xdr:cNvSpPr>
          <a:spLocks noChangeAspect="1" noChangeArrowheads="1"/>
        </xdr:cNvSpPr>
      </xdr:nvSpPr>
      <xdr:spPr bwMode="auto">
        <a:xfrm>
          <a:off x="3803650" y="780796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206</xdr:row>
      <xdr:rowOff>0</xdr:rowOff>
    </xdr:from>
    <xdr:ext cx="304800" cy="304094"/>
    <xdr:sp macro="" textlink="">
      <xdr:nvSpPr>
        <xdr:cNvPr id="621" name="AutoShape 12">
          <a:extLst>
            <a:ext uri="{FF2B5EF4-FFF2-40B4-BE49-F238E27FC236}">
              <a16:creationId xmlns:a16="http://schemas.microsoft.com/office/drawing/2014/main" id="{740F7624-D6C4-49DC-8B61-034890E9EB0E}"/>
            </a:ext>
          </a:extLst>
        </xdr:cNvPr>
        <xdr:cNvSpPr>
          <a:spLocks noChangeAspect="1" noChangeArrowheads="1"/>
        </xdr:cNvSpPr>
      </xdr:nvSpPr>
      <xdr:spPr bwMode="auto">
        <a:xfrm>
          <a:off x="3803650" y="762381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207</xdr:row>
      <xdr:rowOff>0</xdr:rowOff>
    </xdr:from>
    <xdr:ext cx="304800" cy="304094"/>
    <xdr:sp macro="" textlink="">
      <xdr:nvSpPr>
        <xdr:cNvPr id="622" name="AutoShape 12">
          <a:extLst>
            <a:ext uri="{FF2B5EF4-FFF2-40B4-BE49-F238E27FC236}">
              <a16:creationId xmlns:a16="http://schemas.microsoft.com/office/drawing/2014/main" id="{63B92233-5FF1-4A88-BB2E-0DA038C0627C}"/>
            </a:ext>
          </a:extLst>
        </xdr:cNvPr>
        <xdr:cNvSpPr>
          <a:spLocks noChangeAspect="1" noChangeArrowheads="1"/>
        </xdr:cNvSpPr>
      </xdr:nvSpPr>
      <xdr:spPr bwMode="auto">
        <a:xfrm>
          <a:off x="3803650" y="764222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207</xdr:row>
      <xdr:rowOff>0</xdr:rowOff>
    </xdr:from>
    <xdr:ext cx="304800" cy="304094"/>
    <xdr:sp macro="" textlink="">
      <xdr:nvSpPr>
        <xdr:cNvPr id="623" name="AutoShape 12">
          <a:extLst>
            <a:ext uri="{FF2B5EF4-FFF2-40B4-BE49-F238E27FC236}">
              <a16:creationId xmlns:a16="http://schemas.microsoft.com/office/drawing/2014/main" id="{8A07AE32-1DD2-4EF7-8167-E774013491DC}"/>
            </a:ext>
          </a:extLst>
        </xdr:cNvPr>
        <xdr:cNvSpPr>
          <a:spLocks noChangeAspect="1" noChangeArrowheads="1"/>
        </xdr:cNvSpPr>
      </xdr:nvSpPr>
      <xdr:spPr bwMode="auto">
        <a:xfrm>
          <a:off x="3803650" y="764222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208</xdr:row>
      <xdr:rowOff>0</xdr:rowOff>
    </xdr:from>
    <xdr:ext cx="304800" cy="304094"/>
    <xdr:sp macro="" textlink="">
      <xdr:nvSpPr>
        <xdr:cNvPr id="624" name="AutoShape 12">
          <a:extLst>
            <a:ext uri="{FF2B5EF4-FFF2-40B4-BE49-F238E27FC236}">
              <a16:creationId xmlns:a16="http://schemas.microsoft.com/office/drawing/2014/main" id="{61AE0112-679B-4B38-9BA5-7FE2BBD31A76}"/>
            </a:ext>
          </a:extLst>
        </xdr:cNvPr>
        <xdr:cNvSpPr>
          <a:spLocks noChangeAspect="1" noChangeArrowheads="1"/>
        </xdr:cNvSpPr>
      </xdr:nvSpPr>
      <xdr:spPr bwMode="auto">
        <a:xfrm>
          <a:off x="3803650" y="766064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207</xdr:row>
      <xdr:rowOff>0</xdr:rowOff>
    </xdr:from>
    <xdr:ext cx="304800" cy="304094"/>
    <xdr:sp macro="" textlink="">
      <xdr:nvSpPr>
        <xdr:cNvPr id="625" name="AutoShape 12">
          <a:extLst>
            <a:ext uri="{FF2B5EF4-FFF2-40B4-BE49-F238E27FC236}">
              <a16:creationId xmlns:a16="http://schemas.microsoft.com/office/drawing/2014/main" id="{825BC958-1B9D-4194-AB37-9E699E0A2E31}"/>
            </a:ext>
          </a:extLst>
        </xdr:cNvPr>
        <xdr:cNvSpPr>
          <a:spLocks noChangeAspect="1" noChangeArrowheads="1"/>
        </xdr:cNvSpPr>
      </xdr:nvSpPr>
      <xdr:spPr bwMode="auto">
        <a:xfrm>
          <a:off x="3803650" y="764222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208</xdr:row>
      <xdr:rowOff>0</xdr:rowOff>
    </xdr:from>
    <xdr:ext cx="304800" cy="304094"/>
    <xdr:sp macro="" textlink="">
      <xdr:nvSpPr>
        <xdr:cNvPr id="626" name="AutoShape 12">
          <a:extLst>
            <a:ext uri="{FF2B5EF4-FFF2-40B4-BE49-F238E27FC236}">
              <a16:creationId xmlns:a16="http://schemas.microsoft.com/office/drawing/2014/main" id="{DC76CD47-A4DB-4390-A7CC-CA0A36F537AD}"/>
            </a:ext>
          </a:extLst>
        </xdr:cNvPr>
        <xdr:cNvSpPr>
          <a:spLocks noChangeAspect="1" noChangeArrowheads="1"/>
        </xdr:cNvSpPr>
      </xdr:nvSpPr>
      <xdr:spPr bwMode="auto">
        <a:xfrm>
          <a:off x="3803650" y="766064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208</xdr:row>
      <xdr:rowOff>0</xdr:rowOff>
    </xdr:from>
    <xdr:ext cx="304800" cy="304094"/>
    <xdr:sp macro="" textlink="">
      <xdr:nvSpPr>
        <xdr:cNvPr id="627" name="AutoShape 12">
          <a:extLst>
            <a:ext uri="{FF2B5EF4-FFF2-40B4-BE49-F238E27FC236}">
              <a16:creationId xmlns:a16="http://schemas.microsoft.com/office/drawing/2014/main" id="{3E9FDA7F-45F5-4F63-9FC0-B15BC7492FEE}"/>
            </a:ext>
          </a:extLst>
        </xdr:cNvPr>
        <xdr:cNvSpPr>
          <a:spLocks noChangeAspect="1" noChangeArrowheads="1"/>
        </xdr:cNvSpPr>
      </xdr:nvSpPr>
      <xdr:spPr bwMode="auto">
        <a:xfrm>
          <a:off x="3803650" y="766064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209</xdr:row>
      <xdr:rowOff>0</xdr:rowOff>
    </xdr:from>
    <xdr:ext cx="304800" cy="304094"/>
    <xdr:sp macro="" textlink="">
      <xdr:nvSpPr>
        <xdr:cNvPr id="628" name="AutoShape 12">
          <a:extLst>
            <a:ext uri="{FF2B5EF4-FFF2-40B4-BE49-F238E27FC236}">
              <a16:creationId xmlns:a16="http://schemas.microsoft.com/office/drawing/2014/main" id="{72AE2FC4-784A-4DCD-BC55-6CF412F88B1F}"/>
            </a:ext>
          </a:extLst>
        </xdr:cNvPr>
        <xdr:cNvSpPr>
          <a:spLocks noChangeAspect="1" noChangeArrowheads="1"/>
        </xdr:cNvSpPr>
      </xdr:nvSpPr>
      <xdr:spPr bwMode="auto">
        <a:xfrm>
          <a:off x="3803650" y="767905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111</xdr:row>
      <xdr:rowOff>0</xdr:rowOff>
    </xdr:from>
    <xdr:ext cx="304800" cy="304094"/>
    <xdr:sp macro="" textlink="">
      <xdr:nvSpPr>
        <xdr:cNvPr id="629" name="AutoShape 12">
          <a:extLst>
            <a:ext uri="{FF2B5EF4-FFF2-40B4-BE49-F238E27FC236}">
              <a16:creationId xmlns:a16="http://schemas.microsoft.com/office/drawing/2014/main" id="{034D96EC-E82A-48A8-9376-D366414C121B}"/>
            </a:ext>
          </a:extLst>
        </xdr:cNvPr>
        <xdr:cNvSpPr>
          <a:spLocks noChangeAspect="1" noChangeArrowheads="1"/>
        </xdr:cNvSpPr>
      </xdr:nvSpPr>
      <xdr:spPr bwMode="auto">
        <a:xfrm>
          <a:off x="3803650" y="587438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112</xdr:row>
      <xdr:rowOff>0</xdr:rowOff>
    </xdr:from>
    <xdr:ext cx="304800" cy="304094"/>
    <xdr:sp macro="" textlink="">
      <xdr:nvSpPr>
        <xdr:cNvPr id="630" name="AutoShape 12">
          <a:extLst>
            <a:ext uri="{FF2B5EF4-FFF2-40B4-BE49-F238E27FC236}">
              <a16:creationId xmlns:a16="http://schemas.microsoft.com/office/drawing/2014/main" id="{D3C93303-2720-4E6C-AFFC-F60A759585E2}"/>
            </a:ext>
          </a:extLst>
        </xdr:cNvPr>
        <xdr:cNvSpPr>
          <a:spLocks noChangeAspect="1" noChangeArrowheads="1"/>
        </xdr:cNvSpPr>
      </xdr:nvSpPr>
      <xdr:spPr bwMode="auto">
        <a:xfrm>
          <a:off x="3803650" y="589280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122</xdr:row>
      <xdr:rowOff>0</xdr:rowOff>
    </xdr:from>
    <xdr:ext cx="304800" cy="304094"/>
    <xdr:sp macro="" textlink="">
      <xdr:nvSpPr>
        <xdr:cNvPr id="631" name="AutoShape 12">
          <a:extLst>
            <a:ext uri="{FF2B5EF4-FFF2-40B4-BE49-F238E27FC236}">
              <a16:creationId xmlns:a16="http://schemas.microsoft.com/office/drawing/2014/main" id="{50D53656-DDE3-472B-B95E-CD44C0D3DCF3}"/>
            </a:ext>
          </a:extLst>
        </xdr:cNvPr>
        <xdr:cNvSpPr>
          <a:spLocks noChangeAspect="1" noChangeArrowheads="1"/>
        </xdr:cNvSpPr>
      </xdr:nvSpPr>
      <xdr:spPr bwMode="auto">
        <a:xfrm>
          <a:off x="3803650" y="607695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123</xdr:row>
      <xdr:rowOff>0</xdr:rowOff>
    </xdr:from>
    <xdr:ext cx="304800" cy="304094"/>
    <xdr:sp macro="" textlink="">
      <xdr:nvSpPr>
        <xdr:cNvPr id="632" name="AutoShape 12">
          <a:extLst>
            <a:ext uri="{FF2B5EF4-FFF2-40B4-BE49-F238E27FC236}">
              <a16:creationId xmlns:a16="http://schemas.microsoft.com/office/drawing/2014/main" id="{B2311226-2103-4590-851F-840542ED6A97}"/>
            </a:ext>
          </a:extLst>
        </xdr:cNvPr>
        <xdr:cNvSpPr>
          <a:spLocks noChangeAspect="1" noChangeArrowheads="1"/>
        </xdr:cNvSpPr>
      </xdr:nvSpPr>
      <xdr:spPr bwMode="auto">
        <a:xfrm>
          <a:off x="3803650" y="609536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112</xdr:row>
      <xdr:rowOff>0</xdr:rowOff>
    </xdr:from>
    <xdr:ext cx="304800" cy="304094"/>
    <xdr:sp macro="" textlink="">
      <xdr:nvSpPr>
        <xdr:cNvPr id="633" name="AutoShape 12">
          <a:extLst>
            <a:ext uri="{FF2B5EF4-FFF2-40B4-BE49-F238E27FC236}">
              <a16:creationId xmlns:a16="http://schemas.microsoft.com/office/drawing/2014/main" id="{19097F6F-A723-4DB5-B2A1-5B5DDD3E3A9A}"/>
            </a:ext>
          </a:extLst>
        </xdr:cNvPr>
        <xdr:cNvSpPr>
          <a:spLocks noChangeAspect="1" noChangeArrowheads="1"/>
        </xdr:cNvSpPr>
      </xdr:nvSpPr>
      <xdr:spPr bwMode="auto">
        <a:xfrm>
          <a:off x="3803650" y="589280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113</xdr:row>
      <xdr:rowOff>0</xdr:rowOff>
    </xdr:from>
    <xdr:ext cx="304800" cy="304094"/>
    <xdr:sp macro="" textlink="">
      <xdr:nvSpPr>
        <xdr:cNvPr id="634" name="AutoShape 12">
          <a:extLst>
            <a:ext uri="{FF2B5EF4-FFF2-40B4-BE49-F238E27FC236}">
              <a16:creationId xmlns:a16="http://schemas.microsoft.com/office/drawing/2014/main" id="{2A3999CC-6984-49EF-B910-5F6D15E8B247}"/>
            </a:ext>
          </a:extLst>
        </xdr:cNvPr>
        <xdr:cNvSpPr>
          <a:spLocks noChangeAspect="1" noChangeArrowheads="1"/>
        </xdr:cNvSpPr>
      </xdr:nvSpPr>
      <xdr:spPr bwMode="auto">
        <a:xfrm>
          <a:off x="3803650" y="59112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123</xdr:row>
      <xdr:rowOff>0</xdr:rowOff>
    </xdr:from>
    <xdr:ext cx="304800" cy="304094"/>
    <xdr:sp macro="" textlink="">
      <xdr:nvSpPr>
        <xdr:cNvPr id="635" name="AutoShape 12">
          <a:extLst>
            <a:ext uri="{FF2B5EF4-FFF2-40B4-BE49-F238E27FC236}">
              <a16:creationId xmlns:a16="http://schemas.microsoft.com/office/drawing/2014/main" id="{1C4E7D9A-90A1-4B56-8737-0D126C607EF1}"/>
            </a:ext>
          </a:extLst>
        </xdr:cNvPr>
        <xdr:cNvSpPr>
          <a:spLocks noChangeAspect="1" noChangeArrowheads="1"/>
        </xdr:cNvSpPr>
      </xdr:nvSpPr>
      <xdr:spPr bwMode="auto">
        <a:xfrm>
          <a:off x="3803650" y="609536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124</xdr:row>
      <xdr:rowOff>0</xdr:rowOff>
    </xdr:from>
    <xdr:ext cx="304800" cy="304094"/>
    <xdr:sp macro="" textlink="">
      <xdr:nvSpPr>
        <xdr:cNvPr id="636" name="AutoShape 12">
          <a:extLst>
            <a:ext uri="{FF2B5EF4-FFF2-40B4-BE49-F238E27FC236}">
              <a16:creationId xmlns:a16="http://schemas.microsoft.com/office/drawing/2014/main" id="{765E5102-9DD7-4DC2-BEBE-1581E0081EC5}"/>
            </a:ext>
          </a:extLst>
        </xdr:cNvPr>
        <xdr:cNvSpPr>
          <a:spLocks noChangeAspect="1" noChangeArrowheads="1"/>
        </xdr:cNvSpPr>
      </xdr:nvSpPr>
      <xdr:spPr bwMode="auto">
        <a:xfrm>
          <a:off x="3803650" y="611378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637" name="AutoShape 12">
          <a:extLst>
            <a:ext uri="{FF2B5EF4-FFF2-40B4-BE49-F238E27FC236}">
              <a16:creationId xmlns:a16="http://schemas.microsoft.com/office/drawing/2014/main" id="{ECA90058-E0AC-4E57-A835-FE6D7B56019B}"/>
            </a:ext>
          </a:extLst>
        </xdr:cNvPr>
        <xdr:cNvSpPr>
          <a:spLocks noChangeAspect="1" noChangeArrowheads="1"/>
        </xdr:cNvSpPr>
      </xdr:nvSpPr>
      <xdr:spPr bwMode="auto">
        <a:xfrm>
          <a:off x="3803650" y="714502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638" name="AutoShape 12">
          <a:extLst>
            <a:ext uri="{FF2B5EF4-FFF2-40B4-BE49-F238E27FC236}">
              <a16:creationId xmlns:a16="http://schemas.microsoft.com/office/drawing/2014/main" id="{052F920D-EBD7-4109-8ADA-2466C6E11DC6}"/>
            </a:ext>
          </a:extLst>
        </xdr:cNvPr>
        <xdr:cNvSpPr>
          <a:spLocks noChangeAspect="1" noChangeArrowheads="1"/>
        </xdr:cNvSpPr>
      </xdr:nvSpPr>
      <xdr:spPr bwMode="auto">
        <a:xfrm>
          <a:off x="3803650" y="716343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191</xdr:row>
      <xdr:rowOff>0</xdr:rowOff>
    </xdr:from>
    <xdr:ext cx="304800" cy="304094"/>
    <xdr:sp macro="" textlink="">
      <xdr:nvSpPr>
        <xdr:cNvPr id="639" name="AutoShape 12">
          <a:extLst>
            <a:ext uri="{FF2B5EF4-FFF2-40B4-BE49-F238E27FC236}">
              <a16:creationId xmlns:a16="http://schemas.microsoft.com/office/drawing/2014/main" id="{60D0FD19-359A-4A02-B679-DD43C89F27F9}"/>
            </a:ext>
          </a:extLst>
        </xdr:cNvPr>
        <xdr:cNvSpPr>
          <a:spLocks noChangeAspect="1" noChangeArrowheads="1"/>
        </xdr:cNvSpPr>
      </xdr:nvSpPr>
      <xdr:spPr bwMode="auto">
        <a:xfrm>
          <a:off x="3803650" y="734758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192</xdr:row>
      <xdr:rowOff>0</xdr:rowOff>
    </xdr:from>
    <xdr:ext cx="304800" cy="304094"/>
    <xdr:sp macro="" textlink="">
      <xdr:nvSpPr>
        <xdr:cNvPr id="640" name="AutoShape 12">
          <a:extLst>
            <a:ext uri="{FF2B5EF4-FFF2-40B4-BE49-F238E27FC236}">
              <a16:creationId xmlns:a16="http://schemas.microsoft.com/office/drawing/2014/main" id="{B096141A-8137-4CD6-B76E-3C23C84A21F8}"/>
            </a:ext>
          </a:extLst>
        </xdr:cNvPr>
        <xdr:cNvSpPr>
          <a:spLocks noChangeAspect="1" noChangeArrowheads="1"/>
        </xdr:cNvSpPr>
      </xdr:nvSpPr>
      <xdr:spPr bwMode="auto">
        <a:xfrm>
          <a:off x="3803650" y="736600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641" name="AutoShape 12">
          <a:extLst>
            <a:ext uri="{FF2B5EF4-FFF2-40B4-BE49-F238E27FC236}">
              <a16:creationId xmlns:a16="http://schemas.microsoft.com/office/drawing/2014/main" id="{7B0FF28D-EA37-4F87-9710-4CA394058483}"/>
            </a:ext>
          </a:extLst>
        </xdr:cNvPr>
        <xdr:cNvSpPr>
          <a:spLocks noChangeAspect="1" noChangeArrowheads="1"/>
        </xdr:cNvSpPr>
      </xdr:nvSpPr>
      <xdr:spPr bwMode="auto">
        <a:xfrm>
          <a:off x="3803650" y="716343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642" name="AutoShape 12">
          <a:extLst>
            <a:ext uri="{FF2B5EF4-FFF2-40B4-BE49-F238E27FC236}">
              <a16:creationId xmlns:a16="http://schemas.microsoft.com/office/drawing/2014/main" id="{4064918B-FB3A-4FC9-AA29-3A9406E90E39}"/>
            </a:ext>
          </a:extLst>
        </xdr:cNvPr>
        <xdr:cNvSpPr>
          <a:spLocks noChangeAspect="1" noChangeArrowheads="1"/>
        </xdr:cNvSpPr>
      </xdr:nvSpPr>
      <xdr:spPr bwMode="auto">
        <a:xfrm>
          <a:off x="3803650" y="718185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192</xdr:row>
      <xdr:rowOff>0</xdr:rowOff>
    </xdr:from>
    <xdr:ext cx="304800" cy="304094"/>
    <xdr:sp macro="" textlink="">
      <xdr:nvSpPr>
        <xdr:cNvPr id="643" name="AutoShape 12">
          <a:extLst>
            <a:ext uri="{FF2B5EF4-FFF2-40B4-BE49-F238E27FC236}">
              <a16:creationId xmlns:a16="http://schemas.microsoft.com/office/drawing/2014/main" id="{FAA481DA-D63B-494B-9AB6-88343AC2AC6D}"/>
            </a:ext>
          </a:extLst>
        </xdr:cNvPr>
        <xdr:cNvSpPr>
          <a:spLocks noChangeAspect="1" noChangeArrowheads="1"/>
        </xdr:cNvSpPr>
      </xdr:nvSpPr>
      <xdr:spPr bwMode="auto">
        <a:xfrm>
          <a:off x="3803650" y="736600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193</xdr:row>
      <xdr:rowOff>0</xdr:rowOff>
    </xdr:from>
    <xdr:ext cx="304800" cy="304094"/>
    <xdr:sp macro="" textlink="">
      <xdr:nvSpPr>
        <xdr:cNvPr id="644" name="AutoShape 12">
          <a:extLst>
            <a:ext uri="{FF2B5EF4-FFF2-40B4-BE49-F238E27FC236}">
              <a16:creationId xmlns:a16="http://schemas.microsoft.com/office/drawing/2014/main" id="{F8175767-8EB5-4913-BE0D-D354C91A3A1C}"/>
            </a:ext>
          </a:extLst>
        </xdr:cNvPr>
        <xdr:cNvSpPr>
          <a:spLocks noChangeAspect="1" noChangeArrowheads="1"/>
        </xdr:cNvSpPr>
      </xdr:nvSpPr>
      <xdr:spPr bwMode="auto">
        <a:xfrm>
          <a:off x="3803650" y="7384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112</xdr:row>
      <xdr:rowOff>0</xdr:rowOff>
    </xdr:from>
    <xdr:ext cx="304800" cy="304094"/>
    <xdr:sp macro="" textlink="">
      <xdr:nvSpPr>
        <xdr:cNvPr id="645" name="AutoShape 12">
          <a:extLst>
            <a:ext uri="{FF2B5EF4-FFF2-40B4-BE49-F238E27FC236}">
              <a16:creationId xmlns:a16="http://schemas.microsoft.com/office/drawing/2014/main" id="{D9F20305-BDA6-424E-B484-5A1A644A21C2}"/>
            </a:ext>
          </a:extLst>
        </xdr:cNvPr>
        <xdr:cNvSpPr>
          <a:spLocks noChangeAspect="1" noChangeArrowheads="1"/>
        </xdr:cNvSpPr>
      </xdr:nvSpPr>
      <xdr:spPr bwMode="auto">
        <a:xfrm>
          <a:off x="3803650" y="589280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113</xdr:row>
      <xdr:rowOff>0</xdr:rowOff>
    </xdr:from>
    <xdr:ext cx="304800" cy="304094"/>
    <xdr:sp macro="" textlink="">
      <xdr:nvSpPr>
        <xdr:cNvPr id="646" name="AutoShape 12">
          <a:extLst>
            <a:ext uri="{FF2B5EF4-FFF2-40B4-BE49-F238E27FC236}">
              <a16:creationId xmlns:a16="http://schemas.microsoft.com/office/drawing/2014/main" id="{7A26C0BE-1E86-4929-AA0B-3A5A15412A62}"/>
            </a:ext>
          </a:extLst>
        </xdr:cNvPr>
        <xdr:cNvSpPr>
          <a:spLocks noChangeAspect="1" noChangeArrowheads="1"/>
        </xdr:cNvSpPr>
      </xdr:nvSpPr>
      <xdr:spPr bwMode="auto">
        <a:xfrm>
          <a:off x="3803650" y="59112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123</xdr:row>
      <xdr:rowOff>0</xdr:rowOff>
    </xdr:from>
    <xdr:ext cx="304800" cy="304094"/>
    <xdr:sp macro="" textlink="">
      <xdr:nvSpPr>
        <xdr:cNvPr id="647" name="AutoShape 12">
          <a:extLst>
            <a:ext uri="{FF2B5EF4-FFF2-40B4-BE49-F238E27FC236}">
              <a16:creationId xmlns:a16="http://schemas.microsoft.com/office/drawing/2014/main" id="{2A83755E-5853-45D9-9B36-469D70646F29}"/>
            </a:ext>
          </a:extLst>
        </xdr:cNvPr>
        <xdr:cNvSpPr>
          <a:spLocks noChangeAspect="1" noChangeArrowheads="1"/>
        </xdr:cNvSpPr>
      </xdr:nvSpPr>
      <xdr:spPr bwMode="auto">
        <a:xfrm>
          <a:off x="3803650" y="609536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124</xdr:row>
      <xdr:rowOff>0</xdr:rowOff>
    </xdr:from>
    <xdr:ext cx="304800" cy="304094"/>
    <xdr:sp macro="" textlink="">
      <xdr:nvSpPr>
        <xdr:cNvPr id="648" name="AutoShape 12">
          <a:extLst>
            <a:ext uri="{FF2B5EF4-FFF2-40B4-BE49-F238E27FC236}">
              <a16:creationId xmlns:a16="http://schemas.microsoft.com/office/drawing/2014/main" id="{8378491E-C25B-4EC8-8177-60E6DED62262}"/>
            </a:ext>
          </a:extLst>
        </xdr:cNvPr>
        <xdr:cNvSpPr>
          <a:spLocks noChangeAspect="1" noChangeArrowheads="1"/>
        </xdr:cNvSpPr>
      </xdr:nvSpPr>
      <xdr:spPr bwMode="auto">
        <a:xfrm>
          <a:off x="3803650" y="611378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113</xdr:row>
      <xdr:rowOff>0</xdr:rowOff>
    </xdr:from>
    <xdr:ext cx="304800" cy="304094"/>
    <xdr:sp macro="" textlink="">
      <xdr:nvSpPr>
        <xdr:cNvPr id="649" name="AutoShape 12">
          <a:extLst>
            <a:ext uri="{FF2B5EF4-FFF2-40B4-BE49-F238E27FC236}">
              <a16:creationId xmlns:a16="http://schemas.microsoft.com/office/drawing/2014/main" id="{BA611DA0-853B-46F3-B7D2-95F83E404361}"/>
            </a:ext>
          </a:extLst>
        </xdr:cNvPr>
        <xdr:cNvSpPr>
          <a:spLocks noChangeAspect="1" noChangeArrowheads="1"/>
        </xdr:cNvSpPr>
      </xdr:nvSpPr>
      <xdr:spPr bwMode="auto">
        <a:xfrm>
          <a:off x="3803650" y="59112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114</xdr:row>
      <xdr:rowOff>0</xdr:rowOff>
    </xdr:from>
    <xdr:ext cx="304800" cy="304094"/>
    <xdr:sp macro="" textlink="">
      <xdr:nvSpPr>
        <xdr:cNvPr id="650" name="AutoShape 12">
          <a:extLst>
            <a:ext uri="{FF2B5EF4-FFF2-40B4-BE49-F238E27FC236}">
              <a16:creationId xmlns:a16="http://schemas.microsoft.com/office/drawing/2014/main" id="{0EF7702D-841F-445E-B3B3-9DD687563380}"/>
            </a:ext>
          </a:extLst>
        </xdr:cNvPr>
        <xdr:cNvSpPr>
          <a:spLocks noChangeAspect="1" noChangeArrowheads="1"/>
        </xdr:cNvSpPr>
      </xdr:nvSpPr>
      <xdr:spPr bwMode="auto">
        <a:xfrm>
          <a:off x="3803650" y="592963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124</xdr:row>
      <xdr:rowOff>0</xdr:rowOff>
    </xdr:from>
    <xdr:ext cx="304800" cy="304094"/>
    <xdr:sp macro="" textlink="">
      <xdr:nvSpPr>
        <xdr:cNvPr id="651" name="AutoShape 12">
          <a:extLst>
            <a:ext uri="{FF2B5EF4-FFF2-40B4-BE49-F238E27FC236}">
              <a16:creationId xmlns:a16="http://schemas.microsoft.com/office/drawing/2014/main" id="{0CF48B7B-A713-4DA8-A610-D4DB9D3336BB}"/>
            </a:ext>
          </a:extLst>
        </xdr:cNvPr>
        <xdr:cNvSpPr>
          <a:spLocks noChangeAspect="1" noChangeArrowheads="1"/>
        </xdr:cNvSpPr>
      </xdr:nvSpPr>
      <xdr:spPr bwMode="auto">
        <a:xfrm>
          <a:off x="3803650" y="611378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125</xdr:row>
      <xdr:rowOff>0</xdr:rowOff>
    </xdr:from>
    <xdr:ext cx="304800" cy="304094"/>
    <xdr:sp macro="" textlink="">
      <xdr:nvSpPr>
        <xdr:cNvPr id="652" name="AutoShape 12">
          <a:extLst>
            <a:ext uri="{FF2B5EF4-FFF2-40B4-BE49-F238E27FC236}">
              <a16:creationId xmlns:a16="http://schemas.microsoft.com/office/drawing/2014/main" id="{05F429BE-CDC6-49C8-8BD0-9A571F0B32E5}"/>
            </a:ext>
          </a:extLst>
        </xdr:cNvPr>
        <xdr:cNvSpPr>
          <a:spLocks noChangeAspect="1" noChangeArrowheads="1"/>
        </xdr:cNvSpPr>
      </xdr:nvSpPr>
      <xdr:spPr bwMode="auto">
        <a:xfrm>
          <a:off x="3803650" y="613219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653" name="AutoShape 12">
          <a:extLst>
            <a:ext uri="{FF2B5EF4-FFF2-40B4-BE49-F238E27FC236}">
              <a16:creationId xmlns:a16="http://schemas.microsoft.com/office/drawing/2014/main" id="{1338AB56-CF64-4C16-855F-093D449D4DDC}"/>
            </a:ext>
          </a:extLst>
        </xdr:cNvPr>
        <xdr:cNvSpPr>
          <a:spLocks noChangeAspect="1" noChangeArrowheads="1"/>
        </xdr:cNvSpPr>
      </xdr:nvSpPr>
      <xdr:spPr bwMode="auto">
        <a:xfrm>
          <a:off x="3803650" y="716343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654" name="AutoShape 12">
          <a:extLst>
            <a:ext uri="{FF2B5EF4-FFF2-40B4-BE49-F238E27FC236}">
              <a16:creationId xmlns:a16="http://schemas.microsoft.com/office/drawing/2014/main" id="{2D5C9E93-CB9E-4716-A4EB-5F830C018C6A}"/>
            </a:ext>
          </a:extLst>
        </xdr:cNvPr>
        <xdr:cNvSpPr>
          <a:spLocks noChangeAspect="1" noChangeArrowheads="1"/>
        </xdr:cNvSpPr>
      </xdr:nvSpPr>
      <xdr:spPr bwMode="auto">
        <a:xfrm>
          <a:off x="3803650" y="718185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192</xdr:row>
      <xdr:rowOff>0</xdr:rowOff>
    </xdr:from>
    <xdr:ext cx="304800" cy="304094"/>
    <xdr:sp macro="" textlink="">
      <xdr:nvSpPr>
        <xdr:cNvPr id="655" name="AutoShape 12">
          <a:extLst>
            <a:ext uri="{FF2B5EF4-FFF2-40B4-BE49-F238E27FC236}">
              <a16:creationId xmlns:a16="http://schemas.microsoft.com/office/drawing/2014/main" id="{32A86046-53D2-4D6D-832A-0AE3326CACC3}"/>
            </a:ext>
          </a:extLst>
        </xdr:cNvPr>
        <xdr:cNvSpPr>
          <a:spLocks noChangeAspect="1" noChangeArrowheads="1"/>
        </xdr:cNvSpPr>
      </xdr:nvSpPr>
      <xdr:spPr bwMode="auto">
        <a:xfrm>
          <a:off x="3803650" y="736600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193</xdr:row>
      <xdr:rowOff>0</xdr:rowOff>
    </xdr:from>
    <xdr:ext cx="304800" cy="304094"/>
    <xdr:sp macro="" textlink="">
      <xdr:nvSpPr>
        <xdr:cNvPr id="656" name="AutoShape 12">
          <a:extLst>
            <a:ext uri="{FF2B5EF4-FFF2-40B4-BE49-F238E27FC236}">
              <a16:creationId xmlns:a16="http://schemas.microsoft.com/office/drawing/2014/main" id="{E889427D-F64C-4086-9183-9653FA3ABA1B}"/>
            </a:ext>
          </a:extLst>
        </xdr:cNvPr>
        <xdr:cNvSpPr>
          <a:spLocks noChangeAspect="1" noChangeArrowheads="1"/>
        </xdr:cNvSpPr>
      </xdr:nvSpPr>
      <xdr:spPr bwMode="auto">
        <a:xfrm>
          <a:off x="3803650" y="7384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657" name="AutoShape 12">
          <a:extLst>
            <a:ext uri="{FF2B5EF4-FFF2-40B4-BE49-F238E27FC236}">
              <a16:creationId xmlns:a16="http://schemas.microsoft.com/office/drawing/2014/main" id="{768CD0D7-E3FE-48EB-8EC8-E82AA5B236D5}"/>
            </a:ext>
          </a:extLst>
        </xdr:cNvPr>
        <xdr:cNvSpPr>
          <a:spLocks noChangeAspect="1" noChangeArrowheads="1"/>
        </xdr:cNvSpPr>
      </xdr:nvSpPr>
      <xdr:spPr bwMode="auto">
        <a:xfrm>
          <a:off x="3803650" y="718185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183</xdr:row>
      <xdr:rowOff>0</xdr:rowOff>
    </xdr:from>
    <xdr:ext cx="304800" cy="304094"/>
    <xdr:sp macro="" textlink="">
      <xdr:nvSpPr>
        <xdr:cNvPr id="658" name="AutoShape 12">
          <a:extLst>
            <a:ext uri="{FF2B5EF4-FFF2-40B4-BE49-F238E27FC236}">
              <a16:creationId xmlns:a16="http://schemas.microsoft.com/office/drawing/2014/main" id="{1B6FA269-6602-4761-8BEC-08AF0724E89A}"/>
            </a:ext>
          </a:extLst>
        </xdr:cNvPr>
        <xdr:cNvSpPr>
          <a:spLocks noChangeAspect="1" noChangeArrowheads="1"/>
        </xdr:cNvSpPr>
      </xdr:nvSpPr>
      <xdr:spPr bwMode="auto">
        <a:xfrm>
          <a:off x="3803650" y="720026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193</xdr:row>
      <xdr:rowOff>0</xdr:rowOff>
    </xdr:from>
    <xdr:ext cx="304800" cy="304094"/>
    <xdr:sp macro="" textlink="">
      <xdr:nvSpPr>
        <xdr:cNvPr id="659" name="AutoShape 12">
          <a:extLst>
            <a:ext uri="{FF2B5EF4-FFF2-40B4-BE49-F238E27FC236}">
              <a16:creationId xmlns:a16="http://schemas.microsoft.com/office/drawing/2014/main" id="{382E7E50-9D1D-49B3-BAE0-F48FF91C6964}"/>
            </a:ext>
          </a:extLst>
        </xdr:cNvPr>
        <xdr:cNvSpPr>
          <a:spLocks noChangeAspect="1" noChangeArrowheads="1"/>
        </xdr:cNvSpPr>
      </xdr:nvSpPr>
      <xdr:spPr bwMode="auto">
        <a:xfrm>
          <a:off x="3803650" y="7384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194</xdr:row>
      <xdr:rowOff>0</xdr:rowOff>
    </xdr:from>
    <xdr:ext cx="304800" cy="304094"/>
    <xdr:sp macro="" textlink="">
      <xdr:nvSpPr>
        <xdr:cNvPr id="660" name="AutoShape 12">
          <a:extLst>
            <a:ext uri="{FF2B5EF4-FFF2-40B4-BE49-F238E27FC236}">
              <a16:creationId xmlns:a16="http://schemas.microsoft.com/office/drawing/2014/main" id="{8B870CD4-84AD-4A85-9545-1C09C9085035}"/>
            </a:ext>
          </a:extLst>
        </xdr:cNvPr>
        <xdr:cNvSpPr>
          <a:spLocks noChangeAspect="1" noChangeArrowheads="1"/>
        </xdr:cNvSpPr>
      </xdr:nvSpPr>
      <xdr:spPr bwMode="auto">
        <a:xfrm>
          <a:off x="3803650" y="740283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155</xdr:row>
      <xdr:rowOff>0</xdr:rowOff>
    </xdr:from>
    <xdr:ext cx="304800" cy="304094"/>
    <xdr:sp macro="" textlink="">
      <xdr:nvSpPr>
        <xdr:cNvPr id="661" name="AutoShape 12">
          <a:extLst>
            <a:ext uri="{FF2B5EF4-FFF2-40B4-BE49-F238E27FC236}">
              <a16:creationId xmlns:a16="http://schemas.microsoft.com/office/drawing/2014/main" id="{F131ACE3-04BA-401A-8A4C-9F4ABBC567C1}"/>
            </a:ext>
          </a:extLst>
        </xdr:cNvPr>
        <xdr:cNvSpPr>
          <a:spLocks noChangeAspect="1" noChangeArrowheads="1"/>
        </xdr:cNvSpPr>
      </xdr:nvSpPr>
      <xdr:spPr bwMode="auto">
        <a:xfrm>
          <a:off x="3803650" y="668464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156</xdr:row>
      <xdr:rowOff>0</xdr:rowOff>
    </xdr:from>
    <xdr:ext cx="304800" cy="304094"/>
    <xdr:sp macro="" textlink="">
      <xdr:nvSpPr>
        <xdr:cNvPr id="662" name="AutoShape 12">
          <a:extLst>
            <a:ext uri="{FF2B5EF4-FFF2-40B4-BE49-F238E27FC236}">
              <a16:creationId xmlns:a16="http://schemas.microsoft.com/office/drawing/2014/main" id="{94F918D6-7AA6-4238-98A2-C3D9E0B9B8D5}"/>
            </a:ext>
          </a:extLst>
        </xdr:cNvPr>
        <xdr:cNvSpPr>
          <a:spLocks noChangeAspect="1" noChangeArrowheads="1"/>
        </xdr:cNvSpPr>
      </xdr:nvSpPr>
      <xdr:spPr bwMode="auto">
        <a:xfrm>
          <a:off x="3803650" y="670306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166</xdr:row>
      <xdr:rowOff>0</xdr:rowOff>
    </xdr:from>
    <xdr:ext cx="304800" cy="304094"/>
    <xdr:sp macro="" textlink="">
      <xdr:nvSpPr>
        <xdr:cNvPr id="663" name="AutoShape 12">
          <a:extLst>
            <a:ext uri="{FF2B5EF4-FFF2-40B4-BE49-F238E27FC236}">
              <a16:creationId xmlns:a16="http://schemas.microsoft.com/office/drawing/2014/main" id="{15B573E4-BCDC-454B-BD5B-72C03E7432DF}"/>
            </a:ext>
          </a:extLst>
        </xdr:cNvPr>
        <xdr:cNvSpPr>
          <a:spLocks noChangeAspect="1" noChangeArrowheads="1"/>
        </xdr:cNvSpPr>
      </xdr:nvSpPr>
      <xdr:spPr bwMode="auto">
        <a:xfrm>
          <a:off x="3803650" y="688721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167</xdr:row>
      <xdr:rowOff>0</xdr:rowOff>
    </xdr:from>
    <xdr:ext cx="304800" cy="304094"/>
    <xdr:sp macro="" textlink="">
      <xdr:nvSpPr>
        <xdr:cNvPr id="664" name="AutoShape 12">
          <a:extLst>
            <a:ext uri="{FF2B5EF4-FFF2-40B4-BE49-F238E27FC236}">
              <a16:creationId xmlns:a16="http://schemas.microsoft.com/office/drawing/2014/main" id="{8B317110-1036-4EE9-AC1B-E1C763212969}"/>
            </a:ext>
          </a:extLst>
        </xdr:cNvPr>
        <xdr:cNvSpPr>
          <a:spLocks noChangeAspect="1" noChangeArrowheads="1"/>
        </xdr:cNvSpPr>
      </xdr:nvSpPr>
      <xdr:spPr bwMode="auto">
        <a:xfrm>
          <a:off x="3803650" y="690562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156</xdr:row>
      <xdr:rowOff>0</xdr:rowOff>
    </xdr:from>
    <xdr:ext cx="304800" cy="304094"/>
    <xdr:sp macro="" textlink="">
      <xdr:nvSpPr>
        <xdr:cNvPr id="665" name="AutoShape 12">
          <a:extLst>
            <a:ext uri="{FF2B5EF4-FFF2-40B4-BE49-F238E27FC236}">
              <a16:creationId xmlns:a16="http://schemas.microsoft.com/office/drawing/2014/main" id="{38C24DD5-018C-45EE-933A-30CBDD32A201}"/>
            </a:ext>
          </a:extLst>
        </xdr:cNvPr>
        <xdr:cNvSpPr>
          <a:spLocks noChangeAspect="1" noChangeArrowheads="1"/>
        </xdr:cNvSpPr>
      </xdr:nvSpPr>
      <xdr:spPr bwMode="auto">
        <a:xfrm>
          <a:off x="3803650" y="670306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157</xdr:row>
      <xdr:rowOff>0</xdr:rowOff>
    </xdr:from>
    <xdr:ext cx="304800" cy="304094"/>
    <xdr:sp macro="" textlink="">
      <xdr:nvSpPr>
        <xdr:cNvPr id="666" name="AutoShape 12">
          <a:extLst>
            <a:ext uri="{FF2B5EF4-FFF2-40B4-BE49-F238E27FC236}">
              <a16:creationId xmlns:a16="http://schemas.microsoft.com/office/drawing/2014/main" id="{AB3271EF-2E07-4E6A-97E2-3C775E0457B3}"/>
            </a:ext>
          </a:extLst>
        </xdr:cNvPr>
        <xdr:cNvSpPr>
          <a:spLocks noChangeAspect="1" noChangeArrowheads="1"/>
        </xdr:cNvSpPr>
      </xdr:nvSpPr>
      <xdr:spPr bwMode="auto">
        <a:xfrm>
          <a:off x="3803650" y="67214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167</xdr:row>
      <xdr:rowOff>0</xdr:rowOff>
    </xdr:from>
    <xdr:ext cx="304800" cy="304094"/>
    <xdr:sp macro="" textlink="">
      <xdr:nvSpPr>
        <xdr:cNvPr id="667" name="AutoShape 12">
          <a:extLst>
            <a:ext uri="{FF2B5EF4-FFF2-40B4-BE49-F238E27FC236}">
              <a16:creationId xmlns:a16="http://schemas.microsoft.com/office/drawing/2014/main" id="{B36A2A7F-7382-4C75-A3A6-6AB8CCCE9EE8}"/>
            </a:ext>
          </a:extLst>
        </xdr:cNvPr>
        <xdr:cNvSpPr>
          <a:spLocks noChangeAspect="1" noChangeArrowheads="1"/>
        </xdr:cNvSpPr>
      </xdr:nvSpPr>
      <xdr:spPr bwMode="auto">
        <a:xfrm>
          <a:off x="3803650" y="690562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168</xdr:row>
      <xdr:rowOff>0</xdr:rowOff>
    </xdr:from>
    <xdr:ext cx="304800" cy="304094"/>
    <xdr:sp macro="" textlink="">
      <xdr:nvSpPr>
        <xdr:cNvPr id="668" name="AutoShape 12">
          <a:extLst>
            <a:ext uri="{FF2B5EF4-FFF2-40B4-BE49-F238E27FC236}">
              <a16:creationId xmlns:a16="http://schemas.microsoft.com/office/drawing/2014/main" id="{0273F4B6-3EE4-40F9-9F15-CF4435BFB36B}"/>
            </a:ext>
          </a:extLst>
        </xdr:cNvPr>
        <xdr:cNvSpPr>
          <a:spLocks noChangeAspect="1" noChangeArrowheads="1"/>
        </xdr:cNvSpPr>
      </xdr:nvSpPr>
      <xdr:spPr bwMode="auto">
        <a:xfrm>
          <a:off x="3803650" y="692404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156</xdr:row>
      <xdr:rowOff>0</xdr:rowOff>
    </xdr:from>
    <xdr:ext cx="304800" cy="304094"/>
    <xdr:sp macro="" textlink="">
      <xdr:nvSpPr>
        <xdr:cNvPr id="669" name="AutoShape 12">
          <a:extLst>
            <a:ext uri="{FF2B5EF4-FFF2-40B4-BE49-F238E27FC236}">
              <a16:creationId xmlns:a16="http://schemas.microsoft.com/office/drawing/2014/main" id="{8A23B29E-FDCB-43C0-B118-1D6529C3D60B}"/>
            </a:ext>
          </a:extLst>
        </xdr:cNvPr>
        <xdr:cNvSpPr>
          <a:spLocks noChangeAspect="1" noChangeArrowheads="1"/>
        </xdr:cNvSpPr>
      </xdr:nvSpPr>
      <xdr:spPr bwMode="auto">
        <a:xfrm>
          <a:off x="3803650" y="670306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157</xdr:row>
      <xdr:rowOff>0</xdr:rowOff>
    </xdr:from>
    <xdr:ext cx="304800" cy="304094"/>
    <xdr:sp macro="" textlink="">
      <xdr:nvSpPr>
        <xdr:cNvPr id="670" name="AutoShape 12">
          <a:extLst>
            <a:ext uri="{FF2B5EF4-FFF2-40B4-BE49-F238E27FC236}">
              <a16:creationId xmlns:a16="http://schemas.microsoft.com/office/drawing/2014/main" id="{D641E768-379D-4415-A301-80C19EF80042}"/>
            </a:ext>
          </a:extLst>
        </xdr:cNvPr>
        <xdr:cNvSpPr>
          <a:spLocks noChangeAspect="1" noChangeArrowheads="1"/>
        </xdr:cNvSpPr>
      </xdr:nvSpPr>
      <xdr:spPr bwMode="auto">
        <a:xfrm>
          <a:off x="3803650" y="67214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167</xdr:row>
      <xdr:rowOff>0</xdr:rowOff>
    </xdr:from>
    <xdr:ext cx="304800" cy="304094"/>
    <xdr:sp macro="" textlink="">
      <xdr:nvSpPr>
        <xdr:cNvPr id="671" name="AutoShape 12">
          <a:extLst>
            <a:ext uri="{FF2B5EF4-FFF2-40B4-BE49-F238E27FC236}">
              <a16:creationId xmlns:a16="http://schemas.microsoft.com/office/drawing/2014/main" id="{454D468B-F468-4837-B740-2A1C0BB1F259}"/>
            </a:ext>
          </a:extLst>
        </xdr:cNvPr>
        <xdr:cNvSpPr>
          <a:spLocks noChangeAspect="1" noChangeArrowheads="1"/>
        </xdr:cNvSpPr>
      </xdr:nvSpPr>
      <xdr:spPr bwMode="auto">
        <a:xfrm>
          <a:off x="3803650" y="690562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168</xdr:row>
      <xdr:rowOff>0</xdr:rowOff>
    </xdr:from>
    <xdr:ext cx="304800" cy="304094"/>
    <xdr:sp macro="" textlink="">
      <xdr:nvSpPr>
        <xdr:cNvPr id="672" name="AutoShape 12">
          <a:extLst>
            <a:ext uri="{FF2B5EF4-FFF2-40B4-BE49-F238E27FC236}">
              <a16:creationId xmlns:a16="http://schemas.microsoft.com/office/drawing/2014/main" id="{91A89A67-1FE4-487E-97AA-84B7C1588430}"/>
            </a:ext>
          </a:extLst>
        </xdr:cNvPr>
        <xdr:cNvSpPr>
          <a:spLocks noChangeAspect="1" noChangeArrowheads="1"/>
        </xdr:cNvSpPr>
      </xdr:nvSpPr>
      <xdr:spPr bwMode="auto">
        <a:xfrm>
          <a:off x="3803650" y="692404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157</xdr:row>
      <xdr:rowOff>0</xdr:rowOff>
    </xdr:from>
    <xdr:ext cx="304800" cy="304094"/>
    <xdr:sp macro="" textlink="">
      <xdr:nvSpPr>
        <xdr:cNvPr id="673" name="AutoShape 12">
          <a:extLst>
            <a:ext uri="{FF2B5EF4-FFF2-40B4-BE49-F238E27FC236}">
              <a16:creationId xmlns:a16="http://schemas.microsoft.com/office/drawing/2014/main" id="{1096D667-FB6C-4A74-B315-B2180016F969}"/>
            </a:ext>
          </a:extLst>
        </xdr:cNvPr>
        <xdr:cNvSpPr>
          <a:spLocks noChangeAspect="1" noChangeArrowheads="1"/>
        </xdr:cNvSpPr>
      </xdr:nvSpPr>
      <xdr:spPr bwMode="auto">
        <a:xfrm>
          <a:off x="3803650" y="67214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158</xdr:row>
      <xdr:rowOff>0</xdr:rowOff>
    </xdr:from>
    <xdr:ext cx="304800" cy="304094"/>
    <xdr:sp macro="" textlink="">
      <xdr:nvSpPr>
        <xdr:cNvPr id="674" name="AutoShape 12">
          <a:extLst>
            <a:ext uri="{FF2B5EF4-FFF2-40B4-BE49-F238E27FC236}">
              <a16:creationId xmlns:a16="http://schemas.microsoft.com/office/drawing/2014/main" id="{993C6EDF-02F7-4767-9B7B-631AE9802072}"/>
            </a:ext>
          </a:extLst>
        </xdr:cNvPr>
        <xdr:cNvSpPr>
          <a:spLocks noChangeAspect="1" noChangeArrowheads="1"/>
        </xdr:cNvSpPr>
      </xdr:nvSpPr>
      <xdr:spPr bwMode="auto">
        <a:xfrm>
          <a:off x="3803650" y="673989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168</xdr:row>
      <xdr:rowOff>0</xdr:rowOff>
    </xdr:from>
    <xdr:ext cx="304800" cy="304094"/>
    <xdr:sp macro="" textlink="">
      <xdr:nvSpPr>
        <xdr:cNvPr id="675" name="AutoShape 12">
          <a:extLst>
            <a:ext uri="{FF2B5EF4-FFF2-40B4-BE49-F238E27FC236}">
              <a16:creationId xmlns:a16="http://schemas.microsoft.com/office/drawing/2014/main" id="{5C5E88FF-9746-4C8E-8CDD-2E4EDC340F99}"/>
            </a:ext>
          </a:extLst>
        </xdr:cNvPr>
        <xdr:cNvSpPr>
          <a:spLocks noChangeAspect="1" noChangeArrowheads="1"/>
        </xdr:cNvSpPr>
      </xdr:nvSpPr>
      <xdr:spPr bwMode="auto">
        <a:xfrm>
          <a:off x="3803650" y="692404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169</xdr:row>
      <xdr:rowOff>0</xdr:rowOff>
    </xdr:from>
    <xdr:ext cx="304800" cy="304094"/>
    <xdr:sp macro="" textlink="">
      <xdr:nvSpPr>
        <xdr:cNvPr id="676" name="AutoShape 12">
          <a:extLst>
            <a:ext uri="{FF2B5EF4-FFF2-40B4-BE49-F238E27FC236}">
              <a16:creationId xmlns:a16="http://schemas.microsoft.com/office/drawing/2014/main" id="{6FE7B6F8-1EAD-4AE0-9B0B-F8E766264613}"/>
            </a:ext>
          </a:extLst>
        </xdr:cNvPr>
        <xdr:cNvSpPr>
          <a:spLocks noChangeAspect="1" noChangeArrowheads="1"/>
        </xdr:cNvSpPr>
      </xdr:nvSpPr>
      <xdr:spPr bwMode="auto">
        <a:xfrm>
          <a:off x="3803650" y="694245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160</xdr:row>
      <xdr:rowOff>0</xdr:rowOff>
    </xdr:from>
    <xdr:ext cx="304800" cy="304094"/>
    <xdr:sp macro="" textlink="">
      <xdr:nvSpPr>
        <xdr:cNvPr id="677" name="AutoShape 12">
          <a:extLst>
            <a:ext uri="{FF2B5EF4-FFF2-40B4-BE49-F238E27FC236}">
              <a16:creationId xmlns:a16="http://schemas.microsoft.com/office/drawing/2014/main" id="{5512C74C-A1E0-4E65-AA36-0CA9B66FEC19}"/>
            </a:ext>
          </a:extLst>
        </xdr:cNvPr>
        <xdr:cNvSpPr>
          <a:spLocks noChangeAspect="1" noChangeArrowheads="1"/>
        </xdr:cNvSpPr>
      </xdr:nvSpPr>
      <xdr:spPr bwMode="auto">
        <a:xfrm>
          <a:off x="3803650" y="677672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161</xdr:row>
      <xdr:rowOff>0</xdr:rowOff>
    </xdr:from>
    <xdr:ext cx="304800" cy="304094"/>
    <xdr:sp macro="" textlink="">
      <xdr:nvSpPr>
        <xdr:cNvPr id="678" name="AutoShape 12">
          <a:extLst>
            <a:ext uri="{FF2B5EF4-FFF2-40B4-BE49-F238E27FC236}">
              <a16:creationId xmlns:a16="http://schemas.microsoft.com/office/drawing/2014/main" id="{F354F0C4-CE17-47E9-A23E-C7321DE755B4}"/>
            </a:ext>
          </a:extLst>
        </xdr:cNvPr>
        <xdr:cNvSpPr>
          <a:spLocks noChangeAspect="1" noChangeArrowheads="1"/>
        </xdr:cNvSpPr>
      </xdr:nvSpPr>
      <xdr:spPr bwMode="auto">
        <a:xfrm>
          <a:off x="3803650" y="679513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171</xdr:row>
      <xdr:rowOff>0</xdr:rowOff>
    </xdr:from>
    <xdr:ext cx="304800" cy="304094"/>
    <xdr:sp macro="" textlink="">
      <xdr:nvSpPr>
        <xdr:cNvPr id="679" name="AutoShape 12">
          <a:extLst>
            <a:ext uri="{FF2B5EF4-FFF2-40B4-BE49-F238E27FC236}">
              <a16:creationId xmlns:a16="http://schemas.microsoft.com/office/drawing/2014/main" id="{1134F2AC-C4F6-440C-84E0-2570F11E262E}"/>
            </a:ext>
          </a:extLst>
        </xdr:cNvPr>
        <xdr:cNvSpPr>
          <a:spLocks noChangeAspect="1" noChangeArrowheads="1"/>
        </xdr:cNvSpPr>
      </xdr:nvSpPr>
      <xdr:spPr bwMode="auto">
        <a:xfrm>
          <a:off x="3803650" y="697928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172</xdr:row>
      <xdr:rowOff>0</xdr:rowOff>
    </xdr:from>
    <xdr:ext cx="304800" cy="304094"/>
    <xdr:sp macro="" textlink="">
      <xdr:nvSpPr>
        <xdr:cNvPr id="680" name="AutoShape 12">
          <a:extLst>
            <a:ext uri="{FF2B5EF4-FFF2-40B4-BE49-F238E27FC236}">
              <a16:creationId xmlns:a16="http://schemas.microsoft.com/office/drawing/2014/main" id="{DC2D99C7-F8CD-4813-842B-F6F905E8B9D9}"/>
            </a:ext>
          </a:extLst>
        </xdr:cNvPr>
        <xdr:cNvSpPr>
          <a:spLocks noChangeAspect="1" noChangeArrowheads="1"/>
        </xdr:cNvSpPr>
      </xdr:nvSpPr>
      <xdr:spPr bwMode="auto">
        <a:xfrm>
          <a:off x="3803650" y="699770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161</xdr:row>
      <xdr:rowOff>0</xdr:rowOff>
    </xdr:from>
    <xdr:ext cx="304800" cy="304094"/>
    <xdr:sp macro="" textlink="">
      <xdr:nvSpPr>
        <xdr:cNvPr id="681" name="AutoShape 12">
          <a:extLst>
            <a:ext uri="{FF2B5EF4-FFF2-40B4-BE49-F238E27FC236}">
              <a16:creationId xmlns:a16="http://schemas.microsoft.com/office/drawing/2014/main" id="{5955E620-037D-4CF8-8CA7-8DC33513C474}"/>
            </a:ext>
          </a:extLst>
        </xdr:cNvPr>
        <xdr:cNvSpPr>
          <a:spLocks noChangeAspect="1" noChangeArrowheads="1"/>
        </xdr:cNvSpPr>
      </xdr:nvSpPr>
      <xdr:spPr bwMode="auto">
        <a:xfrm>
          <a:off x="3803650" y="679513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162</xdr:row>
      <xdr:rowOff>0</xdr:rowOff>
    </xdr:from>
    <xdr:ext cx="304800" cy="304094"/>
    <xdr:sp macro="" textlink="">
      <xdr:nvSpPr>
        <xdr:cNvPr id="682" name="AutoShape 12">
          <a:extLst>
            <a:ext uri="{FF2B5EF4-FFF2-40B4-BE49-F238E27FC236}">
              <a16:creationId xmlns:a16="http://schemas.microsoft.com/office/drawing/2014/main" id="{752E03AE-317A-4D50-BABB-B7EB7581301D}"/>
            </a:ext>
          </a:extLst>
        </xdr:cNvPr>
        <xdr:cNvSpPr>
          <a:spLocks noChangeAspect="1" noChangeArrowheads="1"/>
        </xdr:cNvSpPr>
      </xdr:nvSpPr>
      <xdr:spPr bwMode="auto">
        <a:xfrm>
          <a:off x="3803650" y="681355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172</xdr:row>
      <xdr:rowOff>0</xdr:rowOff>
    </xdr:from>
    <xdr:ext cx="304800" cy="304094"/>
    <xdr:sp macro="" textlink="">
      <xdr:nvSpPr>
        <xdr:cNvPr id="683" name="AutoShape 12">
          <a:extLst>
            <a:ext uri="{FF2B5EF4-FFF2-40B4-BE49-F238E27FC236}">
              <a16:creationId xmlns:a16="http://schemas.microsoft.com/office/drawing/2014/main" id="{8D72D048-080D-40F5-870E-5B64F537EC6A}"/>
            </a:ext>
          </a:extLst>
        </xdr:cNvPr>
        <xdr:cNvSpPr>
          <a:spLocks noChangeAspect="1" noChangeArrowheads="1"/>
        </xdr:cNvSpPr>
      </xdr:nvSpPr>
      <xdr:spPr bwMode="auto">
        <a:xfrm>
          <a:off x="3803650" y="699770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173</xdr:row>
      <xdr:rowOff>0</xdr:rowOff>
    </xdr:from>
    <xdr:ext cx="304800" cy="304094"/>
    <xdr:sp macro="" textlink="">
      <xdr:nvSpPr>
        <xdr:cNvPr id="684" name="AutoShape 12">
          <a:extLst>
            <a:ext uri="{FF2B5EF4-FFF2-40B4-BE49-F238E27FC236}">
              <a16:creationId xmlns:a16="http://schemas.microsoft.com/office/drawing/2014/main" id="{DD9AD77D-E961-484B-82BF-8565BD5A1602}"/>
            </a:ext>
          </a:extLst>
        </xdr:cNvPr>
        <xdr:cNvSpPr>
          <a:spLocks noChangeAspect="1" noChangeArrowheads="1"/>
        </xdr:cNvSpPr>
      </xdr:nvSpPr>
      <xdr:spPr bwMode="auto">
        <a:xfrm>
          <a:off x="3803650" y="70161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161</xdr:row>
      <xdr:rowOff>0</xdr:rowOff>
    </xdr:from>
    <xdr:ext cx="304800" cy="304094"/>
    <xdr:sp macro="" textlink="">
      <xdr:nvSpPr>
        <xdr:cNvPr id="685" name="AutoShape 12">
          <a:extLst>
            <a:ext uri="{FF2B5EF4-FFF2-40B4-BE49-F238E27FC236}">
              <a16:creationId xmlns:a16="http://schemas.microsoft.com/office/drawing/2014/main" id="{B9779D52-1FAC-4968-B83F-4325CB546B93}"/>
            </a:ext>
          </a:extLst>
        </xdr:cNvPr>
        <xdr:cNvSpPr>
          <a:spLocks noChangeAspect="1" noChangeArrowheads="1"/>
        </xdr:cNvSpPr>
      </xdr:nvSpPr>
      <xdr:spPr bwMode="auto">
        <a:xfrm>
          <a:off x="3803650" y="679513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162</xdr:row>
      <xdr:rowOff>0</xdr:rowOff>
    </xdr:from>
    <xdr:ext cx="304800" cy="304094"/>
    <xdr:sp macro="" textlink="">
      <xdr:nvSpPr>
        <xdr:cNvPr id="686" name="AutoShape 12">
          <a:extLst>
            <a:ext uri="{FF2B5EF4-FFF2-40B4-BE49-F238E27FC236}">
              <a16:creationId xmlns:a16="http://schemas.microsoft.com/office/drawing/2014/main" id="{BFC63437-6DFE-41F1-A6D3-CD870B848FE1}"/>
            </a:ext>
          </a:extLst>
        </xdr:cNvPr>
        <xdr:cNvSpPr>
          <a:spLocks noChangeAspect="1" noChangeArrowheads="1"/>
        </xdr:cNvSpPr>
      </xdr:nvSpPr>
      <xdr:spPr bwMode="auto">
        <a:xfrm>
          <a:off x="3803650" y="681355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172</xdr:row>
      <xdr:rowOff>0</xdr:rowOff>
    </xdr:from>
    <xdr:ext cx="304800" cy="304094"/>
    <xdr:sp macro="" textlink="">
      <xdr:nvSpPr>
        <xdr:cNvPr id="687" name="AutoShape 12">
          <a:extLst>
            <a:ext uri="{FF2B5EF4-FFF2-40B4-BE49-F238E27FC236}">
              <a16:creationId xmlns:a16="http://schemas.microsoft.com/office/drawing/2014/main" id="{C0C73025-E17F-4025-A78B-AABDA1DCCD94}"/>
            </a:ext>
          </a:extLst>
        </xdr:cNvPr>
        <xdr:cNvSpPr>
          <a:spLocks noChangeAspect="1" noChangeArrowheads="1"/>
        </xdr:cNvSpPr>
      </xdr:nvSpPr>
      <xdr:spPr bwMode="auto">
        <a:xfrm>
          <a:off x="3803650" y="699770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173</xdr:row>
      <xdr:rowOff>0</xdr:rowOff>
    </xdr:from>
    <xdr:ext cx="304800" cy="304094"/>
    <xdr:sp macro="" textlink="">
      <xdr:nvSpPr>
        <xdr:cNvPr id="688" name="AutoShape 12">
          <a:extLst>
            <a:ext uri="{FF2B5EF4-FFF2-40B4-BE49-F238E27FC236}">
              <a16:creationId xmlns:a16="http://schemas.microsoft.com/office/drawing/2014/main" id="{DEFE3266-82F1-485D-AFC3-08592C4FD4EF}"/>
            </a:ext>
          </a:extLst>
        </xdr:cNvPr>
        <xdr:cNvSpPr>
          <a:spLocks noChangeAspect="1" noChangeArrowheads="1"/>
        </xdr:cNvSpPr>
      </xdr:nvSpPr>
      <xdr:spPr bwMode="auto">
        <a:xfrm>
          <a:off x="3803650" y="70161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162</xdr:row>
      <xdr:rowOff>0</xdr:rowOff>
    </xdr:from>
    <xdr:ext cx="304800" cy="304094"/>
    <xdr:sp macro="" textlink="">
      <xdr:nvSpPr>
        <xdr:cNvPr id="689" name="AutoShape 12">
          <a:extLst>
            <a:ext uri="{FF2B5EF4-FFF2-40B4-BE49-F238E27FC236}">
              <a16:creationId xmlns:a16="http://schemas.microsoft.com/office/drawing/2014/main" id="{EBF91385-AD98-4C5A-8B5E-3280F21FF5CE}"/>
            </a:ext>
          </a:extLst>
        </xdr:cNvPr>
        <xdr:cNvSpPr>
          <a:spLocks noChangeAspect="1" noChangeArrowheads="1"/>
        </xdr:cNvSpPr>
      </xdr:nvSpPr>
      <xdr:spPr bwMode="auto">
        <a:xfrm>
          <a:off x="3803650" y="681355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163</xdr:row>
      <xdr:rowOff>0</xdr:rowOff>
    </xdr:from>
    <xdr:ext cx="304800" cy="304094"/>
    <xdr:sp macro="" textlink="">
      <xdr:nvSpPr>
        <xdr:cNvPr id="690" name="AutoShape 12">
          <a:extLst>
            <a:ext uri="{FF2B5EF4-FFF2-40B4-BE49-F238E27FC236}">
              <a16:creationId xmlns:a16="http://schemas.microsoft.com/office/drawing/2014/main" id="{FEB3D1AD-214E-4E05-A6FB-AC5C8D2F34F0}"/>
            </a:ext>
          </a:extLst>
        </xdr:cNvPr>
        <xdr:cNvSpPr>
          <a:spLocks noChangeAspect="1" noChangeArrowheads="1"/>
        </xdr:cNvSpPr>
      </xdr:nvSpPr>
      <xdr:spPr bwMode="auto">
        <a:xfrm>
          <a:off x="3803650" y="683196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173</xdr:row>
      <xdr:rowOff>0</xdr:rowOff>
    </xdr:from>
    <xdr:ext cx="304800" cy="304094"/>
    <xdr:sp macro="" textlink="">
      <xdr:nvSpPr>
        <xdr:cNvPr id="691" name="AutoShape 12">
          <a:extLst>
            <a:ext uri="{FF2B5EF4-FFF2-40B4-BE49-F238E27FC236}">
              <a16:creationId xmlns:a16="http://schemas.microsoft.com/office/drawing/2014/main" id="{E0D1C5E9-933B-415C-9E56-97563EA60508}"/>
            </a:ext>
          </a:extLst>
        </xdr:cNvPr>
        <xdr:cNvSpPr>
          <a:spLocks noChangeAspect="1" noChangeArrowheads="1"/>
        </xdr:cNvSpPr>
      </xdr:nvSpPr>
      <xdr:spPr bwMode="auto">
        <a:xfrm>
          <a:off x="3803650" y="70161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174</xdr:row>
      <xdr:rowOff>0</xdr:rowOff>
    </xdr:from>
    <xdr:ext cx="304800" cy="304094"/>
    <xdr:sp macro="" textlink="">
      <xdr:nvSpPr>
        <xdr:cNvPr id="692" name="AutoShape 12">
          <a:extLst>
            <a:ext uri="{FF2B5EF4-FFF2-40B4-BE49-F238E27FC236}">
              <a16:creationId xmlns:a16="http://schemas.microsoft.com/office/drawing/2014/main" id="{588C30B0-CE52-4AB4-B21C-6A937E58E686}"/>
            </a:ext>
          </a:extLst>
        </xdr:cNvPr>
        <xdr:cNvSpPr>
          <a:spLocks noChangeAspect="1" noChangeArrowheads="1"/>
        </xdr:cNvSpPr>
      </xdr:nvSpPr>
      <xdr:spPr bwMode="auto">
        <a:xfrm>
          <a:off x="3803650" y="703453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204</xdr:row>
      <xdr:rowOff>0</xdr:rowOff>
    </xdr:from>
    <xdr:ext cx="304800" cy="304094"/>
    <xdr:sp macro="" textlink="">
      <xdr:nvSpPr>
        <xdr:cNvPr id="693" name="AutoShape 12">
          <a:extLst>
            <a:ext uri="{FF2B5EF4-FFF2-40B4-BE49-F238E27FC236}">
              <a16:creationId xmlns:a16="http://schemas.microsoft.com/office/drawing/2014/main" id="{3662D386-9474-4128-A1FA-46B58702108B}"/>
            </a:ext>
          </a:extLst>
        </xdr:cNvPr>
        <xdr:cNvSpPr>
          <a:spLocks noChangeAspect="1" noChangeArrowheads="1"/>
        </xdr:cNvSpPr>
      </xdr:nvSpPr>
      <xdr:spPr bwMode="auto">
        <a:xfrm>
          <a:off x="3803650" y="758698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205</xdr:row>
      <xdr:rowOff>0</xdr:rowOff>
    </xdr:from>
    <xdr:ext cx="304800" cy="304094"/>
    <xdr:sp macro="" textlink="">
      <xdr:nvSpPr>
        <xdr:cNvPr id="694" name="AutoShape 12">
          <a:extLst>
            <a:ext uri="{FF2B5EF4-FFF2-40B4-BE49-F238E27FC236}">
              <a16:creationId xmlns:a16="http://schemas.microsoft.com/office/drawing/2014/main" id="{BDD477B0-DB51-4DD0-9CD9-3066B5454782}"/>
            </a:ext>
          </a:extLst>
        </xdr:cNvPr>
        <xdr:cNvSpPr>
          <a:spLocks noChangeAspect="1" noChangeArrowheads="1"/>
        </xdr:cNvSpPr>
      </xdr:nvSpPr>
      <xdr:spPr bwMode="auto">
        <a:xfrm>
          <a:off x="3803650" y="760539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215</xdr:row>
      <xdr:rowOff>0</xdr:rowOff>
    </xdr:from>
    <xdr:ext cx="304800" cy="304094"/>
    <xdr:sp macro="" textlink="">
      <xdr:nvSpPr>
        <xdr:cNvPr id="695" name="AutoShape 12">
          <a:extLst>
            <a:ext uri="{FF2B5EF4-FFF2-40B4-BE49-F238E27FC236}">
              <a16:creationId xmlns:a16="http://schemas.microsoft.com/office/drawing/2014/main" id="{C61E6180-A70E-4EFF-9E7E-BEA7B7E12CF8}"/>
            </a:ext>
          </a:extLst>
        </xdr:cNvPr>
        <xdr:cNvSpPr>
          <a:spLocks noChangeAspect="1" noChangeArrowheads="1"/>
        </xdr:cNvSpPr>
      </xdr:nvSpPr>
      <xdr:spPr bwMode="auto">
        <a:xfrm>
          <a:off x="3803650" y="778954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216</xdr:row>
      <xdr:rowOff>0</xdr:rowOff>
    </xdr:from>
    <xdr:ext cx="304800" cy="304094"/>
    <xdr:sp macro="" textlink="">
      <xdr:nvSpPr>
        <xdr:cNvPr id="696" name="AutoShape 12">
          <a:extLst>
            <a:ext uri="{FF2B5EF4-FFF2-40B4-BE49-F238E27FC236}">
              <a16:creationId xmlns:a16="http://schemas.microsoft.com/office/drawing/2014/main" id="{F5FB778C-3DA1-4BC7-A624-8ADB54D51E27}"/>
            </a:ext>
          </a:extLst>
        </xdr:cNvPr>
        <xdr:cNvSpPr>
          <a:spLocks noChangeAspect="1" noChangeArrowheads="1"/>
        </xdr:cNvSpPr>
      </xdr:nvSpPr>
      <xdr:spPr bwMode="auto">
        <a:xfrm>
          <a:off x="3803650" y="780796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205</xdr:row>
      <xdr:rowOff>0</xdr:rowOff>
    </xdr:from>
    <xdr:ext cx="304800" cy="304094"/>
    <xdr:sp macro="" textlink="">
      <xdr:nvSpPr>
        <xdr:cNvPr id="697" name="AutoShape 12">
          <a:extLst>
            <a:ext uri="{FF2B5EF4-FFF2-40B4-BE49-F238E27FC236}">
              <a16:creationId xmlns:a16="http://schemas.microsoft.com/office/drawing/2014/main" id="{419EC6BD-410D-430B-B488-3A95A07D9309}"/>
            </a:ext>
          </a:extLst>
        </xdr:cNvPr>
        <xdr:cNvSpPr>
          <a:spLocks noChangeAspect="1" noChangeArrowheads="1"/>
        </xdr:cNvSpPr>
      </xdr:nvSpPr>
      <xdr:spPr bwMode="auto">
        <a:xfrm>
          <a:off x="3803650" y="760539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206</xdr:row>
      <xdr:rowOff>0</xdr:rowOff>
    </xdr:from>
    <xdr:ext cx="304800" cy="304094"/>
    <xdr:sp macro="" textlink="">
      <xdr:nvSpPr>
        <xdr:cNvPr id="698" name="AutoShape 12">
          <a:extLst>
            <a:ext uri="{FF2B5EF4-FFF2-40B4-BE49-F238E27FC236}">
              <a16:creationId xmlns:a16="http://schemas.microsoft.com/office/drawing/2014/main" id="{A1EC8713-20A1-4FA3-AE04-35C0CF44DCF5}"/>
            </a:ext>
          </a:extLst>
        </xdr:cNvPr>
        <xdr:cNvSpPr>
          <a:spLocks noChangeAspect="1" noChangeArrowheads="1"/>
        </xdr:cNvSpPr>
      </xdr:nvSpPr>
      <xdr:spPr bwMode="auto">
        <a:xfrm>
          <a:off x="3803650" y="762381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216</xdr:row>
      <xdr:rowOff>0</xdr:rowOff>
    </xdr:from>
    <xdr:ext cx="304800" cy="304094"/>
    <xdr:sp macro="" textlink="">
      <xdr:nvSpPr>
        <xdr:cNvPr id="699" name="AutoShape 12">
          <a:extLst>
            <a:ext uri="{FF2B5EF4-FFF2-40B4-BE49-F238E27FC236}">
              <a16:creationId xmlns:a16="http://schemas.microsoft.com/office/drawing/2014/main" id="{B4D3F4FC-A51D-4870-A87E-A1284DBAE75A}"/>
            </a:ext>
          </a:extLst>
        </xdr:cNvPr>
        <xdr:cNvSpPr>
          <a:spLocks noChangeAspect="1" noChangeArrowheads="1"/>
        </xdr:cNvSpPr>
      </xdr:nvSpPr>
      <xdr:spPr bwMode="auto">
        <a:xfrm>
          <a:off x="3803650" y="780796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217</xdr:row>
      <xdr:rowOff>0</xdr:rowOff>
    </xdr:from>
    <xdr:ext cx="304800" cy="304094"/>
    <xdr:sp macro="" textlink="">
      <xdr:nvSpPr>
        <xdr:cNvPr id="700" name="AutoShape 12">
          <a:extLst>
            <a:ext uri="{FF2B5EF4-FFF2-40B4-BE49-F238E27FC236}">
              <a16:creationId xmlns:a16="http://schemas.microsoft.com/office/drawing/2014/main" id="{44170027-1822-4B08-96F6-3C9218298556}"/>
            </a:ext>
          </a:extLst>
        </xdr:cNvPr>
        <xdr:cNvSpPr>
          <a:spLocks noChangeAspect="1" noChangeArrowheads="1"/>
        </xdr:cNvSpPr>
      </xdr:nvSpPr>
      <xdr:spPr bwMode="auto">
        <a:xfrm>
          <a:off x="3803650" y="78263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205</xdr:row>
      <xdr:rowOff>0</xdr:rowOff>
    </xdr:from>
    <xdr:ext cx="304800" cy="304094"/>
    <xdr:sp macro="" textlink="">
      <xdr:nvSpPr>
        <xdr:cNvPr id="701" name="AutoShape 12">
          <a:extLst>
            <a:ext uri="{FF2B5EF4-FFF2-40B4-BE49-F238E27FC236}">
              <a16:creationId xmlns:a16="http://schemas.microsoft.com/office/drawing/2014/main" id="{F6DCB723-3834-4F2F-A9CC-0E822459EC9D}"/>
            </a:ext>
          </a:extLst>
        </xdr:cNvPr>
        <xdr:cNvSpPr>
          <a:spLocks noChangeAspect="1" noChangeArrowheads="1"/>
        </xdr:cNvSpPr>
      </xdr:nvSpPr>
      <xdr:spPr bwMode="auto">
        <a:xfrm>
          <a:off x="3803650" y="760539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206</xdr:row>
      <xdr:rowOff>0</xdr:rowOff>
    </xdr:from>
    <xdr:ext cx="304800" cy="304094"/>
    <xdr:sp macro="" textlink="">
      <xdr:nvSpPr>
        <xdr:cNvPr id="702" name="AutoShape 12">
          <a:extLst>
            <a:ext uri="{FF2B5EF4-FFF2-40B4-BE49-F238E27FC236}">
              <a16:creationId xmlns:a16="http://schemas.microsoft.com/office/drawing/2014/main" id="{02A208AE-6797-42F6-8972-8B039BE9B2D4}"/>
            </a:ext>
          </a:extLst>
        </xdr:cNvPr>
        <xdr:cNvSpPr>
          <a:spLocks noChangeAspect="1" noChangeArrowheads="1"/>
        </xdr:cNvSpPr>
      </xdr:nvSpPr>
      <xdr:spPr bwMode="auto">
        <a:xfrm>
          <a:off x="3803650" y="762381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216</xdr:row>
      <xdr:rowOff>0</xdr:rowOff>
    </xdr:from>
    <xdr:ext cx="304800" cy="304094"/>
    <xdr:sp macro="" textlink="">
      <xdr:nvSpPr>
        <xdr:cNvPr id="703" name="AutoShape 12">
          <a:extLst>
            <a:ext uri="{FF2B5EF4-FFF2-40B4-BE49-F238E27FC236}">
              <a16:creationId xmlns:a16="http://schemas.microsoft.com/office/drawing/2014/main" id="{255ACD62-1BDB-47B6-ABA4-358318A3B9F8}"/>
            </a:ext>
          </a:extLst>
        </xdr:cNvPr>
        <xdr:cNvSpPr>
          <a:spLocks noChangeAspect="1" noChangeArrowheads="1"/>
        </xdr:cNvSpPr>
      </xdr:nvSpPr>
      <xdr:spPr bwMode="auto">
        <a:xfrm>
          <a:off x="3803650" y="780796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217</xdr:row>
      <xdr:rowOff>0</xdr:rowOff>
    </xdr:from>
    <xdr:ext cx="304800" cy="304094"/>
    <xdr:sp macro="" textlink="">
      <xdr:nvSpPr>
        <xdr:cNvPr id="704" name="AutoShape 12">
          <a:extLst>
            <a:ext uri="{FF2B5EF4-FFF2-40B4-BE49-F238E27FC236}">
              <a16:creationId xmlns:a16="http://schemas.microsoft.com/office/drawing/2014/main" id="{35542310-C9B5-4011-9C05-4A6A5BEF4AA6}"/>
            </a:ext>
          </a:extLst>
        </xdr:cNvPr>
        <xdr:cNvSpPr>
          <a:spLocks noChangeAspect="1" noChangeArrowheads="1"/>
        </xdr:cNvSpPr>
      </xdr:nvSpPr>
      <xdr:spPr bwMode="auto">
        <a:xfrm>
          <a:off x="3803650" y="78263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206</xdr:row>
      <xdr:rowOff>0</xdr:rowOff>
    </xdr:from>
    <xdr:ext cx="304800" cy="304094"/>
    <xdr:sp macro="" textlink="">
      <xdr:nvSpPr>
        <xdr:cNvPr id="705" name="AutoShape 12">
          <a:extLst>
            <a:ext uri="{FF2B5EF4-FFF2-40B4-BE49-F238E27FC236}">
              <a16:creationId xmlns:a16="http://schemas.microsoft.com/office/drawing/2014/main" id="{80F42427-3D23-48B4-AE3D-65889F0B985D}"/>
            </a:ext>
          </a:extLst>
        </xdr:cNvPr>
        <xdr:cNvSpPr>
          <a:spLocks noChangeAspect="1" noChangeArrowheads="1"/>
        </xdr:cNvSpPr>
      </xdr:nvSpPr>
      <xdr:spPr bwMode="auto">
        <a:xfrm>
          <a:off x="3803650" y="762381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207</xdr:row>
      <xdr:rowOff>0</xdr:rowOff>
    </xdr:from>
    <xdr:ext cx="304800" cy="304094"/>
    <xdr:sp macro="" textlink="">
      <xdr:nvSpPr>
        <xdr:cNvPr id="706" name="AutoShape 12">
          <a:extLst>
            <a:ext uri="{FF2B5EF4-FFF2-40B4-BE49-F238E27FC236}">
              <a16:creationId xmlns:a16="http://schemas.microsoft.com/office/drawing/2014/main" id="{0275EB1F-6C63-4D1E-BB10-CF9E8955860C}"/>
            </a:ext>
          </a:extLst>
        </xdr:cNvPr>
        <xdr:cNvSpPr>
          <a:spLocks noChangeAspect="1" noChangeArrowheads="1"/>
        </xdr:cNvSpPr>
      </xdr:nvSpPr>
      <xdr:spPr bwMode="auto">
        <a:xfrm>
          <a:off x="3803650" y="764222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217</xdr:row>
      <xdr:rowOff>0</xdr:rowOff>
    </xdr:from>
    <xdr:ext cx="304800" cy="304094"/>
    <xdr:sp macro="" textlink="">
      <xdr:nvSpPr>
        <xdr:cNvPr id="707" name="AutoShape 12">
          <a:extLst>
            <a:ext uri="{FF2B5EF4-FFF2-40B4-BE49-F238E27FC236}">
              <a16:creationId xmlns:a16="http://schemas.microsoft.com/office/drawing/2014/main" id="{333D6B9B-E33E-48DD-837E-734F38F80471}"/>
            </a:ext>
          </a:extLst>
        </xdr:cNvPr>
        <xdr:cNvSpPr>
          <a:spLocks noChangeAspect="1" noChangeArrowheads="1"/>
        </xdr:cNvSpPr>
      </xdr:nvSpPr>
      <xdr:spPr bwMode="auto">
        <a:xfrm>
          <a:off x="3803650" y="78263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207</xdr:row>
      <xdr:rowOff>0</xdr:rowOff>
    </xdr:from>
    <xdr:ext cx="304800" cy="304094"/>
    <xdr:sp macro="" textlink="">
      <xdr:nvSpPr>
        <xdr:cNvPr id="708" name="AutoShape 12">
          <a:extLst>
            <a:ext uri="{FF2B5EF4-FFF2-40B4-BE49-F238E27FC236}">
              <a16:creationId xmlns:a16="http://schemas.microsoft.com/office/drawing/2014/main" id="{B0D45B05-81F0-4BCA-A226-7D7D977419E3}"/>
            </a:ext>
          </a:extLst>
        </xdr:cNvPr>
        <xdr:cNvSpPr>
          <a:spLocks noChangeAspect="1" noChangeArrowheads="1"/>
        </xdr:cNvSpPr>
      </xdr:nvSpPr>
      <xdr:spPr bwMode="auto">
        <a:xfrm>
          <a:off x="3803650" y="764222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208</xdr:row>
      <xdr:rowOff>0</xdr:rowOff>
    </xdr:from>
    <xdr:ext cx="304800" cy="304094"/>
    <xdr:sp macro="" textlink="">
      <xdr:nvSpPr>
        <xdr:cNvPr id="709" name="AutoShape 12">
          <a:extLst>
            <a:ext uri="{FF2B5EF4-FFF2-40B4-BE49-F238E27FC236}">
              <a16:creationId xmlns:a16="http://schemas.microsoft.com/office/drawing/2014/main" id="{0A276B74-D63D-40A9-B768-DB9A940E8604}"/>
            </a:ext>
          </a:extLst>
        </xdr:cNvPr>
        <xdr:cNvSpPr>
          <a:spLocks noChangeAspect="1" noChangeArrowheads="1"/>
        </xdr:cNvSpPr>
      </xdr:nvSpPr>
      <xdr:spPr bwMode="auto">
        <a:xfrm>
          <a:off x="3803650" y="766064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208</xdr:row>
      <xdr:rowOff>0</xdr:rowOff>
    </xdr:from>
    <xdr:ext cx="304800" cy="304094"/>
    <xdr:sp macro="" textlink="">
      <xdr:nvSpPr>
        <xdr:cNvPr id="710" name="AutoShape 12">
          <a:extLst>
            <a:ext uri="{FF2B5EF4-FFF2-40B4-BE49-F238E27FC236}">
              <a16:creationId xmlns:a16="http://schemas.microsoft.com/office/drawing/2014/main" id="{48144B33-38CC-4EB4-9CC5-7CEDEAB637A2}"/>
            </a:ext>
          </a:extLst>
        </xdr:cNvPr>
        <xdr:cNvSpPr>
          <a:spLocks noChangeAspect="1" noChangeArrowheads="1"/>
        </xdr:cNvSpPr>
      </xdr:nvSpPr>
      <xdr:spPr bwMode="auto">
        <a:xfrm>
          <a:off x="3803650" y="766064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209</xdr:row>
      <xdr:rowOff>0</xdr:rowOff>
    </xdr:from>
    <xdr:ext cx="304800" cy="304094"/>
    <xdr:sp macro="" textlink="">
      <xdr:nvSpPr>
        <xdr:cNvPr id="711" name="AutoShape 12">
          <a:extLst>
            <a:ext uri="{FF2B5EF4-FFF2-40B4-BE49-F238E27FC236}">
              <a16:creationId xmlns:a16="http://schemas.microsoft.com/office/drawing/2014/main" id="{309CBD0D-B634-4E13-B7E2-EFE756212CA7}"/>
            </a:ext>
          </a:extLst>
        </xdr:cNvPr>
        <xdr:cNvSpPr>
          <a:spLocks noChangeAspect="1" noChangeArrowheads="1"/>
        </xdr:cNvSpPr>
      </xdr:nvSpPr>
      <xdr:spPr bwMode="auto">
        <a:xfrm>
          <a:off x="3803650" y="767905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208</xdr:row>
      <xdr:rowOff>0</xdr:rowOff>
    </xdr:from>
    <xdr:ext cx="304800" cy="304094"/>
    <xdr:sp macro="" textlink="">
      <xdr:nvSpPr>
        <xdr:cNvPr id="712" name="AutoShape 12">
          <a:extLst>
            <a:ext uri="{FF2B5EF4-FFF2-40B4-BE49-F238E27FC236}">
              <a16:creationId xmlns:a16="http://schemas.microsoft.com/office/drawing/2014/main" id="{EB1CF977-28B4-45F9-9A98-46EF603A6C1B}"/>
            </a:ext>
          </a:extLst>
        </xdr:cNvPr>
        <xdr:cNvSpPr>
          <a:spLocks noChangeAspect="1" noChangeArrowheads="1"/>
        </xdr:cNvSpPr>
      </xdr:nvSpPr>
      <xdr:spPr bwMode="auto">
        <a:xfrm>
          <a:off x="3803650" y="766064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209</xdr:row>
      <xdr:rowOff>0</xdr:rowOff>
    </xdr:from>
    <xdr:ext cx="304800" cy="304094"/>
    <xdr:sp macro="" textlink="">
      <xdr:nvSpPr>
        <xdr:cNvPr id="713" name="AutoShape 12">
          <a:extLst>
            <a:ext uri="{FF2B5EF4-FFF2-40B4-BE49-F238E27FC236}">
              <a16:creationId xmlns:a16="http://schemas.microsoft.com/office/drawing/2014/main" id="{7C17CEDD-EDD7-4DD5-961F-26758831FF78}"/>
            </a:ext>
          </a:extLst>
        </xdr:cNvPr>
        <xdr:cNvSpPr>
          <a:spLocks noChangeAspect="1" noChangeArrowheads="1"/>
        </xdr:cNvSpPr>
      </xdr:nvSpPr>
      <xdr:spPr bwMode="auto">
        <a:xfrm>
          <a:off x="3803650" y="767905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209</xdr:row>
      <xdr:rowOff>0</xdr:rowOff>
    </xdr:from>
    <xdr:ext cx="304800" cy="304094"/>
    <xdr:sp macro="" textlink="">
      <xdr:nvSpPr>
        <xdr:cNvPr id="714" name="AutoShape 12">
          <a:extLst>
            <a:ext uri="{FF2B5EF4-FFF2-40B4-BE49-F238E27FC236}">
              <a16:creationId xmlns:a16="http://schemas.microsoft.com/office/drawing/2014/main" id="{49BCBFB8-C837-4521-9991-F08E5CAD7762}"/>
            </a:ext>
          </a:extLst>
        </xdr:cNvPr>
        <xdr:cNvSpPr>
          <a:spLocks noChangeAspect="1" noChangeArrowheads="1"/>
        </xdr:cNvSpPr>
      </xdr:nvSpPr>
      <xdr:spPr bwMode="auto">
        <a:xfrm>
          <a:off x="3803650" y="767905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210</xdr:row>
      <xdr:rowOff>0</xdr:rowOff>
    </xdr:from>
    <xdr:ext cx="304800" cy="304094"/>
    <xdr:sp macro="" textlink="">
      <xdr:nvSpPr>
        <xdr:cNvPr id="715" name="AutoShape 12">
          <a:extLst>
            <a:ext uri="{FF2B5EF4-FFF2-40B4-BE49-F238E27FC236}">
              <a16:creationId xmlns:a16="http://schemas.microsoft.com/office/drawing/2014/main" id="{D3768892-0AAF-4C11-9DE7-BBA04C9D8DEC}"/>
            </a:ext>
          </a:extLst>
        </xdr:cNvPr>
        <xdr:cNvSpPr>
          <a:spLocks noChangeAspect="1" noChangeArrowheads="1"/>
        </xdr:cNvSpPr>
      </xdr:nvSpPr>
      <xdr:spPr bwMode="auto">
        <a:xfrm>
          <a:off x="3803650" y="769747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113</xdr:row>
      <xdr:rowOff>0</xdr:rowOff>
    </xdr:from>
    <xdr:ext cx="304800" cy="304094"/>
    <xdr:sp macro="" textlink="">
      <xdr:nvSpPr>
        <xdr:cNvPr id="716" name="AutoShape 12">
          <a:extLst>
            <a:ext uri="{FF2B5EF4-FFF2-40B4-BE49-F238E27FC236}">
              <a16:creationId xmlns:a16="http://schemas.microsoft.com/office/drawing/2014/main" id="{EE75702D-3228-4F66-810B-CF5EF20601C9}"/>
            </a:ext>
          </a:extLst>
        </xdr:cNvPr>
        <xdr:cNvSpPr>
          <a:spLocks noChangeAspect="1" noChangeArrowheads="1"/>
        </xdr:cNvSpPr>
      </xdr:nvSpPr>
      <xdr:spPr bwMode="auto">
        <a:xfrm>
          <a:off x="3803650" y="59112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114</xdr:row>
      <xdr:rowOff>0</xdr:rowOff>
    </xdr:from>
    <xdr:ext cx="304800" cy="304094"/>
    <xdr:sp macro="" textlink="">
      <xdr:nvSpPr>
        <xdr:cNvPr id="717" name="AutoShape 12">
          <a:extLst>
            <a:ext uri="{FF2B5EF4-FFF2-40B4-BE49-F238E27FC236}">
              <a16:creationId xmlns:a16="http://schemas.microsoft.com/office/drawing/2014/main" id="{6C7005E8-4471-4387-AEAC-84B581D4E603}"/>
            </a:ext>
          </a:extLst>
        </xdr:cNvPr>
        <xdr:cNvSpPr>
          <a:spLocks noChangeAspect="1" noChangeArrowheads="1"/>
        </xdr:cNvSpPr>
      </xdr:nvSpPr>
      <xdr:spPr bwMode="auto">
        <a:xfrm>
          <a:off x="3803650" y="592963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124</xdr:row>
      <xdr:rowOff>0</xdr:rowOff>
    </xdr:from>
    <xdr:ext cx="304800" cy="304094"/>
    <xdr:sp macro="" textlink="">
      <xdr:nvSpPr>
        <xdr:cNvPr id="718" name="AutoShape 12">
          <a:extLst>
            <a:ext uri="{FF2B5EF4-FFF2-40B4-BE49-F238E27FC236}">
              <a16:creationId xmlns:a16="http://schemas.microsoft.com/office/drawing/2014/main" id="{885E5FAD-0581-4EC9-9F5B-9D1E046A7FE4}"/>
            </a:ext>
          </a:extLst>
        </xdr:cNvPr>
        <xdr:cNvSpPr>
          <a:spLocks noChangeAspect="1" noChangeArrowheads="1"/>
        </xdr:cNvSpPr>
      </xdr:nvSpPr>
      <xdr:spPr bwMode="auto">
        <a:xfrm>
          <a:off x="3803650" y="611378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125</xdr:row>
      <xdr:rowOff>0</xdr:rowOff>
    </xdr:from>
    <xdr:ext cx="304800" cy="304094"/>
    <xdr:sp macro="" textlink="">
      <xdr:nvSpPr>
        <xdr:cNvPr id="719" name="AutoShape 12">
          <a:extLst>
            <a:ext uri="{FF2B5EF4-FFF2-40B4-BE49-F238E27FC236}">
              <a16:creationId xmlns:a16="http://schemas.microsoft.com/office/drawing/2014/main" id="{D9D62C21-3B91-4003-A7E4-7112C7B7F5DF}"/>
            </a:ext>
          </a:extLst>
        </xdr:cNvPr>
        <xdr:cNvSpPr>
          <a:spLocks noChangeAspect="1" noChangeArrowheads="1"/>
        </xdr:cNvSpPr>
      </xdr:nvSpPr>
      <xdr:spPr bwMode="auto">
        <a:xfrm>
          <a:off x="3803650" y="613219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114</xdr:row>
      <xdr:rowOff>0</xdr:rowOff>
    </xdr:from>
    <xdr:ext cx="304800" cy="304094"/>
    <xdr:sp macro="" textlink="">
      <xdr:nvSpPr>
        <xdr:cNvPr id="720" name="AutoShape 12">
          <a:extLst>
            <a:ext uri="{FF2B5EF4-FFF2-40B4-BE49-F238E27FC236}">
              <a16:creationId xmlns:a16="http://schemas.microsoft.com/office/drawing/2014/main" id="{B0C1B1FB-E8B4-4992-A7AC-0F66D6E33C18}"/>
            </a:ext>
          </a:extLst>
        </xdr:cNvPr>
        <xdr:cNvSpPr>
          <a:spLocks noChangeAspect="1" noChangeArrowheads="1"/>
        </xdr:cNvSpPr>
      </xdr:nvSpPr>
      <xdr:spPr bwMode="auto">
        <a:xfrm>
          <a:off x="3803650" y="592963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115</xdr:row>
      <xdr:rowOff>0</xdr:rowOff>
    </xdr:from>
    <xdr:ext cx="304800" cy="304094"/>
    <xdr:sp macro="" textlink="">
      <xdr:nvSpPr>
        <xdr:cNvPr id="721" name="AutoShape 12">
          <a:extLst>
            <a:ext uri="{FF2B5EF4-FFF2-40B4-BE49-F238E27FC236}">
              <a16:creationId xmlns:a16="http://schemas.microsoft.com/office/drawing/2014/main" id="{B4915CB9-06FB-4759-9E94-C1F095342D15}"/>
            </a:ext>
          </a:extLst>
        </xdr:cNvPr>
        <xdr:cNvSpPr>
          <a:spLocks noChangeAspect="1" noChangeArrowheads="1"/>
        </xdr:cNvSpPr>
      </xdr:nvSpPr>
      <xdr:spPr bwMode="auto">
        <a:xfrm>
          <a:off x="3803650" y="594804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125</xdr:row>
      <xdr:rowOff>0</xdr:rowOff>
    </xdr:from>
    <xdr:ext cx="304800" cy="304094"/>
    <xdr:sp macro="" textlink="">
      <xdr:nvSpPr>
        <xdr:cNvPr id="722" name="AutoShape 12">
          <a:extLst>
            <a:ext uri="{FF2B5EF4-FFF2-40B4-BE49-F238E27FC236}">
              <a16:creationId xmlns:a16="http://schemas.microsoft.com/office/drawing/2014/main" id="{E32A8587-423A-482A-B07F-4B2E4CD55C56}"/>
            </a:ext>
          </a:extLst>
        </xdr:cNvPr>
        <xdr:cNvSpPr>
          <a:spLocks noChangeAspect="1" noChangeArrowheads="1"/>
        </xdr:cNvSpPr>
      </xdr:nvSpPr>
      <xdr:spPr bwMode="auto">
        <a:xfrm>
          <a:off x="3803650" y="613219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126</xdr:row>
      <xdr:rowOff>0</xdr:rowOff>
    </xdr:from>
    <xdr:ext cx="304800" cy="304094"/>
    <xdr:sp macro="" textlink="">
      <xdr:nvSpPr>
        <xdr:cNvPr id="723" name="AutoShape 12">
          <a:extLst>
            <a:ext uri="{FF2B5EF4-FFF2-40B4-BE49-F238E27FC236}">
              <a16:creationId xmlns:a16="http://schemas.microsoft.com/office/drawing/2014/main" id="{D20B44E6-76DB-49E0-9FE5-9E015449BBDE}"/>
            </a:ext>
          </a:extLst>
        </xdr:cNvPr>
        <xdr:cNvSpPr>
          <a:spLocks noChangeAspect="1" noChangeArrowheads="1"/>
        </xdr:cNvSpPr>
      </xdr:nvSpPr>
      <xdr:spPr bwMode="auto">
        <a:xfrm>
          <a:off x="3803650" y="615061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724" name="AutoShape 12">
          <a:extLst>
            <a:ext uri="{FF2B5EF4-FFF2-40B4-BE49-F238E27FC236}">
              <a16:creationId xmlns:a16="http://schemas.microsoft.com/office/drawing/2014/main" id="{DE0C4B6A-D9A4-4910-86D6-A18F2D6B658C}"/>
            </a:ext>
          </a:extLst>
        </xdr:cNvPr>
        <xdr:cNvSpPr>
          <a:spLocks noChangeAspect="1" noChangeArrowheads="1"/>
        </xdr:cNvSpPr>
      </xdr:nvSpPr>
      <xdr:spPr bwMode="auto">
        <a:xfrm>
          <a:off x="3803650" y="718185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183</xdr:row>
      <xdr:rowOff>0</xdr:rowOff>
    </xdr:from>
    <xdr:ext cx="304800" cy="304094"/>
    <xdr:sp macro="" textlink="">
      <xdr:nvSpPr>
        <xdr:cNvPr id="725" name="AutoShape 12">
          <a:extLst>
            <a:ext uri="{FF2B5EF4-FFF2-40B4-BE49-F238E27FC236}">
              <a16:creationId xmlns:a16="http://schemas.microsoft.com/office/drawing/2014/main" id="{FE50FB34-B948-4B38-954F-2A4C5FFC04AB}"/>
            </a:ext>
          </a:extLst>
        </xdr:cNvPr>
        <xdr:cNvSpPr>
          <a:spLocks noChangeAspect="1" noChangeArrowheads="1"/>
        </xdr:cNvSpPr>
      </xdr:nvSpPr>
      <xdr:spPr bwMode="auto">
        <a:xfrm>
          <a:off x="3803650" y="720026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193</xdr:row>
      <xdr:rowOff>0</xdr:rowOff>
    </xdr:from>
    <xdr:ext cx="304800" cy="304094"/>
    <xdr:sp macro="" textlink="">
      <xdr:nvSpPr>
        <xdr:cNvPr id="726" name="AutoShape 12">
          <a:extLst>
            <a:ext uri="{FF2B5EF4-FFF2-40B4-BE49-F238E27FC236}">
              <a16:creationId xmlns:a16="http://schemas.microsoft.com/office/drawing/2014/main" id="{D45826D0-64DA-4145-AEB9-AB4FD25FC9AA}"/>
            </a:ext>
          </a:extLst>
        </xdr:cNvPr>
        <xdr:cNvSpPr>
          <a:spLocks noChangeAspect="1" noChangeArrowheads="1"/>
        </xdr:cNvSpPr>
      </xdr:nvSpPr>
      <xdr:spPr bwMode="auto">
        <a:xfrm>
          <a:off x="3803650" y="7384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194</xdr:row>
      <xdr:rowOff>0</xdr:rowOff>
    </xdr:from>
    <xdr:ext cx="304800" cy="304094"/>
    <xdr:sp macro="" textlink="">
      <xdr:nvSpPr>
        <xdr:cNvPr id="727" name="AutoShape 12">
          <a:extLst>
            <a:ext uri="{FF2B5EF4-FFF2-40B4-BE49-F238E27FC236}">
              <a16:creationId xmlns:a16="http://schemas.microsoft.com/office/drawing/2014/main" id="{8C74779D-FF58-45C8-9B76-04409A132522}"/>
            </a:ext>
          </a:extLst>
        </xdr:cNvPr>
        <xdr:cNvSpPr>
          <a:spLocks noChangeAspect="1" noChangeArrowheads="1"/>
        </xdr:cNvSpPr>
      </xdr:nvSpPr>
      <xdr:spPr bwMode="auto">
        <a:xfrm>
          <a:off x="3803650" y="740283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183</xdr:row>
      <xdr:rowOff>0</xdr:rowOff>
    </xdr:from>
    <xdr:ext cx="304800" cy="304094"/>
    <xdr:sp macro="" textlink="">
      <xdr:nvSpPr>
        <xdr:cNvPr id="728" name="AutoShape 12">
          <a:extLst>
            <a:ext uri="{FF2B5EF4-FFF2-40B4-BE49-F238E27FC236}">
              <a16:creationId xmlns:a16="http://schemas.microsoft.com/office/drawing/2014/main" id="{B974EF7B-4C6E-415D-941F-F6E4EB2C4FA1}"/>
            </a:ext>
          </a:extLst>
        </xdr:cNvPr>
        <xdr:cNvSpPr>
          <a:spLocks noChangeAspect="1" noChangeArrowheads="1"/>
        </xdr:cNvSpPr>
      </xdr:nvSpPr>
      <xdr:spPr bwMode="auto">
        <a:xfrm>
          <a:off x="3803650" y="720026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184</xdr:row>
      <xdr:rowOff>0</xdr:rowOff>
    </xdr:from>
    <xdr:ext cx="304800" cy="304094"/>
    <xdr:sp macro="" textlink="">
      <xdr:nvSpPr>
        <xdr:cNvPr id="729" name="AutoShape 12">
          <a:extLst>
            <a:ext uri="{FF2B5EF4-FFF2-40B4-BE49-F238E27FC236}">
              <a16:creationId xmlns:a16="http://schemas.microsoft.com/office/drawing/2014/main" id="{E44B0339-5B1A-4CEA-985D-A47544D52150}"/>
            </a:ext>
          </a:extLst>
        </xdr:cNvPr>
        <xdr:cNvSpPr>
          <a:spLocks noChangeAspect="1" noChangeArrowheads="1"/>
        </xdr:cNvSpPr>
      </xdr:nvSpPr>
      <xdr:spPr bwMode="auto">
        <a:xfrm>
          <a:off x="3803650" y="721868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194</xdr:row>
      <xdr:rowOff>0</xdr:rowOff>
    </xdr:from>
    <xdr:ext cx="304800" cy="304094"/>
    <xdr:sp macro="" textlink="">
      <xdr:nvSpPr>
        <xdr:cNvPr id="730" name="AutoShape 12">
          <a:extLst>
            <a:ext uri="{FF2B5EF4-FFF2-40B4-BE49-F238E27FC236}">
              <a16:creationId xmlns:a16="http://schemas.microsoft.com/office/drawing/2014/main" id="{161D6FEF-99E6-4558-BDD5-2745C7DCCE78}"/>
            </a:ext>
          </a:extLst>
        </xdr:cNvPr>
        <xdr:cNvSpPr>
          <a:spLocks noChangeAspect="1" noChangeArrowheads="1"/>
        </xdr:cNvSpPr>
      </xdr:nvSpPr>
      <xdr:spPr bwMode="auto">
        <a:xfrm>
          <a:off x="3803650" y="740283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195</xdr:row>
      <xdr:rowOff>0</xdr:rowOff>
    </xdr:from>
    <xdr:ext cx="304800" cy="304094"/>
    <xdr:sp macro="" textlink="">
      <xdr:nvSpPr>
        <xdr:cNvPr id="731" name="AutoShape 12">
          <a:extLst>
            <a:ext uri="{FF2B5EF4-FFF2-40B4-BE49-F238E27FC236}">
              <a16:creationId xmlns:a16="http://schemas.microsoft.com/office/drawing/2014/main" id="{C73BD46E-DE12-481C-99C8-2DF2BDCA837E}"/>
            </a:ext>
          </a:extLst>
        </xdr:cNvPr>
        <xdr:cNvSpPr>
          <a:spLocks noChangeAspect="1" noChangeArrowheads="1"/>
        </xdr:cNvSpPr>
      </xdr:nvSpPr>
      <xdr:spPr bwMode="auto">
        <a:xfrm>
          <a:off x="3803650" y="742124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114</xdr:row>
      <xdr:rowOff>0</xdr:rowOff>
    </xdr:from>
    <xdr:ext cx="304800" cy="304094"/>
    <xdr:sp macro="" textlink="">
      <xdr:nvSpPr>
        <xdr:cNvPr id="732" name="AutoShape 12">
          <a:extLst>
            <a:ext uri="{FF2B5EF4-FFF2-40B4-BE49-F238E27FC236}">
              <a16:creationId xmlns:a16="http://schemas.microsoft.com/office/drawing/2014/main" id="{D42FE44B-E49F-4660-A630-3262AC94920A}"/>
            </a:ext>
          </a:extLst>
        </xdr:cNvPr>
        <xdr:cNvSpPr>
          <a:spLocks noChangeAspect="1" noChangeArrowheads="1"/>
        </xdr:cNvSpPr>
      </xdr:nvSpPr>
      <xdr:spPr bwMode="auto">
        <a:xfrm>
          <a:off x="3803650" y="592963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115</xdr:row>
      <xdr:rowOff>0</xdr:rowOff>
    </xdr:from>
    <xdr:ext cx="304800" cy="304094"/>
    <xdr:sp macro="" textlink="">
      <xdr:nvSpPr>
        <xdr:cNvPr id="733" name="AutoShape 12">
          <a:extLst>
            <a:ext uri="{FF2B5EF4-FFF2-40B4-BE49-F238E27FC236}">
              <a16:creationId xmlns:a16="http://schemas.microsoft.com/office/drawing/2014/main" id="{A608F1DE-4A10-454C-988C-7CE383A5F1B1}"/>
            </a:ext>
          </a:extLst>
        </xdr:cNvPr>
        <xdr:cNvSpPr>
          <a:spLocks noChangeAspect="1" noChangeArrowheads="1"/>
        </xdr:cNvSpPr>
      </xdr:nvSpPr>
      <xdr:spPr bwMode="auto">
        <a:xfrm>
          <a:off x="3803650" y="594804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125</xdr:row>
      <xdr:rowOff>0</xdr:rowOff>
    </xdr:from>
    <xdr:ext cx="304800" cy="304094"/>
    <xdr:sp macro="" textlink="">
      <xdr:nvSpPr>
        <xdr:cNvPr id="734" name="AutoShape 12">
          <a:extLst>
            <a:ext uri="{FF2B5EF4-FFF2-40B4-BE49-F238E27FC236}">
              <a16:creationId xmlns:a16="http://schemas.microsoft.com/office/drawing/2014/main" id="{61444BDC-BC35-453E-84FF-F107389703B5}"/>
            </a:ext>
          </a:extLst>
        </xdr:cNvPr>
        <xdr:cNvSpPr>
          <a:spLocks noChangeAspect="1" noChangeArrowheads="1"/>
        </xdr:cNvSpPr>
      </xdr:nvSpPr>
      <xdr:spPr bwMode="auto">
        <a:xfrm>
          <a:off x="3803650" y="613219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126</xdr:row>
      <xdr:rowOff>0</xdr:rowOff>
    </xdr:from>
    <xdr:ext cx="304800" cy="304094"/>
    <xdr:sp macro="" textlink="">
      <xdr:nvSpPr>
        <xdr:cNvPr id="735" name="AutoShape 12">
          <a:extLst>
            <a:ext uri="{FF2B5EF4-FFF2-40B4-BE49-F238E27FC236}">
              <a16:creationId xmlns:a16="http://schemas.microsoft.com/office/drawing/2014/main" id="{63BEEB9B-512F-423B-B199-C186988A376B}"/>
            </a:ext>
          </a:extLst>
        </xdr:cNvPr>
        <xdr:cNvSpPr>
          <a:spLocks noChangeAspect="1" noChangeArrowheads="1"/>
        </xdr:cNvSpPr>
      </xdr:nvSpPr>
      <xdr:spPr bwMode="auto">
        <a:xfrm>
          <a:off x="3803650" y="615061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115</xdr:row>
      <xdr:rowOff>0</xdr:rowOff>
    </xdr:from>
    <xdr:ext cx="304800" cy="304094"/>
    <xdr:sp macro="" textlink="">
      <xdr:nvSpPr>
        <xdr:cNvPr id="736" name="AutoShape 12">
          <a:extLst>
            <a:ext uri="{FF2B5EF4-FFF2-40B4-BE49-F238E27FC236}">
              <a16:creationId xmlns:a16="http://schemas.microsoft.com/office/drawing/2014/main" id="{A8B1B410-1BB6-4028-94DA-0A7E5E145E20}"/>
            </a:ext>
          </a:extLst>
        </xdr:cNvPr>
        <xdr:cNvSpPr>
          <a:spLocks noChangeAspect="1" noChangeArrowheads="1"/>
        </xdr:cNvSpPr>
      </xdr:nvSpPr>
      <xdr:spPr bwMode="auto">
        <a:xfrm>
          <a:off x="3803650" y="594804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116</xdr:row>
      <xdr:rowOff>0</xdr:rowOff>
    </xdr:from>
    <xdr:ext cx="304800" cy="304094"/>
    <xdr:sp macro="" textlink="">
      <xdr:nvSpPr>
        <xdr:cNvPr id="737" name="AutoShape 12">
          <a:extLst>
            <a:ext uri="{FF2B5EF4-FFF2-40B4-BE49-F238E27FC236}">
              <a16:creationId xmlns:a16="http://schemas.microsoft.com/office/drawing/2014/main" id="{106AFCA2-7BFC-410A-B5FA-E4F30493B94A}"/>
            </a:ext>
          </a:extLst>
        </xdr:cNvPr>
        <xdr:cNvSpPr>
          <a:spLocks noChangeAspect="1" noChangeArrowheads="1"/>
        </xdr:cNvSpPr>
      </xdr:nvSpPr>
      <xdr:spPr bwMode="auto">
        <a:xfrm>
          <a:off x="3803650" y="596646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126</xdr:row>
      <xdr:rowOff>0</xdr:rowOff>
    </xdr:from>
    <xdr:ext cx="304800" cy="304094"/>
    <xdr:sp macro="" textlink="">
      <xdr:nvSpPr>
        <xdr:cNvPr id="738" name="AutoShape 12">
          <a:extLst>
            <a:ext uri="{FF2B5EF4-FFF2-40B4-BE49-F238E27FC236}">
              <a16:creationId xmlns:a16="http://schemas.microsoft.com/office/drawing/2014/main" id="{A323DEB0-B521-455D-BE5D-5083138D28A1}"/>
            </a:ext>
          </a:extLst>
        </xdr:cNvPr>
        <xdr:cNvSpPr>
          <a:spLocks noChangeAspect="1" noChangeArrowheads="1"/>
        </xdr:cNvSpPr>
      </xdr:nvSpPr>
      <xdr:spPr bwMode="auto">
        <a:xfrm>
          <a:off x="3803650" y="615061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127</xdr:row>
      <xdr:rowOff>0</xdr:rowOff>
    </xdr:from>
    <xdr:ext cx="304800" cy="304094"/>
    <xdr:sp macro="" textlink="">
      <xdr:nvSpPr>
        <xdr:cNvPr id="739" name="AutoShape 12">
          <a:extLst>
            <a:ext uri="{FF2B5EF4-FFF2-40B4-BE49-F238E27FC236}">
              <a16:creationId xmlns:a16="http://schemas.microsoft.com/office/drawing/2014/main" id="{A502C51F-1483-46CC-8FA8-FE484F898FE7}"/>
            </a:ext>
          </a:extLst>
        </xdr:cNvPr>
        <xdr:cNvSpPr>
          <a:spLocks noChangeAspect="1" noChangeArrowheads="1"/>
        </xdr:cNvSpPr>
      </xdr:nvSpPr>
      <xdr:spPr bwMode="auto">
        <a:xfrm>
          <a:off x="3803650" y="616902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183</xdr:row>
      <xdr:rowOff>0</xdr:rowOff>
    </xdr:from>
    <xdr:ext cx="304800" cy="304094"/>
    <xdr:sp macro="" textlink="">
      <xdr:nvSpPr>
        <xdr:cNvPr id="740" name="AutoShape 12">
          <a:extLst>
            <a:ext uri="{FF2B5EF4-FFF2-40B4-BE49-F238E27FC236}">
              <a16:creationId xmlns:a16="http://schemas.microsoft.com/office/drawing/2014/main" id="{D25C775E-4573-4B6A-B6A5-8DE4D0901902}"/>
            </a:ext>
          </a:extLst>
        </xdr:cNvPr>
        <xdr:cNvSpPr>
          <a:spLocks noChangeAspect="1" noChangeArrowheads="1"/>
        </xdr:cNvSpPr>
      </xdr:nvSpPr>
      <xdr:spPr bwMode="auto">
        <a:xfrm>
          <a:off x="3803650" y="720026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184</xdr:row>
      <xdr:rowOff>0</xdr:rowOff>
    </xdr:from>
    <xdr:ext cx="304800" cy="304094"/>
    <xdr:sp macro="" textlink="">
      <xdr:nvSpPr>
        <xdr:cNvPr id="741" name="AutoShape 12">
          <a:extLst>
            <a:ext uri="{FF2B5EF4-FFF2-40B4-BE49-F238E27FC236}">
              <a16:creationId xmlns:a16="http://schemas.microsoft.com/office/drawing/2014/main" id="{977EF370-CA8F-4FCA-AE90-3AE3751AD322}"/>
            </a:ext>
          </a:extLst>
        </xdr:cNvPr>
        <xdr:cNvSpPr>
          <a:spLocks noChangeAspect="1" noChangeArrowheads="1"/>
        </xdr:cNvSpPr>
      </xdr:nvSpPr>
      <xdr:spPr bwMode="auto">
        <a:xfrm>
          <a:off x="3803650" y="721868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194</xdr:row>
      <xdr:rowOff>0</xdr:rowOff>
    </xdr:from>
    <xdr:ext cx="304800" cy="304094"/>
    <xdr:sp macro="" textlink="">
      <xdr:nvSpPr>
        <xdr:cNvPr id="742" name="AutoShape 12">
          <a:extLst>
            <a:ext uri="{FF2B5EF4-FFF2-40B4-BE49-F238E27FC236}">
              <a16:creationId xmlns:a16="http://schemas.microsoft.com/office/drawing/2014/main" id="{D03F1C82-1DAC-47B0-987C-48565D1DC0A4}"/>
            </a:ext>
          </a:extLst>
        </xdr:cNvPr>
        <xdr:cNvSpPr>
          <a:spLocks noChangeAspect="1" noChangeArrowheads="1"/>
        </xdr:cNvSpPr>
      </xdr:nvSpPr>
      <xdr:spPr bwMode="auto">
        <a:xfrm>
          <a:off x="3803650" y="740283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195</xdr:row>
      <xdr:rowOff>0</xdr:rowOff>
    </xdr:from>
    <xdr:ext cx="304800" cy="304094"/>
    <xdr:sp macro="" textlink="">
      <xdr:nvSpPr>
        <xdr:cNvPr id="743" name="AutoShape 12">
          <a:extLst>
            <a:ext uri="{FF2B5EF4-FFF2-40B4-BE49-F238E27FC236}">
              <a16:creationId xmlns:a16="http://schemas.microsoft.com/office/drawing/2014/main" id="{85AB4FD8-677E-40D6-A2CE-1055E024D33F}"/>
            </a:ext>
          </a:extLst>
        </xdr:cNvPr>
        <xdr:cNvSpPr>
          <a:spLocks noChangeAspect="1" noChangeArrowheads="1"/>
        </xdr:cNvSpPr>
      </xdr:nvSpPr>
      <xdr:spPr bwMode="auto">
        <a:xfrm>
          <a:off x="3803650" y="742124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184</xdr:row>
      <xdr:rowOff>0</xdr:rowOff>
    </xdr:from>
    <xdr:ext cx="304800" cy="304094"/>
    <xdr:sp macro="" textlink="">
      <xdr:nvSpPr>
        <xdr:cNvPr id="744" name="AutoShape 12">
          <a:extLst>
            <a:ext uri="{FF2B5EF4-FFF2-40B4-BE49-F238E27FC236}">
              <a16:creationId xmlns:a16="http://schemas.microsoft.com/office/drawing/2014/main" id="{82416D3D-3315-4645-A993-4F66550466EB}"/>
            </a:ext>
          </a:extLst>
        </xdr:cNvPr>
        <xdr:cNvSpPr>
          <a:spLocks noChangeAspect="1" noChangeArrowheads="1"/>
        </xdr:cNvSpPr>
      </xdr:nvSpPr>
      <xdr:spPr bwMode="auto">
        <a:xfrm>
          <a:off x="3803650" y="721868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185</xdr:row>
      <xdr:rowOff>0</xdr:rowOff>
    </xdr:from>
    <xdr:ext cx="304800" cy="304094"/>
    <xdr:sp macro="" textlink="">
      <xdr:nvSpPr>
        <xdr:cNvPr id="745" name="AutoShape 12">
          <a:extLst>
            <a:ext uri="{FF2B5EF4-FFF2-40B4-BE49-F238E27FC236}">
              <a16:creationId xmlns:a16="http://schemas.microsoft.com/office/drawing/2014/main" id="{602BFEE2-D37C-43F8-BADE-7E2C1438B9EF}"/>
            </a:ext>
          </a:extLst>
        </xdr:cNvPr>
        <xdr:cNvSpPr>
          <a:spLocks noChangeAspect="1" noChangeArrowheads="1"/>
        </xdr:cNvSpPr>
      </xdr:nvSpPr>
      <xdr:spPr bwMode="auto">
        <a:xfrm>
          <a:off x="3803650" y="723709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195</xdr:row>
      <xdr:rowOff>0</xdr:rowOff>
    </xdr:from>
    <xdr:ext cx="304800" cy="304094"/>
    <xdr:sp macro="" textlink="">
      <xdr:nvSpPr>
        <xdr:cNvPr id="746" name="AutoShape 12">
          <a:extLst>
            <a:ext uri="{FF2B5EF4-FFF2-40B4-BE49-F238E27FC236}">
              <a16:creationId xmlns:a16="http://schemas.microsoft.com/office/drawing/2014/main" id="{BA6E71EA-7592-4697-B452-ACA7D968C4B0}"/>
            </a:ext>
          </a:extLst>
        </xdr:cNvPr>
        <xdr:cNvSpPr>
          <a:spLocks noChangeAspect="1" noChangeArrowheads="1"/>
        </xdr:cNvSpPr>
      </xdr:nvSpPr>
      <xdr:spPr bwMode="auto">
        <a:xfrm>
          <a:off x="3803650" y="742124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196</xdr:row>
      <xdr:rowOff>0</xdr:rowOff>
    </xdr:from>
    <xdr:ext cx="304800" cy="304094"/>
    <xdr:sp macro="" textlink="">
      <xdr:nvSpPr>
        <xdr:cNvPr id="747" name="AutoShape 12">
          <a:extLst>
            <a:ext uri="{FF2B5EF4-FFF2-40B4-BE49-F238E27FC236}">
              <a16:creationId xmlns:a16="http://schemas.microsoft.com/office/drawing/2014/main" id="{F9F12937-E5BB-43C4-A44C-9BDB290F42A9}"/>
            </a:ext>
          </a:extLst>
        </xdr:cNvPr>
        <xdr:cNvSpPr>
          <a:spLocks noChangeAspect="1" noChangeArrowheads="1"/>
        </xdr:cNvSpPr>
      </xdr:nvSpPr>
      <xdr:spPr bwMode="auto">
        <a:xfrm>
          <a:off x="3803650" y="743966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157</xdr:row>
      <xdr:rowOff>0</xdr:rowOff>
    </xdr:from>
    <xdr:ext cx="304800" cy="304094"/>
    <xdr:sp macro="" textlink="">
      <xdr:nvSpPr>
        <xdr:cNvPr id="748" name="AutoShape 12">
          <a:extLst>
            <a:ext uri="{FF2B5EF4-FFF2-40B4-BE49-F238E27FC236}">
              <a16:creationId xmlns:a16="http://schemas.microsoft.com/office/drawing/2014/main" id="{DC511641-20E0-409D-9745-B4DC0F5623B2}"/>
            </a:ext>
          </a:extLst>
        </xdr:cNvPr>
        <xdr:cNvSpPr>
          <a:spLocks noChangeAspect="1" noChangeArrowheads="1"/>
        </xdr:cNvSpPr>
      </xdr:nvSpPr>
      <xdr:spPr bwMode="auto">
        <a:xfrm>
          <a:off x="3803650" y="67214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158</xdr:row>
      <xdr:rowOff>0</xdr:rowOff>
    </xdr:from>
    <xdr:ext cx="304800" cy="304094"/>
    <xdr:sp macro="" textlink="">
      <xdr:nvSpPr>
        <xdr:cNvPr id="749" name="AutoShape 12">
          <a:extLst>
            <a:ext uri="{FF2B5EF4-FFF2-40B4-BE49-F238E27FC236}">
              <a16:creationId xmlns:a16="http://schemas.microsoft.com/office/drawing/2014/main" id="{26E98EDB-5564-494F-89A5-40BBC565B3CE}"/>
            </a:ext>
          </a:extLst>
        </xdr:cNvPr>
        <xdr:cNvSpPr>
          <a:spLocks noChangeAspect="1" noChangeArrowheads="1"/>
        </xdr:cNvSpPr>
      </xdr:nvSpPr>
      <xdr:spPr bwMode="auto">
        <a:xfrm>
          <a:off x="3803650" y="673989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168</xdr:row>
      <xdr:rowOff>0</xdr:rowOff>
    </xdr:from>
    <xdr:ext cx="304800" cy="304094"/>
    <xdr:sp macro="" textlink="">
      <xdr:nvSpPr>
        <xdr:cNvPr id="750" name="AutoShape 12">
          <a:extLst>
            <a:ext uri="{FF2B5EF4-FFF2-40B4-BE49-F238E27FC236}">
              <a16:creationId xmlns:a16="http://schemas.microsoft.com/office/drawing/2014/main" id="{715C1216-D834-49A3-8A1F-E964D90FF585}"/>
            </a:ext>
          </a:extLst>
        </xdr:cNvPr>
        <xdr:cNvSpPr>
          <a:spLocks noChangeAspect="1" noChangeArrowheads="1"/>
        </xdr:cNvSpPr>
      </xdr:nvSpPr>
      <xdr:spPr bwMode="auto">
        <a:xfrm>
          <a:off x="3803650" y="692404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169</xdr:row>
      <xdr:rowOff>0</xdr:rowOff>
    </xdr:from>
    <xdr:ext cx="304800" cy="304094"/>
    <xdr:sp macro="" textlink="">
      <xdr:nvSpPr>
        <xdr:cNvPr id="751" name="AutoShape 12">
          <a:extLst>
            <a:ext uri="{FF2B5EF4-FFF2-40B4-BE49-F238E27FC236}">
              <a16:creationId xmlns:a16="http://schemas.microsoft.com/office/drawing/2014/main" id="{34AD525B-55FA-4DEE-87D4-CD45A175C685}"/>
            </a:ext>
          </a:extLst>
        </xdr:cNvPr>
        <xdr:cNvSpPr>
          <a:spLocks noChangeAspect="1" noChangeArrowheads="1"/>
        </xdr:cNvSpPr>
      </xdr:nvSpPr>
      <xdr:spPr bwMode="auto">
        <a:xfrm>
          <a:off x="3803650" y="694245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158</xdr:row>
      <xdr:rowOff>0</xdr:rowOff>
    </xdr:from>
    <xdr:ext cx="304800" cy="304094"/>
    <xdr:sp macro="" textlink="">
      <xdr:nvSpPr>
        <xdr:cNvPr id="752" name="AutoShape 12">
          <a:extLst>
            <a:ext uri="{FF2B5EF4-FFF2-40B4-BE49-F238E27FC236}">
              <a16:creationId xmlns:a16="http://schemas.microsoft.com/office/drawing/2014/main" id="{002B8AD9-D813-4E7B-A5BA-6B6D87C3CB1C}"/>
            </a:ext>
          </a:extLst>
        </xdr:cNvPr>
        <xdr:cNvSpPr>
          <a:spLocks noChangeAspect="1" noChangeArrowheads="1"/>
        </xdr:cNvSpPr>
      </xdr:nvSpPr>
      <xdr:spPr bwMode="auto">
        <a:xfrm>
          <a:off x="3803650" y="673989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159</xdr:row>
      <xdr:rowOff>0</xdr:rowOff>
    </xdr:from>
    <xdr:ext cx="304800" cy="304094"/>
    <xdr:sp macro="" textlink="">
      <xdr:nvSpPr>
        <xdr:cNvPr id="753" name="AutoShape 12">
          <a:extLst>
            <a:ext uri="{FF2B5EF4-FFF2-40B4-BE49-F238E27FC236}">
              <a16:creationId xmlns:a16="http://schemas.microsoft.com/office/drawing/2014/main" id="{989A390F-B0D3-45E3-8A2D-C96A600B4233}"/>
            </a:ext>
          </a:extLst>
        </xdr:cNvPr>
        <xdr:cNvSpPr>
          <a:spLocks noChangeAspect="1" noChangeArrowheads="1"/>
        </xdr:cNvSpPr>
      </xdr:nvSpPr>
      <xdr:spPr bwMode="auto">
        <a:xfrm>
          <a:off x="3803650" y="675830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169</xdr:row>
      <xdr:rowOff>0</xdr:rowOff>
    </xdr:from>
    <xdr:ext cx="304800" cy="304094"/>
    <xdr:sp macro="" textlink="">
      <xdr:nvSpPr>
        <xdr:cNvPr id="754" name="AutoShape 12">
          <a:extLst>
            <a:ext uri="{FF2B5EF4-FFF2-40B4-BE49-F238E27FC236}">
              <a16:creationId xmlns:a16="http://schemas.microsoft.com/office/drawing/2014/main" id="{2D75A18C-CD43-4F4C-A50C-C21BC1B29147}"/>
            </a:ext>
          </a:extLst>
        </xdr:cNvPr>
        <xdr:cNvSpPr>
          <a:spLocks noChangeAspect="1" noChangeArrowheads="1"/>
        </xdr:cNvSpPr>
      </xdr:nvSpPr>
      <xdr:spPr bwMode="auto">
        <a:xfrm>
          <a:off x="3803650" y="694245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170</xdr:row>
      <xdr:rowOff>0</xdr:rowOff>
    </xdr:from>
    <xdr:ext cx="304800" cy="304094"/>
    <xdr:sp macro="" textlink="">
      <xdr:nvSpPr>
        <xdr:cNvPr id="755" name="AutoShape 12">
          <a:extLst>
            <a:ext uri="{FF2B5EF4-FFF2-40B4-BE49-F238E27FC236}">
              <a16:creationId xmlns:a16="http://schemas.microsoft.com/office/drawing/2014/main" id="{65DDF84C-D0D1-4B64-9B91-3119145BD2D3}"/>
            </a:ext>
          </a:extLst>
        </xdr:cNvPr>
        <xdr:cNvSpPr>
          <a:spLocks noChangeAspect="1" noChangeArrowheads="1"/>
        </xdr:cNvSpPr>
      </xdr:nvSpPr>
      <xdr:spPr bwMode="auto">
        <a:xfrm>
          <a:off x="3803650" y="696087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158</xdr:row>
      <xdr:rowOff>0</xdr:rowOff>
    </xdr:from>
    <xdr:ext cx="304800" cy="304094"/>
    <xdr:sp macro="" textlink="">
      <xdr:nvSpPr>
        <xdr:cNvPr id="756" name="AutoShape 12">
          <a:extLst>
            <a:ext uri="{FF2B5EF4-FFF2-40B4-BE49-F238E27FC236}">
              <a16:creationId xmlns:a16="http://schemas.microsoft.com/office/drawing/2014/main" id="{3801F3B7-1107-4969-8CA6-8D93AE272DFA}"/>
            </a:ext>
          </a:extLst>
        </xdr:cNvPr>
        <xdr:cNvSpPr>
          <a:spLocks noChangeAspect="1" noChangeArrowheads="1"/>
        </xdr:cNvSpPr>
      </xdr:nvSpPr>
      <xdr:spPr bwMode="auto">
        <a:xfrm>
          <a:off x="3803650" y="673989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159</xdr:row>
      <xdr:rowOff>0</xdr:rowOff>
    </xdr:from>
    <xdr:ext cx="304800" cy="304094"/>
    <xdr:sp macro="" textlink="">
      <xdr:nvSpPr>
        <xdr:cNvPr id="757" name="AutoShape 12">
          <a:extLst>
            <a:ext uri="{FF2B5EF4-FFF2-40B4-BE49-F238E27FC236}">
              <a16:creationId xmlns:a16="http://schemas.microsoft.com/office/drawing/2014/main" id="{D9C462F0-E024-4689-867E-078C36744001}"/>
            </a:ext>
          </a:extLst>
        </xdr:cNvPr>
        <xdr:cNvSpPr>
          <a:spLocks noChangeAspect="1" noChangeArrowheads="1"/>
        </xdr:cNvSpPr>
      </xdr:nvSpPr>
      <xdr:spPr bwMode="auto">
        <a:xfrm>
          <a:off x="3803650" y="675830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169</xdr:row>
      <xdr:rowOff>0</xdr:rowOff>
    </xdr:from>
    <xdr:ext cx="304800" cy="304094"/>
    <xdr:sp macro="" textlink="">
      <xdr:nvSpPr>
        <xdr:cNvPr id="758" name="AutoShape 12">
          <a:extLst>
            <a:ext uri="{FF2B5EF4-FFF2-40B4-BE49-F238E27FC236}">
              <a16:creationId xmlns:a16="http://schemas.microsoft.com/office/drawing/2014/main" id="{D0400847-1E30-4119-8245-A2ADA8454BD8}"/>
            </a:ext>
          </a:extLst>
        </xdr:cNvPr>
        <xdr:cNvSpPr>
          <a:spLocks noChangeAspect="1" noChangeArrowheads="1"/>
        </xdr:cNvSpPr>
      </xdr:nvSpPr>
      <xdr:spPr bwMode="auto">
        <a:xfrm>
          <a:off x="3803650" y="694245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170</xdr:row>
      <xdr:rowOff>0</xdr:rowOff>
    </xdr:from>
    <xdr:ext cx="304800" cy="304094"/>
    <xdr:sp macro="" textlink="">
      <xdr:nvSpPr>
        <xdr:cNvPr id="759" name="AutoShape 12">
          <a:extLst>
            <a:ext uri="{FF2B5EF4-FFF2-40B4-BE49-F238E27FC236}">
              <a16:creationId xmlns:a16="http://schemas.microsoft.com/office/drawing/2014/main" id="{1A5046ED-8F67-4201-9E8F-6169814C4509}"/>
            </a:ext>
          </a:extLst>
        </xdr:cNvPr>
        <xdr:cNvSpPr>
          <a:spLocks noChangeAspect="1" noChangeArrowheads="1"/>
        </xdr:cNvSpPr>
      </xdr:nvSpPr>
      <xdr:spPr bwMode="auto">
        <a:xfrm>
          <a:off x="3803650" y="696087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159</xdr:row>
      <xdr:rowOff>0</xdr:rowOff>
    </xdr:from>
    <xdr:ext cx="304800" cy="304094"/>
    <xdr:sp macro="" textlink="">
      <xdr:nvSpPr>
        <xdr:cNvPr id="760" name="AutoShape 12">
          <a:extLst>
            <a:ext uri="{FF2B5EF4-FFF2-40B4-BE49-F238E27FC236}">
              <a16:creationId xmlns:a16="http://schemas.microsoft.com/office/drawing/2014/main" id="{B688481B-92AF-43F0-A71B-00173602D194}"/>
            </a:ext>
          </a:extLst>
        </xdr:cNvPr>
        <xdr:cNvSpPr>
          <a:spLocks noChangeAspect="1" noChangeArrowheads="1"/>
        </xdr:cNvSpPr>
      </xdr:nvSpPr>
      <xdr:spPr bwMode="auto">
        <a:xfrm>
          <a:off x="3803650" y="675830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160</xdr:row>
      <xdr:rowOff>0</xdr:rowOff>
    </xdr:from>
    <xdr:ext cx="304800" cy="304094"/>
    <xdr:sp macro="" textlink="">
      <xdr:nvSpPr>
        <xdr:cNvPr id="761" name="AutoShape 12">
          <a:extLst>
            <a:ext uri="{FF2B5EF4-FFF2-40B4-BE49-F238E27FC236}">
              <a16:creationId xmlns:a16="http://schemas.microsoft.com/office/drawing/2014/main" id="{3FDEBC25-F397-47B4-9DD9-15FC39E6D8E6}"/>
            </a:ext>
          </a:extLst>
        </xdr:cNvPr>
        <xdr:cNvSpPr>
          <a:spLocks noChangeAspect="1" noChangeArrowheads="1"/>
        </xdr:cNvSpPr>
      </xdr:nvSpPr>
      <xdr:spPr bwMode="auto">
        <a:xfrm>
          <a:off x="3803650" y="677672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170</xdr:row>
      <xdr:rowOff>0</xdr:rowOff>
    </xdr:from>
    <xdr:ext cx="304800" cy="304094"/>
    <xdr:sp macro="" textlink="">
      <xdr:nvSpPr>
        <xdr:cNvPr id="762" name="AutoShape 12">
          <a:extLst>
            <a:ext uri="{FF2B5EF4-FFF2-40B4-BE49-F238E27FC236}">
              <a16:creationId xmlns:a16="http://schemas.microsoft.com/office/drawing/2014/main" id="{C4129082-1A93-4CAF-A72C-E5C420B0E3B1}"/>
            </a:ext>
          </a:extLst>
        </xdr:cNvPr>
        <xdr:cNvSpPr>
          <a:spLocks noChangeAspect="1" noChangeArrowheads="1"/>
        </xdr:cNvSpPr>
      </xdr:nvSpPr>
      <xdr:spPr bwMode="auto">
        <a:xfrm>
          <a:off x="3803650" y="696087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171</xdr:row>
      <xdr:rowOff>0</xdr:rowOff>
    </xdr:from>
    <xdr:ext cx="304800" cy="304094"/>
    <xdr:sp macro="" textlink="">
      <xdr:nvSpPr>
        <xdr:cNvPr id="763" name="AutoShape 12">
          <a:extLst>
            <a:ext uri="{FF2B5EF4-FFF2-40B4-BE49-F238E27FC236}">
              <a16:creationId xmlns:a16="http://schemas.microsoft.com/office/drawing/2014/main" id="{6BA4D848-C6D6-4CD8-BEDE-3D1D6F455E17}"/>
            </a:ext>
          </a:extLst>
        </xdr:cNvPr>
        <xdr:cNvSpPr>
          <a:spLocks noChangeAspect="1" noChangeArrowheads="1"/>
        </xdr:cNvSpPr>
      </xdr:nvSpPr>
      <xdr:spPr bwMode="auto">
        <a:xfrm>
          <a:off x="3803650" y="697928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162</xdr:row>
      <xdr:rowOff>0</xdr:rowOff>
    </xdr:from>
    <xdr:ext cx="304800" cy="304094"/>
    <xdr:sp macro="" textlink="">
      <xdr:nvSpPr>
        <xdr:cNvPr id="764" name="AutoShape 12">
          <a:extLst>
            <a:ext uri="{FF2B5EF4-FFF2-40B4-BE49-F238E27FC236}">
              <a16:creationId xmlns:a16="http://schemas.microsoft.com/office/drawing/2014/main" id="{530CBFC8-D7E9-4FA5-92C0-6D314FE8F4B3}"/>
            </a:ext>
          </a:extLst>
        </xdr:cNvPr>
        <xdr:cNvSpPr>
          <a:spLocks noChangeAspect="1" noChangeArrowheads="1"/>
        </xdr:cNvSpPr>
      </xdr:nvSpPr>
      <xdr:spPr bwMode="auto">
        <a:xfrm>
          <a:off x="3803650" y="681355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163</xdr:row>
      <xdr:rowOff>0</xdr:rowOff>
    </xdr:from>
    <xdr:ext cx="304800" cy="304094"/>
    <xdr:sp macro="" textlink="">
      <xdr:nvSpPr>
        <xdr:cNvPr id="765" name="AutoShape 12">
          <a:extLst>
            <a:ext uri="{FF2B5EF4-FFF2-40B4-BE49-F238E27FC236}">
              <a16:creationId xmlns:a16="http://schemas.microsoft.com/office/drawing/2014/main" id="{5E313B33-E0B9-488E-A88F-B6B462F04E05}"/>
            </a:ext>
          </a:extLst>
        </xdr:cNvPr>
        <xdr:cNvSpPr>
          <a:spLocks noChangeAspect="1" noChangeArrowheads="1"/>
        </xdr:cNvSpPr>
      </xdr:nvSpPr>
      <xdr:spPr bwMode="auto">
        <a:xfrm>
          <a:off x="3803650" y="683196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173</xdr:row>
      <xdr:rowOff>0</xdr:rowOff>
    </xdr:from>
    <xdr:ext cx="304800" cy="304094"/>
    <xdr:sp macro="" textlink="">
      <xdr:nvSpPr>
        <xdr:cNvPr id="766" name="AutoShape 12">
          <a:extLst>
            <a:ext uri="{FF2B5EF4-FFF2-40B4-BE49-F238E27FC236}">
              <a16:creationId xmlns:a16="http://schemas.microsoft.com/office/drawing/2014/main" id="{D091CF74-9F72-4C05-8823-4AE110F65E13}"/>
            </a:ext>
          </a:extLst>
        </xdr:cNvPr>
        <xdr:cNvSpPr>
          <a:spLocks noChangeAspect="1" noChangeArrowheads="1"/>
        </xdr:cNvSpPr>
      </xdr:nvSpPr>
      <xdr:spPr bwMode="auto">
        <a:xfrm>
          <a:off x="3803650" y="70161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174</xdr:row>
      <xdr:rowOff>0</xdr:rowOff>
    </xdr:from>
    <xdr:ext cx="304800" cy="304094"/>
    <xdr:sp macro="" textlink="">
      <xdr:nvSpPr>
        <xdr:cNvPr id="767" name="AutoShape 12">
          <a:extLst>
            <a:ext uri="{FF2B5EF4-FFF2-40B4-BE49-F238E27FC236}">
              <a16:creationId xmlns:a16="http://schemas.microsoft.com/office/drawing/2014/main" id="{E9D53B10-FD21-40F0-99FE-AB3473AE34F5}"/>
            </a:ext>
          </a:extLst>
        </xdr:cNvPr>
        <xdr:cNvSpPr>
          <a:spLocks noChangeAspect="1" noChangeArrowheads="1"/>
        </xdr:cNvSpPr>
      </xdr:nvSpPr>
      <xdr:spPr bwMode="auto">
        <a:xfrm>
          <a:off x="3803650" y="703453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163</xdr:row>
      <xdr:rowOff>0</xdr:rowOff>
    </xdr:from>
    <xdr:ext cx="304800" cy="304094"/>
    <xdr:sp macro="" textlink="">
      <xdr:nvSpPr>
        <xdr:cNvPr id="768" name="AutoShape 12">
          <a:extLst>
            <a:ext uri="{FF2B5EF4-FFF2-40B4-BE49-F238E27FC236}">
              <a16:creationId xmlns:a16="http://schemas.microsoft.com/office/drawing/2014/main" id="{56F73346-10EE-47BA-964C-AB359457C3B0}"/>
            </a:ext>
          </a:extLst>
        </xdr:cNvPr>
        <xdr:cNvSpPr>
          <a:spLocks noChangeAspect="1" noChangeArrowheads="1"/>
        </xdr:cNvSpPr>
      </xdr:nvSpPr>
      <xdr:spPr bwMode="auto">
        <a:xfrm>
          <a:off x="3803650" y="683196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164</xdr:row>
      <xdr:rowOff>0</xdr:rowOff>
    </xdr:from>
    <xdr:ext cx="304800" cy="304094"/>
    <xdr:sp macro="" textlink="">
      <xdr:nvSpPr>
        <xdr:cNvPr id="769" name="AutoShape 12">
          <a:extLst>
            <a:ext uri="{FF2B5EF4-FFF2-40B4-BE49-F238E27FC236}">
              <a16:creationId xmlns:a16="http://schemas.microsoft.com/office/drawing/2014/main" id="{5AC2DC08-DBA1-407F-95A4-43841ED55DBF}"/>
            </a:ext>
          </a:extLst>
        </xdr:cNvPr>
        <xdr:cNvSpPr>
          <a:spLocks noChangeAspect="1" noChangeArrowheads="1"/>
        </xdr:cNvSpPr>
      </xdr:nvSpPr>
      <xdr:spPr bwMode="auto">
        <a:xfrm>
          <a:off x="3803650" y="685038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174</xdr:row>
      <xdr:rowOff>0</xdr:rowOff>
    </xdr:from>
    <xdr:ext cx="304800" cy="304094"/>
    <xdr:sp macro="" textlink="">
      <xdr:nvSpPr>
        <xdr:cNvPr id="770" name="AutoShape 12">
          <a:extLst>
            <a:ext uri="{FF2B5EF4-FFF2-40B4-BE49-F238E27FC236}">
              <a16:creationId xmlns:a16="http://schemas.microsoft.com/office/drawing/2014/main" id="{6CABC060-55C5-4CE8-B544-53A2EBD61CD2}"/>
            </a:ext>
          </a:extLst>
        </xdr:cNvPr>
        <xdr:cNvSpPr>
          <a:spLocks noChangeAspect="1" noChangeArrowheads="1"/>
        </xdr:cNvSpPr>
      </xdr:nvSpPr>
      <xdr:spPr bwMode="auto">
        <a:xfrm>
          <a:off x="3803650" y="703453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175</xdr:row>
      <xdr:rowOff>0</xdr:rowOff>
    </xdr:from>
    <xdr:ext cx="304800" cy="304094"/>
    <xdr:sp macro="" textlink="">
      <xdr:nvSpPr>
        <xdr:cNvPr id="771" name="AutoShape 12">
          <a:extLst>
            <a:ext uri="{FF2B5EF4-FFF2-40B4-BE49-F238E27FC236}">
              <a16:creationId xmlns:a16="http://schemas.microsoft.com/office/drawing/2014/main" id="{886BDAEC-506D-49A1-950B-FAA1457F5155}"/>
            </a:ext>
          </a:extLst>
        </xdr:cNvPr>
        <xdr:cNvSpPr>
          <a:spLocks noChangeAspect="1" noChangeArrowheads="1"/>
        </xdr:cNvSpPr>
      </xdr:nvSpPr>
      <xdr:spPr bwMode="auto">
        <a:xfrm>
          <a:off x="3803650" y="705294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163</xdr:row>
      <xdr:rowOff>0</xdr:rowOff>
    </xdr:from>
    <xdr:ext cx="304800" cy="304094"/>
    <xdr:sp macro="" textlink="">
      <xdr:nvSpPr>
        <xdr:cNvPr id="772" name="AutoShape 12">
          <a:extLst>
            <a:ext uri="{FF2B5EF4-FFF2-40B4-BE49-F238E27FC236}">
              <a16:creationId xmlns:a16="http://schemas.microsoft.com/office/drawing/2014/main" id="{93A09CCD-F97E-4A03-A8B4-2B2247C8527E}"/>
            </a:ext>
          </a:extLst>
        </xdr:cNvPr>
        <xdr:cNvSpPr>
          <a:spLocks noChangeAspect="1" noChangeArrowheads="1"/>
        </xdr:cNvSpPr>
      </xdr:nvSpPr>
      <xdr:spPr bwMode="auto">
        <a:xfrm>
          <a:off x="3803650" y="683196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164</xdr:row>
      <xdr:rowOff>0</xdr:rowOff>
    </xdr:from>
    <xdr:ext cx="304800" cy="304094"/>
    <xdr:sp macro="" textlink="">
      <xdr:nvSpPr>
        <xdr:cNvPr id="773" name="AutoShape 12">
          <a:extLst>
            <a:ext uri="{FF2B5EF4-FFF2-40B4-BE49-F238E27FC236}">
              <a16:creationId xmlns:a16="http://schemas.microsoft.com/office/drawing/2014/main" id="{C1E361C3-9956-4C37-800D-4F3C19BFBFE1}"/>
            </a:ext>
          </a:extLst>
        </xdr:cNvPr>
        <xdr:cNvSpPr>
          <a:spLocks noChangeAspect="1" noChangeArrowheads="1"/>
        </xdr:cNvSpPr>
      </xdr:nvSpPr>
      <xdr:spPr bwMode="auto">
        <a:xfrm>
          <a:off x="3803650" y="685038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174</xdr:row>
      <xdr:rowOff>0</xdr:rowOff>
    </xdr:from>
    <xdr:ext cx="304800" cy="304094"/>
    <xdr:sp macro="" textlink="">
      <xdr:nvSpPr>
        <xdr:cNvPr id="774" name="AutoShape 12">
          <a:extLst>
            <a:ext uri="{FF2B5EF4-FFF2-40B4-BE49-F238E27FC236}">
              <a16:creationId xmlns:a16="http://schemas.microsoft.com/office/drawing/2014/main" id="{D48EC319-AF1D-4D5C-A06E-1839BC6D56DE}"/>
            </a:ext>
          </a:extLst>
        </xdr:cNvPr>
        <xdr:cNvSpPr>
          <a:spLocks noChangeAspect="1" noChangeArrowheads="1"/>
        </xdr:cNvSpPr>
      </xdr:nvSpPr>
      <xdr:spPr bwMode="auto">
        <a:xfrm>
          <a:off x="3803650" y="703453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175</xdr:row>
      <xdr:rowOff>0</xdr:rowOff>
    </xdr:from>
    <xdr:ext cx="304800" cy="304094"/>
    <xdr:sp macro="" textlink="">
      <xdr:nvSpPr>
        <xdr:cNvPr id="775" name="AutoShape 12">
          <a:extLst>
            <a:ext uri="{FF2B5EF4-FFF2-40B4-BE49-F238E27FC236}">
              <a16:creationId xmlns:a16="http://schemas.microsoft.com/office/drawing/2014/main" id="{DBA5CB7C-9DDB-481A-AA26-D41BA358FFD7}"/>
            </a:ext>
          </a:extLst>
        </xdr:cNvPr>
        <xdr:cNvSpPr>
          <a:spLocks noChangeAspect="1" noChangeArrowheads="1"/>
        </xdr:cNvSpPr>
      </xdr:nvSpPr>
      <xdr:spPr bwMode="auto">
        <a:xfrm>
          <a:off x="3803650" y="705294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164</xdr:row>
      <xdr:rowOff>0</xdr:rowOff>
    </xdr:from>
    <xdr:ext cx="304800" cy="304094"/>
    <xdr:sp macro="" textlink="">
      <xdr:nvSpPr>
        <xdr:cNvPr id="776" name="AutoShape 12">
          <a:extLst>
            <a:ext uri="{FF2B5EF4-FFF2-40B4-BE49-F238E27FC236}">
              <a16:creationId xmlns:a16="http://schemas.microsoft.com/office/drawing/2014/main" id="{5F96F215-0794-4CE9-8757-D74A33DDE1D3}"/>
            </a:ext>
          </a:extLst>
        </xdr:cNvPr>
        <xdr:cNvSpPr>
          <a:spLocks noChangeAspect="1" noChangeArrowheads="1"/>
        </xdr:cNvSpPr>
      </xdr:nvSpPr>
      <xdr:spPr bwMode="auto">
        <a:xfrm>
          <a:off x="3803650" y="685038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165</xdr:row>
      <xdr:rowOff>0</xdr:rowOff>
    </xdr:from>
    <xdr:ext cx="304800" cy="304094"/>
    <xdr:sp macro="" textlink="">
      <xdr:nvSpPr>
        <xdr:cNvPr id="777" name="AutoShape 12">
          <a:extLst>
            <a:ext uri="{FF2B5EF4-FFF2-40B4-BE49-F238E27FC236}">
              <a16:creationId xmlns:a16="http://schemas.microsoft.com/office/drawing/2014/main" id="{DD13CC3E-16AC-4E2E-AC44-F3A06F80F2BF}"/>
            </a:ext>
          </a:extLst>
        </xdr:cNvPr>
        <xdr:cNvSpPr>
          <a:spLocks noChangeAspect="1" noChangeArrowheads="1"/>
        </xdr:cNvSpPr>
      </xdr:nvSpPr>
      <xdr:spPr bwMode="auto">
        <a:xfrm>
          <a:off x="3803650" y="686879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175</xdr:row>
      <xdr:rowOff>0</xdr:rowOff>
    </xdr:from>
    <xdr:ext cx="304800" cy="304094"/>
    <xdr:sp macro="" textlink="">
      <xdr:nvSpPr>
        <xdr:cNvPr id="778" name="AutoShape 12">
          <a:extLst>
            <a:ext uri="{FF2B5EF4-FFF2-40B4-BE49-F238E27FC236}">
              <a16:creationId xmlns:a16="http://schemas.microsoft.com/office/drawing/2014/main" id="{8AD9CB2C-E615-4AC0-A9E1-59DEF83F1016}"/>
            </a:ext>
          </a:extLst>
        </xdr:cNvPr>
        <xdr:cNvSpPr>
          <a:spLocks noChangeAspect="1" noChangeArrowheads="1"/>
        </xdr:cNvSpPr>
      </xdr:nvSpPr>
      <xdr:spPr bwMode="auto">
        <a:xfrm>
          <a:off x="3803650" y="705294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176</xdr:row>
      <xdr:rowOff>0</xdr:rowOff>
    </xdr:from>
    <xdr:ext cx="304800" cy="304094"/>
    <xdr:sp macro="" textlink="">
      <xdr:nvSpPr>
        <xdr:cNvPr id="779" name="AutoShape 12">
          <a:extLst>
            <a:ext uri="{FF2B5EF4-FFF2-40B4-BE49-F238E27FC236}">
              <a16:creationId xmlns:a16="http://schemas.microsoft.com/office/drawing/2014/main" id="{5F0220A5-0118-475B-9A4C-39ED87AA9B5B}"/>
            </a:ext>
          </a:extLst>
        </xdr:cNvPr>
        <xdr:cNvSpPr>
          <a:spLocks noChangeAspect="1" noChangeArrowheads="1"/>
        </xdr:cNvSpPr>
      </xdr:nvSpPr>
      <xdr:spPr bwMode="auto">
        <a:xfrm>
          <a:off x="3803650" y="707136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206</xdr:row>
      <xdr:rowOff>0</xdr:rowOff>
    </xdr:from>
    <xdr:ext cx="304800" cy="304094"/>
    <xdr:sp macro="" textlink="">
      <xdr:nvSpPr>
        <xdr:cNvPr id="780" name="AutoShape 12">
          <a:extLst>
            <a:ext uri="{FF2B5EF4-FFF2-40B4-BE49-F238E27FC236}">
              <a16:creationId xmlns:a16="http://schemas.microsoft.com/office/drawing/2014/main" id="{79E484A6-AA4D-4BE7-A5C1-E76893C7CB60}"/>
            </a:ext>
          </a:extLst>
        </xdr:cNvPr>
        <xdr:cNvSpPr>
          <a:spLocks noChangeAspect="1" noChangeArrowheads="1"/>
        </xdr:cNvSpPr>
      </xdr:nvSpPr>
      <xdr:spPr bwMode="auto">
        <a:xfrm>
          <a:off x="3803650" y="762381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207</xdr:row>
      <xdr:rowOff>0</xdr:rowOff>
    </xdr:from>
    <xdr:ext cx="304800" cy="304094"/>
    <xdr:sp macro="" textlink="">
      <xdr:nvSpPr>
        <xdr:cNvPr id="781" name="AutoShape 12">
          <a:extLst>
            <a:ext uri="{FF2B5EF4-FFF2-40B4-BE49-F238E27FC236}">
              <a16:creationId xmlns:a16="http://schemas.microsoft.com/office/drawing/2014/main" id="{A8850407-A000-430D-99ED-1391D08C55F3}"/>
            </a:ext>
          </a:extLst>
        </xdr:cNvPr>
        <xdr:cNvSpPr>
          <a:spLocks noChangeAspect="1" noChangeArrowheads="1"/>
        </xdr:cNvSpPr>
      </xdr:nvSpPr>
      <xdr:spPr bwMode="auto">
        <a:xfrm>
          <a:off x="3803650" y="764222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217</xdr:row>
      <xdr:rowOff>0</xdr:rowOff>
    </xdr:from>
    <xdr:ext cx="304800" cy="304094"/>
    <xdr:sp macro="" textlink="">
      <xdr:nvSpPr>
        <xdr:cNvPr id="782" name="AutoShape 12">
          <a:extLst>
            <a:ext uri="{FF2B5EF4-FFF2-40B4-BE49-F238E27FC236}">
              <a16:creationId xmlns:a16="http://schemas.microsoft.com/office/drawing/2014/main" id="{164E6B55-314B-43F1-B7C3-F942A63E7803}"/>
            </a:ext>
          </a:extLst>
        </xdr:cNvPr>
        <xdr:cNvSpPr>
          <a:spLocks noChangeAspect="1" noChangeArrowheads="1"/>
        </xdr:cNvSpPr>
      </xdr:nvSpPr>
      <xdr:spPr bwMode="auto">
        <a:xfrm>
          <a:off x="3803650" y="78263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218</xdr:row>
      <xdr:rowOff>0</xdr:rowOff>
    </xdr:from>
    <xdr:ext cx="304800" cy="304094"/>
    <xdr:sp macro="" textlink="">
      <xdr:nvSpPr>
        <xdr:cNvPr id="783" name="AutoShape 12">
          <a:extLst>
            <a:ext uri="{FF2B5EF4-FFF2-40B4-BE49-F238E27FC236}">
              <a16:creationId xmlns:a16="http://schemas.microsoft.com/office/drawing/2014/main" id="{8B3C1CAF-99C0-46D0-BDAE-29C1B9AFA4F1}"/>
            </a:ext>
          </a:extLst>
        </xdr:cNvPr>
        <xdr:cNvSpPr>
          <a:spLocks noChangeAspect="1" noChangeArrowheads="1"/>
        </xdr:cNvSpPr>
      </xdr:nvSpPr>
      <xdr:spPr bwMode="auto">
        <a:xfrm>
          <a:off x="3803650" y="784479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207</xdr:row>
      <xdr:rowOff>0</xdr:rowOff>
    </xdr:from>
    <xdr:ext cx="304800" cy="304094"/>
    <xdr:sp macro="" textlink="">
      <xdr:nvSpPr>
        <xdr:cNvPr id="784" name="AutoShape 12">
          <a:extLst>
            <a:ext uri="{FF2B5EF4-FFF2-40B4-BE49-F238E27FC236}">
              <a16:creationId xmlns:a16="http://schemas.microsoft.com/office/drawing/2014/main" id="{2F59C995-E67C-483B-974B-3AE5F86F6442}"/>
            </a:ext>
          </a:extLst>
        </xdr:cNvPr>
        <xdr:cNvSpPr>
          <a:spLocks noChangeAspect="1" noChangeArrowheads="1"/>
        </xdr:cNvSpPr>
      </xdr:nvSpPr>
      <xdr:spPr bwMode="auto">
        <a:xfrm>
          <a:off x="3803650" y="764222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208</xdr:row>
      <xdr:rowOff>0</xdr:rowOff>
    </xdr:from>
    <xdr:ext cx="304800" cy="304094"/>
    <xdr:sp macro="" textlink="">
      <xdr:nvSpPr>
        <xdr:cNvPr id="785" name="AutoShape 12">
          <a:extLst>
            <a:ext uri="{FF2B5EF4-FFF2-40B4-BE49-F238E27FC236}">
              <a16:creationId xmlns:a16="http://schemas.microsoft.com/office/drawing/2014/main" id="{92145E4F-0518-463A-948E-E6866B2E121E}"/>
            </a:ext>
          </a:extLst>
        </xdr:cNvPr>
        <xdr:cNvSpPr>
          <a:spLocks noChangeAspect="1" noChangeArrowheads="1"/>
        </xdr:cNvSpPr>
      </xdr:nvSpPr>
      <xdr:spPr bwMode="auto">
        <a:xfrm>
          <a:off x="3803650" y="766064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218</xdr:row>
      <xdr:rowOff>0</xdr:rowOff>
    </xdr:from>
    <xdr:ext cx="304800" cy="304094"/>
    <xdr:sp macro="" textlink="">
      <xdr:nvSpPr>
        <xdr:cNvPr id="786" name="AutoShape 12">
          <a:extLst>
            <a:ext uri="{FF2B5EF4-FFF2-40B4-BE49-F238E27FC236}">
              <a16:creationId xmlns:a16="http://schemas.microsoft.com/office/drawing/2014/main" id="{3B9F099F-409C-42F9-A3D4-1DF0352151DC}"/>
            </a:ext>
          </a:extLst>
        </xdr:cNvPr>
        <xdr:cNvSpPr>
          <a:spLocks noChangeAspect="1" noChangeArrowheads="1"/>
        </xdr:cNvSpPr>
      </xdr:nvSpPr>
      <xdr:spPr bwMode="auto">
        <a:xfrm>
          <a:off x="3803650" y="784479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219</xdr:row>
      <xdr:rowOff>0</xdr:rowOff>
    </xdr:from>
    <xdr:ext cx="304800" cy="304094"/>
    <xdr:sp macro="" textlink="">
      <xdr:nvSpPr>
        <xdr:cNvPr id="787" name="AutoShape 12">
          <a:extLst>
            <a:ext uri="{FF2B5EF4-FFF2-40B4-BE49-F238E27FC236}">
              <a16:creationId xmlns:a16="http://schemas.microsoft.com/office/drawing/2014/main" id="{A1D3DEF4-D506-4127-BB54-4416D3A85C8C}"/>
            </a:ext>
          </a:extLst>
        </xdr:cNvPr>
        <xdr:cNvSpPr>
          <a:spLocks noChangeAspect="1" noChangeArrowheads="1"/>
        </xdr:cNvSpPr>
      </xdr:nvSpPr>
      <xdr:spPr bwMode="auto">
        <a:xfrm>
          <a:off x="3803650" y="786320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207</xdr:row>
      <xdr:rowOff>0</xdr:rowOff>
    </xdr:from>
    <xdr:ext cx="304800" cy="304094"/>
    <xdr:sp macro="" textlink="">
      <xdr:nvSpPr>
        <xdr:cNvPr id="788" name="AutoShape 12">
          <a:extLst>
            <a:ext uri="{FF2B5EF4-FFF2-40B4-BE49-F238E27FC236}">
              <a16:creationId xmlns:a16="http://schemas.microsoft.com/office/drawing/2014/main" id="{71938435-730F-4511-88DE-C585B56E75ED}"/>
            </a:ext>
          </a:extLst>
        </xdr:cNvPr>
        <xdr:cNvSpPr>
          <a:spLocks noChangeAspect="1" noChangeArrowheads="1"/>
        </xdr:cNvSpPr>
      </xdr:nvSpPr>
      <xdr:spPr bwMode="auto">
        <a:xfrm>
          <a:off x="3803650" y="764222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208</xdr:row>
      <xdr:rowOff>0</xdr:rowOff>
    </xdr:from>
    <xdr:ext cx="304800" cy="304094"/>
    <xdr:sp macro="" textlink="">
      <xdr:nvSpPr>
        <xdr:cNvPr id="789" name="AutoShape 12">
          <a:extLst>
            <a:ext uri="{FF2B5EF4-FFF2-40B4-BE49-F238E27FC236}">
              <a16:creationId xmlns:a16="http://schemas.microsoft.com/office/drawing/2014/main" id="{71743867-8E63-463F-9647-51D6D3C20751}"/>
            </a:ext>
          </a:extLst>
        </xdr:cNvPr>
        <xdr:cNvSpPr>
          <a:spLocks noChangeAspect="1" noChangeArrowheads="1"/>
        </xdr:cNvSpPr>
      </xdr:nvSpPr>
      <xdr:spPr bwMode="auto">
        <a:xfrm>
          <a:off x="3803650" y="766064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218</xdr:row>
      <xdr:rowOff>0</xdr:rowOff>
    </xdr:from>
    <xdr:ext cx="304800" cy="304094"/>
    <xdr:sp macro="" textlink="">
      <xdr:nvSpPr>
        <xdr:cNvPr id="790" name="AutoShape 12">
          <a:extLst>
            <a:ext uri="{FF2B5EF4-FFF2-40B4-BE49-F238E27FC236}">
              <a16:creationId xmlns:a16="http://schemas.microsoft.com/office/drawing/2014/main" id="{48098CB3-9AD2-4712-8427-E9385CEFFCEF}"/>
            </a:ext>
          </a:extLst>
        </xdr:cNvPr>
        <xdr:cNvSpPr>
          <a:spLocks noChangeAspect="1" noChangeArrowheads="1"/>
        </xdr:cNvSpPr>
      </xdr:nvSpPr>
      <xdr:spPr bwMode="auto">
        <a:xfrm>
          <a:off x="3803650" y="784479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219</xdr:row>
      <xdr:rowOff>0</xdr:rowOff>
    </xdr:from>
    <xdr:ext cx="304800" cy="304094"/>
    <xdr:sp macro="" textlink="">
      <xdr:nvSpPr>
        <xdr:cNvPr id="791" name="AutoShape 12">
          <a:extLst>
            <a:ext uri="{FF2B5EF4-FFF2-40B4-BE49-F238E27FC236}">
              <a16:creationId xmlns:a16="http://schemas.microsoft.com/office/drawing/2014/main" id="{C48B5EF0-A7FE-45AF-B184-BD5A1C2C0104}"/>
            </a:ext>
          </a:extLst>
        </xdr:cNvPr>
        <xdr:cNvSpPr>
          <a:spLocks noChangeAspect="1" noChangeArrowheads="1"/>
        </xdr:cNvSpPr>
      </xdr:nvSpPr>
      <xdr:spPr bwMode="auto">
        <a:xfrm>
          <a:off x="3803650" y="786320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208</xdr:row>
      <xdr:rowOff>0</xdr:rowOff>
    </xdr:from>
    <xdr:ext cx="304800" cy="304094"/>
    <xdr:sp macro="" textlink="">
      <xdr:nvSpPr>
        <xdr:cNvPr id="792" name="AutoShape 12">
          <a:extLst>
            <a:ext uri="{FF2B5EF4-FFF2-40B4-BE49-F238E27FC236}">
              <a16:creationId xmlns:a16="http://schemas.microsoft.com/office/drawing/2014/main" id="{F7569158-F882-4513-8550-A66CD7952430}"/>
            </a:ext>
          </a:extLst>
        </xdr:cNvPr>
        <xdr:cNvSpPr>
          <a:spLocks noChangeAspect="1" noChangeArrowheads="1"/>
        </xdr:cNvSpPr>
      </xdr:nvSpPr>
      <xdr:spPr bwMode="auto">
        <a:xfrm>
          <a:off x="3803650" y="766064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209</xdr:row>
      <xdr:rowOff>0</xdr:rowOff>
    </xdr:from>
    <xdr:ext cx="304800" cy="304094"/>
    <xdr:sp macro="" textlink="">
      <xdr:nvSpPr>
        <xdr:cNvPr id="793" name="AutoShape 12">
          <a:extLst>
            <a:ext uri="{FF2B5EF4-FFF2-40B4-BE49-F238E27FC236}">
              <a16:creationId xmlns:a16="http://schemas.microsoft.com/office/drawing/2014/main" id="{F55EB080-29C1-4E3E-9D36-84EBD7AC3F04}"/>
            </a:ext>
          </a:extLst>
        </xdr:cNvPr>
        <xdr:cNvSpPr>
          <a:spLocks noChangeAspect="1" noChangeArrowheads="1"/>
        </xdr:cNvSpPr>
      </xdr:nvSpPr>
      <xdr:spPr bwMode="auto">
        <a:xfrm>
          <a:off x="3803650" y="767905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219</xdr:row>
      <xdr:rowOff>0</xdr:rowOff>
    </xdr:from>
    <xdr:ext cx="304800" cy="304094"/>
    <xdr:sp macro="" textlink="">
      <xdr:nvSpPr>
        <xdr:cNvPr id="794" name="AutoShape 12">
          <a:extLst>
            <a:ext uri="{FF2B5EF4-FFF2-40B4-BE49-F238E27FC236}">
              <a16:creationId xmlns:a16="http://schemas.microsoft.com/office/drawing/2014/main" id="{A0BE2E20-11E4-4E51-BB0D-62C635B74908}"/>
            </a:ext>
          </a:extLst>
        </xdr:cNvPr>
        <xdr:cNvSpPr>
          <a:spLocks noChangeAspect="1" noChangeArrowheads="1"/>
        </xdr:cNvSpPr>
      </xdr:nvSpPr>
      <xdr:spPr bwMode="auto">
        <a:xfrm>
          <a:off x="3803650" y="786320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209</xdr:row>
      <xdr:rowOff>0</xdr:rowOff>
    </xdr:from>
    <xdr:ext cx="304800" cy="304094"/>
    <xdr:sp macro="" textlink="">
      <xdr:nvSpPr>
        <xdr:cNvPr id="795" name="AutoShape 12">
          <a:extLst>
            <a:ext uri="{FF2B5EF4-FFF2-40B4-BE49-F238E27FC236}">
              <a16:creationId xmlns:a16="http://schemas.microsoft.com/office/drawing/2014/main" id="{AE0A3C1E-2174-4B38-BA89-5930EABCD38D}"/>
            </a:ext>
          </a:extLst>
        </xdr:cNvPr>
        <xdr:cNvSpPr>
          <a:spLocks noChangeAspect="1" noChangeArrowheads="1"/>
        </xdr:cNvSpPr>
      </xdr:nvSpPr>
      <xdr:spPr bwMode="auto">
        <a:xfrm>
          <a:off x="3803650" y="767905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210</xdr:row>
      <xdr:rowOff>0</xdr:rowOff>
    </xdr:from>
    <xdr:ext cx="304800" cy="304094"/>
    <xdr:sp macro="" textlink="">
      <xdr:nvSpPr>
        <xdr:cNvPr id="796" name="AutoShape 12">
          <a:extLst>
            <a:ext uri="{FF2B5EF4-FFF2-40B4-BE49-F238E27FC236}">
              <a16:creationId xmlns:a16="http://schemas.microsoft.com/office/drawing/2014/main" id="{80F8CEA8-CF39-4BD2-AD3C-D85A3A33527F}"/>
            </a:ext>
          </a:extLst>
        </xdr:cNvPr>
        <xdr:cNvSpPr>
          <a:spLocks noChangeAspect="1" noChangeArrowheads="1"/>
        </xdr:cNvSpPr>
      </xdr:nvSpPr>
      <xdr:spPr bwMode="auto">
        <a:xfrm>
          <a:off x="3803650" y="769747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210</xdr:row>
      <xdr:rowOff>0</xdr:rowOff>
    </xdr:from>
    <xdr:ext cx="304800" cy="304094"/>
    <xdr:sp macro="" textlink="">
      <xdr:nvSpPr>
        <xdr:cNvPr id="797" name="AutoShape 12">
          <a:extLst>
            <a:ext uri="{FF2B5EF4-FFF2-40B4-BE49-F238E27FC236}">
              <a16:creationId xmlns:a16="http://schemas.microsoft.com/office/drawing/2014/main" id="{468388A3-246C-4284-9A86-A9B3DD7490F5}"/>
            </a:ext>
          </a:extLst>
        </xdr:cNvPr>
        <xdr:cNvSpPr>
          <a:spLocks noChangeAspect="1" noChangeArrowheads="1"/>
        </xdr:cNvSpPr>
      </xdr:nvSpPr>
      <xdr:spPr bwMode="auto">
        <a:xfrm>
          <a:off x="3803650" y="769747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211</xdr:row>
      <xdr:rowOff>0</xdr:rowOff>
    </xdr:from>
    <xdr:ext cx="304800" cy="304094"/>
    <xdr:sp macro="" textlink="">
      <xdr:nvSpPr>
        <xdr:cNvPr id="798" name="AutoShape 12">
          <a:extLst>
            <a:ext uri="{FF2B5EF4-FFF2-40B4-BE49-F238E27FC236}">
              <a16:creationId xmlns:a16="http://schemas.microsoft.com/office/drawing/2014/main" id="{258FB1A0-D547-4019-BC70-277E262E75EA}"/>
            </a:ext>
          </a:extLst>
        </xdr:cNvPr>
        <xdr:cNvSpPr>
          <a:spLocks noChangeAspect="1" noChangeArrowheads="1"/>
        </xdr:cNvSpPr>
      </xdr:nvSpPr>
      <xdr:spPr bwMode="auto">
        <a:xfrm>
          <a:off x="3803650" y="771588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210</xdr:row>
      <xdr:rowOff>0</xdr:rowOff>
    </xdr:from>
    <xdr:ext cx="304800" cy="304094"/>
    <xdr:sp macro="" textlink="">
      <xdr:nvSpPr>
        <xdr:cNvPr id="799" name="AutoShape 12">
          <a:extLst>
            <a:ext uri="{FF2B5EF4-FFF2-40B4-BE49-F238E27FC236}">
              <a16:creationId xmlns:a16="http://schemas.microsoft.com/office/drawing/2014/main" id="{14E4EBB6-6DDF-454D-8D56-17F42B532CA2}"/>
            </a:ext>
          </a:extLst>
        </xdr:cNvPr>
        <xdr:cNvSpPr>
          <a:spLocks noChangeAspect="1" noChangeArrowheads="1"/>
        </xdr:cNvSpPr>
      </xdr:nvSpPr>
      <xdr:spPr bwMode="auto">
        <a:xfrm>
          <a:off x="3803650" y="769747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211</xdr:row>
      <xdr:rowOff>0</xdr:rowOff>
    </xdr:from>
    <xdr:ext cx="304800" cy="304094"/>
    <xdr:sp macro="" textlink="">
      <xdr:nvSpPr>
        <xdr:cNvPr id="800" name="AutoShape 12">
          <a:extLst>
            <a:ext uri="{FF2B5EF4-FFF2-40B4-BE49-F238E27FC236}">
              <a16:creationId xmlns:a16="http://schemas.microsoft.com/office/drawing/2014/main" id="{8463AE54-DEFA-48CA-B392-29D4D12004BD}"/>
            </a:ext>
          </a:extLst>
        </xdr:cNvPr>
        <xdr:cNvSpPr>
          <a:spLocks noChangeAspect="1" noChangeArrowheads="1"/>
        </xdr:cNvSpPr>
      </xdr:nvSpPr>
      <xdr:spPr bwMode="auto">
        <a:xfrm>
          <a:off x="3803650" y="771588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211</xdr:row>
      <xdr:rowOff>0</xdr:rowOff>
    </xdr:from>
    <xdr:ext cx="304800" cy="304094"/>
    <xdr:sp macro="" textlink="">
      <xdr:nvSpPr>
        <xdr:cNvPr id="801" name="AutoShape 12">
          <a:extLst>
            <a:ext uri="{FF2B5EF4-FFF2-40B4-BE49-F238E27FC236}">
              <a16:creationId xmlns:a16="http://schemas.microsoft.com/office/drawing/2014/main" id="{DC20C668-DE7D-4B0E-AD39-4EAD9BBE6B4F}"/>
            </a:ext>
          </a:extLst>
        </xdr:cNvPr>
        <xdr:cNvSpPr>
          <a:spLocks noChangeAspect="1" noChangeArrowheads="1"/>
        </xdr:cNvSpPr>
      </xdr:nvSpPr>
      <xdr:spPr bwMode="auto">
        <a:xfrm>
          <a:off x="3803650" y="771588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212</xdr:row>
      <xdr:rowOff>0</xdr:rowOff>
    </xdr:from>
    <xdr:ext cx="304800" cy="304094"/>
    <xdr:sp macro="" textlink="">
      <xdr:nvSpPr>
        <xdr:cNvPr id="802" name="AutoShape 12">
          <a:extLst>
            <a:ext uri="{FF2B5EF4-FFF2-40B4-BE49-F238E27FC236}">
              <a16:creationId xmlns:a16="http://schemas.microsoft.com/office/drawing/2014/main" id="{BFB1EECF-67C2-40C2-AD54-4EE80AC5208A}"/>
            </a:ext>
          </a:extLst>
        </xdr:cNvPr>
        <xdr:cNvSpPr>
          <a:spLocks noChangeAspect="1" noChangeArrowheads="1"/>
        </xdr:cNvSpPr>
      </xdr:nvSpPr>
      <xdr:spPr bwMode="auto">
        <a:xfrm>
          <a:off x="3803650" y="773430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233</xdr:row>
      <xdr:rowOff>0</xdr:rowOff>
    </xdr:from>
    <xdr:ext cx="304800" cy="304094"/>
    <xdr:sp macro="" textlink="">
      <xdr:nvSpPr>
        <xdr:cNvPr id="803" name="AutoShape 12">
          <a:extLst>
            <a:ext uri="{FF2B5EF4-FFF2-40B4-BE49-F238E27FC236}">
              <a16:creationId xmlns:a16="http://schemas.microsoft.com/office/drawing/2014/main" id="{BF13866F-50FE-46FF-B72A-11079C661BA6}"/>
            </a:ext>
          </a:extLst>
        </xdr:cNvPr>
        <xdr:cNvSpPr>
          <a:spLocks noChangeAspect="1" noChangeArrowheads="1"/>
        </xdr:cNvSpPr>
      </xdr:nvSpPr>
      <xdr:spPr bwMode="auto">
        <a:xfrm>
          <a:off x="3803650" y="81210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234</xdr:row>
      <xdr:rowOff>0</xdr:rowOff>
    </xdr:from>
    <xdr:ext cx="304800" cy="304094"/>
    <xdr:sp macro="" textlink="">
      <xdr:nvSpPr>
        <xdr:cNvPr id="804" name="AutoShape 12">
          <a:extLst>
            <a:ext uri="{FF2B5EF4-FFF2-40B4-BE49-F238E27FC236}">
              <a16:creationId xmlns:a16="http://schemas.microsoft.com/office/drawing/2014/main" id="{101E1513-E25E-4C66-8113-68C6ED19A9A0}"/>
            </a:ext>
          </a:extLst>
        </xdr:cNvPr>
        <xdr:cNvSpPr>
          <a:spLocks noChangeAspect="1" noChangeArrowheads="1"/>
        </xdr:cNvSpPr>
      </xdr:nvSpPr>
      <xdr:spPr bwMode="auto">
        <a:xfrm>
          <a:off x="3803650" y="813943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244</xdr:row>
      <xdr:rowOff>0</xdr:rowOff>
    </xdr:from>
    <xdr:ext cx="304800" cy="304094"/>
    <xdr:sp macro="" textlink="">
      <xdr:nvSpPr>
        <xdr:cNvPr id="805" name="AutoShape 12">
          <a:extLst>
            <a:ext uri="{FF2B5EF4-FFF2-40B4-BE49-F238E27FC236}">
              <a16:creationId xmlns:a16="http://schemas.microsoft.com/office/drawing/2014/main" id="{0C1E2D24-DEA6-4246-A9CD-16E30A009014}"/>
            </a:ext>
          </a:extLst>
        </xdr:cNvPr>
        <xdr:cNvSpPr>
          <a:spLocks noChangeAspect="1" noChangeArrowheads="1"/>
        </xdr:cNvSpPr>
      </xdr:nvSpPr>
      <xdr:spPr bwMode="auto">
        <a:xfrm>
          <a:off x="3803650" y="832358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245</xdr:row>
      <xdr:rowOff>0</xdr:rowOff>
    </xdr:from>
    <xdr:ext cx="304800" cy="304094"/>
    <xdr:sp macro="" textlink="">
      <xdr:nvSpPr>
        <xdr:cNvPr id="806" name="AutoShape 12">
          <a:extLst>
            <a:ext uri="{FF2B5EF4-FFF2-40B4-BE49-F238E27FC236}">
              <a16:creationId xmlns:a16="http://schemas.microsoft.com/office/drawing/2014/main" id="{7FB79DE0-417C-4F13-94E3-7BB251262A9B}"/>
            </a:ext>
          </a:extLst>
        </xdr:cNvPr>
        <xdr:cNvSpPr>
          <a:spLocks noChangeAspect="1" noChangeArrowheads="1"/>
        </xdr:cNvSpPr>
      </xdr:nvSpPr>
      <xdr:spPr bwMode="auto">
        <a:xfrm>
          <a:off x="3803650" y="834199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234</xdr:row>
      <xdr:rowOff>0</xdr:rowOff>
    </xdr:from>
    <xdr:ext cx="304800" cy="304094"/>
    <xdr:sp macro="" textlink="">
      <xdr:nvSpPr>
        <xdr:cNvPr id="807" name="AutoShape 12">
          <a:extLst>
            <a:ext uri="{FF2B5EF4-FFF2-40B4-BE49-F238E27FC236}">
              <a16:creationId xmlns:a16="http://schemas.microsoft.com/office/drawing/2014/main" id="{195DE5E3-44F3-49B9-AD24-EED30C19FC2B}"/>
            </a:ext>
          </a:extLst>
        </xdr:cNvPr>
        <xdr:cNvSpPr>
          <a:spLocks noChangeAspect="1" noChangeArrowheads="1"/>
        </xdr:cNvSpPr>
      </xdr:nvSpPr>
      <xdr:spPr bwMode="auto">
        <a:xfrm>
          <a:off x="3803650" y="813943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235</xdr:row>
      <xdr:rowOff>0</xdr:rowOff>
    </xdr:from>
    <xdr:ext cx="304800" cy="304094"/>
    <xdr:sp macro="" textlink="">
      <xdr:nvSpPr>
        <xdr:cNvPr id="808" name="AutoShape 12">
          <a:extLst>
            <a:ext uri="{FF2B5EF4-FFF2-40B4-BE49-F238E27FC236}">
              <a16:creationId xmlns:a16="http://schemas.microsoft.com/office/drawing/2014/main" id="{7A2C4AB8-7A58-4965-9553-8CEA49ABF356}"/>
            </a:ext>
          </a:extLst>
        </xdr:cNvPr>
        <xdr:cNvSpPr>
          <a:spLocks noChangeAspect="1" noChangeArrowheads="1"/>
        </xdr:cNvSpPr>
      </xdr:nvSpPr>
      <xdr:spPr bwMode="auto">
        <a:xfrm>
          <a:off x="3803650" y="815784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245</xdr:row>
      <xdr:rowOff>0</xdr:rowOff>
    </xdr:from>
    <xdr:ext cx="304800" cy="304094"/>
    <xdr:sp macro="" textlink="">
      <xdr:nvSpPr>
        <xdr:cNvPr id="809" name="AutoShape 12">
          <a:extLst>
            <a:ext uri="{FF2B5EF4-FFF2-40B4-BE49-F238E27FC236}">
              <a16:creationId xmlns:a16="http://schemas.microsoft.com/office/drawing/2014/main" id="{FD6F4038-D98F-4D1B-9518-CFF3A8B4A803}"/>
            </a:ext>
          </a:extLst>
        </xdr:cNvPr>
        <xdr:cNvSpPr>
          <a:spLocks noChangeAspect="1" noChangeArrowheads="1"/>
        </xdr:cNvSpPr>
      </xdr:nvSpPr>
      <xdr:spPr bwMode="auto">
        <a:xfrm>
          <a:off x="3803650" y="834199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246</xdr:row>
      <xdr:rowOff>0</xdr:rowOff>
    </xdr:from>
    <xdr:ext cx="304800" cy="304094"/>
    <xdr:sp macro="" textlink="">
      <xdr:nvSpPr>
        <xdr:cNvPr id="810" name="AutoShape 12">
          <a:extLst>
            <a:ext uri="{FF2B5EF4-FFF2-40B4-BE49-F238E27FC236}">
              <a16:creationId xmlns:a16="http://schemas.microsoft.com/office/drawing/2014/main" id="{FB305BB5-D0B2-4D7E-BA6A-E4A51A783059}"/>
            </a:ext>
          </a:extLst>
        </xdr:cNvPr>
        <xdr:cNvSpPr>
          <a:spLocks noChangeAspect="1" noChangeArrowheads="1"/>
        </xdr:cNvSpPr>
      </xdr:nvSpPr>
      <xdr:spPr bwMode="auto">
        <a:xfrm>
          <a:off x="3803650" y="836041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302</xdr:row>
      <xdr:rowOff>0</xdr:rowOff>
    </xdr:from>
    <xdr:ext cx="304800" cy="304094"/>
    <xdr:sp macro="" textlink="">
      <xdr:nvSpPr>
        <xdr:cNvPr id="811" name="AutoShape 12">
          <a:extLst>
            <a:ext uri="{FF2B5EF4-FFF2-40B4-BE49-F238E27FC236}">
              <a16:creationId xmlns:a16="http://schemas.microsoft.com/office/drawing/2014/main" id="{DB33D8B3-85B3-48A4-96B2-395AA3CC7EE7}"/>
            </a:ext>
          </a:extLst>
        </xdr:cNvPr>
        <xdr:cNvSpPr>
          <a:spLocks noChangeAspect="1" noChangeArrowheads="1"/>
        </xdr:cNvSpPr>
      </xdr:nvSpPr>
      <xdr:spPr bwMode="auto">
        <a:xfrm>
          <a:off x="3803650" y="939165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303</xdr:row>
      <xdr:rowOff>0</xdr:rowOff>
    </xdr:from>
    <xdr:ext cx="304800" cy="304094"/>
    <xdr:sp macro="" textlink="">
      <xdr:nvSpPr>
        <xdr:cNvPr id="812" name="AutoShape 12">
          <a:extLst>
            <a:ext uri="{FF2B5EF4-FFF2-40B4-BE49-F238E27FC236}">
              <a16:creationId xmlns:a16="http://schemas.microsoft.com/office/drawing/2014/main" id="{DF2ACF91-3EE4-45F7-9631-501C44C1372B}"/>
            </a:ext>
          </a:extLst>
        </xdr:cNvPr>
        <xdr:cNvSpPr>
          <a:spLocks noChangeAspect="1" noChangeArrowheads="1"/>
        </xdr:cNvSpPr>
      </xdr:nvSpPr>
      <xdr:spPr bwMode="auto">
        <a:xfrm>
          <a:off x="3803650" y="941006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313</xdr:row>
      <xdr:rowOff>0</xdr:rowOff>
    </xdr:from>
    <xdr:ext cx="304800" cy="304094"/>
    <xdr:sp macro="" textlink="">
      <xdr:nvSpPr>
        <xdr:cNvPr id="813" name="AutoShape 12">
          <a:extLst>
            <a:ext uri="{FF2B5EF4-FFF2-40B4-BE49-F238E27FC236}">
              <a16:creationId xmlns:a16="http://schemas.microsoft.com/office/drawing/2014/main" id="{EC254BFA-482A-4FB3-B3B5-C83789CF6E8B}"/>
            </a:ext>
          </a:extLst>
        </xdr:cNvPr>
        <xdr:cNvSpPr>
          <a:spLocks noChangeAspect="1" noChangeArrowheads="1"/>
        </xdr:cNvSpPr>
      </xdr:nvSpPr>
      <xdr:spPr bwMode="auto">
        <a:xfrm>
          <a:off x="3803650" y="95942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314</xdr:row>
      <xdr:rowOff>0</xdr:rowOff>
    </xdr:from>
    <xdr:ext cx="304800" cy="304094"/>
    <xdr:sp macro="" textlink="">
      <xdr:nvSpPr>
        <xdr:cNvPr id="814" name="AutoShape 12">
          <a:extLst>
            <a:ext uri="{FF2B5EF4-FFF2-40B4-BE49-F238E27FC236}">
              <a16:creationId xmlns:a16="http://schemas.microsoft.com/office/drawing/2014/main" id="{E454CC45-E6E5-4A8B-845B-3DB3566024A2}"/>
            </a:ext>
          </a:extLst>
        </xdr:cNvPr>
        <xdr:cNvSpPr>
          <a:spLocks noChangeAspect="1" noChangeArrowheads="1"/>
        </xdr:cNvSpPr>
      </xdr:nvSpPr>
      <xdr:spPr bwMode="auto">
        <a:xfrm>
          <a:off x="3803650" y="961263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303</xdr:row>
      <xdr:rowOff>0</xdr:rowOff>
    </xdr:from>
    <xdr:ext cx="304800" cy="304094"/>
    <xdr:sp macro="" textlink="">
      <xdr:nvSpPr>
        <xdr:cNvPr id="815" name="AutoShape 12">
          <a:extLst>
            <a:ext uri="{FF2B5EF4-FFF2-40B4-BE49-F238E27FC236}">
              <a16:creationId xmlns:a16="http://schemas.microsoft.com/office/drawing/2014/main" id="{A6911011-AE06-487B-A79C-3E3266F216C8}"/>
            </a:ext>
          </a:extLst>
        </xdr:cNvPr>
        <xdr:cNvSpPr>
          <a:spLocks noChangeAspect="1" noChangeArrowheads="1"/>
        </xdr:cNvSpPr>
      </xdr:nvSpPr>
      <xdr:spPr bwMode="auto">
        <a:xfrm>
          <a:off x="3803650" y="941006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304</xdr:row>
      <xdr:rowOff>0</xdr:rowOff>
    </xdr:from>
    <xdr:ext cx="304800" cy="304094"/>
    <xdr:sp macro="" textlink="">
      <xdr:nvSpPr>
        <xdr:cNvPr id="816" name="AutoShape 12">
          <a:extLst>
            <a:ext uri="{FF2B5EF4-FFF2-40B4-BE49-F238E27FC236}">
              <a16:creationId xmlns:a16="http://schemas.microsoft.com/office/drawing/2014/main" id="{D0B5FE5C-69DF-47D5-ABD9-DBD5A1BFB1A3}"/>
            </a:ext>
          </a:extLst>
        </xdr:cNvPr>
        <xdr:cNvSpPr>
          <a:spLocks noChangeAspect="1" noChangeArrowheads="1"/>
        </xdr:cNvSpPr>
      </xdr:nvSpPr>
      <xdr:spPr bwMode="auto">
        <a:xfrm>
          <a:off x="3803650" y="942848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314</xdr:row>
      <xdr:rowOff>0</xdr:rowOff>
    </xdr:from>
    <xdr:ext cx="304800" cy="304094"/>
    <xdr:sp macro="" textlink="">
      <xdr:nvSpPr>
        <xdr:cNvPr id="817" name="AutoShape 12">
          <a:extLst>
            <a:ext uri="{FF2B5EF4-FFF2-40B4-BE49-F238E27FC236}">
              <a16:creationId xmlns:a16="http://schemas.microsoft.com/office/drawing/2014/main" id="{77C8663A-49BA-4B2C-95AC-77F3CB27E95B}"/>
            </a:ext>
          </a:extLst>
        </xdr:cNvPr>
        <xdr:cNvSpPr>
          <a:spLocks noChangeAspect="1" noChangeArrowheads="1"/>
        </xdr:cNvSpPr>
      </xdr:nvSpPr>
      <xdr:spPr bwMode="auto">
        <a:xfrm>
          <a:off x="3803650" y="961263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315</xdr:row>
      <xdr:rowOff>0</xdr:rowOff>
    </xdr:from>
    <xdr:ext cx="304800" cy="304094"/>
    <xdr:sp macro="" textlink="">
      <xdr:nvSpPr>
        <xdr:cNvPr id="818" name="AutoShape 12">
          <a:extLst>
            <a:ext uri="{FF2B5EF4-FFF2-40B4-BE49-F238E27FC236}">
              <a16:creationId xmlns:a16="http://schemas.microsoft.com/office/drawing/2014/main" id="{3AA2547F-F19C-4044-A002-EE22E68859E8}"/>
            </a:ext>
          </a:extLst>
        </xdr:cNvPr>
        <xdr:cNvSpPr>
          <a:spLocks noChangeAspect="1" noChangeArrowheads="1"/>
        </xdr:cNvSpPr>
      </xdr:nvSpPr>
      <xdr:spPr bwMode="auto">
        <a:xfrm>
          <a:off x="3803650" y="963104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234</xdr:row>
      <xdr:rowOff>0</xdr:rowOff>
    </xdr:from>
    <xdr:ext cx="304800" cy="304094"/>
    <xdr:sp macro="" textlink="">
      <xdr:nvSpPr>
        <xdr:cNvPr id="819" name="AutoShape 12">
          <a:extLst>
            <a:ext uri="{FF2B5EF4-FFF2-40B4-BE49-F238E27FC236}">
              <a16:creationId xmlns:a16="http://schemas.microsoft.com/office/drawing/2014/main" id="{6764E444-2F8B-4DA6-B052-C06281AEED9A}"/>
            </a:ext>
          </a:extLst>
        </xdr:cNvPr>
        <xdr:cNvSpPr>
          <a:spLocks noChangeAspect="1" noChangeArrowheads="1"/>
        </xdr:cNvSpPr>
      </xdr:nvSpPr>
      <xdr:spPr bwMode="auto">
        <a:xfrm>
          <a:off x="3803650" y="813943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235</xdr:row>
      <xdr:rowOff>0</xdr:rowOff>
    </xdr:from>
    <xdr:ext cx="304800" cy="304094"/>
    <xdr:sp macro="" textlink="">
      <xdr:nvSpPr>
        <xdr:cNvPr id="820" name="AutoShape 12">
          <a:extLst>
            <a:ext uri="{FF2B5EF4-FFF2-40B4-BE49-F238E27FC236}">
              <a16:creationId xmlns:a16="http://schemas.microsoft.com/office/drawing/2014/main" id="{6629635D-9193-4F09-8CB0-E25A0B687C48}"/>
            </a:ext>
          </a:extLst>
        </xdr:cNvPr>
        <xdr:cNvSpPr>
          <a:spLocks noChangeAspect="1" noChangeArrowheads="1"/>
        </xdr:cNvSpPr>
      </xdr:nvSpPr>
      <xdr:spPr bwMode="auto">
        <a:xfrm>
          <a:off x="3803650" y="815784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245</xdr:row>
      <xdr:rowOff>0</xdr:rowOff>
    </xdr:from>
    <xdr:ext cx="304800" cy="304094"/>
    <xdr:sp macro="" textlink="">
      <xdr:nvSpPr>
        <xdr:cNvPr id="821" name="AutoShape 12">
          <a:extLst>
            <a:ext uri="{FF2B5EF4-FFF2-40B4-BE49-F238E27FC236}">
              <a16:creationId xmlns:a16="http://schemas.microsoft.com/office/drawing/2014/main" id="{AE07DE8F-DE2D-49F5-B6BE-D75E511995B7}"/>
            </a:ext>
          </a:extLst>
        </xdr:cNvPr>
        <xdr:cNvSpPr>
          <a:spLocks noChangeAspect="1" noChangeArrowheads="1"/>
        </xdr:cNvSpPr>
      </xdr:nvSpPr>
      <xdr:spPr bwMode="auto">
        <a:xfrm>
          <a:off x="3803650" y="834199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246</xdr:row>
      <xdr:rowOff>0</xdr:rowOff>
    </xdr:from>
    <xdr:ext cx="304800" cy="304094"/>
    <xdr:sp macro="" textlink="">
      <xdr:nvSpPr>
        <xdr:cNvPr id="822" name="AutoShape 12">
          <a:extLst>
            <a:ext uri="{FF2B5EF4-FFF2-40B4-BE49-F238E27FC236}">
              <a16:creationId xmlns:a16="http://schemas.microsoft.com/office/drawing/2014/main" id="{8FEA9A3E-E751-4D3A-8500-433F4DD01FA5}"/>
            </a:ext>
          </a:extLst>
        </xdr:cNvPr>
        <xdr:cNvSpPr>
          <a:spLocks noChangeAspect="1" noChangeArrowheads="1"/>
        </xdr:cNvSpPr>
      </xdr:nvSpPr>
      <xdr:spPr bwMode="auto">
        <a:xfrm>
          <a:off x="3803650" y="836041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235</xdr:row>
      <xdr:rowOff>0</xdr:rowOff>
    </xdr:from>
    <xdr:ext cx="304800" cy="304094"/>
    <xdr:sp macro="" textlink="">
      <xdr:nvSpPr>
        <xdr:cNvPr id="823" name="AutoShape 12">
          <a:extLst>
            <a:ext uri="{FF2B5EF4-FFF2-40B4-BE49-F238E27FC236}">
              <a16:creationId xmlns:a16="http://schemas.microsoft.com/office/drawing/2014/main" id="{6056D0BF-AC53-4684-8ED1-ED781B4D47A6}"/>
            </a:ext>
          </a:extLst>
        </xdr:cNvPr>
        <xdr:cNvSpPr>
          <a:spLocks noChangeAspect="1" noChangeArrowheads="1"/>
        </xdr:cNvSpPr>
      </xdr:nvSpPr>
      <xdr:spPr bwMode="auto">
        <a:xfrm>
          <a:off x="3803650" y="815784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236</xdr:row>
      <xdr:rowOff>0</xdr:rowOff>
    </xdr:from>
    <xdr:ext cx="304800" cy="304094"/>
    <xdr:sp macro="" textlink="">
      <xdr:nvSpPr>
        <xdr:cNvPr id="824" name="AutoShape 12">
          <a:extLst>
            <a:ext uri="{FF2B5EF4-FFF2-40B4-BE49-F238E27FC236}">
              <a16:creationId xmlns:a16="http://schemas.microsoft.com/office/drawing/2014/main" id="{1999B16E-C8FE-4D24-9EA7-7D849CFC5CF4}"/>
            </a:ext>
          </a:extLst>
        </xdr:cNvPr>
        <xdr:cNvSpPr>
          <a:spLocks noChangeAspect="1" noChangeArrowheads="1"/>
        </xdr:cNvSpPr>
      </xdr:nvSpPr>
      <xdr:spPr bwMode="auto">
        <a:xfrm>
          <a:off x="3803650" y="817626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246</xdr:row>
      <xdr:rowOff>0</xdr:rowOff>
    </xdr:from>
    <xdr:ext cx="304800" cy="304094"/>
    <xdr:sp macro="" textlink="">
      <xdr:nvSpPr>
        <xdr:cNvPr id="825" name="AutoShape 12">
          <a:extLst>
            <a:ext uri="{FF2B5EF4-FFF2-40B4-BE49-F238E27FC236}">
              <a16:creationId xmlns:a16="http://schemas.microsoft.com/office/drawing/2014/main" id="{F5DDD125-997B-4BC6-AF57-F71E9FF46425}"/>
            </a:ext>
          </a:extLst>
        </xdr:cNvPr>
        <xdr:cNvSpPr>
          <a:spLocks noChangeAspect="1" noChangeArrowheads="1"/>
        </xdr:cNvSpPr>
      </xdr:nvSpPr>
      <xdr:spPr bwMode="auto">
        <a:xfrm>
          <a:off x="3803650" y="836041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247</xdr:row>
      <xdr:rowOff>0</xdr:rowOff>
    </xdr:from>
    <xdr:ext cx="304800" cy="304094"/>
    <xdr:sp macro="" textlink="">
      <xdr:nvSpPr>
        <xdr:cNvPr id="826" name="AutoShape 12">
          <a:extLst>
            <a:ext uri="{FF2B5EF4-FFF2-40B4-BE49-F238E27FC236}">
              <a16:creationId xmlns:a16="http://schemas.microsoft.com/office/drawing/2014/main" id="{19591B37-8CBC-4DBB-92D4-6E968AED9745}"/>
            </a:ext>
          </a:extLst>
        </xdr:cNvPr>
        <xdr:cNvSpPr>
          <a:spLocks noChangeAspect="1" noChangeArrowheads="1"/>
        </xdr:cNvSpPr>
      </xdr:nvSpPr>
      <xdr:spPr bwMode="auto">
        <a:xfrm>
          <a:off x="3803650" y="837882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303</xdr:row>
      <xdr:rowOff>0</xdr:rowOff>
    </xdr:from>
    <xdr:ext cx="304800" cy="304094"/>
    <xdr:sp macro="" textlink="">
      <xdr:nvSpPr>
        <xdr:cNvPr id="827" name="AutoShape 12">
          <a:extLst>
            <a:ext uri="{FF2B5EF4-FFF2-40B4-BE49-F238E27FC236}">
              <a16:creationId xmlns:a16="http://schemas.microsoft.com/office/drawing/2014/main" id="{841473D0-F0CC-4422-82D2-DAF1B82023EE}"/>
            </a:ext>
          </a:extLst>
        </xdr:cNvPr>
        <xdr:cNvSpPr>
          <a:spLocks noChangeAspect="1" noChangeArrowheads="1"/>
        </xdr:cNvSpPr>
      </xdr:nvSpPr>
      <xdr:spPr bwMode="auto">
        <a:xfrm>
          <a:off x="3803650" y="941006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304</xdr:row>
      <xdr:rowOff>0</xdr:rowOff>
    </xdr:from>
    <xdr:ext cx="304800" cy="304094"/>
    <xdr:sp macro="" textlink="">
      <xdr:nvSpPr>
        <xdr:cNvPr id="828" name="AutoShape 12">
          <a:extLst>
            <a:ext uri="{FF2B5EF4-FFF2-40B4-BE49-F238E27FC236}">
              <a16:creationId xmlns:a16="http://schemas.microsoft.com/office/drawing/2014/main" id="{655DE343-C4AA-45FA-B3EA-E92E2D51321C}"/>
            </a:ext>
          </a:extLst>
        </xdr:cNvPr>
        <xdr:cNvSpPr>
          <a:spLocks noChangeAspect="1" noChangeArrowheads="1"/>
        </xdr:cNvSpPr>
      </xdr:nvSpPr>
      <xdr:spPr bwMode="auto">
        <a:xfrm>
          <a:off x="3803650" y="942848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314</xdr:row>
      <xdr:rowOff>0</xdr:rowOff>
    </xdr:from>
    <xdr:ext cx="304800" cy="304094"/>
    <xdr:sp macro="" textlink="">
      <xdr:nvSpPr>
        <xdr:cNvPr id="829" name="AutoShape 12">
          <a:extLst>
            <a:ext uri="{FF2B5EF4-FFF2-40B4-BE49-F238E27FC236}">
              <a16:creationId xmlns:a16="http://schemas.microsoft.com/office/drawing/2014/main" id="{8AB11BB7-9D3A-4739-9C17-B14D69695C12}"/>
            </a:ext>
          </a:extLst>
        </xdr:cNvPr>
        <xdr:cNvSpPr>
          <a:spLocks noChangeAspect="1" noChangeArrowheads="1"/>
        </xdr:cNvSpPr>
      </xdr:nvSpPr>
      <xdr:spPr bwMode="auto">
        <a:xfrm>
          <a:off x="3803650" y="961263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315</xdr:row>
      <xdr:rowOff>0</xdr:rowOff>
    </xdr:from>
    <xdr:ext cx="304800" cy="304094"/>
    <xdr:sp macro="" textlink="">
      <xdr:nvSpPr>
        <xdr:cNvPr id="830" name="AutoShape 12">
          <a:extLst>
            <a:ext uri="{FF2B5EF4-FFF2-40B4-BE49-F238E27FC236}">
              <a16:creationId xmlns:a16="http://schemas.microsoft.com/office/drawing/2014/main" id="{EFA7163C-B1C3-4C23-8334-12AD9288E5A8}"/>
            </a:ext>
          </a:extLst>
        </xdr:cNvPr>
        <xdr:cNvSpPr>
          <a:spLocks noChangeAspect="1" noChangeArrowheads="1"/>
        </xdr:cNvSpPr>
      </xdr:nvSpPr>
      <xdr:spPr bwMode="auto">
        <a:xfrm>
          <a:off x="3803650" y="963104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304</xdr:row>
      <xdr:rowOff>0</xdr:rowOff>
    </xdr:from>
    <xdr:ext cx="304800" cy="304094"/>
    <xdr:sp macro="" textlink="">
      <xdr:nvSpPr>
        <xdr:cNvPr id="831" name="AutoShape 12">
          <a:extLst>
            <a:ext uri="{FF2B5EF4-FFF2-40B4-BE49-F238E27FC236}">
              <a16:creationId xmlns:a16="http://schemas.microsoft.com/office/drawing/2014/main" id="{5129CD66-CC74-43EA-AE1F-21185BE16260}"/>
            </a:ext>
          </a:extLst>
        </xdr:cNvPr>
        <xdr:cNvSpPr>
          <a:spLocks noChangeAspect="1" noChangeArrowheads="1"/>
        </xdr:cNvSpPr>
      </xdr:nvSpPr>
      <xdr:spPr bwMode="auto">
        <a:xfrm>
          <a:off x="3803650" y="942848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305</xdr:row>
      <xdr:rowOff>0</xdr:rowOff>
    </xdr:from>
    <xdr:ext cx="304800" cy="304094"/>
    <xdr:sp macro="" textlink="">
      <xdr:nvSpPr>
        <xdr:cNvPr id="832" name="AutoShape 12">
          <a:extLst>
            <a:ext uri="{FF2B5EF4-FFF2-40B4-BE49-F238E27FC236}">
              <a16:creationId xmlns:a16="http://schemas.microsoft.com/office/drawing/2014/main" id="{D2B5D358-03FD-4F17-B459-A26E1ABB1503}"/>
            </a:ext>
          </a:extLst>
        </xdr:cNvPr>
        <xdr:cNvSpPr>
          <a:spLocks noChangeAspect="1" noChangeArrowheads="1"/>
        </xdr:cNvSpPr>
      </xdr:nvSpPr>
      <xdr:spPr bwMode="auto">
        <a:xfrm>
          <a:off x="3803650" y="944689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315</xdr:row>
      <xdr:rowOff>0</xdr:rowOff>
    </xdr:from>
    <xdr:ext cx="304800" cy="304094"/>
    <xdr:sp macro="" textlink="">
      <xdr:nvSpPr>
        <xdr:cNvPr id="833" name="AutoShape 12">
          <a:extLst>
            <a:ext uri="{FF2B5EF4-FFF2-40B4-BE49-F238E27FC236}">
              <a16:creationId xmlns:a16="http://schemas.microsoft.com/office/drawing/2014/main" id="{2897FCB0-E0B5-4EDC-9CFB-BEE02C23438A}"/>
            </a:ext>
          </a:extLst>
        </xdr:cNvPr>
        <xdr:cNvSpPr>
          <a:spLocks noChangeAspect="1" noChangeArrowheads="1"/>
        </xdr:cNvSpPr>
      </xdr:nvSpPr>
      <xdr:spPr bwMode="auto">
        <a:xfrm>
          <a:off x="3803650" y="963104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316</xdr:row>
      <xdr:rowOff>0</xdr:rowOff>
    </xdr:from>
    <xdr:ext cx="304800" cy="304094"/>
    <xdr:sp macro="" textlink="">
      <xdr:nvSpPr>
        <xdr:cNvPr id="834" name="AutoShape 12">
          <a:extLst>
            <a:ext uri="{FF2B5EF4-FFF2-40B4-BE49-F238E27FC236}">
              <a16:creationId xmlns:a16="http://schemas.microsoft.com/office/drawing/2014/main" id="{9EC65779-6095-4EE3-A2B4-659B9D4DDCB8}"/>
            </a:ext>
          </a:extLst>
        </xdr:cNvPr>
        <xdr:cNvSpPr>
          <a:spLocks noChangeAspect="1" noChangeArrowheads="1"/>
        </xdr:cNvSpPr>
      </xdr:nvSpPr>
      <xdr:spPr bwMode="auto">
        <a:xfrm>
          <a:off x="3803650" y="964946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277</xdr:row>
      <xdr:rowOff>0</xdr:rowOff>
    </xdr:from>
    <xdr:ext cx="304800" cy="304094"/>
    <xdr:sp macro="" textlink="">
      <xdr:nvSpPr>
        <xdr:cNvPr id="835" name="AutoShape 12">
          <a:extLst>
            <a:ext uri="{FF2B5EF4-FFF2-40B4-BE49-F238E27FC236}">
              <a16:creationId xmlns:a16="http://schemas.microsoft.com/office/drawing/2014/main" id="{B6527CC4-1DA4-43B5-B2CD-9C4A342D7250}"/>
            </a:ext>
          </a:extLst>
        </xdr:cNvPr>
        <xdr:cNvSpPr>
          <a:spLocks noChangeAspect="1" noChangeArrowheads="1"/>
        </xdr:cNvSpPr>
      </xdr:nvSpPr>
      <xdr:spPr bwMode="auto">
        <a:xfrm>
          <a:off x="3803650" y="89312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278</xdr:row>
      <xdr:rowOff>0</xdr:rowOff>
    </xdr:from>
    <xdr:ext cx="304800" cy="304094"/>
    <xdr:sp macro="" textlink="">
      <xdr:nvSpPr>
        <xdr:cNvPr id="836" name="AutoShape 12">
          <a:extLst>
            <a:ext uri="{FF2B5EF4-FFF2-40B4-BE49-F238E27FC236}">
              <a16:creationId xmlns:a16="http://schemas.microsoft.com/office/drawing/2014/main" id="{09AFA0F5-A9A5-44AC-A725-10746F2301A2}"/>
            </a:ext>
          </a:extLst>
        </xdr:cNvPr>
        <xdr:cNvSpPr>
          <a:spLocks noChangeAspect="1" noChangeArrowheads="1"/>
        </xdr:cNvSpPr>
      </xdr:nvSpPr>
      <xdr:spPr bwMode="auto">
        <a:xfrm>
          <a:off x="3803650" y="894969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288</xdr:row>
      <xdr:rowOff>0</xdr:rowOff>
    </xdr:from>
    <xdr:ext cx="304800" cy="304094"/>
    <xdr:sp macro="" textlink="">
      <xdr:nvSpPr>
        <xdr:cNvPr id="837" name="AutoShape 12">
          <a:extLst>
            <a:ext uri="{FF2B5EF4-FFF2-40B4-BE49-F238E27FC236}">
              <a16:creationId xmlns:a16="http://schemas.microsoft.com/office/drawing/2014/main" id="{EE4D7EB8-DDF5-47F7-A9EA-83CC499A2832}"/>
            </a:ext>
          </a:extLst>
        </xdr:cNvPr>
        <xdr:cNvSpPr>
          <a:spLocks noChangeAspect="1" noChangeArrowheads="1"/>
        </xdr:cNvSpPr>
      </xdr:nvSpPr>
      <xdr:spPr bwMode="auto">
        <a:xfrm>
          <a:off x="3803650" y="913384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289</xdr:row>
      <xdr:rowOff>0</xdr:rowOff>
    </xdr:from>
    <xdr:ext cx="304800" cy="304094"/>
    <xdr:sp macro="" textlink="">
      <xdr:nvSpPr>
        <xdr:cNvPr id="838" name="AutoShape 12">
          <a:extLst>
            <a:ext uri="{FF2B5EF4-FFF2-40B4-BE49-F238E27FC236}">
              <a16:creationId xmlns:a16="http://schemas.microsoft.com/office/drawing/2014/main" id="{57BBF8EA-7E32-44C8-BCD5-61A4447685FD}"/>
            </a:ext>
          </a:extLst>
        </xdr:cNvPr>
        <xdr:cNvSpPr>
          <a:spLocks noChangeAspect="1" noChangeArrowheads="1"/>
        </xdr:cNvSpPr>
      </xdr:nvSpPr>
      <xdr:spPr bwMode="auto">
        <a:xfrm>
          <a:off x="3803650" y="915225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278</xdr:row>
      <xdr:rowOff>0</xdr:rowOff>
    </xdr:from>
    <xdr:ext cx="304800" cy="304094"/>
    <xdr:sp macro="" textlink="">
      <xdr:nvSpPr>
        <xdr:cNvPr id="839" name="AutoShape 12">
          <a:extLst>
            <a:ext uri="{FF2B5EF4-FFF2-40B4-BE49-F238E27FC236}">
              <a16:creationId xmlns:a16="http://schemas.microsoft.com/office/drawing/2014/main" id="{5104DC5A-3709-4C0D-9357-6B518CFDF4B0}"/>
            </a:ext>
          </a:extLst>
        </xdr:cNvPr>
        <xdr:cNvSpPr>
          <a:spLocks noChangeAspect="1" noChangeArrowheads="1"/>
        </xdr:cNvSpPr>
      </xdr:nvSpPr>
      <xdr:spPr bwMode="auto">
        <a:xfrm>
          <a:off x="3803650" y="894969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279</xdr:row>
      <xdr:rowOff>0</xdr:rowOff>
    </xdr:from>
    <xdr:ext cx="304800" cy="304094"/>
    <xdr:sp macro="" textlink="">
      <xdr:nvSpPr>
        <xdr:cNvPr id="840" name="AutoShape 12">
          <a:extLst>
            <a:ext uri="{FF2B5EF4-FFF2-40B4-BE49-F238E27FC236}">
              <a16:creationId xmlns:a16="http://schemas.microsoft.com/office/drawing/2014/main" id="{49B38E5B-1FBC-41C5-B83B-A29B619248FF}"/>
            </a:ext>
          </a:extLst>
        </xdr:cNvPr>
        <xdr:cNvSpPr>
          <a:spLocks noChangeAspect="1" noChangeArrowheads="1"/>
        </xdr:cNvSpPr>
      </xdr:nvSpPr>
      <xdr:spPr bwMode="auto">
        <a:xfrm>
          <a:off x="3803650" y="896810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289</xdr:row>
      <xdr:rowOff>0</xdr:rowOff>
    </xdr:from>
    <xdr:ext cx="304800" cy="304094"/>
    <xdr:sp macro="" textlink="">
      <xdr:nvSpPr>
        <xdr:cNvPr id="841" name="AutoShape 12">
          <a:extLst>
            <a:ext uri="{FF2B5EF4-FFF2-40B4-BE49-F238E27FC236}">
              <a16:creationId xmlns:a16="http://schemas.microsoft.com/office/drawing/2014/main" id="{38AE4D9F-8797-4200-8EC9-54F8AEF670DE}"/>
            </a:ext>
          </a:extLst>
        </xdr:cNvPr>
        <xdr:cNvSpPr>
          <a:spLocks noChangeAspect="1" noChangeArrowheads="1"/>
        </xdr:cNvSpPr>
      </xdr:nvSpPr>
      <xdr:spPr bwMode="auto">
        <a:xfrm>
          <a:off x="3803650" y="915225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290</xdr:row>
      <xdr:rowOff>0</xdr:rowOff>
    </xdr:from>
    <xdr:ext cx="304800" cy="304094"/>
    <xdr:sp macro="" textlink="">
      <xdr:nvSpPr>
        <xdr:cNvPr id="842" name="AutoShape 12">
          <a:extLst>
            <a:ext uri="{FF2B5EF4-FFF2-40B4-BE49-F238E27FC236}">
              <a16:creationId xmlns:a16="http://schemas.microsoft.com/office/drawing/2014/main" id="{2AC485AE-E632-4608-B2B1-A70E14C7A7FB}"/>
            </a:ext>
          </a:extLst>
        </xdr:cNvPr>
        <xdr:cNvSpPr>
          <a:spLocks noChangeAspect="1" noChangeArrowheads="1"/>
        </xdr:cNvSpPr>
      </xdr:nvSpPr>
      <xdr:spPr bwMode="auto">
        <a:xfrm>
          <a:off x="3803650" y="917067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278</xdr:row>
      <xdr:rowOff>0</xdr:rowOff>
    </xdr:from>
    <xdr:ext cx="304800" cy="304094"/>
    <xdr:sp macro="" textlink="">
      <xdr:nvSpPr>
        <xdr:cNvPr id="843" name="AutoShape 12">
          <a:extLst>
            <a:ext uri="{FF2B5EF4-FFF2-40B4-BE49-F238E27FC236}">
              <a16:creationId xmlns:a16="http://schemas.microsoft.com/office/drawing/2014/main" id="{D452AF2D-F69F-4D2B-A3CE-A5CD8F72383B}"/>
            </a:ext>
          </a:extLst>
        </xdr:cNvPr>
        <xdr:cNvSpPr>
          <a:spLocks noChangeAspect="1" noChangeArrowheads="1"/>
        </xdr:cNvSpPr>
      </xdr:nvSpPr>
      <xdr:spPr bwMode="auto">
        <a:xfrm>
          <a:off x="3803650" y="894969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279</xdr:row>
      <xdr:rowOff>0</xdr:rowOff>
    </xdr:from>
    <xdr:ext cx="304800" cy="304094"/>
    <xdr:sp macro="" textlink="">
      <xdr:nvSpPr>
        <xdr:cNvPr id="844" name="AutoShape 12">
          <a:extLst>
            <a:ext uri="{FF2B5EF4-FFF2-40B4-BE49-F238E27FC236}">
              <a16:creationId xmlns:a16="http://schemas.microsoft.com/office/drawing/2014/main" id="{D98D392C-7463-45A1-86C7-2CDE60101595}"/>
            </a:ext>
          </a:extLst>
        </xdr:cNvPr>
        <xdr:cNvSpPr>
          <a:spLocks noChangeAspect="1" noChangeArrowheads="1"/>
        </xdr:cNvSpPr>
      </xdr:nvSpPr>
      <xdr:spPr bwMode="auto">
        <a:xfrm>
          <a:off x="3803650" y="896810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289</xdr:row>
      <xdr:rowOff>0</xdr:rowOff>
    </xdr:from>
    <xdr:ext cx="304800" cy="304094"/>
    <xdr:sp macro="" textlink="">
      <xdr:nvSpPr>
        <xdr:cNvPr id="845" name="AutoShape 12">
          <a:extLst>
            <a:ext uri="{FF2B5EF4-FFF2-40B4-BE49-F238E27FC236}">
              <a16:creationId xmlns:a16="http://schemas.microsoft.com/office/drawing/2014/main" id="{AF222F39-25C9-464B-AED1-2EE779BAF689}"/>
            </a:ext>
          </a:extLst>
        </xdr:cNvPr>
        <xdr:cNvSpPr>
          <a:spLocks noChangeAspect="1" noChangeArrowheads="1"/>
        </xdr:cNvSpPr>
      </xdr:nvSpPr>
      <xdr:spPr bwMode="auto">
        <a:xfrm>
          <a:off x="3803650" y="915225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290</xdr:row>
      <xdr:rowOff>0</xdr:rowOff>
    </xdr:from>
    <xdr:ext cx="304800" cy="304094"/>
    <xdr:sp macro="" textlink="">
      <xdr:nvSpPr>
        <xdr:cNvPr id="846" name="AutoShape 12">
          <a:extLst>
            <a:ext uri="{FF2B5EF4-FFF2-40B4-BE49-F238E27FC236}">
              <a16:creationId xmlns:a16="http://schemas.microsoft.com/office/drawing/2014/main" id="{08EAE1A3-4EF6-49CC-9B5F-0A7D0C4B848C}"/>
            </a:ext>
          </a:extLst>
        </xdr:cNvPr>
        <xdr:cNvSpPr>
          <a:spLocks noChangeAspect="1" noChangeArrowheads="1"/>
        </xdr:cNvSpPr>
      </xdr:nvSpPr>
      <xdr:spPr bwMode="auto">
        <a:xfrm>
          <a:off x="3803650" y="917067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279</xdr:row>
      <xdr:rowOff>0</xdr:rowOff>
    </xdr:from>
    <xdr:ext cx="304800" cy="304094"/>
    <xdr:sp macro="" textlink="">
      <xdr:nvSpPr>
        <xdr:cNvPr id="847" name="AutoShape 12">
          <a:extLst>
            <a:ext uri="{FF2B5EF4-FFF2-40B4-BE49-F238E27FC236}">
              <a16:creationId xmlns:a16="http://schemas.microsoft.com/office/drawing/2014/main" id="{9E5B69EE-9C23-4837-98C2-B0CF3D1BD54C}"/>
            </a:ext>
          </a:extLst>
        </xdr:cNvPr>
        <xdr:cNvSpPr>
          <a:spLocks noChangeAspect="1" noChangeArrowheads="1"/>
        </xdr:cNvSpPr>
      </xdr:nvSpPr>
      <xdr:spPr bwMode="auto">
        <a:xfrm>
          <a:off x="3803650" y="896810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280</xdr:row>
      <xdr:rowOff>0</xdr:rowOff>
    </xdr:from>
    <xdr:ext cx="304800" cy="304094"/>
    <xdr:sp macro="" textlink="">
      <xdr:nvSpPr>
        <xdr:cNvPr id="848" name="AutoShape 12">
          <a:extLst>
            <a:ext uri="{FF2B5EF4-FFF2-40B4-BE49-F238E27FC236}">
              <a16:creationId xmlns:a16="http://schemas.microsoft.com/office/drawing/2014/main" id="{8D7F0FB7-41CB-4C49-B2B7-6A1BB3253D39}"/>
            </a:ext>
          </a:extLst>
        </xdr:cNvPr>
        <xdr:cNvSpPr>
          <a:spLocks noChangeAspect="1" noChangeArrowheads="1"/>
        </xdr:cNvSpPr>
      </xdr:nvSpPr>
      <xdr:spPr bwMode="auto">
        <a:xfrm>
          <a:off x="3803650" y="898652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290</xdr:row>
      <xdr:rowOff>0</xdr:rowOff>
    </xdr:from>
    <xdr:ext cx="304800" cy="304094"/>
    <xdr:sp macro="" textlink="">
      <xdr:nvSpPr>
        <xdr:cNvPr id="849" name="AutoShape 12">
          <a:extLst>
            <a:ext uri="{FF2B5EF4-FFF2-40B4-BE49-F238E27FC236}">
              <a16:creationId xmlns:a16="http://schemas.microsoft.com/office/drawing/2014/main" id="{3575505F-AABB-45C6-922F-976D68E30FFD}"/>
            </a:ext>
          </a:extLst>
        </xdr:cNvPr>
        <xdr:cNvSpPr>
          <a:spLocks noChangeAspect="1" noChangeArrowheads="1"/>
        </xdr:cNvSpPr>
      </xdr:nvSpPr>
      <xdr:spPr bwMode="auto">
        <a:xfrm>
          <a:off x="3803650" y="917067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291</xdr:row>
      <xdr:rowOff>0</xdr:rowOff>
    </xdr:from>
    <xdr:ext cx="304800" cy="304094"/>
    <xdr:sp macro="" textlink="">
      <xdr:nvSpPr>
        <xdr:cNvPr id="850" name="AutoShape 12">
          <a:extLst>
            <a:ext uri="{FF2B5EF4-FFF2-40B4-BE49-F238E27FC236}">
              <a16:creationId xmlns:a16="http://schemas.microsoft.com/office/drawing/2014/main" id="{E970ACB9-3D62-45C2-BE82-315916104975}"/>
            </a:ext>
          </a:extLst>
        </xdr:cNvPr>
        <xdr:cNvSpPr>
          <a:spLocks noChangeAspect="1" noChangeArrowheads="1"/>
        </xdr:cNvSpPr>
      </xdr:nvSpPr>
      <xdr:spPr bwMode="auto">
        <a:xfrm>
          <a:off x="3803650" y="918908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282</xdr:row>
      <xdr:rowOff>0</xdr:rowOff>
    </xdr:from>
    <xdr:ext cx="304800" cy="304094"/>
    <xdr:sp macro="" textlink="">
      <xdr:nvSpPr>
        <xdr:cNvPr id="851" name="AutoShape 12">
          <a:extLst>
            <a:ext uri="{FF2B5EF4-FFF2-40B4-BE49-F238E27FC236}">
              <a16:creationId xmlns:a16="http://schemas.microsoft.com/office/drawing/2014/main" id="{4AD19168-F7DC-4580-A49E-5CE6485D0A2F}"/>
            </a:ext>
          </a:extLst>
        </xdr:cNvPr>
        <xdr:cNvSpPr>
          <a:spLocks noChangeAspect="1" noChangeArrowheads="1"/>
        </xdr:cNvSpPr>
      </xdr:nvSpPr>
      <xdr:spPr bwMode="auto">
        <a:xfrm>
          <a:off x="3803650" y="902335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283</xdr:row>
      <xdr:rowOff>0</xdr:rowOff>
    </xdr:from>
    <xdr:ext cx="304800" cy="304094"/>
    <xdr:sp macro="" textlink="">
      <xdr:nvSpPr>
        <xdr:cNvPr id="852" name="AutoShape 12">
          <a:extLst>
            <a:ext uri="{FF2B5EF4-FFF2-40B4-BE49-F238E27FC236}">
              <a16:creationId xmlns:a16="http://schemas.microsoft.com/office/drawing/2014/main" id="{566E9645-AE76-4787-BCB2-CDEECBBD4C85}"/>
            </a:ext>
          </a:extLst>
        </xdr:cNvPr>
        <xdr:cNvSpPr>
          <a:spLocks noChangeAspect="1" noChangeArrowheads="1"/>
        </xdr:cNvSpPr>
      </xdr:nvSpPr>
      <xdr:spPr bwMode="auto">
        <a:xfrm>
          <a:off x="3803650" y="904176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293</xdr:row>
      <xdr:rowOff>0</xdr:rowOff>
    </xdr:from>
    <xdr:ext cx="304800" cy="304094"/>
    <xdr:sp macro="" textlink="">
      <xdr:nvSpPr>
        <xdr:cNvPr id="853" name="AutoShape 12">
          <a:extLst>
            <a:ext uri="{FF2B5EF4-FFF2-40B4-BE49-F238E27FC236}">
              <a16:creationId xmlns:a16="http://schemas.microsoft.com/office/drawing/2014/main" id="{10F445E9-1EE8-44CF-87E0-665B79F56533}"/>
            </a:ext>
          </a:extLst>
        </xdr:cNvPr>
        <xdr:cNvSpPr>
          <a:spLocks noChangeAspect="1" noChangeArrowheads="1"/>
        </xdr:cNvSpPr>
      </xdr:nvSpPr>
      <xdr:spPr bwMode="auto">
        <a:xfrm>
          <a:off x="3803650" y="92259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294</xdr:row>
      <xdr:rowOff>0</xdr:rowOff>
    </xdr:from>
    <xdr:ext cx="304800" cy="304094"/>
    <xdr:sp macro="" textlink="">
      <xdr:nvSpPr>
        <xdr:cNvPr id="854" name="AutoShape 12">
          <a:extLst>
            <a:ext uri="{FF2B5EF4-FFF2-40B4-BE49-F238E27FC236}">
              <a16:creationId xmlns:a16="http://schemas.microsoft.com/office/drawing/2014/main" id="{79444AFE-4736-41CF-814F-A0B8D4065A41}"/>
            </a:ext>
          </a:extLst>
        </xdr:cNvPr>
        <xdr:cNvSpPr>
          <a:spLocks noChangeAspect="1" noChangeArrowheads="1"/>
        </xdr:cNvSpPr>
      </xdr:nvSpPr>
      <xdr:spPr bwMode="auto">
        <a:xfrm>
          <a:off x="3803650" y="924433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283</xdr:row>
      <xdr:rowOff>0</xdr:rowOff>
    </xdr:from>
    <xdr:ext cx="304800" cy="304094"/>
    <xdr:sp macro="" textlink="">
      <xdr:nvSpPr>
        <xdr:cNvPr id="855" name="AutoShape 12">
          <a:extLst>
            <a:ext uri="{FF2B5EF4-FFF2-40B4-BE49-F238E27FC236}">
              <a16:creationId xmlns:a16="http://schemas.microsoft.com/office/drawing/2014/main" id="{28513BAE-1BF4-4CC0-BEE5-DA1D55C0EB9E}"/>
            </a:ext>
          </a:extLst>
        </xdr:cNvPr>
        <xdr:cNvSpPr>
          <a:spLocks noChangeAspect="1" noChangeArrowheads="1"/>
        </xdr:cNvSpPr>
      </xdr:nvSpPr>
      <xdr:spPr bwMode="auto">
        <a:xfrm>
          <a:off x="3803650" y="904176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284</xdr:row>
      <xdr:rowOff>0</xdr:rowOff>
    </xdr:from>
    <xdr:ext cx="304800" cy="304094"/>
    <xdr:sp macro="" textlink="">
      <xdr:nvSpPr>
        <xdr:cNvPr id="856" name="AutoShape 12">
          <a:extLst>
            <a:ext uri="{FF2B5EF4-FFF2-40B4-BE49-F238E27FC236}">
              <a16:creationId xmlns:a16="http://schemas.microsoft.com/office/drawing/2014/main" id="{573715B2-AA2E-4F6F-8636-B19285503776}"/>
            </a:ext>
          </a:extLst>
        </xdr:cNvPr>
        <xdr:cNvSpPr>
          <a:spLocks noChangeAspect="1" noChangeArrowheads="1"/>
        </xdr:cNvSpPr>
      </xdr:nvSpPr>
      <xdr:spPr bwMode="auto">
        <a:xfrm>
          <a:off x="3803650" y="906018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294</xdr:row>
      <xdr:rowOff>0</xdr:rowOff>
    </xdr:from>
    <xdr:ext cx="304800" cy="304094"/>
    <xdr:sp macro="" textlink="">
      <xdr:nvSpPr>
        <xdr:cNvPr id="857" name="AutoShape 12">
          <a:extLst>
            <a:ext uri="{FF2B5EF4-FFF2-40B4-BE49-F238E27FC236}">
              <a16:creationId xmlns:a16="http://schemas.microsoft.com/office/drawing/2014/main" id="{5103279F-570A-462B-8CBF-03CA0F118991}"/>
            </a:ext>
          </a:extLst>
        </xdr:cNvPr>
        <xdr:cNvSpPr>
          <a:spLocks noChangeAspect="1" noChangeArrowheads="1"/>
        </xdr:cNvSpPr>
      </xdr:nvSpPr>
      <xdr:spPr bwMode="auto">
        <a:xfrm>
          <a:off x="3803650" y="924433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295</xdr:row>
      <xdr:rowOff>0</xdr:rowOff>
    </xdr:from>
    <xdr:ext cx="304800" cy="304094"/>
    <xdr:sp macro="" textlink="">
      <xdr:nvSpPr>
        <xdr:cNvPr id="858" name="AutoShape 12">
          <a:extLst>
            <a:ext uri="{FF2B5EF4-FFF2-40B4-BE49-F238E27FC236}">
              <a16:creationId xmlns:a16="http://schemas.microsoft.com/office/drawing/2014/main" id="{9DECF32F-A02B-4687-B793-77B2A876F163}"/>
            </a:ext>
          </a:extLst>
        </xdr:cNvPr>
        <xdr:cNvSpPr>
          <a:spLocks noChangeAspect="1" noChangeArrowheads="1"/>
        </xdr:cNvSpPr>
      </xdr:nvSpPr>
      <xdr:spPr bwMode="auto">
        <a:xfrm>
          <a:off x="3803650" y="926274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283</xdr:row>
      <xdr:rowOff>0</xdr:rowOff>
    </xdr:from>
    <xdr:ext cx="304800" cy="304094"/>
    <xdr:sp macro="" textlink="">
      <xdr:nvSpPr>
        <xdr:cNvPr id="859" name="AutoShape 12">
          <a:extLst>
            <a:ext uri="{FF2B5EF4-FFF2-40B4-BE49-F238E27FC236}">
              <a16:creationId xmlns:a16="http://schemas.microsoft.com/office/drawing/2014/main" id="{A6A8D845-0CFA-4205-9DE6-2DEB353128E1}"/>
            </a:ext>
          </a:extLst>
        </xdr:cNvPr>
        <xdr:cNvSpPr>
          <a:spLocks noChangeAspect="1" noChangeArrowheads="1"/>
        </xdr:cNvSpPr>
      </xdr:nvSpPr>
      <xdr:spPr bwMode="auto">
        <a:xfrm>
          <a:off x="3803650" y="904176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284</xdr:row>
      <xdr:rowOff>0</xdr:rowOff>
    </xdr:from>
    <xdr:ext cx="304800" cy="304094"/>
    <xdr:sp macro="" textlink="">
      <xdr:nvSpPr>
        <xdr:cNvPr id="860" name="AutoShape 12">
          <a:extLst>
            <a:ext uri="{FF2B5EF4-FFF2-40B4-BE49-F238E27FC236}">
              <a16:creationId xmlns:a16="http://schemas.microsoft.com/office/drawing/2014/main" id="{8DCCF8FB-0B5A-4CBF-82CE-7883721BC050}"/>
            </a:ext>
          </a:extLst>
        </xdr:cNvPr>
        <xdr:cNvSpPr>
          <a:spLocks noChangeAspect="1" noChangeArrowheads="1"/>
        </xdr:cNvSpPr>
      </xdr:nvSpPr>
      <xdr:spPr bwMode="auto">
        <a:xfrm>
          <a:off x="3803650" y="906018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294</xdr:row>
      <xdr:rowOff>0</xdr:rowOff>
    </xdr:from>
    <xdr:ext cx="304800" cy="304094"/>
    <xdr:sp macro="" textlink="">
      <xdr:nvSpPr>
        <xdr:cNvPr id="861" name="AutoShape 12">
          <a:extLst>
            <a:ext uri="{FF2B5EF4-FFF2-40B4-BE49-F238E27FC236}">
              <a16:creationId xmlns:a16="http://schemas.microsoft.com/office/drawing/2014/main" id="{D5B47CD6-D781-4D1D-9249-8B1ADAC071E6}"/>
            </a:ext>
          </a:extLst>
        </xdr:cNvPr>
        <xdr:cNvSpPr>
          <a:spLocks noChangeAspect="1" noChangeArrowheads="1"/>
        </xdr:cNvSpPr>
      </xdr:nvSpPr>
      <xdr:spPr bwMode="auto">
        <a:xfrm>
          <a:off x="3803650" y="924433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295</xdr:row>
      <xdr:rowOff>0</xdr:rowOff>
    </xdr:from>
    <xdr:ext cx="304800" cy="304094"/>
    <xdr:sp macro="" textlink="">
      <xdr:nvSpPr>
        <xdr:cNvPr id="862" name="AutoShape 12">
          <a:extLst>
            <a:ext uri="{FF2B5EF4-FFF2-40B4-BE49-F238E27FC236}">
              <a16:creationId xmlns:a16="http://schemas.microsoft.com/office/drawing/2014/main" id="{9D864C2A-7738-4E1C-B728-8E6ECEE83A13}"/>
            </a:ext>
          </a:extLst>
        </xdr:cNvPr>
        <xdr:cNvSpPr>
          <a:spLocks noChangeAspect="1" noChangeArrowheads="1"/>
        </xdr:cNvSpPr>
      </xdr:nvSpPr>
      <xdr:spPr bwMode="auto">
        <a:xfrm>
          <a:off x="3803650" y="926274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284</xdr:row>
      <xdr:rowOff>0</xdr:rowOff>
    </xdr:from>
    <xdr:ext cx="304800" cy="304094"/>
    <xdr:sp macro="" textlink="">
      <xdr:nvSpPr>
        <xdr:cNvPr id="863" name="AutoShape 12">
          <a:extLst>
            <a:ext uri="{FF2B5EF4-FFF2-40B4-BE49-F238E27FC236}">
              <a16:creationId xmlns:a16="http://schemas.microsoft.com/office/drawing/2014/main" id="{B48A0715-9BEB-424B-82F4-111E7D4E88EE}"/>
            </a:ext>
          </a:extLst>
        </xdr:cNvPr>
        <xdr:cNvSpPr>
          <a:spLocks noChangeAspect="1" noChangeArrowheads="1"/>
        </xdr:cNvSpPr>
      </xdr:nvSpPr>
      <xdr:spPr bwMode="auto">
        <a:xfrm>
          <a:off x="3803650" y="906018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285</xdr:row>
      <xdr:rowOff>0</xdr:rowOff>
    </xdr:from>
    <xdr:ext cx="304800" cy="304094"/>
    <xdr:sp macro="" textlink="">
      <xdr:nvSpPr>
        <xdr:cNvPr id="864" name="AutoShape 12">
          <a:extLst>
            <a:ext uri="{FF2B5EF4-FFF2-40B4-BE49-F238E27FC236}">
              <a16:creationId xmlns:a16="http://schemas.microsoft.com/office/drawing/2014/main" id="{09BC1C8D-9572-40E3-A5BB-DC07A893E492}"/>
            </a:ext>
          </a:extLst>
        </xdr:cNvPr>
        <xdr:cNvSpPr>
          <a:spLocks noChangeAspect="1" noChangeArrowheads="1"/>
        </xdr:cNvSpPr>
      </xdr:nvSpPr>
      <xdr:spPr bwMode="auto">
        <a:xfrm>
          <a:off x="3803650" y="907859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295</xdr:row>
      <xdr:rowOff>0</xdr:rowOff>
    </xdr:from>
    <xdr:ext cx="304800" cy="304094"/>
    <xdr:sp macro="" textlink="">
      <xdr:nvSpPr>
        <xdr:cNvPr id="865" name="AutoShape 12">
          <a:extLst>
            <a:ext uri="{FF2B5EF4-FFF2-40B4-BE49-F238E27FC236}">
              <a16:creationId xmlns:a16="http://schemas.microsoft.com/office/drawing/2014/main" id="{B1DC79E7-CDC4-4828-B471-36373263ADB3}"/>
            </a:ext>
          </a:extLst>
        </xdr:cNvPr>
        <xdr:cNvSpPr>
          <a:spLocks noChangeAspect="1" noChangeArrowheads="1"/>
        </xdr:cNvSpPr>
      </xdr:nvSpPr>
      <xdr:spPr bwMode="auto">
        <a:xfrm>
          <a:off x="3803650" y="926274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296</xdr:row>
      <xdr:rowOff>0</xdr:rowOff>
    </xdr:from>
    <xdr:ext cx="304800" cy="304094"/>
    <xdr:sp macro="" textlink="">
      <xdr:nvSpPr>
        <xdr:cNvPr id="866" name="AutoShape 12">
          <a:extLst>
            <a:ext uri="{FF2B5EF4-FFF2-40B4-BE49-F238E27FC236}">
              <a16:creationId xmlns:a16="http://schemas.microsoft.com/office/drawing/2014/main" id="{0192E06B-414B-4646-9DED-26D939151951}"/>
            </a:ext>
          </a:extLst>
        </xdr:cNvPr>
        <xdr:cNvSpPr>
          <a:spLocks noChangeAspect="1" noChangeArrowheads="1"/>
        </xdr:cNvSpPr>
      </xdr:nvSpPr>
      <xdr:spPr bwMode="auto">
        <a:xfrm>
          <a:off x="3803650" y="928116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326</xdr:row>
      <xdr:rowOff>0</xdr:rowOff>
    </xdr:from>
    <xdr:ext cx="304800" cy="304094"/>
    <xdr:sp macro="" textlink="">
      <xdr:nvSpPr>
        <xdr:cNvPr id="867" name="AutoShape 12">
          <a:extLst>
            <a:ext uri="{FF2B5EF4-FFF2-40B4-BE49-F238E27FC236}">
              <a16:creationId xmlns:a16="http://schemas.microsoft.com/office/drawing/2014/main" id="{BE4B63D5-A713-445F-ADB1-A9416E4C9DA0}"/>
            </a:ext>
          </a:extLst>
        </xdr:cNvPr>
        <xdr:cNvSpPr>
          <a:spLocks noChangeAspect="1" noChangeArrowheads="1"/>
        </xdr:cNvSpPr>
      </xdr:nvSpPr>
      <xdr:spPr bwMode="auto">
        <a:xfrm>
          <a:off x="3803650" y="983361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327</xdr:row>
      <xdr:rowOff>0</xdr:rowOff>
    </xdr:from>
    <xdr:ext cx="304800" cy="304094"/>
    <xdr:sp macro="" textlink="">
      <xdr:nvSpPr>
        <xdr:cNvPr id="868" name="AutoShape 12">
          <a:extLst>
            <a:ext uri="{FF2B5EF4-FFF2-40B4-BE49-F238E27FC236}">
              <a16:creationId xmlns:a16="http://schemas.microsoft.com/office/drawing/2014/main" id="{5BCDD3C2-842F-4D89-B87A-F4D10864D2FC}"/>
            </a:ext>
          </a:extLst>
        </xdr:cNvPr>
        <xdr:cNvSpPr>
          <a:spLocks noChangeAspect="1" noChangeArrowheads="1"/>
        </xdr:cNvSpPr>
      </xdr:nvSpPr>
      <xdr:spPr bwMode="auto">
        <a:xfrm>
          <a:off x="3803650" y="985202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337</xdr:row>
      <xdr:rowOff>0</xdr:rowOff>
    </xdr:from>
    <xdr:ext cx="304800" cy="304094"/>
    <xdr:sp macro="" textlink="">
      <xdr:nvSpPr>
        <xdr:cNvPr id="869" name="AutoShape 12">
          <a:extLst>
            <a:ext uri="{FF2B5EF4-FFF2-40B4-BE49-F238E27FC236}">
              <a16:creationId xmlns:a16="http://schemas.microsoft.com/office/drawing/2014/main" id="{FD6A1DD8-F676-4E9B-A8F3-0815F3B27D54}"/>
            </a:ext>
          </a:extLst>
        </xdr:cNvPr>
        <xdr:cNvSpPr>
          <a:spLocks noChangeAspect="1" noChangeArrowheads="1"/>
        </xdr:cNvSpPr>
      </xdr:nvSpPr>
      <xdr:spPr bwMode="auto">
        <a:xfrm>
          <a:off x="3803650" y="100361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338</xdr:row>
      <xdr:rowOff>0</xdr:rowOff>
    </xdr:from>
    <xdr:ext cx="304800" cy="304094"/>
    <xdr:sp macro="" textlink="">
      <xdr:nvSpPr>
        <xdr:cNvPr id="870" name="AutoShape 12">
          <a:extLst>
            <a:ext uri="{FF2B5EF4-FFF2-40B4-BE49-F238E27FC236}">
              <a16:creationId xmlns:a16="http://schemas.microsoft.com/office/drawing/2014/main" id="{E52B7759-2CC9-425E-871B-C8A0BFB5D79B}"/>
            </a:ext>
          </a:extLst>
        </xdr:cNvPr>
        <xdr:cNvSpPr>
          <a:spLocks noChangeAspect="1" noChangeArrowheads="1"/>
        </xdr:cNvSpPr>
      </xdr:nvSpPr>
      <xdr:spPr bwMode="auto">
        <a:xfrm>
          <a:off x="3803650" y="1005459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327</xdr:row>
      <xdr:rowOff>0</xdr:rowOff>
    </xdr:from>
    <xdr:ext cx="304800" cy="304094"/>
    <xdr:sp macro="" textlink="">
      <xdr:nvSpPr>
        <xdr:cNvPr id="871" name="AutoShape 12">
          <a:extLst>
            <a:ext uri="{FF2B5EF4-FFF2-40B4-BE49-F238E27FC236}">
              <a16:creationId xmlns:a16="http://schemas.microsoft.com/office/drawing/2014/main" id="{EC932A2D-E1E9-4B10-BD51-5D58F777ED26}"/>
            </a:ext>
          </a:extLst>
        </xdr:cNvPr>
        <xdr:cNvSpPr>
          <a:spLocks noChangeAspect="1" noChangeArrowheads="1"/>
        </xdr:cNvSpPr>
      </xdr:nvSpPr>
      <xdr:spPr bwMode="auto">
        <a:xfrm>
          <a:off x="3803650" y="985202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328</xdr:row>
      <xdr:rowOff>0</xdr:rowOff>
    </xdr:from>
    <xdr:ext cx="304800" cy="304094"/>
    <xdr:sp macro="" textlink="">
      <xdr:nvSpPr>
        <xdr:cNvPr id="872" name="AutoShape 12">
          <a:extLst>
            <a:ext uri="{FF2B5EF4-FFF2-40B4-BE49-F238E27FC236}">
              <a16:creationId xmlns:a16="http://schemas.microsoft.com/office/drawing/2014/main" id="{C9FD820B-668F-44CA-86C3-5418C43DD9D7}"/>
            </a:ext>
          </a:extLst>
        </xdr:cNvPr>
        <xdr:cNvSpPr>
          <a:spLocks noChangeAspect="1" noChangeArrowheads="1"/>
        </xdr:cNvSpPr>
      </xdr:nvSpPr>
      <xdr:spPr bwMode="auto">
        <a:xfrm>
          <a:off x="3803650" y="987044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338</xdr:row>
      <xdr:rowOff>0</xdr:rowOff>
    </xdr:from>
    <xdr:ext cx="304800" cy="304094"/>
    <xdr:sp macro="" textlink="">
      <xdr:nvSpPr>
        <xdr:cNvPr id="873" name="AutoShape 12">
          <a:extLst>
            <a:ext uri="{FF2B5EF4-FFF2-40B4-BE49-F238E27FC236}">
              <a16:creationId xmlns:a16="http://schemas.microsoft.com/office/drawing/2014/main" id="{7BE552B9-7557-46EF-94F1-A6504038DCD6}"/>
            </a:ext>
          </a:extLst>
        </xdr:cNvPr>
        <xdr:cNvSpPr>
          <a:spLocks noChangeAspect="1" noChangeArrowheads="1"/>
        </xdr:cNvSpPr>
      </xdr:nvSpPr>
      <xdr:spPr bwMode="auto">
        <a:xfrm>
          <a:off x="3803650" y="1005459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339</xdr:row>
      <xdr:rowOff>0</xdr:rowOff>
    </xdr:from>
    <xdr:ext cx="304800" cy="304094"/>
    <xdr:sp macro="" textlink="">
      <xdr:nvSpPr>
        <xdr:cNvPr id="874" name="AutoShape 12">
          <a:extLst>
            <a:ext uri="{FF2B5EF4-FFF2-40B4-BE49-F238E27FC236}">
              <a16:creationId xmlns:a16="http://schemas.microsoft.com/office/drawing/2014/main" id="{472439C7-98B4-41AA-A664-F6DE2782B7C9}"/>
            </a:ext>
          </a:extLst>
        </xdr:cNvPr>
        <xdr:cNvSpPr>
          <a:spLocks noChangeAspect="1" noChangeArrowheads="1"/>
        </xdr:cNvSpPr>
      </xdr:nvSpPr>
      <xdr:spPr bwMode="auto">
        <a:xfrm>
          <a:off x="3803650" y="1007300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327</xdr:row>
      <xdr:rowOff>0</xdr:rowOff>
    </xdr:from>
    <xdr:ext cx="304800" cy="304094"/>
    <xdr:sp macro="" textlink="">
      <xdr:nvSpPr>
        <xdr:cNvPr id="875" name="AutoShape 12">
          <a:extLst>
            <a:ext uri="{FF2B5EF4-FFF2-40B4-BE49-F238E27FC236}">
              <a16:creationId xmlns:a16="http://schemas.microsoft.com/office/drawing/2014/main" id="{9550AD83-1BE6-4A02-8925-5BFBFB085BBD}"/>
            </a:ext>
          </a:extLst>
        </xdr:cNvPr>
        <xdr:cNvSpPr>
          <a:spLocks noChangeAspect="1" noChangeArrowheads="1"/>
        </xdr:cNvSpPr>
      </xdr:nvSpPr>
      <xdr:spPr bwMode="auto">
        <a:xfrm>
          <a:off x="3803650" y="985202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328</xdr:row>
      <xdr:rowOff>0</xdr:rowOff>
    </xdr:from>
    <xdr:ext cx="304800" cy="304094"/>
    <xdr:sp macro="" textlink="">
      <xdr:nvSpPr>
        <xdr:cNvPr id="876" name="AutoShape 12">
          <a:extLst>
            <a:ext uri="{FF2B5EF4-FFF2-40B4-BE49-F238E27FC236}">
              <a16:creationId xmlns:a16="http://schemas.microsoft.com/office/drawing/2014/main" id="{2EAF7B03-0C60-4C07-A39F-5AF175F2BAB4}"/>
            </a:ext>
          </a:extLst>
        </xdr:cNvPr>
        <xdr:cNvSpPr>
          <a:spLocks noChangeAspect="1" noChangeArrowheads="1"/>
        </xdr:cNvSpPr>
      </xdr:nvSpPr>
      <xdr:spPr bwMode="auto">
        <a:xfrm>
          <a:off x="3803650" y="987044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338</xdr:row>
      <xdr:rowOff>0</xdr:rowOff>
    </xdr:from>
    <xdr:ext cx="304800" cy="304094"/>
    <xdr:sp macro="" textlink="">
      <xdr:nvSpPr>
        <xdr:cNvPr id="877" name="AutoShape 12">
          <a:extLst>
            <a:ext uri="{FF2B5EF4-FFF2-40B4-BE49-F238E27FC236}">
              <a16:creationId xmlns:a16="http://schemas.microsoft.com/office/drawing/2014/main" id="{E7BED210-2825-491B-BB85-D21A75C5018E}"/>
            </a:ext>
          </a:extLst>
        </xdr:cNvPr>
        <xdr:cNvSpPr>
          <a:spLocks noChangeAspect="1" noChangeArrowheads="1"/>
        </xdr:cNvSpPr>
      </xdr:nvSpPr>
      <xdr:spPr bwMode="auto">
        <a:xfrm>
          <a:off x="3803650" y="1005459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339</xdr:row>
      <xdr:rowOff>0</xdr:rowOff>
    </xdr:from>
    <xdr:ext cx="304800" cy="304094"/>
    <xdr:sp macro="" textlink="">
      <xdr:nvSpPr>
        <xdr:cNvPr id="878" name="AutoShape 12">
          <a:extLst>
            <a:ext uri="{FF2B5EF4-FFF2-40B4-BE49-F238E27FC236}">
              <a16:creationId xmlns:a16="http://schemas.microsoft.com/office/drawing/2014/main" id="{E84EC3B4-C30D-4F62-857E-3208E84D0AC3}"/>
            </a:ext>
          </a:extLst>
        </xdr:cNvPr>
        <xdr:cNvSpPr>
          <a:spLocks noChangeAspect="1" noChangeArrowheads="1"/>
        </xdr:cNvSpPr>
      </xdr:nvSpPr>
      <xdr:spPr bwMode="auto">
        <a:xfrm>
          <a:off x="3803650" y="1007300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328</xdr:row>
      <xdr:rowOff>0</xdr:rowOff>
    </xdr:from>
    <xdr:ext cx="304800" cy="304094"/>
    <xdr:sp macro="" textlink="">
      <xdr:nvSpPr>
        <xdr:cNvPr id="879" name="AutoShape 12">
          <a:extLst>
            <a:ext uri="{FF2B5EF4-FFF2-40B4-BE49-F238E27FC236}">
              <a16:creationId xmlns:a16="http://schemas.microsoft.com/office/drawing/2014/main" id="{74AD2A84-8FCE-4672-91EF-83FF83AE1B44}"/>
            </a:ext>
          </a:extLst>
        </xdr:cNvPr>
        <xdr:cNvSpPr>
          <a:spLocks noChangeAspect="1" noChangeArrowheads="1"/>
        </xdr:cNvSpPr>
      </xdr:nvSpPr>
      <xdr:spPr bwMode="auto">
        <a:xfrm>
          <a:off x="3803650" y="987044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329</xdr:row>
      <xdr:rowOff>0</xdr:rowOff>
    </xdr:from>
    <xdr:ext cx="304800" cy="304094"/>
    <xdr:sp macro="" textlink="">
      <xdr:nvSpPr>
        <xdr:cNvPr id="880" name="AutoShape 12">
          <a:extLst>
            <a:ext uri="{FF2B5EF4-FFF2-40B4-BE49-F238E27FC236}">
              <a16:creationId xmlns:a16="http://schemas.microsoft.com/office/drawing/2014/main" id="{62308239-DEEA-41C2-AB74-85CAF5BB9620}"/>
            </a:ext>
          </a:extLst>
        </xdr:cNvPr>
        <xdr:cNvSpPr>
          <a:spLocks noChangeAspect="1" noChangeArrowheads="1"/>
        </xdr:cNvSpPr>
      </xdr:nvSpPr>
      <xdr:spPr bwMode="auto">
        <a:xfrm>
          <a:off x="3803650" y="988885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339</xdr:row>
      <xdr:rowOff>0</xdr:rowOff>
    </xdr:from>
    <xdr:ext cx="304800" cy="304094"/>
    <xdr:sp macro="" textlink="">
      <xdr:nvSpPr>
        <xdr:cNvPr id="881" name="AutoShape 12">
          <a:extLst>
            <a:ext uri="{FF2B5EF4-FFF2-40B4-BE49-F238E27FC236}">
              <a16:creationId xmlns:a16="http://schemas.microsoft.com/office/drawing/2014/main" id="{C0C8733B-AD4D-4224-8C72-B65818655F05}"/>
            </a:ext>
          </a:extLst>
        </xdr:cNvPr>
        <xdr:cNvSpPr>
          <a:spLocks noChangeAspect="1" noChangeArrowheads="1"/>
        </xdr:cNvSpPr>
      </xdr:nvSpPr>
      <xdr:spPr bwMode="auto">
        <a:xfrm>
          <a:off x="3803650" y="1007300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329</xdr:row>
      <xdr:rowOff>0</xdr:rowOff>
    </xdr:from>
    <xdr:ext cx="304800" cy="304094"/>
    <xdr:sp macro="" textlink="">
      <xdr:nvSpPr>
        <xdr:cNvPr id="882" name="AutoShape 12">
          <a:extLst>
            <a:ext uri="{FF2B5EF4-FFF2-40B4-BE49-F238E27FC236}">
              <a16:creationId xmlns:a16="http://schemas.microsoft.com/office/drawing/2014/main" id="{B4E38CDF-6905-4C8A-B5EB-684FBC334EF3}"/>
            </a:ext>
          </a:extLst>
        </xdr:cNvPr>
        <xdr:cNvSpPr>
          <a:spLocks noChangeAspect="1" noChangeArrowheads="1"/>
        </xdr:cNvSpPr>
      </xdr:nvSpPr>
      <xdr:spPr bwMode="auto">
        <a:xfrm>
          <a:off x="3803650" y="988885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330</xdr:row>
      <xdr:rowOff>0</xdr:rowOff>
    </xdr:from>
    <xdr:ext cx="304800" cy="304094"/>
    <xdr:sp macro="" textlink="">
      <xdr:nvSpPr>
        <xdr:cNvPr id="883" name="AutoShape 12">
          <a:extLst>
            <a:ext uri="{FF2B5EF4-FFF2-40B4-BE49-F238E27FC236}">
              <a16:creationId xmlns:a16="http://schemas.microsoft.com/office/drawing/2014/main" id="{BCB66010-3549-49D8-ACFA-867B73C30F1C}"/>
            </a:ext>
          </a:extLst>
        </xdr:cNvPr>
        <xdr:cNvSpPr>
          <a:spLocks noChangeAspect="1" noChangeArrowheads="1"/>
        </xdr:cNvSpPr>
      </xdr:nvSpPr>
      <xdr:spPr bwMode="auto">
        <a:xfrm>
          <a:off x="3803650" y="990727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330</xdr:row>
      <xdr:rowOff>0</xdr:rowOff>
    </xdr:from>
    <xdr:ext cx="304800" cy="304094"/>
    <xdr:sp macro="" textlink="">
      <xdr:nvSpPr>
        <xdr:cNvPr id="884" name="AutoShape 12">
          <a:extLst>
            <a:ext uri="{FF2B5EF4-FFF2-40B4-BE49-F238E27FC236}">
              <a16:creationId xmlns:a16="http://schemas.microsoft.com/office/drawing/2014/main" id="{659D3DE0-7640-4E65-8A5D-652249DE4294}"/>
            </a:ext>
          </a:extLst>
        </xdr:cNvPr>
        <xdr:cNvSpPr>
          <a:spLocks noChangeAspect="1" noChangeArrowheads="1"/>
        </xdr:cNvSpPr>
      </xdr:nvSpPr>
      <xdr:spPr bwMode="auto">
        <a:xfrm>
          <a:off x="3803650" y="990727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331</xdr:row>
      <xdr:rowOff>0</xdr:rowOff>
    </xdr:from>
    <xdr:ext cx="304800" cy="304094"/>
    <xdr:sp macro="" textlink="">
      <xdr:nvSpPr>
        <xdr:cNvPr id="885" name="AutoShape 12">
          <a:extLst>
            <a:ext uri="{FF2B5EF4-FFF2-40B4-BE49-F238E27FC236}">
              <a16:creationId xmlns:a16="http://schemas.microsoft.com/office/drawing/2014/main" id="{1A2EAF60-4A61-43F0-8C44-D31C55017F54}"/>
            </a:ext>
          </a:extLst>
        </xdr:cNvPr>
        <xdr:cNvSpPr>
          <a:spLocks noChangeAspect="1" noChangeArrowheads="1"/>
        </xdr:cNvSpPr>
      </xdr:nvSpPr>
      <xdr:spPr bwMode="auto">
        <a:xfrm>
          <a:off x="3803650" y="992568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330</xdr:row>
      <xdr:rowOff>0</xdr:rowOff>
    </xdr:from>
    <xdr:ext cx="304800" cy="304094"/>
    <xdr:sp macro="" textlink="">
      <xdr:nvSpPr>
        <xdr:cNvPr id="886" name="AutoShape 12">
          <a:extLst>
            <a:ext uri="{FF2B5EF4-FFF2-40B4-BE49-F238E27FC236}">
              <a16:creationId xmlns:a16="http://schemas.microsoft.com/office/drawing/2014/main" id="{119DD70E-5208-45B2-B9B6-4AF2281FE17F}"/>
            </a:ext>
          </a:extLst>
        </xdr:cNvPr>
        <xdr:cNvSpPr>
          <a:spLocks noChangeAspect="1" noChangeArrowheads="1"/>
        </xdr:cNvSpPr>
      </xdr:nvSpPr>
      <xdr:spPr bwMode="auto">
        <a:xfrm>
          <a:off x="3803650" y="990727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331</xdr:row>
      <xdr:rowOff>0</xdr:rowOff>
    </xdr:from>
    <xdr:ext cx="304800" cy="304094"/>
    <xdr:sp macro="" textlink="">
      <xdr:nvSpPr>
        <xdr:cNvPr id="887" name="AutoShape 12">
          <a:extLst>
            <a:ext uri="{FF2B5EF4-FFF2-40B4-BE49-F238E27FC236}">
              <a16:creationId xmlns:a16="http://schemas.microsoft.com/office/drawing/2014/main" id="{78FE70EE-82CB-4CFD-A5DB-29B6B5523617}"/>
            </a:ext>
          </a:extLst>
        </xdr:cNvPr>
        <xdr:cNvSpPr>
          <a:spLocks noChangeAspect="1" noChangeArrowheads="1"/>
        </xdr:cNvSpPr>
      </xdr:nvSpPr>
      <xdr:spPr bwMode="auto">
        <a:xfrm>
          <a:off x="3803650" y="992568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331</xdr:row>
      <xdr:rowOff>0</xdr:rowOff>
    </xdr:from>
    <xdr:ext cx="304800" cy="304094"/>
    <xdr:sp macro="" textlink="">
      <xdr:nvSpPr>
        <xdr:cNvPr id="888" name="AutoShape 12">
          <a:extLst>
            <a:ext uri="{FF2B5EF4-FFF2-40B4-BE49-F238E27FC236}">
              <a16:creationId xmlns:a16="http://schemas.microsoft.com/office/drawing/2014/main" id="{02521413-2AB5-47A4-82C5-EA9E0ED7B171}"/>
            </a:ext>
          </a:extLst>
        </xdr:cNvPr>
        <xdr:cNvSpPr>
          <a:spLocks noChangeAspect="1" noChangeArrowheads="1"/>
        </xdr:cNvSpPr>
      </xdr:nvSpPr>
      <xdr:spPr bwMode="auto">
        <a:xfrm>
          <a:off x="3803650" y="992568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332</xdr:row>
      <xdr:rowOff>0</xdr:rowOff>
    </xdr:from>
    <xdr:ext cx="304800" cy="304094"/>
    <xdr:sp macro="" textlink="">
      <xdr:nvSpPr>
        <xdr:cNvPr id="889" name="AutoShape 12">
          <a:extLst>
            <a:ext uri="{FF2B5EF4-FFF2-40B4-BE49-F238E27FC236}">
              <a16:creationId xmlns:a16="http://schemas.microsoft.com/office/drawing/2014/main" id="{C59ECC5E-4B36-4208-BA5D-1A7CF1546ED5}"/>
            </a:ext>
          </a:extLst>
        </xdr:cNvPr>
        <xdr:cNvSpPr>
          <a:spLocks noChangeAspect="1" noChangeArrowheads="1"/>
        </xdr:cNvSpPr>
      </xdr:nvSpPr>
      <xdr:spPr bwMode="auto">
        <a:xfrm>
          <a:off x="3803650" y="994410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281</xdr:row>
      <xdr:rowOff>0</xdr:rowOff>
    </xdr:from>
    <xdr:ext cx="304800" cy="304094"/>
    <xdr:sp macro="" textlink="">
      <xdr:nvSpPr>
        <xdr:cNvPr id="890" name="AutoShape 12">
          <a:extLst>
            <a:ext uri="{FF2B5EF4-FFF2-40B4-BE49-F238E27FC236}">
              <a16:creationId xmlns:a16="http://schemas.microsoft.com/office/drawing/2014/main" id="{203DB7A1-9D91-45BE-BFAD-68A4E05CAEDE}"/>
            </a:ext>
          </a:extLst>
        </xdr:cNvPr>
        <xdr:cNvSpPr>
          <a:spLocks noChangeAspect="1" noChangeArrowheads="1"/>
        </xdr:cNvSpPr>
      </xdr:nvSpPr>
      <xdr:spPr bwMode="auto">
        <a:xfrm>
          <a:off x="3803650" y="900493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282</xdr:row>
      <xdr:rowOff>0</xdr:rowOff>
    </xdr:from>
    <xdr:ext cx="304800" cy="304094"/>
    <xdr:sp macro="" textlink="">
      <xdr:nvSpPr>
        <xdr:cNvPr id="891" name="AutoShape 12">
          <a:extLst>
            <a:ext uri="{FF2B5EF4-FFF2-40B4-BE49-F238E27FC236}">
              <a16:creationId xmlns:a16="http://schemas.microsoft.com/office/drawing/2014/main" id="{DD37E23A-93AF-4C76-AC5F-62034AF9EF10}"/>
            </a:ext>
          </a:extLst>
        </xdr:cNvPr>
        <xdr:cNvSpPr>
          <a:spLocks noChangeAspect="1" noChangeArrowheads="1"/>
        </xdr:cNvSpPr>
      </xdr:nvSpPr>
      <xdr:spPr bwMode="auto">
        <a:xfrm>
          <a:off x="3803650" y="902335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292</xdr:row>
      <xdr:rowOff>0</xdr:rowOff>
    </xdr:from>
    <xdr:ext cx="304800" cy="304094"/>
    <xdr:sp macro="" textlink="">
      <xdr:nvSpPr>
        <xdr:cNvPr id="892" name="AutoShape 12">
          <a:extLst>
            <a:ext uri="{FF2B5EF4-FFF2-40B4-BE49-F238E27FC236}">
              <a16:creationId xmlns:a16="http://schemas.microsoft.com/office/drawing/2014/main" id="{8B4EC81E-93B0-4E3A-98CF-BC1D37D86F06}"/>
            </a:ext>
          </a:extLst>
        </xdr:cNvPr>
        <xdr:cNvSpPr>
          <a:spLocks noChangeAspect="1" noChangeArrowheads="1"/>
        </xdr:cNvSpPr>
      </xdr:nvSpPr>
      <xdr:spPr bwMode="auto">
        <a:xfrm>
          <a:off x="3803650" y="920750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293</xdr:row>
      <xdr:rowOff>0</xdr:rowOff>
    </xdr:from>
    <xdr:ext cx="304800" cy="304094"/>
    <xdr:sp macro="" textlink="">
      <xdr:nvSpPr>
        <xdr:cNvPr id="893" name="AutoShape 12">
          <a:extLst>
            <a:ext uri="{FF2B5EF4-FFF2-40B4-BE49-F238E27FC236}">
              <a16:creationId xmlns:a16="http://schemas.microsoft.com/office/drawing/2014/main" id="{1D9DF666-4AEB-47C7-8412-EEDFCF6C6440}"/>
            </a:ext>
          </a:extLst>
        </xdr:cNvPr>
        <xdr:cNvSpPr>
          <a:spLocks noChangeAspect="1" noChangeArrowheads="1"/>
        </xdr:cNvSpPr>
      </xdr:nvSpPr>
      <xdr:spPr bwMode="auto">
        <a:xfrm>
          <a:off x="3803650" y="92259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282</xdr:row>
      <xdr:rowOff>0</xdr:rowOff>
    </xdr:from>
    <xdr:ext cx="304800" cy="304094"/>
    <xdr:sp macro="" textlink="">
      <xdr:nvSpPr>
        <xdr:cNvPr id="894" name="AutoShape 12">
          <a:extLst>
            <a:ext uri="{FF2B5EF4-FFF2-40B4-BE49-F238E27FC236}">
              <a16:creationId xmlns:a16="http://schemas.microsoft.com/office/drawing/2014/main" id="{E3FD7DEA-3D24-4336-AA66-716C735138AA}"/>
            </a:ext>
          </a:extLst>
        </xdr:cNvPr>
        <xdr:cNvSpPr>
          <a:spLocks noChangeAspect="1" noChangeArrowheads="1"/>
        </xdr:cNvSpPr>
      </xdr:nvSpPr>
      <xdr:spPr bwMode="auto">
        <a:xfrm>
          <a:off x="3803650" y="902335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283</xdr:row>
      <xdr:rowOff>0</xdr:rowOff>
    </xdr:from>
    <xdr:ext cx="304800" cy="304094"/>
    <xdr:sp macro="" textlink="">
      <xdr:nvSpPr>
        <xdr:cNvPr id="895" name="AutoShape 12">
          <a:extLst>
            <a:ext uri="{FF2B5EF4-FFF2-40B4-BE49-F238E27FC236}">
              <a16:creationId xmlns:a16="http://schemas.microsoft.com/office/drawing/2014/main" id="{DFF3BDAF-FEA6-40F1-B4FB-27239FCD999F}"/>
            </a:ext>
          </a:extLst>
        </xdr:cNvPr>
        <xdr:cNvSpPr>
          <a:spLocks noChangeAspect="1" noChangeArrowheads="1"/>
        </xdr:cNvSpPr>
      </xdr:nvSpPr>
      <xdr:spPr bwMode="auto">
        <a:xfrm>
          <a:off x="3803650" y="904176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293</xdr:row>
      <xdr:rowOff>0</xdr:rowOff>
    </xdr:from>
    <xdr:ext cx="304800" cy="304094"/>
    <xdr:sp macro="" textlink="">
      <xdr:nvSpPr>
        <xdr:cNvPr id="896" name="AutoShape 12">
          <a:extLst>
            <a:ext uri="{FF2B5EF4-FFF2-40B4-BE49-F238E27FC236}">
              <a16:creationId xmlns:a16="http://schemas.microsoft.com/office/drawing/2014/main" id="{65AF8A4A-AC7C-4472-8E34-39E09BC78501}"/>
            </a:ext>
          </a:extLst>
        </xdr:cNvPr>
        <xdr:cNvSpPr>
          <a:spLocks noChangeAspect="1" noChangeArrowheads="1"/>
        </xdr:cNvSpPr>
      </xdr:nvSpPr>
      <xdr:spPr bwMode="auto">
        <a:xfrm>
          <a:off x="3803650" y="92259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294</xdr:row>
      <xdr:rowOff>0</xdr:rowOff>
    </xdr:from>
    <xdr:ext cx="304800" cy="304094"/>
    <xdr:sp macro="" textlink="">
      <xdr:nvSpPr>
        <xdr:cNvPr id="897" name="AutoShape 12">
          <a:extLst>
            <a:ext uri="{FF2B5EF4-FFF2-40B4-BE49-F238E27FC236}">
              <a16:creationId xmlns:a16="http://schemas.microsoft.com/office/drawing/2014/main" id="{A218D1ED-17BC-42AB-81FE-D38C4306156B}"/>
            </a:ext>
          </a:extLst>
        </xdr:cNvPr>
        <xdr:cNvSpPr>
          <a:spLocks noChangeAspect="1" noChangeArrowheads="1"/>
        </xdr:cNvSpPr>
      </xdr:nvSpPr>
      <xdr:spPr bwMode="auto">
        <a:xfrm>
          <a:off x="3803650" y="924433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350</xdr:row>
      <xdr:rowOff>0</xdr:rowOff>
    </xdr:from>
    <xdr:ext cx="304800" cy="304094"/>
    <xdr:sp macro="" textlink="">
      <xdr:nvSpPr>
        <xdr:cNvPr id="898" name="AutoShape 12">
          <a:extLst>
            <a:ext uri="{FF2B5EF4-FFF2-40B4-BE49-F238E27FC236}">
              <a16:creationId xmlns:a16="http://schemas.microsoft.com/office/drawing/2014/main" id="{DFABA119-CE6E-441D-80CC-19D3EF3CDF86}"/>
            </a:ext>
          </a:extLst>
        </xdr:cNvPr>
        <xdr:cNvSpPr>
          <a:spLocks noChangeAspect="1" noChangeArrowheads="1"/>
        </xdr:cNvSpPr>
      </xdr:nvSpPr>
      <xdr:spPr bwMode="auto">
        <a:xfrm>
          <a:off x="3803650" y="1027557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351</xdr:row>
      <xdr:rowOff>0</xdr:rowOff>
    </xdr:from>
    <xdr:ext cx="304800" cy="304094"/>
    <xdr:sp macro="" textlink="">
      <xdr:nvSpPr>
        <xdr:cNvPr id="899" name="AutoShape 12">
          <a:extLst>
            <a:ext uri="{FF2B5EF4-FFF2-40B4-BE49-F238E27FC236}">
              <a16:creationId xmlns:a16="http://schemas.microsoft.com/office/drawing/2014/main" id="{721D0A76-9DDC-4E3A-86A6-C2ABF6D62645}"/>
            </a:ext>
          </a:extLst>
        </xdr:cNvPr>
        <xdr:cNvSpPr>
          <a:spLocks noChangeAspect="1" noChangeArrowheads="1"/>
        </xdr:cNvSpPr>
      </xdr:nvSpPr>
      <xdr:spPr bwMode="auto">
        <a:xfrm>
          <a:off x="3803650" y="1029398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361</xdr:row>
      <xdr:rowOff>0</xdr:rowOff>
    </xdr:from>
    <xdr:ext cx="304800" cy="304094"/>
    <xdr:sp macro="" textlink="">
      <xdr:nvSpPr>
        <xdr:cNvPr id="900" name="AutoShape 12">
          <a:extLst>
            <a:ext uri="{FF2B5EF4-FFF2-40B4-BE49-F238E27FC236}">
              <a16:creationId xmlns:a16="http://schemas.microsoft.com/office/drawing/2014/main" id="{4FDBD873-9EDA-465F-AEFC-1E28A8D0612E}"/>
            </a:ext>
          </a:extLst>
        </xdr:cNvPr>
        <xdr:cNvSpPr>
          <a:spLocks noChangeAspect="1" noChangeArrowheads="1"/>
        </xdr:cNvSpPr>
      </xdr:nvSpPr>
      <xdr:spPr bwMode="auto">
        <a:xfrm>
          <a:off x="3803650" y="1047813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362</xdr:row>
      <xdr:rowOff>0</xdr:rowOff>
    </xdr:from>
    <xdr:ext cx="304800" cy="304094"/>
    <xdr:sp macro="" textlink="">
      <xdr:nvSpPr>
        <xdr:cNvPr id="901" name="AutoShape 12">
          <a:extLst>
            <a:ext uri="{FF2B5EF4-FFF2-40B4-BE49-F238E27FC236}">
              <a16:creationId xmlns:a16="http://schemas.microsoft.com/office/drawing/2014/main" id="{6C4A4419-EF14-4840-BC7A-46CE9FF67D7E}"/>
            </a:ext>
          </a:extLst>
        </xdr:cNvPr>
        <xdr:cNvSpPr>
          <a:spLocks noChangeAspect="1" noChangeArrowheads="1"/>
        </xdr:cNvSpPr>
      </xdr:nvSpPr>
      <xdr:spPr bwMode="auto">
        <a:xfrm>
          <a:off x="3803650" y="1049655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351</xdr:row>
      <xdr:rowOff>0</xdr:rowOff>
    </xdr:from>
    <xdr:ext cx="304800" cy="304094"/>
    <xdr:sp macro="" textlink="">
      <xdr:nvSpPr>
        <xdr:cNvPr id="902" name="AutoShape 12">
          <a:extLst>
            <a:ext uri="{FF2B5EF4-FFF2-40B4-BE49-F238E27FC236}">
              <a16:creationId xmlns:a16="http://schemas.microsoft.com/office/drawing/2014/main" id="{27363B6A-FD92-4C35-B6FC-9BE0B1223431}"/>
            </a:ext>
          </a:extLst>
        </xdr:cNvPr>
        <xdr:cNvSpPr>
          <a:spLocks noChangeAspect="1" noChangeArrowheads="1"/>
        </xdr:cNvSpPr>
      </xdr:nvSpPr>
      <xdr:spPr bwMode="auto">
        <a:xfrm>
          <a:off x="3803650" y="1029398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352</xdr:row>
      <xdr:rowOff>0</xdr:rowOff>
    </xdr:from>
    <xdr:ext cx="304800" cy="304094"/>
    <xdr:sp macro="" textlink="">
      <xdr:nvSpPr>
        <xdr:cNvPr id="903" name="AutoShape 12">
          <a:extLst>
            <a:ext uri="{FF2B5EF4-FFF2-40B4-BE49-F238E27FC236}">
              <a16:creationId xmlns:a16="http://schemas.microsoft.com/office/drawing/2014/main" id="{D3C50D69-F91F-42C9-B814-8D5385AB3197}"/>
            </a:ext>
          </a:extLst>
        </xdr:cNvPr>
        <xdr:cNvSpPr>
          <a:spLocks noChangeAspect="1" noChangeArrowheads="1"/>
        </xdr:cNvSpPr>
      </xdr:nvSpPr>
      <xdr:spPr bwMode="auto">
        <a:xfrm>
          <a:off x="3803650" y="1031240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362</xdr:row>
      <xdr:rowOff>0</xdr:rowOff>
    </xdr:from>
    <xdr:ext cx="304800" cy="304094"/>
    <xdr:sp macro="" textlink="">
      <xdr:nvSpPr>
        <xdr:cNvPr id="904" name="AutoShape 12">
          <a:extLst>
            <a:ext uri="{FF2B5EF4-FFF2-40B4-BE49-F238E27FC236}">
              <a16:creationId xmlns:a16="http://schemas.microsoft.com/office/drawing/2014/main" id="{8D93AB8F-A1F7-4ABF-ADCE-C4D97E3438C4}"/>
            </a:ext>
          </a:extLst>
        </xdr:cNvPr>
        <xdr:cNvSpPr>
          <a:spLocks noChangeAspect="1" noChangeArrowheads="1"/>
        </xdr:cNvSpPr>
      </xdr:nvSpPr>
      <xdr:spPr bwMode="auto">
        <a:xfrm>
          <a:off x="3803650" y="1049655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363</xdr:row>
      <xdr:rowOff>0</xdr:rowOff>
    </xdr:from>
    <xdr:ext cx="304800" cy="304094"/>
    <xdr:sp macro="" textlink="">
      <xdr:nvSpPr>
        <xdr:cNvPr id="905" name="AutoShape 12">
          <a:extLst>
            <a:ext uri="{FF2B5EF4-FFF2-40B4-BE49-F238E27FC236}">
              <a16:creationId xmlns:a16="http://schemas.microsoft.com/office/drawing/2014/main" id="{B3293921-54CB-4C03-8D52-5AA2CB86AB74}"/>
            </a:ext>
          </a:extLst>
        </xdr:cNvPr>
        <xdr:cNvSpPr>
          <a:spLocks noChangeAspect="1" noChangeArrowheads="1"/>
        </xdr:cNvSpPr>
      </xdr:nvSpPr>
      <xdr:spPr bwMode="auto">
        <a:xfrm>
          <a:off x="3803650" y="1051496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282</xdr:row>
      <xdr:rowOff>0</xdr:rowOff>
    </xdr:from>
    <xdr:ext cx="304800" cy="304094"/>
    <xdr:sp macro="" textlink="">
      <xdr:nvSpPr>
        <xdr:cNvPr id="906" name="AutoShape 12">
          <a:extLst>
            <a:ext uri="{FF2B5EF4-FFF2-40B4-BE49-F238E27FC236}">
              <a16:creationId xmlns:a16="http://schemas.microsoft.com/office/drawing/2014/main" id="{86440F93-ED44-4AFE-AD9A-AAB6F9C0F90B}"/>
            </a:ext>
          </a:extLst>
        </xdr:cNvPr>
        <xdr:cNvSpPr>
          <a:spLocks noChangeAspect="1" noChangeArrowheads="1"/>
        </xdr:cNvSpPr>
      </xdr:nvSpPr>
      <xdr:spPr bwMode="auto">
        <a:xfrm>
          <a:off x="3803650" y="902335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283</xdr:row>
      <xdr:rowOff>0</xdr:rowOff>
    </xdr:from>
    <xdr:ext cx="304800" cy="304094"/>
    <xdr:sp macro="" textlink="">
      <xdr:nvSpPr>
        <xdr:cNvPr id="907" name="AutoShape 12">
          <a:extLst>
            <a:ext uri="{FF2B5EF4-FFF2-40B4-BE49-F238E27FC236}">
              <a16:creationId xmlns:a16="http://schemas.microsoft.com/office/drawing/2014/main" id="{D3B48F47-1172-456A-B50A-B3DEBBB795CF}"/>
            </a:ext>
          </a:extLst>
        </xdr:cNvPr>
        <xdr:cNvSpPr>
          <a:spLocks noChangeAspect="1" noChangeArrowheads="1"/>
        </xdr:cNvSpPr>
      </xdr:nvSpPr>
      <xdr:spPr bwMode="auto">
        <a:xfrm>
          <a:off x="3803650" y="904176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293</xdr:row>
      <xdr:rowOff>0</xdr:rowOff>
    </xdr:from>
    <xdr:ext cx="304800" cy="304094"/>
    <xdr:sp macro="" textlink="">
      <xdr:nvSpPr>
        <xdr:cNvPr id="908" name="AutoShape 12">
          <a:extLst>
            <a:ext uri="{FF2B5EF4-FFF2-40B4-BE49-F238E27FC236}">
              <a16:creationId xmlns:a16="http://schemas.microsoft.com/office/drawing/2014/main" id="{C35B383D-D17A-4372-9EDD-24D99C1C19C5}"/>
            </a:ext>
          </a:extLst>
        </xdr:cNvPr>
        <xdr:cNvSpPr>
          <a:spLocks noChangeAspect="1" noChangeArrowheads="1"/>
        </xdr:cNvSpPr>
      </xdr:nvSpPr>
      <xdr:spPr bwMode="auto">
        <a:xfrm>
          <a:off x="3803650" y="92259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294</xdr:row>
      <xdr:rowOff>0</xdr:rowOff>
    </xdr:from>
    <xdr:ext cx="304800" cy="304094"/>
    <xdr:sp macro="" textlink="">
      <xdr:nvSpPr>
        <xdr:cNvPr id="909" name="AutoShape 12">
          <a:extLst>
            <a:ext uri="{FF2B5EF4-FFF2-40B4-BE49-F238E27FC236}">
              <a16:creationId xmlns:a16="http://schemas.microsoft.com/office/drawing/2014/main" id="{2DC30EC2-8FDE-4B7F-A5A0-535749FFAEA4}"/>
            </a:ext>
          </a:extLst>
        </xdr:cNvPr>
        <xdr:cNvSpPr>
          <a:spLocks noChangeAspect="1" noChangeArrowheads="1"/>
        </xdr:cNvSpPr>
      </xdr:nvSpPr>
      <xdr:spPr bwMode="auto">
        <a:xfrm>
          <a:off x="3803650" y="924433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283</xdr:row>
      <xdr:rowOff>0</xdr:rowOff>
    </xdr:from>
    <xdr:ext cx="304800" cy="304094"/>
    <xdr:sp macro="" textlink="">
      <xdr:nvSpPr>
        <xdr:cNvPr id="910" name="AutoShape 12">
          <a:extLst>
            <a:ext uri="{FF2B5EF4-FFF2-40B4-BE49-F238E27FC236}">
              <a16:creationId xmlns:a16="http://schemas.microsoft.com/office/drawing/2014/main" id="{17245E83-1ABD-492D-AB7D-F4CCFAB386EC}"/>
            </a:ext>
          </a:extLst>
        </xdr:cNvPr>
        <xdr:cNvSpPr>
          <a:spLocks noChangeAspect="1" noChangeArrowheads="1"/>
        </xdr:cNvSpPr>
      </xdr:nvSpPr>
      <xdr:spPr bwMode="auto">
        <a:xfrm>
          <a:off x="3803650" y="904176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284</xdr:row>
      <xdr:rowOff>0</xdr:rowOff>
    </xdr:from>
    <xdr:ext cx="304800" cy="304094"/>
    <xdr:sp macro="" textlink="">
      <xdr:nvSpPr>
        <xdr:cNvPr id="911" name="AutoShape 12">
          <a:extLst>
            <a:ext uri="{FF2B5EF4-FFF2-40B4-BE49-F238E27FC236}">
              <a16:creationId xmlns:a16="http://schemas.microsoft.com/office/drawing/2014/main" id="{2F2F5A1E-DA8E-4352-A344-D0C7B4FE3989}"/>
            </a:ext>
          </a:extLst>
        </xdr:cNvPr>
        <xdr:cNvSpPr>
          <a:spLocks noChangeAspect="1" noChangeArrowheads="1"/>
        </xdr:cNvSpPr>
      </xdr:nvSpPr>
      <xdr:spPr bwMode="auto">
        <a:xfrm>
          <a:off x="3803650" y="906018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294</xdr:row>
      <xdr:rowOff>0</xdr:rowOff>
    </xdr:from>
    <xdr:ext cx="304800" cy="304094"/>
    <xdr:sp macro="" textlink="">
      <xdr:nvSpPr>
        <xdr:cNvPr id="912" name="AutoShape 12">
          <a:extLst>
            <a:ext uri="{FF2B5EF4-FFF2-40B4-BE49-F238E27FC236}">
              <a16:creationId xmlns:a16="http://schemas.microsoft.com/office/drawing/2014/main" id="{CBE8DC51-727E-4780-B594-F5FF2F78A89D}"/>
            </a:ext>
          </a:extLst>
        </xdr:cNvPr>
        <xdr:cNvSpPr>
          <a:spLocks noChangeAspect="1" noChangeArrowheads="1"/>
        </xdr:cNvSpPr>
      </xdr:nvSpPr>
      <xdr:spPr bwMode="auto">
        <a:xfrm>
          <a:off x="3803650" y="924433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295</xdr:row>
      <xdr:rowOff>0</xdr:rowOff>
    </xdr:from>
    <xdr:ext cx="304800" cy="304094"/>
    <xdr:sp macro="" textlink="">
      <xdr:nvSpPr>
        <xdr:cNvPr id="913" name="AutoShape 12">
          <a:extLst>
            <a:ext uri="{FF2B5EF4-FFF2-40B4-BE49-F238E27FC236}">
              <a16:creationId xmlns:a16="http://schemas.microsoft.com/office/drawing/2014/main" id="{F30126D5-C25B-418A-AE92-C10383D2FF84}"/>
            </a:ext>
          </a:extLst>
        </xdr:cNvPr>
        <xdr:cNvSpPr>
          <a:spLocks noChangeAspect="1" noChangeArrowheads="1"/>
        </xdr:cNvSpPr>
      </xdr:nvSpPr>
      <xdr:spPr bwMode="auto">
        <a:xfrm>
          <a:off x="3803650" y="926274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351</xdr:row>
      <xdr:rowOff>0</xdr:rowOff>
    </xdr:from>
    <xdr:ext cx="304800" cy="304094"/>
    <xdr:sp macro="" textlink="">
      <xdr:nvSpPr>
        <xdr:cNvPr id="914" name="AutoShape 12">
          <a:extLst>
            <a:ext uri="{FF2B5EF4-FFF2-40B4-BE49-F238E27FC236}">
              <a16:creationId xmlns:a16="http://schemas.microsoft.com/office/drawing/2014/main" id="{FDEE11A8-E48E-4C63-8FE0-CA35C2D728EB}"/>
            </a:ext>
          </a:extLst>
        </xdr:cNvPr>
        <xdr:cNvSpPr>
          <a:spLocks noChangeAspect="1" noChangeArrowheads="1"/>
        </xdr:cNvSpPr>
      </xdr:nvSpPr>
      <xdr:spPr bwMode="auto">
        <a:xfrm>
          <a:off x="3803650" y="1029398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352</xdr:row>
      <xdr:rowOff>0</xdr:rowOff>
    </xdr:from>
    <xdr:ext cx="304800" cy="304094"/>
    <xdr:sp macro="" textlink="">
      <xdr:nvSpPr>
        <xdr:cNvPr id="915" name="AutoShape 12">
          <a:extLst>
            <a:ext uri="{FF2B5EF4-FFF2-40B4-BE49-F238E27FC236}">
              <a16:creationId xmlns:a16="http://schemas.microsoft.com/office/drawing/2014/main" id="{54522956-0AD9-416C-BD2B-CAABC28DE22A}"/>
            </a:ext>
          </a:extLst>
        </xdr:cNvPr>
        <xdr:cNvSpPr>
          <a:spLocks noChangeAspect="1" noChangeArrowheads="1"/>
        </xdr:cNvSpPr>
      </xdr:nvSpPr>
      <xdr:spPr bwMode="auto">
        <a:xfrm>
          <a:off x="3803650" y="1031240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362</xdr:row>
      <xdr:rowOff>0</xdr:rowOff>
    </xdr:from>
    <xdr:ext cx="304800" cy="304094"/>
    <xdr:sp macro="" textlink="">
      <xdr:nvSpPr>
        <xdr:cNvPr id="916" name="AutoShape 12">
          <a:extLst>
            <a:ext uri="{FF2B5EF4-FFF2-40B4-BE49-F238E27FC236}">
              <a16:creationId xmlns:a16="http://schemas.microsoft.com/office/drawing/2014/main" id="{4FDAB27A-7A68-486E-A6AA-ECB0D8C35DB1}"/>
            </a:ext>
          </a:extLst>
        </xdr:cNvPr>
        <xdr:cNvSpPr>
          <a:spLocks noChangeAspect="1" noChangeArrowheads="1"/>
        </xdr:cNvSpPr>
      </xdr:nvSpPr>
      <xdr:spPr bwMode="auto">
        <a:xfrm>
          <a:off x="3803650" y="1049655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363</xdr:row>
      <xdr:rowOff>0</xdr:rowOff>
    </xdr:from>
    <xdr:ext cx="304800" cy="304094"/>
    <xdr:sp macro="" textlink="">
      <xdr:nvSpPr>
        <xdr:cNvPr id="917" name="AutoShape 12">
          <a:extLst>
            <a:ext uri="{FF2B5EF4-FFF2-40B4-BE49-F238E27FC236}">
              <a16:creationId xmlns:a16="http://schemas.microsoft.com/office/drawing/2014/main" id="{9BB4D573-4A0A-4057-86F4-B146151F37D1}"/>
            </a:ext>
          </a:extLst>
        </xdr:cNvPr>
        <xdr:cNvSpPr>
          <a:spLocks noChangeAspect="1" noChangeArrowheads="1"/>
        </xdr:cNvSpPr>
      </xdr:nvSpPr>
      <xdr:spPr bwMode="auto">
        <a:xfrm>
          <a:off x="3803650" y="1051496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352</xdr:row>
      <xdr:rowOff>0</xdr:rowOff>
    </xdr:from>
    <xdr:ext cx="304800" cy="304094"/>
    <xdr:sp macro="" textlink="">
      <xdr:nvSpPr>
        <xdr:cNvPr id="918" name="AutoShape 12">
          <a:extLst>
            <a:ext uri="{FF2B5EF4-FFF2-40B4-BE49-F238E27FC236}">
              <a16:creationId xmlns:a16="http://schemas.microsoft.com/office/drawing/2014/main" id="{F5780CC7-506F-4D22-9F83-A9FEF16C4799}"/>
            </a:ext>
          </a:extLst>
        </xdr:cNvPr>
        <xdr:cNvSpPr>
          <a:spLocks noChangeAspect="1" noChangeArrowheads="1"/>
        </xdr:cNvSpPr>
      </xdr:nvSpPr>
      <xdr:spPr bwMode="auto">
        <a:xfrm>
          <a:off x="3803650" y="1031240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353</xdr:row>
      <xdr:rowOff>0</xdr:rowOff>
    </xdr:from>
    <xdr:ext cx="304800" cy="304094"/>
    <xdr:sp macro="" textlink="">
      <xdr:nvSpPr>
        <xdr:cNvPr id="919" name="AutoShape 12">
          <a:extLst>
            <a:ext uri="{FF2B5EF4-FFF2-40B4-BE49-F238E27FC236}">
              <a16:creationId xmlns:a16="http://schemas.microsoft.com/office/drawing/2014/main" id="{0F253D41-907C-4C2E-8620-57F38D974D05}"/>
            </a:ext>
          </a:extLst>
        </xdr:cNvPr>
        <xdr:cNvSpPr>
          <a:spLocks noChangeAspect="1" noChangeArrowheads="1"/>
        </xdr:cNvSpPr>
      </xdr:nvSpPr>
      <xdr:spPr bwMode="auto">
        <a:xfrm>
          <a:off x="3803650" y="103308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363</xdr:row>
      <xdr:rowOff>0</xdr:rowOff>
    </xdr:from>
    <xdr:ext cx="304800" cy="304094"/>
    <xdr:sp macro="" textlink="">
      <xdr:nvSpPr>
        <xdr:cNvPr id="920" name="AutoShape 12">
          <a:extLst>
            <a:ext uri="{FF2B5EF4-FFF2-40B4-BE49-F238E27FC236}">
              <a16:creationId xmlns:a16="http://schemas.microsoft.com/office/drawing/2014/main" id="{2A23552F-6B0E-49ED-B8EB-6F5E3A5D0A22}"/>
            </a:ext>
          </a:extLst>
        </xdr:cNvPr>
        <xdr:cNvSpPr>
          <a:spLocks noChangeAspect="1" noChangeArrowheads="1"/>
        </xdr:cNvSpPr>
      </xdr:nvSpPr>
      <xdr:spPr bwMode="auto">
        <a:xfrm>
          <a:off x="3803650" y="1051496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364</xdr:row>
      <xdr:rowOff>0</xdr:rowOff>
    </xdr:from>
    <xdr:ext cx="304800" cy="304094"/>
    <xdr:sp macro="" textlink="">
      <xdr:nvSpPr>
        <xdr:cNvPr id="921" name="AutoShape 12">
          <a:extLst>
            <a:ext uri="{FF2B5EF4-FFF2-40B4-BE49-F238E27FC236}">
              <a16:creationId xmlns:a16="http://schemas.microsoft.com/office/drawing/2014/main" id="{C0FA3A84-393A-4131-A474-A54EBA6E5926}"/>
            </a:ext>
          </a:extLst>
        </xdr:cNvPr>
        <xdr:cNvSpPr>
          <a:spLocks noChangeAspect="1" noChangeArrowheads="1"/>
        </xdr:cNvSpPr>
      </xdr:nvSpPr>
      <xdr:spPr bwMode="auto">
        <a:xfrm>
          <a:off x="3803650" y="1053338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325</xdr:row>
      <xdr:rowOff>0</xdr:rowOff>
    </xdr:from>
    <xdr:ext cx="304800" cy="304094"/>
    <xdr:sp macro="" textlink="">
      <xdr:nvSpPr>
        <xdr:cNvPr id="922" name="AutoShape 12">
          <a:extLst>
            <a:ext uri="{FF2B5EF4-FFF2-40B4-BE49-F238E27FC236}">
              <a16:creationId xmlns:a16="http://schemas.microsoft.com/office/drawing/2014/main" id="{B7B81C32-7D3D-4D02-8573-50DB756C3E94}"/>
            </a:ext>
          </a:extLst>
        </xdr:cNvPr>
        <xdr:cNvSpPr>
          <a:spLocks noChangeAspect="1" noChangeArrowheads="1"/>
        </xdr:cNvSpPr>
      </xdr:nvSpPr>
      <xdr:spPr bwMode="auto">
        <a:xfrm>
          <a:off x="3803650" y="981519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326</xdr:row>
      <xdr:rowOff>0</xdr:rowOff>
    </xdr:from>
    <xdr:ext cx="304800" cy="304094"/>
    <xdr:sp macro="" textlink="">
      <xdr:nvSpPr>
        <xdr:cNvPr id="923" name="AutoShape 12">
          <a:extLst>
            <a:ext uri="{FF2B5EF4-FFF2-40B4-BE49-F238E27FC236}">
              <a16:creationId xmlns:a16="http://schemas.microsoft.com/office/drawing/2014/main" id="{2F95D755-89FE-43F9-A809-6E2FE183509E}"/>
            </a:ext>
          </a:extLst>
        </xdr:cNvPr>
        <xdr:cNvSpPr>
          <a:spLocks noChangeAspect="1" noChangeArrowheads="1"/>
        </xdr:cNvSpPr>
      </xdr:nvSpPr>
      <xdr:spPr bwMode="auto">
        <a:xfrm>
          <a:off x="3803650" y="983361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336</xdr:row>
      <xdr:rowOff>0</xdr:rowOff>
    </xdr:from>
    <xdr:ext cx="304800" cy="304094"/>
    <xdr:sp macro="" textlink="">
      <xdr:nvSpPr>
        <xdr:cNvPr id="924" name="AutoShape 12">
          <a:extLst>
            <a:ext uri="{FF2B5EF4-FFF2-40B4-BE49-F238E27FC236}">
              <a16:creationId xmlns:a16="http://schemas.microsoft.com/office/drawing/2014/main" id="{8F5DDA8F-ACE4-406E-B57F-DB4901F96BE7}"/>
            </a:ext>
          </a:extLst>
        </xdr:cNvPr>
        <xdr:cNvSpPr>
          <a:spLocks noChangeAspect="1" noChangeArrowheads="1"/>
        </xdr:cNvSpPr>
      </xdr:nvSpPr>
      <xdr:spPr bwMode="auto">
        <a:xfrm>
          <a:off x="3803650" y="1001776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337</xdr:row>
      <xdr:rowOff>0</xdr:rowOff>
    </xdr:from>
    <xdr:ext cx="304800" cy="304094"/>
    <xdr:sp macro="" textlink="">
      <xdr:nvSpPr>
        <xdr:cNvPr id="925" name="AutoShape 12">
          <a:extLst>
            <a:ext uri="{FF2B5EF4-FFF2-40B4-BE49-F238E27FC236}">
              <a16:creationId xmlns:a16="http://schemas.microsoft.com/office/drawing/2014/main" id="{107F0845-C43C-49A1-BD71-67CC418EDE6B}"/>
            </a:ext>
          </a:extLst>
        </xdr:cNvPr>
        <xdr:cNvSpPr>
          <a:spLocks noChangeAspect="1" noChangeArrowheads="1"/>
        </xdr:cNvSpPr>
      </xdr:nvSpPr>
      <xdr:spPr bwMode="auto">
        <a:xfrm>
          <a:off x="3803650" y="100361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326</xdr:row>
      <xdr:rowOff>0</xdr:rowOff>
    </xdr:from>
    <xdr:ext cx="304800" cy="304094"/>
    <xdr:sp macro="" textlink="">
      <xdr:nvSpPr>
        <xdr:cNvPr id="926" name="AutoShape 12">
          <a:extLst>
            <a:ext uri="{FF2B5EF4-FFF2-40B4-BE49-F238E27FC236}">
              <a16:creationId xmlns:a16="http://schemas.microsoft.com/office/drawing/2014/main" id="{B3769898-375B-40CC-873E-82DBEECA067E}"/>
            </a:ext>
          </a:extLst>
        </xdr:cNvPr>
        <xdr:cNvSpPr>
          <a:spLocks noChangeAspect="1" noChangeArrowheads="1"/>
        </xdr:cNvSpPr>
      </xdr:nvSpPr>
      <xdr:spPr bwMode="auto">
        <a:xfrm>
          <a:off x="3803650" y="983361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327</xdr:row>
      <xdr:rowOff>0</xdr:rowOff>
    </xdr:from>
    <xdr:ext cx="304800" cy="304094"/>
    <xdr:sp macro="" textlink="">
      <xdr:nvSpPr>
        <xdr:cNvPr id="927" name="AutoShape 12">
          <a:extLst>
            <a:ext uri="{FF2B5EF4-FFF2-40B4-BE49-F238E27FC236}">
              <a16:creationId xmlns:a16="http://schemas.microsoft.com/office/drawing/2014/main" id="{9481A702-5EAD-4A06-B99A-9FAD90119C52}"/>
            </a:ext>
          </a:extLst>
        </xdr:cNvPr>
        <xdr:cNvSpPr>
          <a:spLocks noChangeAspect="1" noChangeArrowheads="1"/>
        </xdr:cNvSpPr>
      </xdr:nvSpPr>
      <xdr:spPr bwMode="auto">
        <a:xfrm>
          <a:off x="3803650" y="985202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337</xdr:row>
      <xdr:rowOff>0</xdr:rowOff>
    </xdr:from>
    <xdr:ext cx="304800" cy="304094"/>
    <xdr:sp macro="" textlink="">
      <xdr:nvSpPr>
        <xdr:cNvPr id="928" name="AutoShape 12">
          <a:extLst>
            <a:ext uri="{FF2B5EF4-FFF2-40B4-BE49-F238E27FC236}">
              <a16:creationId xmlns:a16="http://schemas.microsoft.com/office/drawing/2014/main" id="{F6A355FD-4691-4770-92CB-4C1B05F0F16C}"/>
            </a:ext>
          </a:extLst>
        </xdr:cNvPr>
        <xdr:cNvSpPr>
          <a:spLocks noChangeAspect="1" noChangeArrowheads="1"/>
        </xdr:cNvSpPr>
      </xdr:nvSpPr>
      <xdr:spPr bwMode="auto">
        <a:xfrm>
          <a:off x="3803650" y="100361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338</xdr:row>
      <xdr:rowOff>0</xdr:rowOff>
    </xdr:from>
    <xdr:ext cx="304800" cy="304094"/>
    <xdr:sp macro="" textlink="">
      <xdr:nvSpPr>
        <xdr:cNvPr id="929" name="AutoShape 12">
          <a:extLst>
            <a:ext uri="{FF2B5EF4-FFF2-40B4-BE49-F238E27FC236}">
              <a16:creationId xmlns:a16="http://schemas.microsoft.com/office/drawing/2014/main" id="{7BE42EAB-2712-4AF5-B380-8EEEAC00031A}"/>
            </a:ext>
          </a:extLst>
        </xdr:cNvPr>
        <xdr:cNvSpPr>
          <a:spLocks noChangeAspect="1" noChangeArrowheads="1"/>
        </xdr:cNvSpPr>
      </xdr:nvSpPr>
      <xdr:spPr bwMode="auto">
        <a:xfrm>
          <a:off x="3803650" y="1005459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326</xdr:row>
      <xdr:rowOff>0</xdr:rowOff>
    </xdr:from>
    <xdr:ext cx="304800" cy="304094"/>
    <xdr:sp macro="" textlink="">
      <xdr:nvSpPr>
        <xdr:cNvPr id="930" name="AutoShape 12">
          <a:extLst>
            <a:ext uri="{FF2B5EF4-FFF2-40B4-BE49-F238E27FC236}">
              <a16:creationId xmlns:a16="http://schemas.microsoft.com/office/drawing/2014/main" id="{01520911-52D6-4D15-80B6-37305C691679}"/>
            </a:ext>
          </a:extLst>
        </xdr:cNvPr>
        <xdr:cNvSpPr>
          <a:spLocks noChangeAspect="1" noChangeArrowheads="1"/>
        </xdr:cNvSpPr>
      </xdr:nvSpPr>
      <xdr:spPr bwMode="auto">
        <a:xfrm>
          <a:off x="3803650" y="983361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327</xdr:row>
      <xdr:rowOff>0</xdr:rowOff>
    </xdr:from>
    <xdr:ext cx="304800" cy="304094"/>
    <xdr:sp macro="" textlink="">
      <xdr:nvSpPr>
        <xdr:cNvPr id="931" name="AutoShape 12">
          <a:extLst>
            <a:ext uri="{FF2B5EF4-FFF2-40B4-BE49-F238E27FC236}">
              <a16:creationId xmlns:a16="http://schemas.microsoft.com/office/drawing/2014/main" id="{54A863F3-23B4-4141-918A-7875BF4B8DA1}"/>
            </a:ext>
          </a:extLst>
        </xdr:cNvPr>
        <xdr:cNvSpPr>
          <a:spLocks noChangeAspect="1" noChangeArrowheads="1"/>
        </xdr:cNvSpPr>
      </xdr:nvSpPr>
      <xdr:spPr bwMode="auto">
        <a:xfrm>
          <a:off x="3803650" y="985202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337</xdr:row>
      <xdr:rowOff>0</xdr:rowOff>
    </xdr:from>
    <xdr:ext cx="304800" cy="304094"/>
    <xdr:sp macro="" textlink="">
      <xdr:nvSpPr>
        <xdr:cNvPr id="932" name="AutoShape 12">
          <a:extLst>
            <a:ext uri="{FF2B5EF4-FFF2-40B4-BE49-F238E27FC236}">
              <a16:creationId xmlns:a16="http://schemas.microsoft.com/office/drawing/2014/main" id="{BD3EF158-F666-4037-ACDF-F0CD4C5885E1}"/>
            </a:ext>
          </a:extLst>
        </xdr:cNvPr>
        <xdr:cNvSpPr>
          <a:spLocks noChangeAspect="1" noChangeArrowheads="1"/>
        </xdr:cNvSpPr>
      </xdr:nvSpPr>
      <xdr:spPr bwMode="auto">
        <a:xfrm>
          <a:off x="3803650" y="100361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338</xdr:row>
      <xdr:rowOff>0</xdr:rowOff>
    </xdr:from>
    <xdr:ext cx="304800" cy="304094"/>
    <xdr:sp macro="" textlink="">
      <xdr:nvSpPr>
        <xdr:cNvPr id="933" name="AutoShape 12">
          <a:extLst>
            <a:ext uri="{FF2B5EF4-FFF2-40B4-BE49-F238E27FC236}">
              <a16:creationId xmlns:a16="http://schemas.microsoft.com/office/drawing/2014/main" id="{AE1573AC-FC76-49F4-8875-A6EE27EEEAEF}"/>
            </a:ext>
          </a:extLst>
        </xdr:cNvPr>
        <xdr:cNvSpPr>
          <a:spLocks noChangeAspect="1" noChangeArrowheads="1"/>
        </xdr:cNvSpPr>
      </xdr:nvSpPr>
      <xdr:spPr bwMode="auto">
        <a:xfrm>
          <a:off x="3803650" y="1005459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327</xdr:row>
      <xdr:rowOff>0</xdr:rowOff>
    </xdr:from>
    <xdr:ext cx="304800" cy="304094"/>
    <xdr:sp macro="" textlink="">
      <xdr:nvSpPr>
        <xdr:cNvPr id="934" name="AutoShape 12">
          <a:extLst>
            <a:ext uri="{FF2B5EF4-FFF2-40B4-BE49-F238E27FC236}">
              <a16:creationId xmlns:a16="http://schemas.microsoft.com/office/drawing/2014/main" id="{869B3711-FF41-40A4-B1AF-8C23EC94298D}"/>
            </a:ext>
          </a:extLst>
        </xdr:cNvPr>
        <xdr:cNvSpPr>
          <a:spLocks noChangeAspect="1" noChangeArrowheads="1"/>
        </xdr:cNvSpPr>
      </xdr:nvSpPr>
      <xdr:spPr bwMode="auto">
        <a:xfrm>
          <a:off x="3803650" y="985202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328</xdr:row>
      <xdr:rowOff>0</xdr:rowOff>
    </xdr:from>
    <xdr:ext cx="304800" cy="304094"/>
    <xdr:sp macro="" textlink="">
      <xdr:nvSpPr>
        <xdr:cNvPr id="935" name="AutoShape 12">
          <a:extLst>
            <a:ext uri="{FF2B5EF4-FFF2-40B4-BE49-F238E27FC236}">
              <a16:creationId xmlns:a16="http://schemas.microsoft.com/office/drawing/2014/main" id="{1178D245-F67A-4EEC-8934-30ECD5065A0B}"/>
            </a:ext>
          </a:extLst>
        </xdr:cNvPr>
        <xdr:cNvSpPr>
          <a:spLocks noChangeAspect="1" noChangeArrowheads="1"/>
        </xdr:cNvSpPr>
      </xdr:nvSpPr>
      <xdr:spPr bwMode="auto">
        <a:xfrm>
          <a:off x="3803650" y="987044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338</xdr:row>
      <xdr:rowOff>0</xdr:rowOff>
    </xdr:from>
    <xdr:ext cx="304800" cy="304094"/>
    <xdr:sp macro="" textlink="">
      <xdr:nvSpPr>
        <xdr:cNvPr id="936" name="AutoShape 12">
          <a:extLst>
            <a:ext uri="{FF2B5EF4-FFF2-40B4-BE49-F238E27FC236}">
              <a16:creationId xmlns:a16="http://schemas.microsoft.com/office/drawing/2014/main" id="{8194127F-DCBF-4628-9C71-406B87D98BC3}"/>
            </a:ext>
          </a:extLst>
        </xdr:cNvPr>
        <xdr:cNvSpPr>
          <a:spLocks noChangeAspect="1" noChangeArrowheads="1"/>
        </xdr:cNvSpPr>
      </xdr:nvSpPr>
      <xdr:spPr bwMode="auto">
        <a:xfrm>
          <a:off x="3803650" y="1005459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339</xdr:row>
      <xdr:rowOff>0</xdr:rowOff>
    </xdr:from>
    <xdr:ext cx="304800" cy="304094"/>
    <xdr:sp macro="" textlink="">
      <xdr:nvSpPr>
        <xdr:cNvPr id="937" name="AutoShape 12">
          <a:extLst>
            <a:ext uri="{FF2B5EF4-FFF2-40B4-BE49-F238E27FC236}">
              <a16:creationId xmlns:a16="http://schemas.microsoft.com/office/drawing/2014/main" id="{CB9ED43F-517F-4D61-A3C6-FA2093F68F61}"/>
            </a:ext>
          </a:extLst>
        </xdr:cNvPr>
        <xdr:cNvSpPr>
          <a:spLocks noChangeAspect="1" noChangeArrowheads="1"/>
        </xdr:cNvSpPr>
      </xdr:nvSpPr>
      <xdr:spPr bwMode="auto">
        <a:xfrm>
          <a:off x="3803650" y="1007300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330</xdr:row>
      <xdr:rowOff>0</xdr:rowOff>
    </xdr:from>
    <xdr:ext cx="304800" cy="304094"/>
    <xdr:sp macro="" textlink="">
      <xdr:nvSpPr>
        <xdr:cNvPr id="938" name="AutoShape 12">
          <a:extLst>
            <a:ext uri="{FF2B5EF4-FFF2-40B4-BE49-F238E27FC236}">
              <a16:creationId xmlns:a16="http://schemas.microsoft.com/office/drawing/2014/main" id="{EBB5B360-4FBA-45C8-90CE-FB922C3D1784}"/>
            </a:ext>
          </a:extLst>
        </xdr:cNvPr>
        <xdr:cNvSpPr>
          <a:spLocks noChangeAspect="1" noChangeArrowheads="1"/>
        </xdr:cNvSpPr>
      </xdr:nvSpPr>
      <xdr:spPr bwMode="auto">
        <a:xfrm>
          <a:off x="3803650" y="990727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331</xdr:row>
      <xdr:rowOff>0</xdr:rowOff>
    </xdr:from>
    <xdr:ext cx="304800" cy="304094"/>
    <xdr:sp macro="" textlink="">
      <xdr:nvSpPr>
        <xdr:cNvPr id="939" name="AutoShape 12">
          <a:extLst>
            <a:ext uri="{FF2B5EF4-FFF2-40B4-BE49-F238E27FC236}">
              <a16:creationId xmlns:a16="http://schemas.microsoft.com/office/drawing/2014/main" id="{835E76C1-B7B7-4A2E-803D-0067DCDD69C9}"/>
            </a:ext>
          </a:extLst>
        </xdr:cNvPr>
        <xdr:cNvSpPr>
          <a:spLocks noChangeAspect="1" noChangeArrowheads="1"/>
        </xdr:cNvSpPr>
      </xdr:nvSpPr>
      <xdr:spPr bwMode="auto">
        <a:xfrm>
          <a:off x="3803650" y="992568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341</xdr:row>
      <xdr:rowOff>0</xdr:rowOff>
    </xdr:from>
    <xdr:ext cx="304800" cy="304094"/>
    <xdr:sp macro="" textlink="">
      <xdr:nvSpPr>
        <xdr:cNvPr id="940" name="AutoShape 12">
          <a:extLst>
            <a:ext uri="{FF2B5EF4-FFF2-40B4-BE49-F238E27FC236}">
              <a16:creationId xmlns:a16="http://schemas.microsoft.com/office/drawing/2014/main" id="{07823D95-F535-4DA5-9880-3B023B8DF8FA}"/>
            </a:ext>
          </a:extLst>
        </xdr:cNvPr>
        <xdr:cNvSpPr>
          <a:spLocks noChangeAspect="1" noChangeArrowheads="1"/>
        </xdr:cNvSpPr>
      </xdr:nvSpPr>
      <xdr:spPr bwMode="auto">
        <a:xfrm>
          <a:off x="3803650" y="1010983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342</xdr:row>
      <xdr:rowOff>0</xdr:rowOff>
    </xdr:from>
    <xdr:ext cx="304800" cy="304094"/>
    <xdr:sp macro="" textlink="">
      <xdr:nvSpPr>
        <xdr:cNvPr id="941" name="AutoShape 12">
          <a:extLst>
            <a:ext uri="{FF2B5EF4-FFF2-40B4-BE49-F238E27FC236}">
              <a16:creationId xmlns:a16="http://schemas.microsoft.com/office/drawing/2014/main" id="{303C99FA-9A5F-45DB-8860-C1760FE1EB03}"/>
            </a:ext>
          </a:extLst>
        </xdr:cNvPr>
        <xdr:cNvSpPr>
          <a:spLocks noChangeAspect="1" noChangeArrowheads="1"/>
        </xdr:cNvSpPr>
      </xdr:nvSpPr>
      <xdr:spPr bwMode="auto">
        <a:xfrm>
          <a:off x="3803650" y="1012825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331</xdr:row>
      <xdr:rowOff>0</xdr:rowOff>
    </xdr:from>
    <xdr:ext cx="304800" cy="304094"/>
    <xdr:sp macro="" textlink="">
      <xdr:nvSpPr>
        <xdr:cNvPr id="942" name="AutoShape 12">
          <a:extLst>
            <a:ext uri="{FF2B5EF4-FFF2-40B4-BE49-F238E27FC236}">
              <a16:creationId xmlns:a16="http://schemas.microsoft.com/office/drawing/2014/main" id="{7026B6AC-D44B-411D-A12F-7C58B046E5CF}"/>
            </a:ext>
          </a:extLst>
        </xdr:cNvPr>
        <xdr:cNvSpPr>
          <a:spLocks noChangeAspect="1" noChangeArrowheads="1"/>
        </xdr:cNvSpPr>
      </xdr:nvSpPr>
      <xdr:spPr bwMode="auto">
        <a:xfrm>
          <a:off x="3803650" y="992568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332</xdr:row>
      <xdr:rowOff>0</xdr:rowOff>
    </xdr:from>
    <xdr:ext cx="304800" cy="304094"/>
    <xdr:sp macro="" textlink="">
      <xdr:nvSpPr>
        <xdr:cNvPr id="943" name="AutoShape 12">
          <a:extLst>
            <a:ext uri="{FF2B5EF4-FFF2-40B4-BE49-F238E27FC236}">
              <a16:creationId xmlns:a16="http://schemas.microsoft.com/office/drawing/2014/main" id="{EE4CB373-1E4E-438D-8A37-829B648E7E19}"/>
            </a:ext>
          </a:extLst>
        </xdr:cNvPr>
        <xdr:cNvSpPr>
          <a:spLocks noChangeAspect="1" noChangeArrowheads="1"/>
        </xdr:cNvSpPr>
      </xdr:nvSpPr>
      <xdr:spPr bwMode="auto">
        <a:xfrm>
          <a:off x="3803650" y="994410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342</xdr:row>
      <xdr:rowOff>0</xdr:rowOff>
    </xdr:from>
    <xdr:ext cx="304800" cy="304094"/>
    <xdr:sp macro="" textlink="">
      <xdr:nvSpPr>
        <xdr:cNvPr id="944" name="AutoShape 12">
          <a:extLst>
            <a:ext uri="{FF2B5EF4-FFF2-40B4-BE49-F238E27FC236}">
              <a16:creationId xmlns:a16="http://schemas.microsoft.com/office/drawing/2014/main" id="{3595513F-AD64-4FCF-9212-DD32399E7A69}"/>
            </a:ext>
          </a:extLst>
        </xdr:cNvPr>
        <xdr:cNvSpPr>
          <a:spLocks noChangeAspect="1" noChangeArrowheads="1"/>
        </xdr:cNvSpPr>
      </xdr:nvSpPr>
      <xdr:spPr bwMode="auto">
        <a:xfrm>
          <a:off x="3803650" y="1012825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343</xdr:row>
      <xdr:rowOff>0</xdr:rowOff>
    </xdr:from>
    <xdr:ext cx="304800" cy="304094"/>
    <xdr:sp macro="" textlink="">
      <xdr:nvSpPr>
        <xdr:cNvPr id="945" name="AutoShape 12">
          <a:extLst>
            <a:ext uri="{FF2B5EF4-FFF2-40B4-BE49-F238E27FC236}">
              <a16:creationId xmlns:a16="http://schemas.microsoft.com/office/drawing/2014/main" id="{00C81E4A-F383-40A4-841A-509A09EC55BD}"/>
            </a:ext>
          </a:extLst>
        </xdr:cNvPr>
        <xdr:cNvSpPr>
          <a:spLocks noChangeAspect="1" noChangeArrowheads="1"/>
        </xdr:cNvSpPr>
      </xdr:nvSpPr>
      <xdr:spPr bwMode="auto">
        <a:xfrm>
          <a:off x="3803650" y="1014666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331</xdr:row>
      <xdr:rowOff>0</xdr:rowOff>
    </xdr:from>
    <xdr:ext cx="304800" cy="304094"/>
    <xdr:sp macro="" textlink="">
      <xdr:nvSpPr>
        <xdr:cNvPr id="946" name="AutoShape 12">
          <a:extLst>
            <a:ext uri="{FF2B5EF4-FFF2-40B4-BE49-F238E27FC236}">
              <a16:creationId xmlns:a16="http://schemas.microsoft.com/office/drawing/2014/main" id="{983F2015-3F6B-498A-8660-73BB8E33721C}"/>
            </a:ext>
          </a:extLst>
        </xdr:cNvPr>
        <xdr:cNvSpPr>
          <a:spLocks noChangeAspect="1" noChangeArrowheads="1"/>
        </xdr:cNvSpPr>
      </xdr:nvSpPr>
      <xdr:spPr bwMode="auto">
        <a:xfrm>
          <a:off x="3803650" y="992568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332</xdr:row>
      <xdr:rowOff>0</xdr:rowOff>
    </xdr:from>
    <xdr:ext cx="304800" cy="304094"/>
    <xdr:sp macro="" textlink="">
      <xdr:nvSpPr>
        <xdr:cNvPr id="947" name="AutoShape 12">
          <a:extLst>
            <a:ext uri="{FF2B5EF4-FFF2-40B4-BE49-F238E27FC236}">
              <a16:creationId xmlns:a16="http://schemas.microsoft.com/office/drawing/2014/main" id="{02336DBA-C2A3-4270-A967-C0AAB982429B}"/>
            </a:ext>
          </a:extLst>
        </xdr:cNvPr>
        <xdr:cNvSpPr>
          <a:spLocks noChangeAspect="1" noChangeArrowheads="1"/>
        </xdr:cNvSpPr>
      </xdr:nvSpPr>
      <xdr:spPr bwMode="auto">
        <a:xfrm>
          <a:off x="3803650" y="994410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342</xdr:row>
      <xdr:rowOff>0</xdr:rowOff>
    </xdr:from>
    <xdr:ext cx="304800" cy="304094"/>
    <xdr:sp macro="" textlink="">
      <xdr:nvSpPr>
        <xdr:cNvPr id="948" name="AutoShape 12">
          <a:extLst>
            <a:ext uri="{FF2B5EF4-FFF2-40B4-BE49-F238E27FC236}">
              <a16:creationId xmlns:a16="http://schemas.microsoft.com/office/drawing/2014/main" id="{35AE92C8-A980-4498-8868-1A690852C93D}"/>
            </a:ext>
          </a:extLst>
        </xdr:cNvPr>
        <xdr:cNvSpPr>
          <a:spLocks noChangeAspect="1" noChangeArrowheads="1"/>
        </xdr:cNvSpPr>
      </xdr:nvSpPr>
      <xdr:spPr bwMode="auto">
        <a:xfrm>
          <a:off x="3803650" y="1012825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343</xdr:row>
      <xdr:rowOff>0</xdr:rowOff>
    </xdr:from>
    <xdr:ext cx="304800" cy="304094"/>
    <xdr:sp macro="" textlink="">
      <xdr:nvSpPr>
        <xdr:cNvPr id="949" name="AutoShape 12">
          <a:extLst>
            <a:ext uri="{FF2B5EF4-FFF2-40B4-BE49-F238E27FC236}">
              <a16:creationId xmlns:a16="http://schemas.microsoft.com/office/drawing/2014/main" id="{90BC45F9-9B2C-4F2E-99A7-F8A7200D16F8}"/>
            </a:ext>
          </a:extLst>
        </xdr:cNvPr>
        <xdr:cNvSpPr>
          <a:spLocks noChangeAspect="1" noChangeArrowheads="1"/>
        </xdr:cNvSpPr>
      </xdr:nvSpPr>
      <xdr:spPr bwMode="auto">
        <a:xfrm>
          <a:off x="3803650" y="1014666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332</xdr:row>
      <xdr:rowOff>0</xdr:rowOff>
    </xdr:from>
    <xdr:ext cx="304800" cy="304094"/>
    <xdr:sp macro="" textlink="">
      <xdr:nvSpPr>
        <xdr:cNvPr id="950" name="AutoShape 12">
          <a:extLst>
            <a:ext uri="{FF2B5EF4-FFF2-40B4-BE49-F238E27FC236}">
              <a16:creationId xmlns:a16="http://schemas.microsoft.com/office/drawing/2014/main" id="{CA747987-827A-4E6E-89C4-9C94B8CC3C4C}"/>
            </a:ext>
          </a:extLst>
        </xdr:cNvPr>
        <xdr:cNvSpPr>
          <a:spLocks noChangeAspect="1" noChangeArrowheads="1"/>
        </xdr:cNvSpPr>
      </xdr:nvSpPr>
      <xdr:spPr bwMode="auto">
        <a:xfrm>
          <a:off x="3803650" y="994410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333</xdr:row>
      <xdr:rowOff>0</xdr:rowOff>
    </xdr:from>
    <xdr:ext cx="304800" cy="304094"/>
    <xdr:sp macro="" textlink="">
      <xdr:nvSpPr>
        <xdr:cNvPr id="951" name="AutoShape 12">
          <a:extLst>
            <a:ext uri="{FF2B5EF4-FFF2-40B4-BE49-F238E27FC236}">
              <a16:creationId xmlns:a16="http://schemas.microsoft.com/office/drawing/2014/main" id="{4F41097F-6619-4E03-B8D3-B5AAC833042A}"/>
            </a:ext>
          </a:extLst>
        </xdr:cNvPr>
        <xdr:cNvSpPr>
          <a:spLocks noChangeAspect="1" noChangeArrowheads="1"/>
        </xdr:cNvSpPr>
      </xdr:nvSpPr>
      <xdr:spPr bwMode="auto">
        <a:xfrm>
          <a:off x="3803650" y="99625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343</xdr:row>
      <xdr:rowOff>0</xdr:rowOff>
    </xdr:from>
    <xdr:ext cx="304800" cy="304094"/>
    <xdr:sp macro="" textlink="">
      <xdr:nvSpPr>
        <xdr:cNvPr id="952" name="AutoShape 12">
          <a:extLst>
            <a:ext uri="{FF2B5EF4-FFF2-40B4-BE49-F238E27FC236}">
              <a16:creationId xmlns:a16="http://schemas.microsoft.com/office/drawing/2014/main" id="{C581E0A8-251C-4D4C-921D-77EBBB0A0F17}"/>
            </a:ext>
          </a:extLst>
        </xdr:cNvPr>
        <xdr:cNvSpPr>
          <a:spLocks noChangeAspect="1" noChangeArrowheads="1"/>
        </xdr:cNvSpPr>
      </xdr:nvSpPr>
      <xdr:spPr bwMode="auto">
        <a:xfrm>
          <a:off x="3803650" y="1014666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344</xdr:row>
      <xdr:rowOff>0</xdr:rowOff>
    </xdr:from>
    <xdr:ext cx="304800" cy="304094"/>
    <xdr:sp macro="" textlink="">
      <xdr:nvSpPr>
        <xdr:cNvPr id="953" name="AutoShape 12">
          <a:extLst>
            <a:ext uri="{FF2B5EF4-FFF2-40B4-BE49-F238E27FC236}">
              <a16:creationId xmlns:a16="http://schemas.microsoft.com/office/drawing/2014/main" id="{959BD258-9F83-44EB-A401-B22B52AFA0EB}"/>
            </a:ext>
          </a:extLst>
        </xdr:cNvPr>
        <xdr:cNvSpPr>
          <a:spLocks noChangeAspect="1" noChangeArrowheads="1"/>
        </xdr:cNvSpPr>
      </xdr:nvSpPr>
      <xdr:spPr bwMode="auto">
        <a:xfrm>
          <a:off x="3803650" y="1016508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374</xdr:row>
      <xdr:rowOff>0</xdr:rowOff>
    </xdr:from>
    <xdr:ext cx="304800" cy="304094"/>
    <xdr:sp macro="" textlink="">
      <xdr:nvSpPr>
        <xdr:cNvPr id="954" name="AutoShape 12">
          <a:extLst>
            <a:ext uri="{FF2B5EF4-FFF2-40B4-BE49-F238E27FC236}">
              <a16:creationId xmlns:a16="http://schemas.microsoft.com/office/drawing/2014/main" id="{C3E8DF14-1F98-449D-8C11-1191E3D47641}"/>
            </a:ext>
          </a:extLst>
        </xdr:cNvPr>
        <xdr:cNvSpPr>
          <a:spLocks noChangeAspect="1" noChangeArrowheads="1"/>
        </xdr:cNvSpPr>
      </xdr:nvSpPr>
      <xdr:spPr bwMode="auto">
        <a:xfrm>
          <a:off x="3803650" y="1071753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376</xdr:row>
      <xdr:rowOff>0</xdr:rowOff>
    </xdr:from>
    <xdr:ext cx="304800" cy="304094"/>
    <xdr:sp macro="" textlink="">
      <xdr:nvSpPr>
        <xdr:cNvPr id="955" name="AutoShape 12">
          <a:extLst>
            <a:ext uri="{FF2B5EF4-FFF2-40B4-BE49-F238E27FC236}">
              <a16:creationId xmlns:a16="http://schemas.microsoft.com/office/drawing/2014/main" id="{33FEBD81-3ECE-404B-AC56-2B724C71C30B}"/>
            </a:ext>
          </a:extLst>
        </xdr:cNvPr>
        <xdr:cNvSpPr>
          <a:spLocks noChangeAspect="1" noChangeArrowheads="1"/>
        </xdr:cNvSpPr>
      </xdr:nvSpPr>
      <xdr:spPr bwMode="auto">
        <a:xfrm>
          <a:off x="3803650" y="1075436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386</xdr:row>
      <xdr:rowOff>0</xdr:rowOff>
    </xdr:from>
    <xdr:ext cx="304800" cy="304094"/>
    <xdr:sp macro="" textlink="">
      <xdr:nvSpPr>
        <xdr:cNvPr id="956" name="AutoShape 12">
          <a:extLst>
            <a:ext uri="{FF2B5EF4-FFF2-40B4-BE49-F238E27FC236}">
              <a16:creationId xmlns:a16="http://schemas.microsoft.com/office/drawing/2014/main" id="{7ADAD0D5-CB72-410F-AE2B-B22F36F3C0C5}"/>
            </a:ext>
          </a:extLst>
        </xdr:cNvPr>
        <xdr:cNvSpPr>
          <a:spLocks noChangeAspect="1" noChangeArrowheads="1"/>
        </xdr:cNvSpPr>
      </xdr:nvSpPr>
      <xdr:spPr bwMode="auto">
        <a:xfrm>
          <a:off x="3803650" y="1093851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387</xdr:row>
      <xdr:rowOff>0</xdr:rowOff>
    </xdr:from>
    <xdr:ext cx="304800" cy="304094"/>
    <xdr:sp macro="" textlink="">
      <xdr:nvSpPr>
        <xdr:cNvPr id="957" name="AutoShape 12">
          <a:extLst>
            <a:ext uri="{FF2B5EF4-FFF2-40B4-BE49-F238E27FC236}">
              <a16:creationId xmlns:a16="http://schemas.microsoft.com/office/drawing/2014/main" id="{237779CD-B54F-4AFE-AB71-BEBEA0532537}"/>
            </a:ext>
          </a:extLst>
        </xdr:cNvPr>
        <xdr:cNvSpPr>
          <a:spLocks noChangeAspect="1" noChangeArrowheads="1"/>
        </xdr:cNvSpPr>
      </xdr:nvSpPr>
      <xdr:spPr bwMode="auto">
        <a:xfrm>
          <a:off x="3803650" y="1095692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376</xdr:row>
      <xdr:rowOff>0</xdr:rowOff>
    </xdr:from>
    <xdr:ext cx="304800" cy="304094"/>
    <xdr:sp macro="" textlink="">
      <xdr:nvSpPr>
        <xdr:cNvPr id="958" name="AutoShape 12">
          <a:extLst>
            <a:ext uri="{FF2B5EF4-FFF2-40B4-BE49-F238E27FC236}">
              <a16:creationId xmlns:a16="http://schemas.microsoft.com/office/drawing/2014/main" id="{4768742D-C01A-4037-A4EF-555B4A3A6E9D}"/>
            </a:ext>
          </a:extLst>
        </xdr:cNvPr>
        <xdr:cNvSpPr>
          <a:spLocks noChangeAspect="1" noChangeArrowheads="1"/>
        </xdr:cNvSpPr>
      </xdr:nvSpPr>
      <xdr:spPr bwMode="auto">
        <a:xfrm>
          <a:off x="3803650" y="1075436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377</xdr:row>
      <xdr:rowOff>0</xdr:rowOff>
    </xdr:from>
    <xdr:ext cx="304800" cy="304094"/>
    <xdr:sp macro="" textlink="">
      <xdr:nvSpPr>
        <xdr:cNvPr id="959" name="AutoShape 12">
          <a:extLst>
            <a:ext uri="{FF2B5EF4-FFF2-40B4-BE49-F238E27FC236}">
              <a16:creationId xmlns:a16="http://schemas.microsoft.com/office/drawing/2014/main" id="{DB27D3A2-9E19-4C4B-B723-64028148B0EA}"/>
            </a:ext>
          </a:extLst>
        </xdr:cNvPr>
        <xdr:cNvSpPr>
          <a:spLocks noChangeAspect="1" noChangeArrowheads="1"/>
        </xdr:cNvSpPr>
      </xdr:nvSpPr>
      <xdr:spPr bwMode="auto">
        <a:xfrm>
          <a:off x="3803650" y="107727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387</xdr:row>
      <xdr:rowOff>0</xdr:rowOff>
    </xdr:from>
    <xdr:ext cx="304800" cy="304094"/>
    <xdr:sp macro="" textlink="">
      <xdr:nvSpPr>
        <xdr:cNvPr id="960" name="AutoShape 12">
          <a:extLst>
            <a:ext uri="{FF2B5EF4-FFF2-40B4-BE49-F238E27FC236}">
              <a16:creationId xmlns:a16="http://schemas.microsoft.com/office/drawing/2014/main" id="{AD8356E0-2114-4071-B56B-D18AC1AD669D}"/>
            </a:ext>
          </a:extLst>
        </xdr:cNvPr>
        <xdr:cNvSpPr>
          <a:spLocks noChangeAspect="1" noChangeArrowheads="1"/>
        </xdr:cNvSpPr>
      </xdr:nvSpPr>
      <xdr:spPr bwMode="auto">
        <a:xfrm>
          <a:off x="3803650" y="1095692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388</xdr:row>
      <xdr:rowOff>0</xdr:rowOff>
    </xdr:from>
    <xdr:ext cx="304800" cy="304094"/>
    <xdr:sp macro="" textlink="">
      <xdr:nvSpPr>
        <xdr:cNvPr id="961" name="AutoShape 12">
          <a:extLst>
            <a:ext uri="{FF2B5EF4-FFF2-40B4-BE49-F238E27FC236}">
              <a16:creationId xmlns:a16="http://schemas.microsoft.com/office/drawing/2014/main" id="{0D139835-136C-40F7-97A4-7C7C154C02B9}"/>
            </a:ext>
          </a:extLst>
        </xdr:cNvPr>
        <xdr:cNvSpPr>
          <a:spLocks noChangeAspect="1" noChangeArrowheads="1"/>
        </xdr:cNvSpPr>
      </xdr:nvSpPr>
      <xdr:spPr bwMode="auto">
        <a:xfrm>
          <a:off x="3803650" y="1097534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376</xdr:row>
      <xdr:rowOff>0</xdr:rowOff>
    </xdr:from>
    <xdr:ext cx="304800" cy="304094"/>
    <xdr:sp macro="" textlink="">
      <xdr:nvSpPr>
        <xdr:cNvPr id="962" name="AutoShape 12">
          <a:extLst>
            <a:ext uri="{FF2B5EF4-FFF2-40B4-BE49-F238E27FC236}">
              <a16:creationId xmlns:a16="http://schemas.microsoft.com/office/drawing/2014/main" id="{62A7F762-A47A-41E7-AD6F-DF699502F054}"/>
            </a:ext>
          </a:extLst>
        </xdr:cNvPr>
        <xdr:cNvSpPr>
          <a:spLocks noChangeAspect="1" noChangeArrowheads="1"/>
        </xdr:cNvSpPr>
      </xdr:nvSpPr>
      <xdr:spPr bwMode="auto">
        <a:xfrm>
          <a:off x="3803650" y="1075436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377</xdr:row>
      <xdr:rowOff>0</xdr:rowOff>
    </xdr:from>
    <xdr:ext cx="304800" cy="304094"/>
    <xdr:sp macro="" textlink="">
      <xdr:nvSpPr>
        <xdr:cNvPr id="963" name="AutoShape 12">
          <a:extLst>
            <a:ext uri="{FF2B5EF4-FFF2-40B4-BE49-F238E27FC236}">
              <a16:creationId xmlns:a16="http://schemas.microsoft.com/office/drawing/2014/main" id="{5E07FB48-3D64-4547-BA2A-0DD42801B10B}"/>
            </a:ext>
          </a:extLst>
        </xdr:cNvPr>
        <xdr:cNvSpPr>
          <a:spLocks noChangeAspect="1" noChangeArrowheads="1"/>
        </xdr:cNvSpPr>
      </xdr:nvSpPr>
      <xdr:spPr bwMode="auto">
        <a:xfrm>
          <a:off x="3803650" y="107727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387</xdr:row>
      <xdr:rowOff>0</xdr:rowOff>
    </xdr:from>
    <xdr:ext cx="304800" cy="304094"/>
    <xdr:sp macro="" textlink="">
      <xdr:nvSpPr>
        <xdr:cNvPr id="964" name="AutoShape 12">
          <a:extLst>
            <a:ext uri="{FF2B5EF4-FFF2-40B4-BE49-F238E27FC236}">
              <a16:creationId xmlns:a16="http://schemas.microsoft.com/office/drawing/2014/main" id="{F9E259AA-547A-4E96-8508-FE5016B3B17F}"/>
            </a:ext>
          </a:extLst>
        </xdr:cNvPr>
        <xdr:cNvSpPr>
          <a:spLocks noChangeAspect="1" noChangeArrowheads="1"/>
        </xdr:cNvSpPr>
      </xdr:nvSpPr>
      <xdr:spPr bwMode="auto">
        <a:xfrm>
          <a:off x="3803650" y="1095692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388</xdr:row>
      <xdr:rowOff>0</xdr:rowOff>
    </xdr:from>
    <xdr:ext cx="304800" cy="304094"/>
    <xdr:sp macro="" textlink="">
      <xdr:nvSpPr>
        <xdr:cNvPr id="965" name="AutoShape 12">
          <a:extLst>
            <a:ext uri="{FF2B5EF4-FFF2-40B4-BE49-F238E27FC236}">
              <a16:creationId xmlns:a16="http://schemas.microsoft.com/office/drawing/2014/main" id="{927F9E02-33D3-44C8-98EF-EEEBDC0AB931}"/>
            </a:ext>
          </a:extLst>
        </xdr:cNvPr>
        <xdr:cNvSpPr>
          <a:spLocks noChangeAspect="1" noChangeArrowheads="1"/>
        </xdr:cNvSpPr>
      </xdr:nvSpPr>
      <xdr:spPr bwMode="auto">
        <a:xfrm>
          <a:off x="3803650" y="1097534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377</xdr:row>
      <xdr:rowOff>0</xdr:rowOff>
    </xdr:from>
    <xdr:ext cx="304800" cy="304094"/>
    <xdr:sp macro="" textlink="">
      <xdr:nvSpPr>
        <xdr:cNvPr id="966" name="AutoShape 12">
          <a:extLst>
            <a:ext uri="{FF2B5EF4-FFF2-40B4-BE49-F238E27FC236}">
              <a16:creationId xmlns:a16="http://schemas.microsoft.com/office/drawing/2014/main" id="{1B2E0095-9844-47E3-B7BD-E8F91095AE83}"/>
            </a:ext>
          </a:extLst>
        </xdr:cNvPr>
        <xdr:cNvSpPr>
          <a:spLocks noChangeAspect="1" noChangeArrowheads="1"/>
        </xdr:cNvSpPr>
      </xdr:nvSpPr>
      <xdr:spPr bwMode="auto">
        <a:xfrm>
          <a:off x="3803650" y="107727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378</xdr:row>
      <xdr:rowOff>0</xdr:rowOff>
    </xdr:from>
    <xdr:ext cx="304800" cy="304094"/>
    <xdr:sp macro="" textlink="">
      <xdr:nvSpPr>
        <xdr:cNvPr id="967" name="AutoShape 12">
          <a:extLst>
            <a:ext uri="{FF2B5EF4-FFF2-40B4-BE49-F238E27FC236}">
              <a16:creationId xmlns:a16="http://schemas.microsoft.com/office/drawing/2014/main" id="{6130EF24-913B-4331-82BB-1AFF3E445F2E}"/>
            </a:ext>
          </a:extLst>
        </xdr:cNvPr>
        <xdr:cNvSpPr>
          <a:spLocks noChangeAspect="1" noChangeArrowheads="1"/>
        </xdr:cNvSpPr>
      </xdr:nvSpPr>
      <xdr:spPr bwMode="auto">
        <a:xfrm>
          <a:off x="3803650" y="1079119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388</xdr:row>
      <xdr:rowOff>0</xdr:rowOff>
    </xdr:from>
    <xdr:ext cx="304800" cy="304094"/>
    <xdr:sp macro="" textlink="">
      <xdr:nvSpPr>
        <xdr:cNvPr id="968" name="AutoShape 12">
          <a:extLst>
            <a:ext uri="{FF2B5EF4-FFF2-40B4-BE49-F238E27FC236}">
              <a16:creationId xmlns:a16="http://schemas.microsoft.com/office/drawing/2014/main" id="{25C07C25-2F63-4CC9-8588-3F52029E3C0F}"/>
            </a:ext>
          </a:extLst>
        </xdr:cNvPr>
        <xdr:cNvSpPr>
          <a:spLocks noChangeAspect="1" noChangeArrowheads="1"/>
        </xdr:cNvSpPr>
      </xdr:nvSpPr>
      <xdr:spPr bwMode="auto">
        <a:xfrm>
          <a:off x="3803650" y="1097534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378</xdr:row>
      <xdr:rowOff>0</xdr:rowOff>
    </xdr:from>
    <xdr:ext cx="304800" cy="304094"/>
    <xdr:sp macro="" textlink="">
      <xdr:nvSpPr>
        <xdr:cNvPr id="969" name="AutoShape 12">
          <a:extLst>
            <a:ext uri="{FF2B5EF4-FFF2-40B4-BE49-F238E27FC236}">
              <a16:creationId xmlns:a16="http://schemas.microsoft.com/office/drawing/2014/main" id="{490F705B-DA35-4423-B27C-3FB666428A8E}"/>
            </a:ext>
          </a:extLst>
        </xdr:cNvPr>
        <xdr:cNvSpPr>
          <a:spLocks noChangeAspect="1" noChangeArrowheads="1"/>
        </xdr:cNvSpPr>
      </xdr:nvSpPr>
      <xdr:spPr bwMode="auto">
        <a:xfrm>
          <a:off x="3803650" y="1079119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379</xdr:row>
      <xdr:rowOff>0</xdr:rowOff>
    </xdr:from>
    <xdr:ext cx="304800" cy="304094"/>
    <xdr:sp macro="" textlink="">
      <xdr:nvSpPr>
        <xdr:cNvPr id="970" name="AutoShape 12">
          <a:extLst>
            <a:ext uri="{FF2B5EF4-FFF2-40B4-BE49-F238E27FC236}">
              <a16:creationId xmlns:a16="http://schemas.microsoft.com/office/drawing/2014/main" id="{A82D5479-19C2-449D-BE73-164F6146E361}"/>
            </a:ext>
          </a:extLst>
        </xdr:cNvPr>
        <xdr:cNvSpPr>
          <a:spLocks noChangeAspect="1" noChangeArrowheads="1"/>
        </xdr:cNvSpPr>
      </xdr:nvSpPr>
      <xdr:spPr bwMode="auto">
        <a:xfrm>
          <a:off x="3803650" y="1080960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379</xdr:row>
      <xdr:rowOff>0</xdr:rowOff>
    </xdr:from>
    <xdr:ext cx="304800" cy="304094"/>
    <xdr:sp macro="" textlink="">
      <xdr:nvSpPr>
        <xdr:cNvPr id="971" name="AutoShape 12">
          <a:extLst>
            <a:ext uri="{FF2B5EF4-FFF2-40B4-BE49-F238E27FC236}">
              <a16:creationId xmlns:a16="http://schemas.microsoft.com/office/drawing/2014/main" id="{25024597-48FB-4B49-9D83-420BA2A3B254}"/>
            </a:ext>
          </a:extLst>
        </xdr:cNvPr>
        <xdr:cNvSpPr>
          <a:spLocks noChangeAspect="1" noChangeArrowheads="1"/>
        </xdr:cNvSpPr>
      </xdr:nvSpPr>
      <xdr:spPr bwMode="auto">
        <a:xfrm>
          <a:off x="3803650" y="1080960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380</xdr:row>
      <xdr:rowOff>0</xdr:rowOff>
    </xdr:from>
    <xdr:ext cx="304800" cy="304094"/>
    <xdr:sp macro="" textlink="">
      <xdr:nvSpPr>
        <xdr:cNvPr id="972" name="AutoShape 12">
          <a:extLst>
            <a:ext uri="{FF2B5EF4-FFF2-40B4-BE49-F238E27FC236}">
              <a16:creationId xmlns:a16="http://schemas.microsoft.com/office/drawing/2014/main" id="{974EF161-40F4-4B03-A059-4CE5492319D0}"/>
            </a:ext>
          </a:extLst>
        </xdr:cNvPr>
        <xdr:cNvSpPr>
          <a:spLocks noChangeAspect="1" noChangeArrowheads="1"/>
        </xdr:cNvSpPr>
      </xdr:nvSpPr>
      <xdr:spPr bwMode="auto">
        <a:xfrm>
          <a:off x="3803650" y="1082802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379</xdr:row>
      <xdr:rowOff>0</xdr:rowOff>
    </xdr:from>
    <xdr:ext cx="304800" cy="304094"/>
    <xdr:sp macro="" textlink="">
      <xdr:nvSpPr>
        <xdr:cNvPr id="973" name="AutoShape 12">
          <a:extLst>
            <a:ext uri="{FF2B5EF4-FFF2-40B4-BE49-F238E27FC236}">
              <a16:creationId xmlns:a16="http://schemas.microsoft.com/office/drawing/2014/main" id="{F7785846-BF28-4F76-B73A-355A33200F2B}"/>
            </a:ext>
          </a:extLst>
        </xdr:cNvPr>
        <xdr:cNvSpPr>
          <a:spLocks noChangeAspect="1" noChangeArrowheads="1"/>
        </xdr:cNvSpPr>
      </xdr:nvSpPr>
      <xdr:spPr bwMode="auto">
        <a:xfrm>
          <a:off x="3803650" y="1080960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380</xdr:row>
      <xdr:rowOff>0</xdr:rowOff>
    </xdr:from>
    <xdr:ext cx="304800" cy="304094"/>
    <xdr:sp macro="" textlink="">
      <xdr:nvSpPr>
        <xdr:cNvPr id="974" name="AutoShape 12">
          <a:extLst>
            <a:ext uri="{FF2B5EF4-FFF2-40B4-BE49-F238E27FC236}">
              <a16:creationId xmlns:a16="http://schemas.microsoft.com/office/drawing/2014/main" id="{52E65CA7-FF83-4F7E-A2F1-D81B05C7A507}"/>
            </a:ext>
          </a:extLst>
        </xdr:cNvPr>
        <xdr:cNvSpPr>
          <a:spLocks noChangeAspect="1" noChangeArrowheads="1"/>
        </xdr:cNvSpPr>
      </xdr:nvSpPr>
      <xdr:spPr bwMode="auto">
        <a:xfrm>
          <a:off x="3803650" y="1082802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380</xdr:row>
      <xdr:rowOff>0</xdr:rowOff>
    </xdr:from>
    <xdr:ext cx="304800" cy="304094"/>
    <xdr:sp macro="" textlink="">
      <xdr:nvSpPr>
        <xdr:cNvPr id="975" name="AutoShape 12">
          <a:extLst>
            <a:ext uri="{FF2B5EF4-FFF2-40B4-BE49-F238E27FC236}">
              <a16:creationId xmlns:a16="http://schemas.microsoft.com/office/drawing/2014/main" id="{8DFEBAD4-1843-4F51-A2F2-66CAB941AA91}"/>
            </a:ext>
          </a:extLst>
        </xdr:cNvPr>
        <xdr:cNvSpPr>
          <a:spLocks noChangeAspect="1" noChangeArrowheads="1"/>
        </xdr:cNvSpPr>
      </xdr:nvSpPr>
      <xdr:spPr bwMode="auto">
        <a:xfrm>
          <a:off x="3803650" y="1082802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381</xdr:row>
      <xdr:rowOff>0</xdr:rowOff>
    </xdr:from>
    <xdr:ext cx="304800" cy="304094"/>
    <xdr:sp macro="" textlink="">
      <xdr:nvSpPr>
        <xdr:cNvPr id="976" name="AutoShape 12">
          <a:extLst>
            <a:ext uri="{FF2B5EF4-FFF2-40B4-BE49-F238E27FC236}">
              <a16:creationId xmlns:a16="http://schemas.microsoft.com/office/drawing/2014/main" id="{9FAAF90E-A62F-4838-8D94-BDE8D1156691}"/>
            </a:ext>
          </a:extLst>
        </xdr:cNvPr>
        <xdr:cNvSpPr>
          <a:spLocks noChangeAspect="1" noChangeArrowheads="1"/>
        </xdr:cNvSpPr>
      </xdr:nvSpPr>
      <xdr:spPr bwMode="auto">
        <a:xfrm>
          <a:off x="3803650" y="1084643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298</xdr:row>
      <xdr:rowOff>0</xdr:rowOff>
    </xdr:from>
    <xdr:ext cx="304800" cy="304094"/>
    <xdr:sp macro="" textlink="">
      <xdr:nvSpPr>
        <xdr:cNvPr id="977" name="AutoShape 12">
          <a:extLst>
            <a:ext uri="{FF2B5EF4-FFF2-40B4-BE49-F238E27FC236}">
              <a16:creationId xmlns:a16="http://schemas.microsoft.com/office/drawing/2014/main" id="{1F960876-D888-4B64-A6D1-86EE59E3C045}"/>
            </a:ext>
          </a:extLst>
        </xdr:cNvPr>
        <xdr:cNvSpPr>
          <a:spLocks noChangeAspect="1" noChangeArrowheads="1"/>
        </xdr:cNvSpPr>
      </xdr:nvSpPr>
      <xdr:spPr bwMode="auto">
        <a:xfrm>
          <a:off x="3803650" y="931799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299</xdr:row>
      <xdr:rowOff>0</xdr:rowOff>
    </xdr:from>
    <xdr:ext cx="304800" cy="304094"/>
    <xdr:sp macro="" textlink="">
      <xdr:nvSpPr>
        <xdr:cNvPr id="978" name="AutoShape 12">
          <a:extLst>
            <a:ext uri="{FF2B5EF4-FFF2-40B4-BE49-F238E27FC236}">
              <a16:creationId xmlns:a16="http://schemas.microsoft.com/office/drawing/2014/main" id="{6018171E-D156-48ED-AFF5-294C07299E4C}"/>
            </a:ext>
          </a:extLst>
        </xdr:cNvPr>
        <xdr:cNvSpPr>
          <a:spLocks noChangeAspect="1" noChangeArrowheads="1"/>
        </xdr:cNvSpPr>
      </xdr:nvSpPr>
      <xdr:spPr bwMode="auto">
        <a:xfrm>
          <a:off x="3803650" y="933640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309</xdr:row>
      <xdr:rowOff>0</xdr:rowOff>
    </xdr:from>
    <xdr:ext cx="304800" cy="304094"/>
    <xdr:sp macro="" textlink="">
      <xdr:nvSpPr>
        <xdr:cNvPr id="979" name="AutoShape 12">
          <a:extLst>
            <a:ext uri="{FF2B5EF4-FFF2-40B4-BE49-F238E27FC236}">
              <a16:creationId xmlns:a16="http://schemas.microsoft.com/office/drawing/2014/main" id="{0CB00B5D-2F18-4E13-90F4-55E4A5598CF0}"/>
            </a:ext>
          </a:extLst>
        </xdr:cNvPr>
        <xdr:cNvSpPr>
          <a:spLocks noChangeAspect="1" noChangeArrowheads="1"/>
        </xdr:cNvSpPr>
      </xdr:nvSpPr>
      <xdr:spPr bwMode="auto">
        <a:xfrm>
          <a:off x="3803650" y="952055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310</xdr:row>
      <xdr:rowOff>0</xdr:rowOff>
    </xdr:from>
    <xdr:ext cx="304800" cy="304094"/>
    <xdr:sp macro="" textlink="">
      <xdr:nvSpPr>
        <xdr:cNvPr id="980" name="AutoShape 12">
          <a:extLst>
            <a:ext uri="{FF2B5EF4-FFF2-40B4-BE49-F238E27FC236}">
              <a16:creationId xmlns:a16="http://schemas.microsoft.com/office/drawing/2014/main" id="{4DD96481-0FC6-4BB1-9124-ACABF0587427}"/>
            </a:ext>
          </a:extLst>
        </xdr:cNvPr>
        <xdr:cNvSpPr>
          <a:spLocks noChangeAspect="1" noChangeArrowheads="1"/>
        </xdr:cNvSpPr>
      </xdr:nvSpPr>
      <xdr:spPr bwMode="auto">
        <a:xfrm>
          <a:off x="3803650" y="953897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299</xdr:row>
      <xdr:rowOff>0</xdr:rowOff>
    </xdr:from>
    <xdr:ext cx="304800" cy="304094"/>
    <xdr:sp macro="" textlink="">
      <xdr:nvSpPr>
        <xdr:cNvPr id="981" name="AutoShape 12">
          <a:extLst>
            <a:ext uri="{FF2B5EF4-FFF2-40B4-BE49-F238E27FC236}">
              <a16:creationId xmlns:a16="http://schemas.microsoft.com/office/drawing/2014/main" id="{AC521B3B-4B04-4F7C-8CCE-67E7E5665A27}"/>
            </a:ext>
          </a:extLst>
        </xdr:cNvPr>
        <xdr:cNvSpPr>
          <a:spLocks noChangeAspect="1" noChangeArrowheads="1"/>
        </xdr:cNvSpPr>
      </xdr:nvSpPr>
      <xdr:spPr bwMode="auto">
        <a:xfrm>
          <a:off x="3803650" y="933640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300</xdr:row>
      <xdr:rowOff>0</xdr:rowOff>
    </xdr:from>
    <xdr:ext cx="304800" cy="304094"/>
    <xdr:sp macro="" textlink="">
      <xdr:nvSpPr>
        <xdr:cNvPr id="982" name="AutoShape 12">
          <a:extLst>
            <a:ext uri="{FF2B5EF4-FFF2-40B4-BE49-F238E27FC236}">
              <a16:creationId xmlns:a16="http://schemas.microsoft.com/office/drawing/2014/main" id="{8836DEB6-5FEF-4B1A-8FFE-FD1975FBA4DF}"/>
            </a:ext>
          </a:extLst>
        </xdr:cNvPr>
        <xdr:cNvSpPr>
          <a:spLocks noChangeAspect="1" noChangeArrowheads="1"/>
        </xdr:cNvSpPr>
      </xdr:nvSpPr>
      <xdr:spPr bwMode="auto">
        <a:xfrm>
          <a:off x="3803650" y="935482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310</xdr:row>
      <xdr:rowOff>0</xdr:rowOff>
    </xdr:from>
    <xdr:ext cx="304800" cy="304094"/>
    <xdr:sp macro="" textlink="">
      <xdr:nvSpPr>
        <xdr:cNvPr id="983" name="AutoShape 12">
          <a:extLst>
            <a:ext uri="{FF2B5EF4-FFF2-40B4-BE49-F238E27FC236}">
              <a16:creationId xmlns:a16="http://schemas.microsoft.com/office/drawing/2014/main" id="{F930BF93-4BFB-4BCC-82C4-978B9D36D844}"/>
            </a:ext>
          </a:extLst>
        </xdr:cNvPr>
        <xdr:cNvSpPr>
          <a:spLocks noChangeAspect="1" noChangeArrowheads="1"/>
        </xdr:cNvSpPr>
      </xdr:nvSpPr>
      <xdr:spPr bwMode="auto">
        <a:xfrm>
          <a:off x="3803650" y="953897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311</xdr:row>
      <xdr:rowOff>0</xdr:rowOff>
    </xdr:from>
    <xdr:ext cx="304800" cy="304094"/>
    <xdr:sp macro="" textlink="">
      <xdr:nvSpPr>
        <xdr:cNvPr id="984" name="AutoShape 12">
          <a:extLst>
            <a:ext uri="{FF2B5EF4-FFF2-40B4-BE49-F238E27FC236}">
              <a16:creationId xmlns:a16="http://schemas.microsoft.com/office/drawing/2014/main" id="{623035F1-E0F0-40C2-AE99-FCD322EE7934}"/>
            </a:ext>
          </a:extLst>
        </xdr:cNvPr>
        <xdr:cNvSpPr>
          <a:spLocks noChangeAspect="1" noChangeArrowheads="1"/>
        </xdr:cNvSpPr>
      </xdr:nvSpPr>
      <xdr:spPr bwMode="auto">
        <a:xfrm>
          <a:off x="3803650" y="955738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367</xdr:row>
      <xdr:rowOff>0</xdr:rowOff>
    </xdr:from>
    <xdr:ext cx="304800" cy="304094"/>
    <xdr:sp macro="" textlink="">
      <xdr:nvSpPr>
        <xdr:cNvPr id="985" name="AutoShape 12">
          <a:extLst>
            <a:ext uri="{FF2B5EF4-FFF2-40B4-BE49-F238E27FC236}">
              <a16:creationId xmlns:a16="http://schemas.microsoft.com/office/drawing/2014/main" id="{BD8EE979-BA92-4FD3-9E89-C4200E6C417A}"/>
            </a:ext>
          </a:extLst>
        </xdr:cNvPr>
        <xdr:cNvSpPr>
          <a:spLocks noChangeAspect="1" noChangeArrowheads="1"/>
        </xdr:cNvSpPr>
      </xdr:nvSpPr>
      <xdr:spPr bwMode="auto">
        <a:xfrm>
          <a:off x="3803650" y="1058862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368</xdr:row>
      <xdr:rowOff>0</xdr:rowOff>
    </xdr:from>
    <xdr:ext cx="304800" cy="304094"/>
    <xdr:sp macro="" textlink="">
      <xdr:nvSpPr>
        <xdr:cNvPr id="986" name="AutoShape 12">
          <a:extLst>
            <a:ext uri="{FF2B5EF4-FFF2-40B4-BE49-F238E27FC236}">
              <a16:creationId xmlns:a16="http://schemas.microsoft.com/office/drawing/2014/main" id="{3FFFD49C-0D12-4A5B-9603-F915D463FC8B}"/>
            </a:ext>
          </a:extLst>
        </xdr:cNvPr>
        <xdr:cNvSpPr>
          <a:spLocks noChangeAspect="1" noChangeArrowheads="1"/>
        </xdr:cNvSpPr>
      </xdr:nvSpPr>
      <xdr:spPr bwMode="auto">
        <a:xfrm>
          <a:off x="3803650" y="1060704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379</xdr:row>
      <xdr:rowOff>0</xdr:rowOff>
    </xdr:from>
    <xdr:ext cx="304800" cy="304094"/>
    <xdr:sp macro="" textlink="">
      <xdr:nvSpPr>
        <xdr:cNvPr id="987" name="AutoShape 12">
          <a:extLst>
            <a:ext uri="{FF2B5EF4-FFF2-40B4-BE49-F238E27FC236}">
              <a16:creationId xmlns:a16="http://schemas.microsoft.com/office/drawing/2014/main" id="{D2209FA6-78A4-4985-8C72-BE642F1B98F3}"/>
            </a:ext>
          </a:extLst>
        </xdr:cNvPr>
        <xdr:cNvSpPr>
          <a:spLocks noChangeAspect="1" noChangeArrowheads="1"/>
        </xdr:cNvSpPr>
      </xdr:nvSpPr>
      <xdr:spPr bwMode="auto">
        <a:xfrm>
          <a:off x="3803650" y="1080960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380</xdr:row>
      <xdr:rowOff>0</xdr:rowOff>
    </xdr:from>
    <xdr:ext cx="304800" cy="304094"/>
    <xdr:sp macro="" textlink="">
      <xdr:nvSpPr>
        <xdr:cNvPr id="988" name="AutoShape 12">
          <a:extLst>
            <a:ext uri="{FF2B5EF4-FFF2-40B4-BE49-F238E27FC236}">
              <a16:creationId xmlns:a16="http://schemas.microsoft.com/office/drawing/2014/main" id="{9C23A7F5-CFB0-4F9B-8C3D-1133FB6A136B}"/>
            </a:ext>
          </a:extLst>
        </xdr:cNvPr>
        <xdr:cNvSpPr>
          <a:spLocks noChangeAspect="1" noChangeArrowheads="1"/>
        </xdr:cNvSpPr>
      </xdr:nvSpPr>
      <xdr:spPr bwMode="auto">
        <a:xfrm>
          <a:off x="3803650" y="1082802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368</xdr:row>
      <xdr:rowOff>0</xdr:rowOff>
    </xdr:from>
    <xdr:ext cx="304800" cy="304094"/>
    <xdr:sp macro="" textlink="">
      <xdr:nvSpPr>
        <xdr:cNvPr id="989" name="AutoShape 12">
          <a:extLst>
            <a:ext uri="{FF2B5EF4-FFF2-40B4-BE49-F238E27FC236}">
              <a16:creationId xmlns:a16="http://schemas.microsoft.com/office/drawing/2014/main" id="{51B77814-7DF0-4B3D-B3F8-F1A52F3D3F4B}"/>
            </a:ext>
          </a:extLst>
        </xdr:cNvPr>
        <xdr:cNvSpPr>
          <a:spLocks noChangeAspect="1" noChangeArrowheads="1"/>
        </xdr:cNvSpPr>
      </xdr:nvSpPr>
      <xdr:spPr bwMode="auto">
        <a:xfrm>
          <a:off x="3803650" y="1060704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369</xdr:row>
      <xdr:rowOff>0</xdr:rowOff>
    </xdr:from>
    <xdr:ext cx="304800" cy="304094"/>
    <xdr:sp macro="" textlink="">
      <xdr:nvSpPr>
        <xdr:cNvPr id="990" name="AutoShape 12">
          <a:extLst>
            <a:ext uri="{FF2B5EF4-FFF2-40B4-BE49-F238E27FC236}">
              <a16:creationId xmlns:a16="http://schemas.microsoft.com/office/drawing/2014/main" id="{ADE80602-C068-484B-AE13-51910DD28292}"/>
            </a:ext>
          </a:extLst>
        </xdr:cNvPr>
        <xdr:cNvSpPr>
          <a:spLocks noChangeAspect="1" noChangeArrowheads="1"/>
        </xdr:cNvSpPr>
      </xdr:nvSpPr>
      <xdr:spPr bwMode="auto">
        <a:xfrm>
          <a:off x="3803650" y="1062545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380</xdr:row>
      <xdr:rowOff>0</xdr:rowOff>
    </xdr:from>
    <xdr:ext cx="304800" cy="304094"/>
    <xdr:sp macro="" textlink="">
      <xdr:nvSpPr>
        <xdr:cNvPr id="991" name="AutoShape 12">
          <a:extLst>
            <a:ext uri="{FF2B5EF4-FFF2-40B4-BE49-F238E27FC236}">
              <a16:creationId xmlns:a16="http://schemas.microsoft.com/office/drawing/2014/main" id="{4F81B38D-9948-44ED-AC2C-6A9099DAB9C8}"/>
            </a:ext>
          </a:extLst>
        </xdr:cNvPr>
        <xdr:cNvSpPr>
          <a:spLocks noChangeAspect="1" noChangeArrowheads="1"/>
        </xdr:cNvSpPr>
      </xdr:nvSpPr>
      <xdr:spPr bwMode="auto">
        <a:xfrm>
          <a:off x="3803650" y="1082802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381</xdr:row>
      <xdr:rowOff>0</xdr:rowOff>
    </xdr:from>
    <xdr:ext cx="304800" cy="304094"/>
    <xdr:sp macro="" textlink="">
      <xdr:nvSpPr>
        <xdr:cNvPr id="992" name="AutoShape 12">
          <a:extLst>
            <a:ext uri="{FF2B5EF4-FFF2-40B4-BE49-F238E27FC236}">
              <a16:creationId xmlns:a16="http://schemas.microsoft.com/office/drawing/2014/main" id="{253D5849-2D11-4220-A783-29C73BBCDC73}"/>
            </a:ext>
          </a:extLst>
        </xdr:cNvPr>
        <xdr:cNvSpPr>
          <a:spLocks noChangeAspect="1" noChangeArrowheads="1"/>
        </xdr:cNvSpPr>
      </xdr:nvSpPr>
      <xdr:spPr bwMode="auto">
        <a:xfrm>
          <a:off x="3803650" y="1084643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299</xdr:row>
      <xdr:rowOff>0</xdr:rowOff>
    </xdr:from>
    <xdr:ext cx="304800" cy="304094"/>
    <xdr:sp macro="" textlink="">
      <xdr:nvSpPr>
        <xdr:cNvPr id="993" name="AutoShape 12">
          <a:extLst>
            <a:ext uri="{FF2B5EF4-FFF2-40B4-BE49-F238E27FC236}">
              <a16:creationId xmlns:a16="http://schemas.microsoft.com/office/drawing/2014/main" id="{A9DBF7D7-CC2B-4964-ADE8-795794CD3EE0}"/>
            </a:ext>
          </a:extLst>
        </xdr:cNvPr>
        <xdr:cNvSpPr>
          <a:spLocks noChangeAspect="1" noChangeArrowheads="1"/>
        </xdr:cNvSpPr>
      </xdr:nvSpPr>
      <xdr:spPr bwMode="auto">
        <a:xfrm>
          <a:off x="3803650" y="933640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300</xdr:row>
      <xdr:rowOff>0</xdr:rowOff>
    </xdr:from>
    <xdr:ext cx="304800" cy="304094"/>
    <xdr:sp macro="" textlink="">
      <xdr:nvSpPr>
        <xdr:cNvPr id="994" name="AutoShape 12">
          <a:extLst>
            <a:ext uri="{FF2B5EF4-FFF2-40B4-BE49-F238E27FC236}">
              <a16:creationId xmlns:a16="http://schemas.microsoft.com/office/drawing/2014/main" id="{AA7CC87C-1587-49C8-A745-CEF807167FFE}"/>
            </a:ext>
          </a:extLst>
        </xdr:cNvPr>
        <xdr:cNvSpPr>
          <a:spLocks noChangeAspect="1" noChangeArrowheads="1"/>
        </xdr:cNvSpPr>
      </xdr:nvSpPr>
      <xdr:spPr bwMode="auto">
        <a:xfrm>
          <a:off x="3803650" y="935482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310</xdr:row>
      <xdr:rowOff>0</xdr:rowOff>
    </xdr:from>
    <xdr:ext cx="304800" cy="304094"/>
    <xdr:sp macro="" textlink="">
      <xdr:nvSpPr>
        <xdr:cNvPr id="995" name="AutoShape 12">
          <a:extLst>
            <a:ext uri="{FF2B5EF4-FFF2-40B4-BE49-F238E27FC236}">
              <a16:creationId xmlns:a16="http://schemas.microsoft.com/office/drawing/2014/main" id="{CB6F944C-A0E3-4F2C-86F8-E0DE53C88549}"/>
            </a:ext>
          </a:extLst>
        </xdr:cNvPr>
        <xdr:cNvSpPr>
          <a:spLocks noChangeAspect="1" noChangeArrowheads="1"/>
        </xdr:cNvSpPr>
      </xdr:nvSpPr>
      <xdr:spPr bwMode="auto">
        <a:xfrm>
          <a:off x="3803650" y="953897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311</xdr:row>
      <xdr:rowOff>0</xdr:rowOff>
    </xdr:from>
    <xdr:ext cx="304800" cy="304094"/>
    <xdr:sp macro="" textlink="">
      <xdr:nvSpPr>
        <xdr:cNvPr id="996" name="AutoShape 12">
          <a:extLst>
            <a:ext uri="{FF2B5EF4-FFF2-40B4-BE49-F238E27FC236}">
              <a16:creationId xmlns:a16="http://schemas.microsoft.com/office/drawing/2014/main" id="{7BBB9E97-9E59-4D65-9216-6103672248BF}"/>
            </a:ext>
          </a:extLst>
        </xdr:cNvPr>
        <xdr:cNvSpPr>
          <a:spLocks noChangeAspect="1" noChangeArrowheads="1"/>
        </xdr:cNvSpPr>
      </xdr:nvSpPr>
      <xdr:spPr bwMode="auto">
        <a:xfrm>
          <a:off x="3803650" y="955738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300</xdr:row>
      <xdr:rowOff>0</xdr:rowOff>
    </xdr:from>
    <xdr:ext cx="304800" cy="304094"/>
    <xdr:sp macro="" textlink="">
      <xdr:nvSpPr>
        <xdr:cNvPr id="997" name="AutoShape 12">
          <a:extLst>
            <a:ext uri="{FF2B5EF4-FFF2-40B4-BE49-F238E27FC236}">
              <a16:creationId xmlns:a16="http://schemas.microsoft.com/office/drawing/2014/main" id="{476B4CB7-AD93-4744-8E8A-4905BF07EA15}"/>
            </a:ext>
          </a:extLst>
        </xdr:cNvPr>
        <xdr:cNvSpPr>
          <a:spLocks noChangeAspect="1" noChangeArrowheads="1"/>
        </xdr:cNvSpPr>
      </xdr:nvSpPr>
      <xdr:spPr bwMode="auto">
        <a:xfrm>
          <a:off x="3803650" y="935482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301</xdr:row>
      <xdr:rowOff>0</xdr:rowOff>
    </xdr:from>
    <xdr:ext cx="304800" cy="304094"/>
    <xdr:sp macro="" textlink="">
      <xdr:nvSpPr>
        <xdr:cNvPr id="998" name="AutoShape 12">
          <a:extLst>
            <a:ext uri="{FF2B5EF4-FFF2-40B4-BE49-F238E27FC236}">
              <a16:creationId xmlns:a16="http://schemas.microsoft.com/office/drawing/2014/main" id="{6CBA3C7A-F2A6-4529-AA4E-C7568F23E24C}"/>
            </a:ext>
          </a:extLst>
        </xdr:cNvPr>
        <xdr:cNvSpPr>
          <a:spLocks noChangeAspect="1" noChangeArrowheads="1"/>
        </xdr:cNvSpPr>
      </xdr:nvSpPr>
      <xdr:spPr bwMode="auto">
        <a:xfrm>
          <a:off x="3803650" y="937323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311</xdr:row>
      <xdr:rowOff>0</xdr:rowOff>
    </xdr:from>
    <xdr:ext cx="304800" cy="304094"/>
    <xdr:sp macro="" textlink="">
      <xdr:nvSpPr>
        <xdr:cNvPr id="999" name="AutoShape 12">
          <a:extLst>
            <a:ext uri="{FF2B5EF4-FFF2-40B4-BE49-F238E27FC236}">
              <a16:creationId xmlns:a16="http://schemas.microsoft.com/office/drawing/2014/main" id="{9C8C0354-3908-4349-B86E-408777014FE7}"/>
            </a:ext>
          </a:extLst>
        </xdr:cNvPr>
        <xdr:cNvSpPr>
          <a:spLocks noChangeAspect="1" noChangeArrowheads="1"/>
        </xdr:cNvSpPr>
      </xdr:nvSpPr>
      <xdr:spPr bwMode="auto">
        <a:xfrm>
          <a:off x="3803650" y="955738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312</xdr:row>
      <xdr:rowOff>0</xdr:rowOff>
    </xdr:from>
    <xdr:ext cx="304800" cy="304094"/>
    <xdr:sp macro="" textlink="">
      <xdr:nvSpPr>
        <xdr:cNvPr id="1000" name="AutoShape 12">
          <a:extLst>
            <a:ext uri="{FF2B5EF4-FFF2-40B4-BE49-F238E27FC236}">
              <a16:creationId xmlns:a16="http://schemas.microsoft.com/office/drawing/2014/main" id="{46E4C68E-5770-401D-A4AE-D0981CD00451}"/>
            </a:ext>
          </a:extLst>
        </xdr:cNvPr>
        <xdr:cNvSpPr>
          <a:spLocks noChangeAspect="1" noChangeArrowheads="1"/>
        </xdr:cNvSpPr>
      </xdr:nvSpPr>
      <xdr:spPr bwMode="auto">
        <a:xfrm>
          <a:off x="3803650" y="957580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368</xdr:row>
      <xdr:rowOff>0</xdr:rowOff>
    </xdr:from>
    <xdr:ext cx="304800" cy="304094"/>
    <xdr:sp macro="" textlink="">
      <xdr:nvSpPr>
        <xdr:cNvPr id="1001" name="AutoShape 12">
          <a:extLst>
            <a:ext uri="{FF2B5EF4-FFF2-40B4-BE49-F238E27FC236}">
              <a16:creationId xmlns:a16="http://schemas.microsoft.com/office/drawing/2014/main" id="{8F646DC8-46B0-4D88-A2C3-D59A46103896}"/>
            </a:ext>
          </a:extLst>
        </xdr:cNvPr>
        <xdr:cNvSpPr>
          <a:spLocks noChangeAspect="1" noChangeArrowheads="1"/>
        </xdr:cNvSpPr>
      </xdr:nvSpPr>
      <xdr:spPr bwMode="auto">
        <a:xfrm>
          <a:off x="3803650" y="1060704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369</xdr:row>
      <xdr:rowOff>0</xdr:rowOff>
    </xdr:from>
    <xdr:ext cx="304800" cy="304094"/>
    <xdr:sp macro="" textlink="">
      <xdr:nvSpPr>
        <xdr:cNvPr id="1002" name="AutoShape 12">
          <a:extLst>
            <a:ext uri="{FF2B5EF4-FFF2-40B4-BE49-F238E27FC236}">
              <a16:creationId xmlns:a16="http://schemas.microsoft.com/office/drawing/2014/main" id="{3B53F5DD-FC54-4A47-BDC8-CFD865F09A50}"/>
            </a:ext>
          </a:extLst>
        </xdr:cNvPr>
        <xdr:cNvSpPr>
          <a:spLocks noChangeAspect="1" noChangeArrowheads="1"/>
        </xdr:cNvSpPr>
      </xdr:nvSpPr>
      <xdr:spPr bwMode="auto">
        <a:xfrm>
          <a:off x="3803650" y="1062545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380</xdr:row>
      <xdr:rowOff>0</xdr:rowOff>
    </xdr:from>
    <xdr:ext cx="304800" cy="304094"/>
    <xdr:sp macro="" textlink="">
      <xdr:nvSpPr>
        <xdr:cNvPr id="1003" name="AutoShape 12">
          <a:extLst>
            <a:ext uri="{FF2B5EF4-FFF2-40B4-BE49-F238E27FC236}">
              <a16:creationId xmlns:a16="http://schemas.microsoft.com/office/drawing/2014/main" id="{BBF373CB-AE5A-4595-9137-FC972DB8ADB5}"/>
            </a:ext>
          </a:extLst>
        </xdr:cNvPr>
        <xdr:cNvSpPr>
          <a:spLocks noChangeAspect="1" noChangeArrowheads="1"/>
        </xdr:cNvSpPr>
      </xdr:nvSpPr>
      <xdr:spPr bwMode="auto">
        <a:xfrm>
          <a:off x="3803650" y="1082802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381</xdr:row>
      <xdr:rowOff>0</xdr:rowOff>
    </xdr:from>
    <xdr:ext cx="304800" cy="304094"/>
    <xdr:sp macro="" textlink="">
      <xdr:nvSpPr>
        <xdr:cNvPr id="1004" name="AutoShape 12">
          <a:extLst>
            <a:ext uri="{FF2B5EF4-FFF2-40B4-BE49-F238E27FC236}">
              <a16:creationId xmlns:a16="http://schemas.microsoft.com/office/drawing/2014/main" id="{7B24AD2D-0E0B-4B07-8D87-27CFD5123946}"/>
            </a:ext>
          </a:extLst>
        </xdr:cNvPr>
        <xdr:cNvSpPr>
          <a:spLocks noChangeAspect="1" noChangeArrowheads="1"/>
        </xdr:cNvSpPr>
      </xdr:nvSpPr>
      <xdr:spPr bwMode="auto">
        <a:xfrm>
          <a:off x="3803650" y="1084643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369</xdr:row>
      <xdr:rowOff>0</xdr:rowOff>
    </xdr:from>
    <xdr:ext cx="304800" cy="304094"/>
    <xdr:sp macro="" textlink="">
      <xdr:nvSpPr>
        <xdr:cNvPr id="1005" name="AutoShape 12">
          <a:extLst>
            <a:ext uri="{FF2B5EF4-FFF2-40B4-BE49-F238E27FC236}">
              <a16:creationId xmlns:a16="http://schemas.microsoft.com/office/drawing/2014/main" id="{0CAB90C7-ACDA-4ECE-8DAB-1C5189C295E3}"/>
            </a:ext>
          </a:extLst>
        </xdr:cNvPr>
        <xdr:cNvSpPr>
          <a:spLocks noChangeAspect="1" noChangeArrowheads="1"/>
        </xdr:cNvSpPr>
      </xdr:nvSpPr>
      <xdr:spPr bwMode="auto">
        <a:xfrm>
          <a:off x="3803650" y="1062545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370</xdr:row>
      <xdr:rowOff>0</xdr:rowOff>
    </xdr:from>
    <xdr:ext cx="304800" cy="304094"/>
    <xdr:sp macro="" textlink="">
      <xdr:nvSpPr>
        <xdr:cNvPr id="1006" name="AutoShape 12">
          <a:extLst>
            <a:ext uri="{FF2B5EF4-FFF2-40B4-BE49-F238E27FC236}">
              <a16:creationId xmlns:a16="http://schemas.microsoft.com/office/drawing/2014/main" id="{A36052F8-3FFE-464E-8CBA-34F459C390A9}"/>
            </a:ext>
          </a:extLst>
        </xdr:cNvPr>
        <xdr:cNvSpPr>
          <a:spLocks noChangeAspect="1" noChangeArrowheads="1"/>
        </xdr:cNvSpPr>
      </xdr:nvSpPr>
      <xdr:spPr bwMode="auto">
        <a:xfrm>
          <a:off x="3803650" y="1064387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381</xdr:row>
      <xdr:rowOff>0</xdr:rowOff>
    </xdr:from>
    <xdr:ext cx="304800" cy="304094"/>
    <xdr:sp macro="" textlink="">
      <xdr:nvSpPr>
        <xdr:cNvPr id="1007" name="AutoShape 12">
          <a:extLst>
            <a:ext uri="{FF2B5EF4-FFF2-40B4-BE49-F238E27FC236}">
              <a16:creationId xmlns:a16="http://schemas.microsoft.com/office/drawing/2014/main" id="{95DBAAF5-619C-45C2-B747-CC4C976E41CF}"/>
            </a:ext>
          </a:extLst>
        </xdr:cNvPr>
        <xdr:cNvSpPr>
          <a:spLocks noChangeAspect="1" noChangeArrowheads="1"/>
        </xdr:cNvSpPr>
      </xdr:nvSpPr>
      <xdr:spPr bwMode="auto">
        <a:xfrm>
          <a:off x="3803650" y="1084643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382</xdr:row>
      <xdr:rowOff>0</xdr:rowOff>
    </xdr:from>
    <xdr:ext cx="304800" cy="304094"/>
    <xdr:sp macro="" textlink="">
      <xdr:nvSpPr>
        <xdr:cNvPr id="1008" name="AutoShape 12">
          <a:extLst>
            <a:ext uri="{FF2B5EF4-FFF2-40B4-BE49-F238E27FC236}">
              <a16:creationId xmlns:a16="http://schemas.microsoft.com/office/drawing/2014/main" id="{DFB45B5B-A457-4669-97C9-C2B3A502B70E}"/>
            </a:ext>
          </a:extLst>
        </xdr:cNvPr>
        <xdr:cNvSpPr>
          <a:spLocks noChangeAspect="1" noChangeArrowheads="1"/>
        </xdr:cNvSpPr>
      </xdr:nvSpPr>
      <xdr:spPr bwMode="auto">
        <a:xfrm>
          <a:off x="3803650" y="1086485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342</xdr:row>
      <xdr:rowOff>0</xdr:rowOff>
    </xdr:from>
    <xdr:ext cx="304800" cy="304094"/>
    <xdr:sp macro="" textlink="">
      <xdr:nvSpPr>
        <xdr:cNvPr id="1009" name="AutoShape 12">
          <a:extLst>
            <a:ext uri="{FF2B5EF4-FFF2-40B4-BE49-F238E27FC236}">
              <a16:creationId xmlns:a16="http://schemas.microsoft.com/office/drawing/2014/main" id="{1F666183-1B29-4F0C-B1F7-45539446D1DB}"/>
            </a:ext>
          </a:extLst>
        </xdr:cNvPr>
        <xdr:cNvSpPr>
          <a:spLocks noChangeAspect="1" noChangeArrowheads="1"/>
        </xdr:cNvSpPr>
      </xdr:nvSpPr>
      <xdr:spPr bwMode="auto">
        <a:xfrm>
          <a:off x="3803650" y="1012825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343</xdr:row>
      <xdr:rowOff>0</xdr:rowOff>
    </xdr:from>
    <xdr:ext cx="304800" cy="304094"/>
    <xdr:sp macro="" textlink="">
      <xdr:nvSpPr>
        <xdr:cNvPr id="1010" name="AutoShape 12">
          <a:extLst>
            <a:ext uri="{FF2B5EF4-FFF2-40B4-BE49-F238E27FC236}">
              <a16:creationId xmlns:a16="http://schemas.microsoft.com/office/drawing/2014/main" id="{35ECFABC-2537-4C56-AA0A-570469A2E934}"/>
            </a:ext>
          </a:extLst>
        </xdr:cNvPr>
        <xdr:cNvSpPr>
          <a:spLocks noChangeAspect="1" noChangeArrowheads="1"/>
        </xdr:cNvSpPr>
      </xdr:nvSpPr>
      <xdr:spPr bwMode="auto">
        <a:xfrm>
          <a:off x="3803650" y="1014666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353</xdr:row>
      <xdr:rowOff>0</xdr:rowOff>
    </xdr:from>
    <xdr:ext cx="304800" cy="304094"/>
    <xdr:sp macro="" textlink="">
      <xdr:nvSpPr>
        <xdr:cNvPr id="1011" name="AutoShape 12">
          <a:extLst>
            <a:ext uri="{FF2B5EF4-FFF2-40B4-BE49-F238E27FC236}">
              <a16:creationId xmlns:a16="http://schemas.microsoft.com/office/drawing/2014/main" id="{B3C3BA07-BF86-4819-94A2-CEB174F789F5}"/>
            </a:ext>
          </a:extLst>
        </xdr:cNvPr>
        <xdr:cNvSpPr>
          <a:spLocks noChangeAspect="1" noChangeArrowheads="1"/>
        </xdr:cNvSpPr>
      </xdr:nvSpPr>
      <xdr:spPr bwMode="auto">
        <a:xfrm>
          <a:off x="3803650" y="103308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354</xdr:row>
      <xdr:rowOff>0</xdr:rowOff>
    </xdr:from>
    <xdr:ext cx="304800" cy="304094"/>
    <xdr:sp macro="" textlink="">
      <xdr:nvSpPr>
        <xdr:cNvPr id="1012" name="AutoShape 12">
          <a:extLst>
            <a:ext uri="{FF2B5EF4-FFF2-40B4-BE49-F238E27FC236}">
              <a16:creationId xmlns:a16="http://schemas.microsoft.com/office/drawing/2014/main" id="{C2783F64-B058-4CEE-893A-DE3D0ED33652}"/>
            </a:ext>
          </a:extLst>
        </xdr:cNvPr>
        <xdr:cNvSpPr>
          <a:spLocks noChangeAspect="1" noChangeArrowheads="1"/>
        </xdr:cNvSpPr>
      </xdr:nvSpPr>
      <xdr:spPr bwMode="auto">
        <a:xfrm>
          <a:off x="3803650" y="1034923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343</xdr:row>
      <xdr:rowOff>0</xdr:rowOff>
    </xdr:from>
    <xdr:ext cx="304800" cy="304094"/>
    <xdr:sp macro="" textlink="">
      <xdr:nvSpPr>
        <xdr:cNvPr id="1013" name="AutoShape 12">
          <a:extLst>
            <a:ext uri="{FF2B5EF4-FFF2-40B4-BE49-F238E27FC236}">
              <a16:creationId xmlns:a16="http://schemas.microsoft.com/office/drawing/2014/main" id="{090FD694-8FBC-4C28-874A-A018F5FB6C25}"/>
            </a:ext>
          </a:extLst>
        </xdr:cNvPr>
        <xdr:cNvSpPr>
          <a:spLocks noChangeAspect="1" noChangeArrowheads="1"/>
        </xdr:cNvSpPr>
      </xdr:nvSpPr>
      <xdr:spPr bwMode="auto">
        <a:xfrm>
          <a:off x="3803650" y="1014666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344</xdr:row>
      <xdr:rowOff>0</xdr:rowOff>
    </xdr:from>
    <xdr:ext cx="304800" cy="304094"/>
    <xdr:sp macro="" textlink="">
      <xdr:nvSpPr>
        <xdr:cNvPr id="1014" name="AutoShape 12">
          <a:extLst>
            <a:ext uri="{FF2B5EF4-FFF2-40B4-BE49-F238E27FC236}">
              <a16:creationId xmlns:a16="http://schemas.microsoft.com/office/drawing/2014/main" id="{71CDA582-B1C5-43A1-A065-0BD0B803CE33}"/>
            </a:ext>
          </a:extLst>
        </xdr:cNvPr>
        <xdr:cNvSpPr>
          <a:spLocks noChangeAspect="1" noChangeArrowheads="1"/>
        </xdr:cNvSpPr>
      </xdr:nvSpPr>
      <xdr:spPr bwMode="auto">
        <a:xfrm>
          <a:off x="3803650" y="1016508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354</xdr:row>
      <xdr:rowOff>0</xdr:rowOff>
    </xdr:from>
    <xdr:ext cx="304800" cy="304094"/>
    <xdr:sp macro="" textlink="">
      <xdr:nvSpPr>
        <xdr:cNvPr id="1015" name="AutoShape 12">
          <a:extLst>
            <a:ext uri="{FF2B5EF4-FFF2-40B4-BE49-F238E27FC236}">
              <a16:creationId xmlns:a16="http://schemas.microsoft.com/office/drawing/2014/main" id="{DAC2B268-DD95-46C5-9055-20269EAAFAFD}"/>
            </a:ext>
          </a:extLst>
        </xdr:cNvPr>
        <xdr:cNvSpPr>
          <a:spLocks noChangeAspect="1" noChangeArrowheads="1"/>
        </xdr:cNvSpPr>
      </xdr:nvSpPr>
      <xdr:spPr bwMode="auto">
        <a:xfrm>
          <a:off x="3803650" y="1034923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355</xdr:row>
      <xdr:rowOff>0</xdr:rowOff>
    </xdr:from>
    <xdr:ext cx="304800" cy="304094"/>
    <xdr:sp macro="" textlink="">
      <xdr:nvSpPr>
        <xdr:cNvPr id="1016" name="AutoShape 12">
          <a:extLst>
            <a:ext uri="{FF2B5EF4-FFF2-40B4-BE49-F238E27FC236}">
              <a16:creationId xmlns:a16="http://schemas.microsoft.com/office/drawing/2014/main" id="{52F5788A-CF13-49EC-BD30-691092FEBF2B}"/>
            </a:ext>
          </a:extLst>
        </xdr:cNvPr>
        <xdr:cNvSpPr>
          <a:spLocks noChangeAspect="1" noChangeArrowheads="1"/>
        </xdr:cNvSpPr>
      </xdr:nvSpPr>
      <xdr:spPr bwMode="auto">
        <a:xfrm>
          <a:off x="3803650" y="1036764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343</xdr:row>
      <xdr:rowOff>0</xdr:rowOff>
    </xdr:from>
    <xdr:ext cx="304800" cy="304094"/>
    <xdr:sp macro="" textlink="">
      <xdr:nvSpPr>
        <xdr:cNvPr id="1017" name="AutoShape 12">
          <a:extLst>
            <a:ext uri="{FF2B5EF4-FFF2-40B4-BE49-F238E27FC236}">
              <a16:creationId xmlns:a16="http://schemas.microsoft.com/office/drawing/2014/main" id="{DE650A8C-AE48-4D60-9A41-6F94920C05A4}"/>
            </a:ext>
          </a:extLst>
        </xdr:cNvPr>
        <xdr:cNvSpPr>
          <a:spLocks noChangeAspect="1" noChangeArrowheads="1"/>
        </xdr:cNvSpPr>
      </xdr:nvSpPr>
      <xdr:spPr bwMode="auto">
        <a:xfrm>
          <a:off x="3803650" y="1014666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344</xdr:row>
      <xdr:rowOff>0</xdr:rowOff>
    </xdr:from>
    <xdr:ext cx="304800" cy="304094"/>
    <xdr:sp macro="" textlink="">
      <xdr:nvSpPr>
        <xdr:cNvPr id="1018" name="AutoShape 12">
          <a:extLst>
            <a:ext uri="{FF2B5EF4-FFF2-40B4-BE49-F238E27FC236}">
              <a16:creationId xmlns:a16="http://schemas.microsoft.com/office/drawing/2014/main" id="{D356956A-BEDE-4570-A5AC-4E76F3C70D60}"/>
            </a:ext>
          </a:extLst>
        </xdr:cNvPr>
        <xdr:cNvSpPr>
          <a:spLocks noChangeAspect="1" noChangeArrowheads="1"/>
        </xdr:cNvSpPr>
      </xdr:nvSpPr>
      <xdr:spPr bwMode="auto">
        <a:xfrm>
          <a:off x="3803650" y="1016508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354</xdr:row>
      <xdr:rowOff>0</xdr:rowOff>
    </xdr:from>
    <xdr:ext cx="304800" cy="304094"/>
    <xdr:sp macro="" textlink="">
      <xdr:nvSpPr>
        <xdr:cNvPr id="1019" name="AutoShape 12">
          <a:extLst>
            <a:ext uri="{FF2B5EF4-FFF2-40B4-BE49-F238E27FC236}">
              <a16:creationId xmlns:a16="http://schemas.microsoft.com/office/drawing/2014/main" id="{E1C146E3-521F-4956-840E-14030080B26C}"/>
            </a:ext>
          </a:extLst>
        </xdr:cNvPr>
        <xdr:cNvSpPr>
          <a:spLocks noChangeAspect="1" noChangeArrowheads="1"/>
        </xdr:cNvSpPr>
      </xdr:nvSpPr>
      <xdr:spPr bwMode="auto">
        <a:xfrm>
          <a:off x="3803650" y="1034923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355</xdr:row>
      <xdr:rowOff>0</xdr:rowOff>
    </xdr:from>
    <xdr:ext cx="304800" cy="304094"/>
    <xdr:sp macro="" textlink="">
      <xdr:nvSpPr>
        <xdr:cNvPr id="1020" name="AutoShape 12">
          <a:extLst>
            <a:ext uri="{FF2B5EF4-FFF2-40B4-BE49-F238E27FC236}">
              <a16:creationId xmlns:a16="http://schemas.microsoft.com/office/drawing/2014/main" id="{7F96630E-2767-4FA2-8B2A-47C083F47874}"/>
            </a:ext>
          </a:extLst>
        </xdr:cNvPr>
        <xdr:cNvSpPr>
          <a:spLocks noChangeAspect="1" noChangeArrowheads="1"/>
        </xdr:cNvSpPr>
      </xdr:nvSpPr>
      <xdr:spPr bwMode="auto">
        <a:xfrm>
          <a:off x="3803650" y="1036764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344</xdr:row>
      <xdr:rowOff>0</xdr:rowOff>
    </xdr:from>
    <xdr:ext cx="304800" cy="304094"/>
    <xdr:sp macro="" textlink="">
      <xdr:nvSpPr>
        <xdr:cNvPr id="1021" name="AutoShape 12">
          <a:extLst>
            <a:ext uri="{FF2B5EF4-FFF2-40B4-BE49-F238E27FC236}">
              <a16:creationId xmlns:a16="http://schemas.microsoft.com/office/drawing/2014/main" id="{4DD5D3D9-F401-4CFD-A970-33AF2080D487}"/>
            </a:ext>
          </a:extLst>
        </xdr:cNvPr>
        <xdr:cNvSpPr>
          <a:spLocks noChangeAspect="1" noChangeArrowheads="1"/>
        </xdr:cNvSpPr>
      </xdr:nvSpPr>
      <xdr:spPr bwMode="auto">
        <a:xfrm>
          <a:off x="3803650" y="1016508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345</xdr:row>
      <xdr:rowOff>0</xdr:rowOff>
    </xdr:from>
    <xdr:ext cx="304800" cy="304094"/>
    <xdr:sp macro="" textlink="">
      <xdr:nvSpPr>
        <xdr:cNvPr id="1022" name="AutoShape 12">
          <a:extLst>
            <a:ext uri="{FF2B5EF4-FFF2-40B4-BE49-F238E27FC236}">
              <a16:creationId xmlns:a16="http://schemas.microsoft.com/office/drawing/2014/main" id="{53E342CA-DADE-4DD4-83FD-6DF4041693B3}"/>
            </a:ext>
          </a:extLst>
        </xdr:cNvPr>
        <xdr:cNvSpPr>
          <a:spLocks noChangeAspect="1" noChangeArrowheads="1"/>
        </xdr:cNvSpPr>
      </xdr:nvSpPr>
      <xdr:spPr bwMode="auto">
        <a:xfrm>
          <a:off x="3803650" y="1018349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355</xdr:row>
      <xdr:rowOff>0</xdr:rowOff>
    </xdr:from>
    <xdr:ext cx="304800" cy="304094"/>
    <xdr:sp macro="" textlink="">
      <xdr:nvSpPr>
        <xdr:cNvPr id="1023" name="AutoShape 12">
          <a:extLst>
            <a:ext uri="{FF2B5EF4-FFF2-40B4-BE49-F238E27FC236}">
              <a16:creationId xmlns:a16="http://schemas.microsoft.com/office/drawing/2014/main" id="{AFD57673-EEF7-4F36-B36C-47834DE72932}"/>
            </a:ext>
          </a:extLst>
        </xdr:cNvPr>
        <xdr:cNvSpPr>
          <a:spLocks noChangeAspect="1" noChangeArrowheads="1"/>
        </xdr:cNvSpPr>
      </xdr:nvSpPr>
      <xdr:spPr bwMode="auto">
        <a:xfrm>
          <a:off x="3803650" y="1036764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356</xdr:row>
      <xdr:rowOff>0</xdr:rowOff>
    </xdr:from>
    <xdr:ext cx="304800" cy="304094"/>
    <xdr:sp macro="" textlink="">
      <xdr:nvSpPr>
        <xdr:cNvPr id="1024" name="AutoShape 12">
          <a:extLst>
            <a:ext uri="{FF2B5EF4-FFF2-40B4-BE49-F238E27FC236}">
              <a16:creationId xmlns:a16="http://schemas.microsoft.com/office/drawing/2014/main" id="{E77573DA-788C-4EF2-AD71-90936A27642A}"/>
            </a:ext>
          </a:extLst>
        </xdr:cNvPr>
        <xdr:cNvSpPr>
          <a:spLocks noChangeAspect="1" noChangeArrowheads="1"/>
        </xdr:cNvSpPr>
      </xdr:nvSpPr>
      <xdr:spPr bwMode="auto">
        <a:xfrm>
          <a:off x="3803650" y="1038606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347</xdr:row>
      <xdr:rowOff>0</xdr:rowOff>
    </xdr:from>
    <xdr:ext cx="304800" cy="304094"/>
    <xdr:sp macro="" textlink="">
      <xdr:nvSpPr>
        <xdr:cNvPr id="1025" name="AutoShape 12">
          <a:extLst>
            <a:ext uri="{FF2B5EF4-FFF2-40B4-BE49-F238E27FC236}">
              <a16:creationId xmlns:a16="http://schemas.microsoft.com/office/drawing/2014/main" id="{DC289982-380B-432F-A900-3FA3954974E1}"/>
            </a:ext>
          </a:extLst>
        </xdr:cNvPr>
        <xdr:cNvSpPr>
          <a:spLocks noChangeAspect="1" noChangeArrowheads="1"/>
        </xdr:cNvSpPr>
      </xdr:nvSpPr>
      <xdr:spPr bwMode="auto">
        <a:xfrm>
          <a:off x="3803650" y="1022032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348</xdr:row>
      <xdr:rowOff>0</xdr:rowOff>
    </xdr:from>
    <xdr:ext cx="304800" cy="304094"/>
    <xdr:sp macro="" textlink="">
      <xdr:nvSpPr>
        <xdr:cNvPr id="1026" name="AutoShape 12">
          <a:extLst>
            <a:ext uri="{FF2B5EF4-FFF2-40B4-BE49-F238E27FC236}">
              <a16:creationId xmlns:a16="http://schemas.microsoft.com/office/drawing/2014/main" id="{3B89AD2A-AE9B-4EC1-941A-5AE944B27A0B}"/>
            </a:ext>
          </a:extLst>
        </xdr:cNvPr>
        <xdr:cNvSpPr>
          <a:spLocks noChangeAspect="1" noChangeArrowheads="1"/>
        </xdr:cNvSpPr>
      </xdr:nvSpPr>
      <xdr:spPr bwMode="auto">
        <a:xfrm>
          <a:off x="3803650" y="1023874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358</xdr:row>
      <xdr:rowOff>0</xdr:rowOff>
    </xdr:from>
    <xdr:ext cx="304800" cy="304094"/>
    <xdr:sp macro="" textlink="">
      <xdr:nvSpPr>
        <xdr:cNvPr id="1027" name="AutoShape 12">
          <a:extLst>
            <a:ext uri="{FF2B5EF4-FFF2-40B4-BE49-F238E27FC236}">
              <a16:creationId xmlns:a16="http://schemas.microsoft.com/office/drawing/2014/main" id="{155A9559-DDBB-46D1-85E1-84B34C6C0008}"/>
            </a:ext>
          </a:extLst>
        </xdr:cNvPr>
        <xdr:cNvSpPr>
          <a:spLocks noChangeAspect="1" noChangeArrowheads="1"/>
        </xdr:cNvSpPr>
      </xdr:nvSpPr>
      <xdr:spPr bwMode="auto">
        <a:xfrm>
          <a:off x="3803650" y="1042289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359</xdr:row>
      <xdr:rowOff>0</xdr:rowOff>
    </xdr:from>
    <xdr:ext cx="304800" cy="304094"/>
    <xdr:sp macro="" textlink="">
      <xdr:nvSpPr>
        <xdr:cNvPr id="1028" name="AutoShape 12">
          <a:extLst>
            <a:ext uri="{FF2B5EF4-FFF2-40B4-BE49-F238E27FC236}">
              <a16:creationId xmlns:a16="http://schemas.microsoft.com/office/drawing/2014/main" id="{17597C8E-1B46-482A-AA0D-C55BD1DC4AE5}"/>
            </a:ext>
          </a:extLst>
        </xdr:cNvPr>
        <xdr:cNvSpPr>
          <a:spLocks noChangeAspect="1" noChangeArrowheads="1"/>
        </xdr:cNvSpPr>
      </xdr:nvSpPr>
      <xdr:spPr bwMode="auto">
        <a:xfrm>
          <a:off x="3803650" y="1044130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348</xdr:row>
      <xdr:rowOff>0</xdr:rowOff>
    </xdr:from>
    <xdr:ext cx="304800" cy="304094"/>
    <xdr:sp macro="" textlink="">
      <xdr:nvSpPr>
        <xdr:cNvPr id="1029" name="AutoShape 12">
          <a:extLst>
            <a:ext uri="{FF2B5EF4-FFF2-40B4-BE49-F238E27FC236}">
              <a16:creationId xmlns:a16="http://schemas.microsoft.com/office/drawing/2014/main" id="{933E7C7D-0CA7-4EF5-8696-4A2082D5394E}"/>
            </a:ext>
          </a:extLst>
        </xdr:cNvPr>
        <xdr:cNvSpPr>
          <a:spLocks noChangeAspect="1" noChangeArrowheads="1"/>
        </xdr:cNvSpPr>
      </xdr:nvSpPr>
      <xdr:spPr bwMode="auto">
        <a:xfrm>
          <a:off x="3803650" y="1023874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349</xdr:row>
      <xdr:rowOff>0</xdr:rowOff>
    </xdr:from>
    <xdr:ext cx="304800" cy="304094"/>
    <xdr:sp macro="" textlink="">
      <xdr:nvSpPr>
        <xdr:cNvPr id="1030" name="AutoShape 12">
          <a:extLst>
            <a:ext uri="{FF2B5EF4-FFF2-40B4-BE49-F238E27FC236}">
              <a16:creationId xmlns:a16="http://schemas.microsoft.com/office/drawing/2014/main" id="{DBF4E97F-6B94-4A30-874D-C72F57AE76AD}"/>
            </a:ext>
          </a:extLst>
        </xdr:cNvPr>
        <xdr:cNvSpPr>
          <a:spLocks noChangeAspect="1" noChangeArrowheads="1"/>
        </xdr:cNvSpPr>
      </xdr:nvSpPr>
      <xdr:spPr bwMode="auto">
        <a:xfrm>
          <a:off x="3803650" y="1025715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359</xdr:row>
      <xdr:rowOff>0</xdr:rowOff>
    </xdr:from>
    <xdr:ext cx="304800" cy="304094"/>
    <xdr:sp macro="" textlink="">
      <xdr:nvSpPr>
        <xdr:cNvPr id="1031" name="AutoShape 12">
          <a:extLst>
            <a:ext uri="{FF2B5EF4-FFF2-40B4-BE49-F238E27FC236}">
              <a16:creationId xmlns:a16="http://schemas.microsoft.com/office/drawing/2014/main" id="{D8B10D52-5E2D-4C97-993F-DDD0AD6572A9}"/>
            </a:ext>
          </a:extLst>
        </xdr:cNvPr>
        <xdr:cNvSpPr>
          <a:spLocks noChangeAspect="1" noChangeArrowheads="1"/>
        </xdr:cNvSpPr>
      </xdr:nvSpPr>
      <xdr:spPr bwMode="auto">
        <a:xfrm>
          <a:off x="3803650" y="1044130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360</xdr:row>
      <xdr:rowOff>0</xdr:rowOff>
    </xdr:from>
    <xdr:ext cx="304800" cy="304094"/>
    <xdr:sp macro="" textlink="">
      <xdr:nvSpPr>
        <xdr:cNvPr id="1032" name="AutoShape 12">
          <a:extLst>
            <a:ext uri="{FF2B5EF4-FFF2-40B4-BE49-F238E27FC236}">
              <a16:creationId xmlns:a16="http://schemas.microsoft.com/office/drawing/2014/main" id="{05287E43-340C-42D1-9B34-2698C365C3BB}"/>
            </a:ext>
          </a:extLst>
        </xdr:cNvPr>
        <xdr:cNvSpPr>
          <a:spLocks noChangeAspect="1" noChangeArrowheads="1"/>
        </xdr:cNvSpPr>
      </xdr:nvSpPr>
      <xdr:spPr bwMode="auto">
        <a:xfrm>
          <a:off x="3803650" y="1045972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348</xdr:row>
      <xdr:rowOff>0</xdr:rowOff>
    </xdr:from>
    <xdr:ext cx="304800" cy="304094"/>
    <xdr:sp macro="" textlink="">
      <xdr:nvSpPr>
        <xdr:cNvPr id="1033" name="AutoShape 12">
          <a:extLst>
            <a:ext uri="{FF2B5EF4-FFF2-40B4-BE49-F238E27FC236}">
              <a16:creationId xmlns:a16="http://schemas.microsoft.com/office/drawing/2014/main" id="{FB4F496A-0890-43ED-8565-E9416797BA2C}"/>
            </a:ext>
          </a:extLst>
        </xdr:cNvPr>
        <xdr:cNvSpPr>
          <a:spLocks noChangeAspect="1" noChangeArrowheads="1"/>
        </xdr:cNvSpPr>
      </xdr:nvSpPr>
      <xdr:spPr bwMode="auto">
        <a:xfrm>
          <a:off x="3803650" y="1023874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349</xdr:row>
      <xdr:rowOff>0</xdr:rowOff>
    </xdr:from>
    <xdr:ext cx="304800" cy="304094"/>
    <xdr:sp macro="" textlink="">
      <xdr:nvSpPr>
        <xdr:cNvPr id="1034" name="AutoShape 12">
          <a:extLst>
            <a:ext uri="{FF2B5EF4-FFF2-40B4-BE49-F238E27FC236}">
              <a16:creationId xmlns:a16="http://schemas.microsoft.com/office/drawing/2014/main" id="{426986D1-6D2B-4164-95EC-9D90E71AF3D3}"/>
            </a:ext>
          </a:extLst>
        </xdr:cNvPr>
        <xdr:cNvSpPr>
          <a:spLocks noChangeAspect="1" noChangeArrowheads="1"/>
        </xdr:cNvSpPr>
      </xdr:nvSpPr>
      <xdr:spPr bwMode="auto">
        <a:xfrm>
          <a:off x="3803650" y="1025715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359</xdr:row>
      <xdr:rowOff>0</xdr:rowOff>
    </xdr:from>
    <xdr:ext cx="304800" cy="304094"/>
    <xdr:sp macro="" textlink="">
      <xdr:nvSpPr>
        <xdr:cNvPr id="1035" name="AutoShape 12">
          <a:extLst>
            <a:ext uri="{FF2B5EF4-FFF2-40B4-BE49-F238E27FC236}">
              <a16:creationId xmlns:a16="http://schemas.microsoft.com/office/drawing/2014/main" id="{75E674AD-5F1E-45B7-9E0F-6007ED4CE1BE}"/>
            </a:ext>
          </a:extLst>
        </xdr:cNvPr>
        <xdr:cNvSpPr>
          <a:spLocks noChangeAspect="1" noChangeArrowheads="1"/>
        </xdr:cNvSpPr>
      </xdr:nvSpPr>
      <xdr:spPr bwMode="auto">
        <a:xfrm>
          <a:off x="3803650" y="1044130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360</xdr:row>
      <xdr:rowOff>0</xdr:rowOff>
    </xdr:from>
    <xdr:ext cx="304800" cy="304094"/>
    <xdr:sp macro="" textlink="">
      <xdr:nvSpPr>
        <xdr:cNvPr id="1036" name="AutoShape 12">
          <a:extLst>
            <a:ext uri="{FF2B5EF4-FFF2-40B4-BE49-F238E27FC236}">
              <a16:creationId xmlns:a16="http://schemas.microsoft.com/office/drawing/2014/main" id="{31DA0C23-E740-48F5-9D2A-573E2E27ACB4}"/>
            </a:ext>
          </a:extLst>
        </xdr:cNvPr>
        <xdr:cNvSpPr>
          <a:spLocks noChangeAspect="1" noChangeArrowheads="1"/>
        </xdr:cNvSpPr>
      </xdr:nvSpPr>
      <xdr:spPr bwMode="auto">
        <a:xfrm>
          <a:off x="3803650" y="1045972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349</xdr:row>
      <xdr:rowOff>0</xdr:rowOff>
    </xdr:from>
    <xdr:ext cx="304800" cy="304094"/>
    <xdr:sp macro="" textlink="">
      <xdr:nvSpPr>
        <xdr:cNvPr id="1037" name="AutoShape 12">
          <a:extLst>
            <a:ext uri="{FF2B5EF4-FFF2-40B4-BE49-F238E27FC236}">
              <a16:creationId xmlns:a16="http://schemas.microsoft.com/office/drawing/2014/main" id="{22EE24E3-2C26-4F63-8D26-46205D386806}"/>
            </a:ext>
          </a:extLst>
        </xdr:cNvPr>
        <xdr:cNvSpPr>
          <a:spLocks noChangeAspect="1" noChangeArrowheads="1"/>
        </xdr:cNvSpPr>
      </xdr:nvSpPr>
      <xdr:spPr bwMode="auto">
        <a:xfrm>
          <a:off x="3803650" y="1025715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350</xdr:row>
      <xdr:rowOff>0</xdr:rowOff>
    </xdr:from>
    <xdr:ext cx="304800" cy="304094"/>
    <xdr:sp macro="" textlink="">
      <xdr:nvSpPr>
        <xdr:cNvPr id="1038" name="AutoShape 12">
          <a:extLst>
            <a:ext uri="{FF2B5EF4-FFF2-40B4-BE49-F238E27FC236}">
              <a16:creationId xmlns:a16="http://schemas.microsoft.com/office/drawing/2014/main" id="{8D7B9BE2-001E-4F5B-AF95-1FF6F5DEFE17}"/>
            </a:ext>
          </a:extLst>
        </xdr:cNvPr>
        <xdr:cNvSpPr>
          <a:spLocks noChangeAspect="1" noChangeArrowheads="1"/>
        </xdr:cNvSpPr>
      </xdr:nvSpPr>
      <xdr:spPr bwMode="auto">
        <a:xfrm>
          <a:off x="3803650" y="1027557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360</xdr:row>
      <xdr:rowOff>0</xdr:rowOff>
    </xdr:from>
    <xdr:ext cx="304800" cy="304094"/>
    <xdr:sp macro="" textlink="">
      <xdr:nvSpPr>
        <xdr:cNvPr id="1039" name="AutoShape 12">
          <a:extLst>
            <a:ext uri="{FF2B5EF4-FFF2-40B4-BE49-F238E27FC236}">
              <a16:creationId xmlns:a16="http://schemas.microsoft.com/office/drawing/2014/main" id="{31EBA665-6B30-46EA-9D1A-1717772D1B3E}"/>
            </a:ext>
          </a:extLst>
        </xdr:cNvPr>
        <xdr:cNvSpPr>
          <a:spLocks noChangeAspect="1" noChangeArrowheads="1"/>
        </xdr:cNvSpPr>
      </xdr:nvSpPr>
      <xdr:spPr bwMode="auto">
        <a:xfrm>
          <a:off x="3803650" y="1045972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361</xdr:row>
      <xdr:rowOff>0</xdr:rowOff>
    </xdr:from>
    <xdr:ext cx="304800" cy="304094"/>
    <xdr:sp macro="" textlink="">
      <xdr:nvSpPr>
        <xdr:cNvPr id="1040" name="AutoShape 12">
          <a:extLst>
            <a:ext uri="{FF2B5EF4-FFF2-40B4-BE49-F238E27FC236}">
              <a16:creationId xmlns:a16="http://schemas.microsoft.com/office/drawing/2014/main" id="{3FF31ED8-78D4-45EF-9492-F088557981E4}"/>
            </a:ext>
          </a:extLst>
        </xdr:cNvPr>
        <xdr:cNvSpPr>
          <a:spLocks noChangeAspect="1" noChangeArrowheads="1"/>
        </xdr:cNvSpPr>
      </xdr:nvSpPr>
      <xdr:spPr bwMode="auto">
        <a:xfrm>
          <a:off x="3803650" y="1047813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392</xdr:row>
      <xdr:rowOff>0</xdr:rowOff>
    </xdr:from>
    <xdr:ext cx="304800" cy="304094"/>
    <xdr:sp macro="" textlink="">
      <xdr:nvSpPr>
        <xdr:cNvPr id="1041" name="AutoShape 12">
          <a:extLst>
            <a:ext uri="{FF2B5EF4-FFF2-40B4-BE49-F238E27FC236}">
              <a16:creationId xmlns:a16="http://schemas.microsoft.com/office/drawing/2014/main" id="{1B45AA86-7910-4B6A-9EA8-E30121B8AAE9}"/>
            </a:ext>
          </a:extLst>
        </xdr:cNvPr>
        <xdr:cNvSpPr>
          <a:spLocks noChangeAspect="1" noChangeArrowheads="1"/>
        </xdr:cNvSpPr>
      </xdr:nvSpPr>
      <xdr:spPr bwMode="auto">
        <a:xfrm>
          <a:off x="3803650" y="1104900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393</xdr:row>
      <xdr:rowOff>0</xdr:rowOff>
    </xdr:from>
    <xdr:ext cx="304800" cy="304094"/>
    <xdr:sp macro="" textlink="">
      <xdr:nvSpPr>
        <xdr:cNvPr id="1042" name="AutoShape 12">
          <a:extLst>
            <a:ext uri="{FF2B5EF4-FFF2-40B4-BE49-F238E27FC236}">
              <a16:creationId xmlns:a16="http://schemas.microsoft.com/office/drawing/2014/main" id="{D7B2A71E-B854-4B75-870E-4997CAC624F4}"/>
            </a:ext>
          </a:extLst>
        </xdr:cNvPr>
        <xdr:cNvSpPr>
          <a:spLocks noChangeAspect="1" noChangeArrowheads="1"/>
        </xdr:cNvSpPr>
      </xdr:nvSpPr>
      <xdr:spPr bwMode="auto">
        <a:xfrm>
          <a:off x="3803650" y="11067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403</xdr:row>
      <xdr:rowOff>0</xdr:rowOff>
    </xdr:from>
    <xdr:ext cx="304800" cy="304094"/>
    <xdr:sp macro="" textlink="">
      <xdr:nvSpPr>
        <xdr:cNvPr id="1043" name="AutoShape 12">
          <a:extLst>
            <a:ext uri="{FF2B5EF4-FFF2-40B4-BE49-F238E27FC236}">
              <a16:creationId xmlns:a16="http://schemas.microsoft.com/office/drawing/2014/main" id="{EF602E2B-7FC5-400B-AFFB-7F52653597A0}"/>
            </a:ext>
          </a:extLst>
        </xdr:cNvPr>
        <xdr:cNvSpPr>
          <a:spLocks noChangeAspect="1" noChangeArrowheads="1"/>
        </xdr:cNvSpPr>
      </xdr:nvSpPr>
      <xdr:spPr bwMode="auto">
        <a:xfrm>
          <a:off x="3803650" y="1125156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404</xdr:row>
      <xdr:rowOff>0</xdr:rowOff>
    </xdr:from>
    <xdr:ext cx="304800" cy="304094"/>
    <xdr:sp macro="" textlink="">
      <xdr:nvSpPr>
        <xdr:cNvPr id="1044" name="AutoShape 12">
          <a:extLst>
            <a:ext uri="{FF2B5EF4-FFF2-40B4-BE49-F238E27FC236}">
              <a16:creationId xmlns:a16="http://schemas.microsoft.com/office/drawing/2014/main" id="{0459DB53-2A38-4D33-8508-63E5340FBF09}"/>
            </a:ext>
          </a:extLst>
        </xdr:cNvPr>
        <xdr:cNvSpPr>
          <a:spLocks noChangeAspect="1" noChangeArrowheads="1"/>
        </xdr:cNvSpPr>
      </xdr:nvSpPr>
      <xdr:spPr bwMode="auto">
        <a:xfrm>
          <a:off x="3803650" y="1126998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393</xdr:row>
      <xdr:rowOff>0</xdr:rowOff>
    </xdr:from>
    <xdr:ext cx="304800" cy="304094"/>
    <xdr:sp macro="" textlink="">
      <xdr:nvSpPr>
        <xdr:cNvPr id="1045" name="AutoShape 12">
          <a:extLst>
            <a:ext uri="{FF2B5EF4-FFF2-40B4-BE49-F238E27FC236}">
              <a16:creationId xmlns:a16="http://schemas.microsoft.com/office/drawing/2014/main" id="{10A3D58F-FCA0-49EF-A428-195739CF9BAB}"/>
            </a:ext>
          </a:extLst>
        </xdr:cNvPr>
        <xdr:cNvSpPr>
          <a:spLocks noChangeAspect="1" noChangeArrowheads="1"/>
        </xdr:cNvSpPr>
      </xdr:nvSpPr>
      <xdr:spPr bwMode="auto">
        <a:xfrm>
          <a:off x="3803650" y="11067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394</xdr:row>
      <xdr:rowOff>0</xdr:rowOff>
    </xdr:from>
    <xdr:ext cx="304800" cy="304094"/>
    <xdr:sp macro="" textlink="">
      <xdr:nvSpPr>
        <xdr:cNvPr id="1046" name="AutoShape 12">
          <a:extLst>
            <a:ext uri="{FF2B5EF4-FFF2-40B4-BE49-F238E27FC236}">
              <a16:creationId xmlns:a16="http://schemas.microsoft.com/office/drawing/2014/main" id="{1F3B4368-1D50-4880-9A49-E2405546E102}"/>
            </a:ext>
          </a:extLst>
        </xdr:cNvPr>
        <xdr:cNvSpPr>
          <a:spLocks noChangeAspect="1" noChangeArrowheads="1"/>
        </xdr:cNvSpPr>
      </xdr:nvSpPr>
      <xdr:spPr bwMode="auto">
        <a:xfrm>
          <a:off x="3803650" y="1108583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404</xdr:row>
      <xdr:rowOff>0</xdr:rowOff>
    </xdr:from>
    <xdr:ext cx="304800" cy="304094"/>
    <xdr:sp macro="" textlink="">
      <xdr:nvSpPr>
        <xdr:cNvPr id="1047" name="AutoShape 12">
          <a:extLst>
            <a:ext uri="{FF2B5EF4-FFF2-40B4-BE49-F238E27FC236}">
              <a16:creationId xmlns:a16="http://schemas.microsoft.com/office/drawing/2014/main" id="{2A3A4D91-07C0-4BF2-A64A-B39DB0003AAC}"/>
            </a:ext>
          </a:extLst>
        </xdr:cNvPr>
        <xdr:cNvSpPr>
          <a:spLocks noChangeAspect="1" noChangeArrowheads="1"/>
        </xdr:cNvSpPr>
      </xdr:nvSpPr>
      <xdr:spPr bwMode="auto">
        <a:xfrm>
          <a:off x="3803650" y="1126998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405</xdr:row>
      <xdr:rowOff>0</xdr:rowOff>
    </xdr:from>
    <xdr:ext cx="304800" cy="304094"/>
    <xdr:sp macro="" textlink="">
      <xdr:nvSpPr>
        <xdr:cNvPr id="1048" name="AutoShape 12">
          <a:extLst>
            <a:ext uri="{FF2B5EF4-FFF2-40B4-BE49-F238E27FC236}">
              <a16:creationId xmlns:a16="http://schemas.microsoft.com/office/drawing/2014/main" id="{BC473843-C6F5-49AF-A869-90AD3B0F5136}"/>
            </a:ext>
          </a:extLst>
        </xdr:cNvPr>
        <xdr:cNvSpPr>
          <a:spLocks noChangeAspect="1" noChangeArrowheads="1"/>
        </xdr:cNvSpPr>
      </xdr:nvSpPr>
      <xdr:spPr bwMode="auto">
        <a:xfrm>
          <a:off x="3803650" y="1128839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393</xdr:row>
      <xdr:rowOff>0</xdr:rowOff>
    </xdr:from>
    <xdr:ext cx="304800" cy="304094"/>
    <xdr:sp macro="" textlink="">
      <xdr:nvSpPr>
        <xdr:cNvPr id="1049" name="AutoShape 12">
          <a:extLst>
            <a:ext uri="{FF2B5EF4-FFF2-40B4-BE49-F238E27FC236}">
              <a16:creationId xmlns:a16="http://schemas.microsoft.com/office/drawing/2014/main" id="{BCF70E7C-AD0A-4E6D-8FB4-2F54AD1B9C6E}"/>
            </a:ext>
          </a:extLst>
        </xdr:cNvPr>
        <xdr:cNvSpPr>
          <a:spLocks noChangeAspect="1" noChangeArrowheads="1"/>
        </xdr:cNvSpPr>
      </xdr:nvSpPr>
      <xdr:spPr bwMode="auto">
        <a:xfrm>
          <a:off x="3803650" y="11067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394</xdr:row>
      <xdr:rowOff>0</xdr:rowOff>
    </xdr:from>
    <xdr:ext cx="304800" cy="304094"/>
    <xdr:sp macro="" textlink="">
      <xdr:nvSpPr>
        <xdr:cNvPr id="1050" name="AutoShape 12">
          <a:extLst>
            <a:ext uri="{FF2B5EF4-FFF2-40B4-BE49-F238E27FC236}">
              <a16:creationId xmlns:a16="http://schemas.microsoft.com/office/drawing/2014/main" id="{0D7CC9A8-118F-4D63-9978-A3F019FA355B}"/>
            </a:ext>
          </a:extLst>
        </xdr:cNvPr>
        <xdr:cNvSpPr>
          <a:spLocks noChangeAspect="1" noChangeArrowheads="1"/>
        </xdr:cNvSpPr>
      </xdr:nvSpPr>
      <xdr:spPr bwMode="auto">
        <a:xfrm>
          <a:off x="3803650" y="1108583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404</xdr:row>
      <xdr:rowOff>0</xdr:rowOff>
    </xdr:from>
    <xdr:ext cx="304800" cy="304094"/>
    <xdr:sp macro="" textlink="">
      <xdr:nvSpPr>
        <xdr:cNvPr id="1051" name="AutoShape 12">
          <a:extLst>
            <a:ext uri="{FF2B5EF4-FFF2-40B4-BE49-F238E27FC236}">
              <a16:creationId xmlns:a16="http://schemas.microsoft.com/office/drawing/2014/main" id="{F4D36C16-2AFB-4AC0-BBFE-64EE39A36CBA}"/>
            </a:ext>
          </a:extLst>
        </xdr:cNvPr>
        <xdr:cNvSpPr>
          <a:spLocks noChangeAspect="1" noChangeArrowheads="1"/>
        </xdr:cNvSpPr>
      </xdr:nvSpPr>
      <xdr:spPr bwMode="auto">
        <a:xfrm>
          <a:off x="3803650" y="1126998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405</xdr:row>
      <xdr:rowOff>0</xdr:rowOff>
    </xdr:from>
    <xdr:ext cx="304800" cy="304094"/>
    <xdr:sp macro="" textlink="">
      <xdr:nvSpPr>
        <xdr:cNvPr id="1052" name="AutoShape 12">
          <a:extLst>
            <a:ext uri="{FF2B5EF4-FFF2-40B4-BE49-F238E27FC236}">
              <a16:creationId xmlns:a16="http://schemas.microsoft.com/office/drawing/2014/main" id="{17033038-875A-445E-A9CC-1D4275B822B4}"/>
            </a:ext>
          </a:extLst>
        </xdr:cNvPr>
        <xdr:cNvSpPr>
          <a:spLocks noChangeAspect="1" noChangeArrowheads="1"/>
        </xdr:cNvSpPr>
      </xdr:nvSpPr>
      <xdr:spPr bwMode="auto">
        <a:xfrm>
          <a:off x="3803650" y="1128839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394</xdr:row>
      <xdr:rowOff>0</xdr:rowOff>
    </xdr:from>
    <xdr:ext cx="304800" cy="304094"/>
    <xdr:sp macro="" textlink="">
      <xdr:nvSpPr>
        <xdr:cNvPr id="1053" name="AutoShape 12">
          <a:extLst>
            <a:ext uri="{FF2B5EF4-FFF2-40B4-BE49-F238E27FC236}">
              <a16:creationId xmlns:a16="http://schemas.microsoft.com/office/drawing/2014/main" id="{ABEDB097-C65D-4872-971B-48CE926FF4C3}"/>
            </a:ext>
          </a:extLst>
        </xdr:cNvPr>
        <xdr:cNvSpPr>
          <a:spLocks noChangeAspect="1" noChangeArrowheads="1"/>
        </xdr:cNvSpPr>
      </xdr:nvSpPr>
      <xdr:spPr bwMode="auto">
        <a:xfrm>
          <a:off x="3803650" y="1108583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395</xdr:row>
      <xdr:rowOff>0</xdr:rowOff>
    </xdr:from>
    <xdr:ext cx="304800" cy="304094"/>
    <xdr:sp macro="" textlink="">
      <xdr:nvSpPr>
        <xdr:cNvPr id="1054" name="AutoShape 12">
          <a:extLst>
            <a:ext uri="{FF2B5EF4-FFF2-40B4-BE49-F238E27FC236}">
              <a16:creationId xmlns:a16="http://schemas.microsoft.com/office/drawing/2014/main" id="{4D0C0741-BCB6-4F98-8815-1E7A33EAD456}"/>
            </a:ext>
          </a:extLst>
        </xdr:cNvPr>
        <xdr:cNvSpPr>
          <a:spLocks noChangeAspect="1" noChangeArrowheads="1"/>
        </xdr:cNvSpPr>
      </xdr:nvSpPr>
      <xdr:spPr bwMode="auto">
        <a:xfrm>
          <a:off x="3803650" y="1110424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405</xdr:row>
      <xdr:rowOff>0</xdr:rowOff>
    </xdr:from>
    <xdr:ext cx="304800" cy="304094"/>
    <xdr:sp macro="" textlink="">
      <xdr:nvSpPr>
        <xdr:cNvPr id="1055" name="AutoShape 12">
          <a:extLst>
            <a:ext uri="{FF2B5EF4-FFF2-40B4-BE49-F238E27FC236}">
              <a16:creationId xmlns:a16="http://schemas.microsoft.com/office/drawing/2014/main" id="{7BFF82F3-B7C9-45E1-A4D3-5CA937D01BB6}"/>
            </a:ext>
          </a:extLst>
        </xdr:cNvPr>
        <xdr:cNvSpPr>
          <a:spLocks noChangeAspect="1" noChangeArrowheads="1"/>
        </xdr:cNvSpPr>
      </xdr:nvSpPr>
      <xdr:spPr bwMode="auto">
        <a:xfrm>
          <a:off x="3803650" y="1128839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395</xdr:row>
      <xdr:rowOff>0</xdr:rowOff>
    </xdr:from>
    <xdr:ext cx="304800" cy="304094"/>
    <xdr:sp macro="" textlink="">
      <xdr:nvSpPr>
        <xdr:cNvPr id="1056" name="AutoShape 12">
          <a:extLst>
            <a:ext uri="{FF2B5EF4-FFF2-40B4-BE49-F238E27FC236}">
              <a16:creationId xmlns:a16="http://schemas.microsoft.com/office/drawing/2014/main" id="{F0C80C01-8757-4189-8F32-9A508C139B50}"/>
            </a:ext>
          </a:extLst>
        </xdr:cNvPr>
        <xdr:cNvSpPr>
          <a:spLocks noChangeAspect="1" noChangeArrowheads="1"/>
        </xdr:cNvSpPr>
      </xdr:nvSpPr>
      <xdr:spPr bwMode="auto">
        <a:xfrm>
          <a:off x="3803650" y="1110424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396</xdr:row>
      <xdr:rowOff>0</xdr:rowOff>
    </xdr:from>
    <xdr:ext cx="304800" cy="304094"/>
    <xdr:sp macro="" textlink="">
      <xdr:nvSpPr>
        <xdr:cNvPr id="1057" name="AutoShape 12">
          <a:extLst>
            <a:ext uri="{FF2B5EF4-FFF2-40B4-BE49-F238E27FC236}">
              <a16:creationId xmlns:a16="http://schemas.microsoft.com/office/drawing/2014/main" id="{F44E68DD-F6AC-4FD4-8348-41AD3CA366E8}"/>
            </a:ext>
          </a:extLst>
        </xdr:cNvPr>
        <xdr:cNvSpPr>
          <a:spLocks noChangeAspect="1" noChangeArrowheads="1"/>
        </xdr:cNvSpPr>
      </xdr:nvSpPr>
      <xdr:spPr bwMode="auto">
        <a:xfrm>
          <a:off x="3803650" y="1112266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396</xdr:row>
      <xdr:rowOff>0</xdr:rowOff>
    </xdr:from>
    <xdr:ext cx="304800" cy="304094"/>
    <xdr:sp macro="" textlink="">
      <xdr:nvSpPr>
        <xdr:cNvPr id="1058" name="AutoShape 12">
          <a:extLst>
            <a:ext uri="{FF2B5EF4-FFF2-40B4-BE49-F238E27FC236}">
              <a16:creationId xmlns:a16="http://schemas.microsoft.com/office/drawing/2014/main" id="{28C9E439-8CA1-4D5E-9F76-01447C021D68}"/>
            </a:ext>
          </a:extLst>
        </xdr:cNvPr>
        <xdr:cNvSpPr>
          <a:spLocks noChangeAspect="1" noChangeArrowheads="1"/>
        </xdr:cNvSpPr>
      </xdr:nvSpPr>
      <xdr:spPr bwMode="auto">
        <a:xfrm>
          <a:off x="3803650" y="1112266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397</xdr:row>
      <xdr:rowOff>0</xdr:rowOff>
    </xdr:from>
    <xdr:ext cx="304800" cy="304094"/>
    <xdr:sp macro="" textlink="">
      <xdr:nvSpPr>
        <xdr:cNvPr id="1059" name="AutoShape 12">
          <a:extLst>
            <a:ext uri="{FF2B5EF4-FFF2-40B4-BE49-F238E27FC236}">
              <a16:creationId xmlns:a16="http://schemas.microsoft.com/office/drawing/2014/main" id="{14251A4C-FC09-439E-A9FA-5B75ECFA50DD}"/>
            </a:ext>
          </a:extLst>
        </xdr:cNvPr>
        <xdr:cNvSpPr>
          <a:spLocks noChangeAspect="1" noChangeArrowheads="1"/>
        </xdr:cNvSpPr>
      </xdr:nvSpPr>
      <xdr:spPr bwMode="auto">
        <a:xfrm>
          <a:off x="3803650" y="11141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396</xdr:row>
      <xdr:rowOff>0</xdr:rowOff>
    </xdr:from>
    <xdr:ext cx="304800" cy="304094"/>
    <xdr:sp macro="" textlink="">
      <xdr:nvSpPr>
        <xdr:cNvPr id="1060" name="AutoShape 12">
          <a:extLst>
            <a:ext uri="{FF2B5EF4-FFF2-40B4-BE49-F238E27FC236}">
              <a16:creationId xmlns:a16="http://schemas.microsoft.com/office/drawing/2014/main" id="{1536DFBF-972B-407B-83E3-B55C1ECC475E}"/>
            </a:ext>
          </a:extLst>
        </xdr:cNvPr>
        <xdr:cNvSpPr>
          <a:spLocks noChangeAspect="1" noChangeArrowheads="1"/>
        </xdr:cNvSpPr>
      </xdr:nvSpPr>
      <xdr:spPr bwMode="auto">
        <a:xfrm>
          <a:off x="3803650" y="1112266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397</xdr:row>
      <xdr:rowOff>0</xdr:rowOff>
    </xdr:from>
    <xdr:ext cx="304800" cy="304094"/>
    <xdr:sp macro="" textlink="">
      <xdr:nvSpPr>
        <xdr:cNvPr id="1061" name="AutoShape 12">
          <a:extLst>
            <a:ext uri="{FF2B5EF4-FFF2-40B4-BE49-F238E27FC236}">
              <a16:creationId xmlns:a16="http://schemas.microsoft.com/office/drawing/2014/main" id="{24DFFFF9-34F5-4D13-BFB0-2E78B039A552}"/>
            </a:ext>
          </a:extLst>
        </xdr:cNvPr>
        <xdr:cNvSpPr>
          <a:spLocks noChangeAspect="1" noChangeArrowheads="1"/>
        </xdr:cNvSpPr>
      </xdr:nvSpPr>
      <xdr:spPr bwMode="auto">
        <a:xfrm>
          <a:off x="3803650" y="11141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397</xdr:row>
      <xdr:rowOff>0</xdr:rowOff>
    </xdr:from>
    <xdr:ext cx="304800" cy="304094"/>
    <xdr:sp macro="" textlink="">
      <xdr:nvSpPr>
        <xdr:cNvPr id="1062" name="AutoShape 12">
          <a:extLst>
            <a:ext uri="{FF2B5EF4-FFF2-40B4-BE49-F238E27FC236}">
              <a16:creationId xmlns:a16="http://schemas.microsoft.com/office/drawing/2014/main" id="{40DCB85C-F407-437E-8812-DE567861188D}"/>
            </a:ext>
          </a:extLst>
        </xdr:cNvPr>
        <xdr:cNvSpPr>
          <a:spLocks noChangeAspect="1" noChangeArrowheads="1"/>
        </xdr:cNvSpPr>
      </xdr:nvSpPr>
      <xdr:spPr bwMode="auto">
        <a:xfrm>
          <a:off x="3803650" y="11141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398</xdr:row>
      <xdr:rowOff>0</xdr:rowOff>
    </xdr:from>
    <xdr:ext cx="304800" cy="304094"/>
    <xdr:sp macro="" textlink="">
      <xdr:nvSpPr>
        <xdr:cNvPr id="1063" name="AutoShape 12">
          <a:extLst>
            <a:ext uri="{FF2B5EF4-FFF2-40B4-BE49-F238E27FC236}">
              <a16:creationId xmlns:a16="http://schemas.microsoft.com/office/drawing/2014/main" id="{677A7CE4-681D-4397-A717-4DB90B4913FE}"/>
            </a:ext>
          </a:extLst>
        </xdr:cNvPr>
        <xdr:cNvSpPr>
          <a:spLocks noChangeAspect="1" noChangeArrowheads="1"/>
        </xdr:cNvSpPr>
      </xdr:nvSpPr>
      <xdr:spPr bwMode="auto">
        <a:xfrm>
          <a:off x="3803650" y="1115949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317</xdr:row>
      <xdr:rowOff>0</xdr:rowOff>
    </xdr:from>
    <xdr:ext cx="304800" cy="304094"/>
    <xdr:sp macro="" textlink="">
      <xdr:nvSpPr>
        <xdr:cNvPr id="1064" name="AutoShape 12">
          <a:extLst>
            <a:ext uri="{FF2B5EF4-FFF2-40B4-BE49-F238E27FC236}">
              <a16:creationId xmlns:a16="http://schemas.microsoft.com/office/drawing/2014/main" id="{8312EF97-4FFC-4E28-89FA-03097E9C9924}"/>
            </a:ext>
          </a:extLst>
        </xdr:cNvPr>
        <xdr:cNvSpPr>
          <a:spLocks noChangeAspect="1" noChangeArrowheads="1"/>
        </xdr:cNvSpPr>
      </xdr:nvSpPr>
      <xdr:spPr bwMode="auto">
        <a:xfrm>
          <a:off x="3803650" y="96678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351</xdr:row>
      <xdr:rowOff>0</xdr:rowOff>
    </xdr:from>
    <xdr:ext cx="304800" cy="304094"/>
    <xdr:sp macro="" textlink="">
      <xdr:nvSpPr>
        <xdr:cNvPr id="1065" name="AutoShape 12">
          <a:extLst>
            <a:ext uri="{FF2B5EF4-FFF2-40B4-BE49-F238E27FC236}">
              <a16:creationId xmlns:a16="http://schemas.microsoft.com/office/drawing/2014/main" id="{D4188396-E829-4C85-B833-7402D74E0FC6}"/>
            </a:ext>
          </a:extLst>
        </xdr:cNvPr>
        <xdr:cNvSpPr>
          <a:spLocks noChangeAspect="1" noChangeArrowheads="1"/>
        </xdr:cNvSpPr>
      </xdr:nvSpPr>
      <xdr:spPr bwMode="auto">
        <a:xfrm>
          <a:off x="3803650" y="1029398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217</xdr:row>
      <xdr:rowOff>0</xdr:rowOff>
    </xdr:from>
    <xdr:ext cx="304800" cy="304094"/>
    <xdr:sp macro="" textlink="">
      <xdr:nvSpPr>
        <xdr:cNvPr id="1066" name="AutoShape 12">
          <a:extLst>
            <a:ext uri="{FF2B5EF4-FFF2-40B4-BE49-F238E27FC236}">
              <a16:creationId xmlns:a16="http://schemas.microsoft.com/office/drawing/2014/main" id="{D67C9A1D-E11C-4F26-8F18-BAC457507240}"/>
            </a:ext>
          </a:extLst>
        </xdr:cNvPr>
        <xdr:cNvSpPr>
          <a:spLocks noChangeAspect="1" noChangeArrowheads="1"/>
        </xdr:cNvSpPr>
      </xdr:nvSpPr>
      <xdr:spPr bwMode="auto">
        <a:xfrm>
          <a:off x="3803650" y="78263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218</xdr:row>
      <xdr:rowOff>0</xdr:rowOff>
    </xdr:from>
    <xdr:ext cx="304800" cy="304094"/>
    <xdr:sp macro="" textlink="">
      <xdr:nvSpPr>
        <xdr:cNvPr id="1067" name="AutoShape 12">
          <a:extLst>
            <a:ext uri="{FF2B5EF4-FFF2-40B4-BE49-F238E27FC236}">
              <a16:creationId xmlns:a16="http://schemas.microsoft.com/office/drawing/2014/main" id="{7A3815EF-004F-4587-AF19-63B60055F01A}"/>
            </a:ext>
          </a:extLst>
        </xdr:cNvPr>
        <xdr:cNvSpPr>
          <a:spLocks noChangeAspect="1" noChangeArrowheads="1"/>
        </xdr:cNvSpPr>
      </xdr:nvSpPr>
      <xdr:spPr bwMode="auto">
        <a:xfrm>
          <a:off x="3803650" y="784479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228</xdr:row>
      <xdr:rowOff>0</xdr:rowOff>
    </xdr:from>
    <xdr:ext cx="304800" cy="304094"/>
    <xdr:sp macro="" textlink="">
      <xdr:nvSpPr>
        <xdr:cNvPr id="1068" name="AutoShape 12">
          <a:extLst>
            <a:ext uri="{FF2B5EF4-FFF2-40B4-BE49-F238E27FC236}">
              <a16:creationId xmlns:a16="http://schemas.microsoft.com/office/drawing/2014/main" id="{496F2ED1-4BAF-4A96-A7CC-28EC9B250357}"/>
            </a:ext>
          </a:extLst>
        </xdr:cNvPr>
        <xdr:cNvSpPr>
          <a:spLocks noChangeAspect="1" noChangeArrowheads="1"/>
        </xdr:cNvSpPr>
      </xdr:nvSpPr>
      <xdr:spPr bwMode="auto">
        <a:xfrm>
          <a:off x="3803650" y="802894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229</xdr:row>
      <xdr:rowOff>0</xdr:rowOff>
    </xdr:from>
    <xdr:ext cx="304800" cy="304094"/>
    <xdr:sp macro="" textlink="">
      <xdr:nvSpPr>
        <xdr:cNvPr id="1069" name="AutoShape 12">
          <a:extLst>
            <a:ext uri="{FF2B5EF4-FFF2-40B4-BE49-F238E27FC236}">
              <a16:creationId xmlns:a16="http://schemas.microsoft.com/office/drawing/2014/main" id="{50064CAD-D8FE-4BA9-85D6-6D14C3D52D1D}"/>
            </a:ext>
          </a:extLst>
        </xdr:cNvPr>
        <xdr:cNvSpPr>
          <a:spLocks noChangeAspect="1" noChangeArrowheads="1"/>
        </xdr:cNvSpPr>
      </xdr:nvSpPr>
      <xdr:spPr bwMode="auto">
        <a:xfrm>
          <a:off x="3803650" y="804735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218</xdr:row>
      <xdr:rowOff>0</xdr:rowOff>
    </xdr:from>
    <xdr:ext cx="304800" cy="304094"/>
    <xdr:sp macro="" textlink="">
      <xdr:nvSpPr>
        <xdr:cNvPr id="1070" name="AutoShape 12">
          <a:extLst>
            <a:ext uri="{FF2B5EF4-FFF2-40B4-BE49-F238E27FC236}">
              <a16:creationId xmlns:a16="http://schemas.microsoft.com/office/drawing/2014/main" id="{F142F599-0008-4643-9B5B-A140D626C8DE}"/>
            </a:ext>
          </a:extLst>
        </xdr:cNvPr>
        <xdr:cNvSpPr>
          <a:spLocks noChangeAspect="1" noChangeArrowheads="1"/>
        </xdr:cNvSpPr>
      </xdr:nvSpPr>
      <xdr:spPr bwMode="auto">
        <a:xfrm>
          <a:off x="3803650" y="784479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219</xdr:row>
      <xdr:rowOff>0</xdr:rowOff>
    </xdr:from>
    <xdr:ext cx="304800" cy="304094"/>
    <xdr:sp macro="" textlink="">
      <xdr:nvSpPr>
        <xdr:cNvPr id="1071" name="AutoShape 12">
          <a:extLst>
            <a:ext uri="{FF2B5EF4-FFF2-40B4-BE49-F238E27FC236}">
              <a16:creationId xmlns:a16="http://schemas.microsoft.com/office/drawing/2014/main" id="{5BE38017-548F-4986-B58F-7AF927D0F5C4}"/>
            </a:ext>
          </a:extLst>
        </xdr:cNvPr>
        <xdr:cNvSpPr>
          <a:spLocks noChangeAspect="1" noChangeArrowheads="1"/>
        </xdr:cNvSpPr>
      </xdr:nvSpPr>
      <xdr:spPr bwMode="auto">
        <a:xfrm>
          <a:off x="3803650" y="786320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229</xdr:row>
      <xdr:rowOff>0</xdr:rowOff>
    </xdr:from>
    <xdr:ext cx="304800" cy="304094"/>
    <xdr:sp macro="" textlink="">
      <xdr:nvSpPr>
        <xdr:cNvPr id="1072" name="AutoShape 12">
          <a:extLst>
            <a:ext uri="{FF2B5EF4-FFF2-40B4-BE49-F238E27FC236}">
              <a16:creationId xmlns:a16="http://schemas.microsoft.com/office/drawing/2014/main" id="{F8902C8D-38D8-4523-9E48-C40BA13956E1}"/>
            </a:ext>
          </a:extLst>
        </xdr:cNvPr>
        <xdr:cNvSpPr>
          <a:spLocks noChangeAspect="1" noChangeArrowheads="1"/>
        </xdr:cNvSpPr>
      </xdr:nvSpPr>
      <xdr:spPr bwMode="auto">
        <a:xfrm>
          <a:off x="3803650" y="804735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230</xdr:row>
      <xdr:rowOff>0</xdr:rowOff>
    </xdr:from>
    <xdr:ext cx="304800" cy="304094"/>
    <xdr:sp macro="" textlink="">
      <xdr:nvSpPr>
        <xdr:cNvPr id="1073" name="AutoShape 12">
          <a:extLst>
            <a:ext uri="{FF2B5EF4-FFF2-40B4-BE49-F238E27FC236}">
              <a16:creationId xmlns:a16="http://schemas.microsoft.com/office/drawing/2014/main" id="{D57E45E2-DD58-4221-84D5-D45B0FDD0922}"/>
            </a:ext>
          </a:extLst>
        </xdr:cNvPr>
        <xdr:cNvSpPr>
          <a:spLocks noChangeAspect="1" noChangeArrowheads="1"/>
        </xdr:cNvSpPr>
      </xdr:nvSpPr>
      <xdr:spPr bwMode="auto">
        <a:xfrm>
          <a:off x="3803650" y="806577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286</xdr:row>
      <xdr:rowOff>0</xdr:rowOff>
    </xdr:from>
    <xdr:ext cx="304800" cy="304094"/>
    <xdr:sp macro="" textlink="">
      <xdr:nvSpPr>
        <xdr:cNvPr id="1074" name="AutoShape 12">
          <a:extLst>
            <a:ext uri="{FF2B5EF4-FFF2-40B4-BE49-F238E27FC236}">
              <a16:creationId xmlns:a16="http://schemas.microsoft.com/office/drawing/2014/main" id="{B8CDAB90-A70C-491C-A773-06FC52058029}"/>
            </a:ext>
          </a:extLst>
        </xdr:cNvPr>
        <xdr:cNvSpPr>
          <a:spLocks noChangeAspect="1" noChangeArrowheads="1"/>
        </xdr:cNvSpPr>
      </xdr:nvSpPr>
      <xdr:spPr bwMode="auto">
        <a:xfrm>
          <a:off x="3803650" y="909701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287</xdr:row>
      <xdr:rowOff>0</xdr:rowOff>
    </xdr:from>
    <xdr:ext cx="304800" cy="304094"/>
    <xdr:sp macro="" textlink="">
      <xdr:nvSpPr>
        <xdr:cNvPr id="1075" name="AutoShape 12">
          <a:extLst>
            <a:ext uri="{FF2B5EF4-FFF2-40B4-BE49-F238E27FC236}">
              <a16:creationId xmlns:a16="http://schemas.microsoft.com/office/drawing/2014/main" id="{9BC17A15-5D08-4EC4-8C45-653747F29A1B}"/>
            </a:ext>
          </a:extLst>
        </xdr:cNvPr>
        <xdr:cNvSpPr>
          <a:spLocks noChangeAspect="1" noChangeArrowheads="1"/>
        </xdr:cNvSpPr>
      </xdr:nvSpPr>
      <xdr:spPr bwMode="auto">
        <a:xfrm>
          <a:off x="3803650" y="911542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297</xdr:row>
      <xdr:rowOff>0</xdr:rowOff>
    </xdr:from>
    <xdr:ext cx="304800" cy="304094"/>
    <xdr:sp macro="" textlink="">
      <xdr:nvSpPr>
        <xdr:cNvPr id="1076" name="AutoShape 12">
          <a:extLst>
            <a:ext uri="{FF2B5EF4-FFF2-40B4-BE49-F238E27FC236}">
              <a16:creationId xmlns:a16="http://schemas.microsoft.com/office/drawing/2014/main" id="{DED8E483-610C-48F3-B3E8-49EC67DE4E29}"/>
            </a:ext>
          </a:extLst>
        </xdr:cNvPr>
        <xdr:cNvSpPr>
          <a:spLocks noChangeAspect="1" noChangeArrowheads="1"/>
        </xdr:cNvSpPr>
      </xdr:nvSpPr>
      <xdr:spPr bwMode="auto">
        <a:xfrm>
          <a:off x="3803650" y="92995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298</xdr:row>
      <xdr:rowOff>0</xdr:rowOff>
    </xdr:from>
    <xdr:ext cx="304800" cy="304094"/>
    <xdr:sp macro="" textlink="">
      <xdr:nvSpPr>
        <xdr:cNvPr id="1077" name="AutoShape 12">
          <a:extLst>
            <a:ext uri="{FF2B5EF4-FFF2-40B4-BE49-F238E27FC236}">
              <a16:creationId xmlns:a16="http://schemas.microsoft.com/office/drawing/2014/main" id="{4F8FA9CC-99D9-4146-8360-1AF22253EC66}"/>
            </a:ext>
          </a:extLst>
        </xdr:cNvPr>
        <xdr:cNvSpPr>
          <a:spLocks noChangeAspect="1" noChangeArrowheads="1"/>
        </xdr:cNvSpPr>
      </xdr:nvSpPr>
      <xdr:spPr bwMode="auto">
        <a:xfrm>
          <a:off x="3803650" y="931799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287</xdr:row>
      <xdr:rowOff>0</xdr:rowOff>
    </xdr:from>
    <xdr:ext cx="304800" cy="304094"/>
    <xdr:sp macro="" textlink="">
      <xdr:nvSpPr>
        <xdr:cNvPr id="1078" name="AutoShape 12">
          <a:extLst>
            <a:ext uri="{FF2B5EF4-FFF2-40B4-BE49-F238E27FC236}">
              <a16:creationId xmlns:a16="http://schemas.microsoft.com/office/drawing/2014/main" id="{CE9B0D72-F56A-412A-9A1C-33B41744FE25}"/>
            </a:ext>
          </a:extLst>
        </xdr:cNvPr>
        <xdr:cNvSpPr>
          <a:spLocks noChangeAspect="1" noChangeArrowheads="1"/>
        </xdr:cNvSpPr>
      </xdr:nvSpPr>
      <xdr:spPr bwMode="auto">
        <a:xfrm>
          <a:off x="3803650" y="911542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288</xdr:row>
      <xdr:rowOff>0</xdr:rowOff>
    </xdr:from>
    <xdr:ext cx="304800" cy="304094"/>
    <xdr:sp macro="" textlink="">
      <xdr:nvSpPr>
        <xdr:cNvPr id="1079" name="AutoShape 12">
          <a:extLst>
            <a:ext uri="{FF2B5EF4-FFF2-40B4-BE49-F238E27FC236}">
              <a16:creationId xmlns:a16="http://schemas.microsoft.com/office/drawing/2014/main" id="{976198F9-658E-4485-9794-EAABCC3777BD}"/>
            </a:ext>
          </a:extLst>
        </xdr:cNvPr>
        <xdr:cNvSpPr>
          <a:spLocks noChangeAspect="1" noChangeArrowheads="1"/>
        </xdr:cNvSpPr>
      </xdr:nvSpPr>
      <xdr:spPr bwMode="auto">
        <a:xfrm>
          <a:off x="3803650" y="913384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298</xdr:row>
      <xdr:rowOff>0</xdr:rowOff>
    </xdr:from>
    <xdr:ext cx="304800" cy="304094"/>
    <xdr:sp macro="" textlink="">
      <xdr:nvSpPr>
        <xdr:cNvPr id="1080" name="AutoShape 12">
          <a:extLst>
            <a:ext uri="{FF2B5EF4-FFF2-40B4-BE49-F238E27FC236}">
              <a16:creationId xmlns:a16="http://schemas.microsoft.com/office/drawing/2014/main" id="{6785FE35-EEE2-4DB2-ADDA-32282073051E}"/>
            </a:ext>
          </a:extLst>
        </xdr:cNvPr>
        <xdr:cNvSpPr>
          <a:spLocks noChangeAspect="1" noChangeArrowheads="1"/>
        </xdr:cNvSpPr>
      </xdr:nvSpPr>
      <xdr:spPr bwMode="auto">
        <a:xfrm>
          <a:off x="3803650" y="931799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299</xdr:row>
      <xdr:rowOff>0</xdr:rowOff>
    </xdr:from>
    <xdr:ext cx="304800" cy="304094"/>
    <xdr:sp macro="" textlink="">
      <xdr:nvSpPr>
        <xdr:cNvPr id="1081" name="AutoShape 12">
          <a:extLst>
            <a:ext uri="{FF2B5EF4-FFF2-40B4-BE49-F238E27FC236}">
              <a16:creationId xmlns:a16="http://schemas.microsoft.com/office/drawing/2014/main" id="{8CA1BD3E-4284-4A99-B13D-7A6B7FB0E5F9}"/>
            </a:ext>
          </a:extLst>
        </xdr:cNvPr>
        <xdr:cNvSpPr>
          <a:spLocks noChangeAspect="1" noChangeArrowheads="1"/>
        </xdr:cNvSpPr>
      </xdr:nvSpPr>
      <xdr:spPr bwMode="auto">
        <a:xfrm>
          <a:off x="3803650" y="933640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244</xdr:row>
      <xdr:rowOff>0</xdr:rowOff>
    </xdr:from>
    <xdr:ext cx="304800" cy="304094"/>
    <xdr:sp macro="" textlink="">
      <xdr:nvSpPr>
        <xdr:cNvPr id="1082" name="AutoShape 12">
          <a:extLst>
            <a:ext uri="{FF2B5EF4-FFF2-40B4-BE49-F238E27FC236}">
              <a16:creationId xmlns:a16="http://schemas.microsoft.com/office/drawing/2014/main" id="{B706A13E-533E-4774-96EE-5055953652EB}"/>
            </a:ext>
          </a:extLst>
        </xdr:cNvPr>
        <xdr:cNvSpPr>
          <a:spLocks noChangeAspect="1" noChangeArrowheads="1"/>
        </xdr:cNvSpPr>
      </xdr:nvSpPr>
      <xdr:spPr bwMode="auto">
        <a:xfrm>
          <a:off x="3803650" y="832358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245</xdr:row>
      <xdr:rowOff>0</xdr:rowOff>
    </xdr:from>
    <xdr:ext cx="304800" cy="304094"/>
    <xdr:sp macro="" textlink="">
      <xdr:nvSpPr>
        <xdr:cNvPr id="1083" name="AutoShape 12">
          <a:extLst>
            <a:ext uri="{FF2B5EF4-FFF2-40B4-BE49-F238E27FC236}">
              <a16:creationId xmlns:a16="http://schemas.microsoft.com/office/drawing/2014/main" id="{592D52DD-F897-4171-B125-3E51B22762B8}"/>
            </a:ext>
          </a:extLst>
        </xdr:cNvPr>
        <xdr:cNvSpPr>
          <a:spLocks noChangeAspect="1" noChangeArrowheads="1"/>
        </xdr:cNvSpPr>
      </xdr:nvSpPr>
      <xdr:spPr bwMode="auto">
        <a:xfrm>
          <a:off x="3803650" y="834199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255</xdr:row>
      <xdr:rowOff>0</xdr:rowOff>
    </xdr:from>
    <xdr:ext cx="304800" cy="304094"/>
    <xdr:sp macro="" textlink="">
      <xdr:nvSpPr>
        <xdr:cNvPr id="1084" name="AutoShape 12">
          <a:extLst>
            <a:ext uri="{FF2B5EF4-FFF2-40B4-BE49-F238E27FC236}">
              <a16:creationId xmlns:a16="http://schemas.microsoft.com/office/drawing/2014/main" id="{EECD2C05-D799-47E0-8DE8-B3F2F8564652}"/>
            </a:ext>
          </a:extLst>
        </xdr:cNvPr>
        <xdr:cNvSpPr>
          <a:spLocks noChangeAspect="1" noChangeArrowheads="1"/>
        </xdr:cNvSpPr>
      </xdr:nvSpPr>
      <xdr:spPr bwMode="auto">
        <a:xfrm>
          <a:off x="3803650" y="852614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256</xdr:row>
      <xdr:rowOff>0</xdr:rowOff>
    </xdr:from>
    <xdr:ext cx="304800" cy="304094"/>
    <xdr:sp macro="" textlink="">
      <xdr:nvSpPr>
        <xdr:cNvPr id="1085" name="AutoShape 12">
          <a:extLst>
            <a:ext uri="{FF2B5EF4-FFF2-40B4-BE49-F238E27FC236}">
              <a16:creationId xmlns:a16="http://schemas.microsoft.com/office/drawing/2014/main" id="{E782CFC7-D48B-41B5-AC8F-4A38FD97AA72}"/>
            </a:ext>
          </a:extLst>
        </xdr:cNvPr>
        <xdr:cNvSpPr>
          <a:spLocks noChangeAspect="1" noChangeArrowheads="1"/>
        </xdr:cNvSpPr>
      </xdr:nvSpPr>
      <xdr:spPr bwMode="auto">
        <a:xfrm>
          <a:off x="3803650" y="854456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245</xdr:row>
      <xdr:rowOff>0</xdr:rowOff>
    </xdr:from>
    <xdr:ext cx="304800" cy="304094"/>
    <xdr:sp macro="" textlink="">
      <xdr:nvSpPr>
        <xdr:cNvPr id="1086" name="AutoShape 12">
          <a:extLst>
            <a:ext uri="{FF2B5EF4-FFF2-40B4-BE49-F238E27FC236}">
              <a16:creationId xmlns:a16="http://schemas.microsoft.com/office/drawing/2014/main" id="{E39D67D2-F21B-4EE8-9A8F-4F74E5C249F5}"/>
            </a:ext>
          </a:extLst>
        </xdr:cNvPr>
        <xdr:cNvSpPr>
          <a:spLocks noChangeAspect="1" noChangeArrowheads="1"/>
        </xdr:cNvSpPr>
      </xdr:nvSpPr>
      <xdr:spPr bwMode="auto">
        <a:xfrm>
          <a:off x="3803650" y="834199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246</xdr:row>
      <xdr:rowOff>0</xdr:rowOff>
    </xdr:from>
    <xdr:ext cx="304800" cy="304094"/>
    <xdr:sp macro="" textlink="">
      <xdr:nvSpPr>
        <xdr:cNvPr id="1087" name="AutoShape 12">
          <a:extLst>
            <a:ext uri="{FF2B5EF4-FFF2-40B4-BE49-F238E27FC236}">
              <a16:creationId xmlns:a16="http://schemas.microsoft.com/office/drawing/2014/main" id="{26DD6F88-25CC-44BD-AD9C-D37A254437E7}"/>
            </a:ext>
          </a:extLst>
        </xdr:cNvPr>
        <xdr:cNvSpPr>
          <a:spLocks noChangeAspect="1" noChangeArrowheads="1"/>
        </xdr:cNvSpPr>
      </xdr:nvSpPr>
      <xdr:spPr bwMode="auto">
        <a:xfrm>
          <a:off x="3803650" y="836041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256</xdr:row>
      <xdr:rowOff>0</xdr:rowOff>
    </xdr:from>
    <xdr:ext cx="304800" cy="304094"/>
    <xdr:sp macro="" textlink="">
      <xdr:nvSpPr>
        <xdr:cNvPr id="1088" name="AutoShape 12">
          <a:extLst>
            <a:ext uri="{FF2B5EF4-FFF2-40B4-BE49-F238E27FC236}">
              <a16:creationId xmlns:a16="http://schemas.microsoft.com/office/drawing/2014/main" id="{E45A62CB-FDC7-44F0-8EAE-D42D71C868FF}"/>
            </a:ext>
          </a:extLst>
        </xdr:cNvPr>
        <xdr:cNvSpPr>
          <a:spLocks noChangeAspect="1" noChangeArrowheads="1"/>
        </xdr:cNvSpPr>
      </xdr:nvSpPr>
      <xdr:spPr bwMode="auto">
        <a:xfrm>
          <a:off x="3803650" y="854456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257</xdr:row>
      <xdr:rowOff>0</xdr:rowOff>
    </xdr:from>
    <xdr:ext cx="304800" cy="304094"/>
    <xdr:sp macro="" textlink="">
      <xdr:nvSpPr>
        <xdr:cNvPr id="1089" name="AutoShape 12">
          <a:extLst>
            <a:ext uri="{FF2B5EF4-FFF2-40B4-BE49-F238E27FC236}">
              <a16:creationId xmlns:a16="http://schemas.microsoft.com/office/drawing/2014/main" id="{143EFA1B-D716-42D7-BE36-36A11F6FF526}"/>
            </a:ext>
          </a:extLst>
        </xdr:cNvPr>
        <xdr:cNvSpPr>
          <a:spLocks noChangeAspect="1" noChangeArrowheads="1"/>
        </xdr:cNvSpPr>
      </xdr:nvSpPr>
      <xdr:spPr bwMode="auto">
        <a:xfrm>
          <a:off x="3803650" y="85629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313</xdr:row>
      <xdr:rowOff>0</xdr:rowOff>
    </xdr:from>
    <xdr:ext cx="304800" cy="304094"/>
    <xdr:sp macro="" textlink="">
      <xdr:nvSpPr>
        <xdr:cNvPr id="1090" name="AutoShape 12">
          <a:extLst>
            <a:ext uri="{FF2B5EF4-FFF2-40B4-BE49-F238E27FC236}">
              <a16:creationId xmlns:a16="http://schemas.microsoft.com/office/drawing/2014/main" id="{691255C3-B442-4AEB-8FE6-7A472B206CFE}"/>
            </a:ext>
          </a:extLst>
        </xdr:cNvPr>
        <xdr:cNvSpPr>
          <a:spLocks noChangeAspect="1" noChangeArrowheads="1"/>
        </xdr:cNvSpPr>
      </xdr:nvSpPr>
      <xdr:spPr bwMode="auto">
        <a:xfrm>
          <a:off x="3803650" y="95942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314</xdr:row>
      <xdr:rowOff>0</xdr:rowOff>
    </xdr:from>
    <xdr:ext cx="304800" cy="304094"/>
    <xdr:sp macro="" textlink="">
      <xdr:nvSpPr>
        <xdr:cNvPr id="1091" name="AutoShape 12">
          <a:extLst>
            <a:ext uri="{FF2B5EF4-FFF2-40B4-BE49-F238E27FC236}">
              <a16:creationId xmlns:a16="http://schemas.microsoft.com/office/drawing/2014/main" id="{A6B3D0C0-0B60-45AB-AA06-B3341CE67AFF}"/>
            </a:ext>
          </a:extLst>
        </xdr:cNvPr>
        <xdr:cNvSpPr>
          <a:spLocks noChangeAspect="1" noChangeArrowheads="1"/>
        </xdr:cNvSpPr>
      </xdr:nvSpPr>
      <xdr:spPr bwMode="auto">
        <a:xfrm>
          <a:off x="3803650" y="961263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324</xdr:row>
      <xdr:rowOff>0</xdr:rowOff>
    </xdr:from>
    <xdr:ext cx="304800" cy="304094"/>
    <xdr:sp macro="" textlink="">
      <xdr:nvSpPr>
        <xdr:cNvPr id="1092" name="AutoShape 12">
          <a:extLst>
            <a:ext uri="{FF2B5EF4-FFF2-40B4-BE49-F238E27FC236}">
              <a16:creationId xmlns:a16="http://schemas.microsoft.com/office/drawing/2014/main" id="{F6740000-0492-4141-AC14-45C17C052239}"/>
            </a:ext>
          </a:extLst>
        </xdr:cNvPr>
        <xdr:cNvSpPr>
          <a:spLocks noChangeAspect="1" noChangeArrowheads="1"/>
        </xdr:cNvSpPr>
      </xdr:nvSpPr>
      <xdr:spPr bwMode="auto">
        <a:xfrm>
          <a:off x="3803650" y="979678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325</xdr:row>
      <xdr:rowOff>0</xdr:rowOff>
    </xdr:from>
    <xdr:ext cx="304800" cy="304094"/>
    <xdr:sp macro="" textlink="">
      <xdr:nvSpPr>
        <xdr:cNvPr id="1093" name="AutoShape 12">
          <a:extLst>
            <a:ext uri="{FF2B5EF4-FFF2-40B4-BE49-F238E27FC236}">
              <a16:creationId xmlns:a16="http://schemas.microsoft.com/office/drawing/2014/main" id="{0951BCC8-5E72-436C-B513-EE136E0C77F6}"/>
            </a:ext>
          </a:extLst>
        </xdr:cNvPr>
        <xdr:cNvSpPr>
          <a:spLocks noChangeAspect="1" noChangeArrowheads="1"/>
        </xdr:cNvSpPr>
      </xdr:nvSpPr>
      <xdr:spPr bwMode="auto">
        <a:xfrm>
          <a:off x="3803650" y="981519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314</xdr:row>
      <xdr:rowOff>0</xdr:rowOff>
    </xdr:from>
    <xdr:ext cx="304800" cy="304094"/>
    <xdr:sp macro="" textlink="">
      <xdr:nvSpPr>
        <xdr:cNvPr id="1094" name="AutoShape 12">
          <a:extLst>
            <a:ext uri="{FF2B5EF4-FFF2-40B4-BE49-F238E27FC236}">
              <a16:creationId xmlns:a16="http://schemas.microsoft.com/office/drawing/2014/main" id="{E5522644-B0E5-4411-84D4-FD583EC1C2A2}"/>
            </a:ext>
          </a:extLst>
        </xdr:cNvPr>
        <xdr:cNvSpPr>
          <a:spLocks noChangeAspect="1" noChangeArrowheads="1"/>
        </xdr:cNvSpPr>
      </xdr:nvSpPr>
      <xdr:spPr bwMode="auto">
        <a:xfrm>
          <a:off x="3803650" y="961263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315</xdr:row>
      <xdr:rowOff>0</xdr:rowOff>
    </xdr:from>
    <xdr:ext cx="304800" cy="304094"/>
    <xdr:sp macro="" textlink="">
      <xdr:nvSpPr>
        <xdr:cNvPr id="1095" name="AutoShape 12">
          <a:extLst>
            <a:ext uri="{FF2B5EF4-FFF2-40B4-BE49-F238E27FC236}">
              <a16:creationId xmlns:a16="http://schemas.microsoft.com/office/drawing/2014/main" id="{D02FB614-F86D-419B-8205-D658D641D4CF}"/>
            </a:ext>
          </a:extLst>
        </xdr:cNvPr>
        <xdr:cNvSpPr>
          <a:spLocks noChangeAspect="1" noChangeArrowheads="1"/>
        </xdr:cNvSpPr>
      </xdr:nvSpPr>
      <xdr:spPr bwMode="auto">
        <a:xfrm>
          <a:off x="3803650" y="963104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325</xdr:row>
      <xdr:rowOff>0</xdr:rowOff>
    </xdr:from>
    <xdr:ext cx="304800" cy="304094"/>
    <xdr:sp macro="" textlink="">
      <xdr:nvSpPr>
        <xdr:cNvPr id="1096" name="AutoShape 12">
          <a:extLst>
            <a:ext uri="{FF2B5EF4-FFF2-40B4-BE49-F238E27FC236}">
              <a16:creationId xmlns:a16="http://schemas.microsoft.com/office/drawing/2014/main" id="{14507E35-DF7C-4781-A9B0-A862C7071741}"/>
            </a:ext>
          </a:extLst>
        </xdr:cNvPr>
        <xdr:cNvSpPr>
          <a:spLocks noChangeAspect="1" noChangeArrowheads="1"/>
        </xdr:cNvSpPr>
      </xdr:nvSpPr>
      <xdr:spPr bwMode="auto">
        <a:xfrm>
          <a:off x="3803650" y="981519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326</xdr:row>
      <xdr:rowOff>0</xdr:rowOff>
    </xdr:from>
    <xdr:ext cx="304800" cy="304094"/>
    <xdr:sp macro="" textlink="">
      <xdr:nvSpPr>
        <xdr:cNvPr id="1097" name="AutoShape 12">
          <a:extLst>
            <a:ext uri="{FF2B5EF4-FFF2-40B4-BE49-F238E27FC236}">
              <a16:creationId xmlns:a16="http://schemas.microsoft.com/office/drawing/2014/main" id="{1014AA51-8CEC-4ED8-B274-AE48BF20B977}"/>
            </a:ext>
          </a:extLst>
        </xdr:cNvPr>
        <xdr:cNvSpPr>
          <a:spLocks noChangeAspect="1" noChangeArrowheads="1"/>
        </xdr:cNvSpPr>
      </xdr:nvSpPr>
      <xdr:spPr bwMode="auto">
        <a:xfrm>
          <a:off x="3803650" y="983361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246</xdr:row>
      <xdr:rowOff>0</xdr:rowOff>
    </xdr:from>
    <xdr:ext cx="304800" cy="304094"/>
    <xdr:sp macro="" textlink="">
      <xdr:nvSpPr>
        <xdr:cNvPr id="1098" name="AutoShape 12">
          <a:extLst>
            <a:ext uri="{FF2B5EF4-FFF2-40B4-BE49-F238E27FC236}">
              <a16:creationId xmlns:a16="http://schemas.microsoft.com/office/drawing/2014/main" id="{56C789BD-D909-4A8E-9476-31303CA8AA3A}"/>
            </a:ext>
          </a:extLst>
        </xdr:cNvPr>
        <xdr:cNvSpPr>
          <a:spLocks noChangeAspect="1" noChangeArrowheads="1"/>
        </xdr:cNvSpPr>
      </xdr:nvSpPr>
      <xdr:spPr bwMode="auto">
        <a:xfrm>
          <a:off x="3803650" y="836041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247</xdr:row>
      <xdr:rowOff>0</xdr:rowOff>
    </xdr:from>
    <xdr:ext cx="304800" cy="304094"/>
    <xdr:sp macro="" textlink="">
      <xdr:nvSpPr>
        <xdr:cNvPr id="1099" name="AutoShape 12">
          <a:extLst>
            <a:ext uri="{FF2B5EF4-FFF2-40B4-BE49-F238E27FC236}">
              <a16:creationId xmlns:a16="http://schemas.microsoft.com/office/drawing/2014/main" id="{F6BB57A4-922B-4535-AB12-F0345A65BADE}"/>
            </a:ext>
          </a:extLst>
        </xdr:cNvPr>
        <xdr:cNvSpPr>
          <a:spLocks noChangeAspect="1" noChangeArrowheads="1"/>
        </xdr:cNvSpPr>
      </xdr:nvSpPr>
      <xdr:spPr bwMode="auto">
        <a:xfrm>
          <a:off x="3803650" y="837882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257</xdr:row>
      <xdr:rowOff>0</xdr:rowOff>
    </xdr:from>
    <xdr:ext cx="304800" cy="304094"/>
    <xdr:sp macro="" textlink="">
      <xdr:nvSpPr>
        <xdr:cNvPr id="1100" name="AutoShape 12">
          <a:extLst>
            <a:ext uri="{FF2B5EF4-FFF2-40B4-BE49-F238E27FC236}">
              <a16:creationId xmlns:a16="http://schemas.microsoft.com/office/drawing/2014/main" id="{9673FC17-083C-4C3F-B79D-82E53CBE4CA6}"/>
            </a:ext>
          </a:extLst>
        </xdr:cNvPr>
        <xdr:cNvSpPr>
          <a:spLocks noChangeAspect="1" noChangeArrowheads="1"/>
        </xdr:cNvSpPr>
      </xdr:nvSpPr>
      <xdr:spPr bwMode="auto">
        <a:xfrm>
          <a:off x="3803650" y="85629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258</xdr:row>
      <xdr:rowOff>0</xdr:rowOff>
    </xdr:from>
    <xdr:ext cx="304800" cy="304094"/>
    <xdr:sp macro="" textlink="">
      <xdr:nvSpPr>
        <xdr:cNvPr id="1101" name="AutoShape 12">
          <a:extLst>
            <a:ext uri="{FF2B5EF4-FFF2-40B4-BE49-F238E27FC236}">
              <a16:creationId xmlns:a16="http://schemas.microsoft.com/office/drawing/2014/main" id="{17A39E50-4C8E-4A3E-945B-F75FDFE833CE}"/>
            </a:ext>
          </a:extLst>
        </xdr:cNvPr>
        <xdr:cNvSpPr>
          <a:spLocks noChangeAspect="1" noChangeArrowheads="1"/>
        </xdr:cNvSpPr>
      </xdr:nvSpPr>
      <xdr:spPr bwMode="auto">
        <a:xfrm>
          <a:off x="3803650" y="858139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247</xdr:row>
      <xdr:rowOff>0</xdr:rowOff>
    </xdr:from>
    <xdr:ext cx="304800" cy="304094"/>
    <xdr:sp macro="" textlink="">
      <xdr:nvSpPr>
        <xdr:cNvPr id="1102" name="AutoShape 12">
          <a:extLst>
            <a:ext uri="{FF2B5EF4-FFF2-40B4-BE49-F238E27FC236}">
              <a16:creationId xmlns:a16="http://schemas.microsoft.com/office/drawing/2014/main" id="{1D042F98-7CF3-45A4-8C15-0B3416B2FDEA}"/>
            </a:ext>
          </a:extLst>
        </xdr:cNvPr>
        <xdr:cNvSpPr>
          <a:spLocks noChangeAspect="1" noChangeArrowheads="1"/>
        </xdr:cNvSpPr>
      </xdr:nvSpPr>
      <xdr:spPr bwMode="auto">
        <a:xfrm>
          <a:off x="3803650" y="837882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248</xdr:row>
      <xdr:rowOff>0</xdr:rowOff>
    </xdr:from>
    <xdr:ext cx="304800" cy="304094"/>
    <xdr:sp macro="" textlink="">
      <xdr:nvSpPr>
        <xdr:cNvPr id="1103" name="AutoShape 12">
          <a:extLst>
            <a:ext uri="{FF2B5EF4-FFF2-40B4-BE49-F238E27FC236}">
              <a16:creationId xmlns:a16="http://schemas.microsoft.com/office/drawing/2014/main" id="{D3E8D18B-5706-49E6-B0C6-9B12344630FB}"/>
            </a:ext>
          </a:extLst>
        </xdr:cNvPr>
        <xdr:cNvSpPr>
          <a:spLocks noChangeAspect="1" noChangeArrowheads="1"/>
        </xdr:cNvSpPr>
      </xdr:nvSpPr>
      <xdr:spPr bwMode="auto">
        <a:xfrm>
          <a:off x="3803650" y="839724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258</xdr:row>
      <xdr:rowOff>0</xdr:rowOff>
    </xdr:from>
    <xdr:ext cx="304800" cy="304094"/>
    <xdr:sp macro="" textlink="">
      <xdr:nvSpPr>
        <xdr:cNvPr id="1104" name="AutoShape 12">
          <a:extLst>
            <a:ext uri="{FF2B5EF4-FFF2-40B4-BE49-F238E27FC236}">
              <a16:creationId xmlns:a16="http://schemas.microsoft.com/office/drawing/2014/main" id="{77C8BB4A-99A5-4526-A7E3-AD7C14B57E08}"/>
            </a:ext>
          </a:extLst>
        </xdr:cNvPr>
        <xdr:cNvSpPr>
          <a:spLocks noChangeAspect="1" noChangeArrowheads="1"/>
        </xdr:cNvSpPr>
      </xdr:nvSpPr>
      <xdr:spPr bwMode="auto">
        <a:xfrm>
          <a:off x="3803650" y="858139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259</xdr:row>
      <xdr:rowOff>0</xdr:rowOff>
    </xdr:from>
    <xdr:ext cx="304800" cy="304094"/>
    <xdr:sp macro="" textlink="">
      <xdr:nvSpPr>
        <xdr:cNvPr id="1105" name="AutoShape 12">
          <a:extLst>
            <a:ext uri="{FF2B5EF4-FFF2-40B4-BE49-F238E27FC236}">
              <a16:creationId xmlns:a16="http://schemas.microsoft.com/office/drawing/2014/main" id="{626BED25-422E-484C-B388-3BCA18E34C30}"/>
            </a:ext>
          </a:extLst>
        </xdr:cNvPr>
        <xdr:cNvSpPr>
          <a:spLocks noChangeAspect="1" noChangeArrowheads="1"/>
        </xdr:cNvSpPr>
      </xdr:nvSpPr>
      <xdr:spPr bwMode="auto">
        <a:xfrm>
          <a:off x="3803650" y="859980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315</xdr:row>
      <xdr:rowOff>0</xdr:rowOff>
    </xdr:from>
    <xdr:ext cx="304800" cy="304094"/>
    <xdr:sp macro="" textlink="">
      <xdr:nvSpPr>
        <xdr:cNvPr id="1106" name="AutoShape 12">
          <a:extLst>
            <a:ext uri="{FF2B5EF4-FFF2-40B4-BE49-F238E27FC236}">
              <a16:creationId xmlns:a16="http://schemas.microsoft.com/office/drawing/2014/main" id="{20461056-9221-4305-B6C5-5FAFA35F809F}"/>
            </a:ext>
          </a:extLst>
        </xdr:cNvPr>
        <xdr:cNvSpPr>
          <a:spLocks noChangeAspect="1" noChangeArrowheads="1"/>
        </xdr:cNvSpPr>
      </xdr:nvSpPr>
      <xdr:spPr bwMode="auto">
        <a:xfrm>
          <a:off x="3803650" y="963104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316</xdr:row>
      <xdr:rowOff>0</xdr:rowOff>
    </xdr:from>
    <xdr:ext cx="304800" cy="304094"/>
    <xdr:sp macro="" textlink="">
      <xdr:nvSpPr>
        <xdr:cNvPr id="1107" name="AutoShape 12">
          <a:extLst>
            <a:ext uri="{FF2B5EF4-FFF2-40B4-BE49-F238E27FC236}">
              <a16:creationId xmlns:a16="http://schemas.microsoft.com/office/drawing/2014/main" id="{573A35CF-D57D-4940-87F2-DED77DACAC53}"/>
            </a:ext>
          </a:extLst>
        </xdr:cNvPr>
        <xdr:cNvSpPr>
          <a:spLocks noChangeAspect="1" noChangeArrowheads="1"/>
        </xdr:cNvSpPr>
      </xdr:nvSpPr>
      <xdr:spPr bwMode="auto">
        <a:xfrm>
          <a:off x="3803650" y="964946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326</xdr:row>
      <xdr:rowOff>0</xdr:rowOff>
    </xdr:from>
    <xdr:ext cx="304800" cy="304094"/>
    <xdr:sp macro="" textlink="">
      <xdr:nvSpPr>
        <xdr:cNvPr id="1108" name="AutoShape 12">
          <a:extLst>
            <a:ext uri="{FF2B5EF4-FFF2-40B4-BE49-F238E27FC236}">
              <a16:creationId xmlns:a16="http://schemas.microsoft.com/office/drawing/2014/main" id="{0461A8B9-614A-4B24-8979-B708032E3FD2}"/>
            </a:ext>
          </a:extLst>
        </xdr:cNvPr>
        <xdr:cNvSpPr>
          <a:spLocks noChangeAspect="1" noChangeArrowheads="1"/>
        </xdr:cNvSpPr>
      </xdr:nvSpPr>
      <xdr:spPr bwMode="auto">
        <a:xfrm>
          <a:off x="3803650" y="983361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327</xdr:row>
      <xdr:rowOff>0</xdr:rowOff>
    </xdr:from>
    <xdr:ext cx="304800" cy="304094"/>
    <xdr:sp macro="" textlink="">
      <xdr:nvSpPr>
        <xdr:cNvPr id="1109" name="AutoShape 12">
          <a:extLst>
            <a:ext uri="{FF2B5EF4-FFF2-40B4-BE49-F238E27FC236}">
              <a16:creationId xmlns:a16="http://schemas.microsoft.com/office/drawing/2014/main" id="{218737AF-EFD4-4C7C-9300-30D72A33AE6E}"/>
            </a:ext>
          </a:extLst>
        </xdr:cNvPr>
        <xdr:cNvSpPr>
          <a:spLocks noChangeAspect="1" noChangeArrowheads="1"/>
        </xdr:cNvSpPr>
      </xdr:nvSpPr>
      <xdr:spPr bwMode="auto">
        <a:xfrm>
          <a:off x="3803650" y="985202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316</xdr:row>
      <xdr:rowOff>0</xdr:rowOff>
    </xdr:from>
    <xdr:ext cx="304800" cy="304094"/>
    <xdr:sp macro="" textlink="">
      <xdr:nvSpPr>
        <xdr:cNvPr id="1110" name="AutoShape 12">
          <a:extLst>
            <a:ext uri="{FF2B5EF4-FFF2-40B4-BE49-F238E27FC236}">
              <a16:creationId xmlns:a16="http://schemas.microsoft.com/office/drawing/2014/main" id="{8785F248-FBFA-4D2B-B277-8EB38025099F}"/>
            </a:ext>
          </a:extLst>
        </xdr:cNvPr>
        <xdr:cNvSpPr>
          <a:spLocks noChangeAspect="1" noChangeArrowheads="1"/>
        </xdr:cNvSpPr>
      </xdr:nvSpPr>
      <xdr:spPr bwMode="auto">
        <a:xfrm>
          <a:off x="3803650" y="964946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317</xdr:row>
      <xdr:rowOff>0</xdr:rowOff>
    </xdr:from>
    <xdr:ext cx="304800" cy="304094"/>
    <xdr:sp macro="" textlink="">
      <xdr:nvSpPr>
        <xdr:cNvPr id="1111" name="AutoShape 12">
          <a:extLst>
            <a:ext uri="{FF2B5EF4-FFF2-40B4-BE49-F238E27FC236}">
              <a16:creationId xmlns:a16="http://schemas.microsoft.com/office/drawing/2014/main" id="{D2E80ECC-14B1-4610-B7B0-C4F50A8A4560}"/>
            </a:ext>
          </a:extLst>
        </xdr:cNvPr>
        <xdr:cNvSpPr>
          <a:spLocks noChangeAspect="1" noChangeArrowheads="1"/>
        </xdr:cNvSpPr>
      </xdr:nvSpPr>
      <xdr:spPr bwMode="auto">
        <a:xfrm>
          <a:off x="3803650" y="96678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327</xdr:row>
      <xdr:rowOff>0</xdr:rowOff>
    </xdr:from>
    <xdr:ext cx="304800" cy="304094"/>
    <xdr:sp macro="" textlink="">
      <xdr:nvSpPr>
        <xdr:cNvPr id="1112" name="AutoShape 12">
          <a:extLst>
            <a:ext uri="{FF2B5EF4-FFF2-40B4-BE49-F238E27FC236}">
              <a16:creationId xmlns:a16="http://schemas.microsoft.com/office/drawing/2014/main" id="{097EADE0-030F-45D1-A693-8E7E9C35D01A}"/>
            </a:ext>
          </a:extLst>
        </xdr:cNvPr>
        <xdr:cNvSpPr>
          <a:spLocks noChangeAspect="1" noChangeArrowheads="1"/>
        </xdr:cNvSpPr>
      </xdr:nvSpPr>
      <xdr:spPr bwMode="auto">
        <a:xfrm>
          <a:off x="3803650" y="985202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328</xdr:row>
      <xdr:rowOff>0</xdr:rowOff>
    </xdr:from>
    <xdr:ext cx="304800" cy="304094"/>
    <xdr:sp macro="" textlink="">
      <xdr:nvSpPr>
        <xdr:cNvPr id="1113" name="AutoShape 12">
          <a:extLst>
            <a:ext uri="{FF2B5EF4-FFF2-40B4-BE49-F238E27FC236}">
              <a16:creationId xmlns:a16="http://schemas.microsoft.com/office/drawing/2014/main" id="{3AFA52D6-F176-40C9-A7A3-306C59FE9030}"/>
            </a:ext>
          </a:extLst>
        </xdr:cNvPr>
        <xdr:cNvSpPr>
          <a:spLocks noChangeAspect="1" noChangeArrowheads="1"/>
        </xdr:cNvSpPr>
      </xdr:nvSpPr>
      <xdr:spPr bwMode="auto">
        <a:xfrm>
          <a:off x="3803650" y="987044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194</xdr:row>
      <xdr:rowOff>0</xdr:rowOff>
    </xdr:from>
    <xdr:ext cx="304800" cy="304094"/>
    <xdr:sp macro="" textlink="">
      <xdr:nvSpPr>
        <xdr:cNvPr id="1114" name="AutoShape 12">
          <a:extLst>
            <a:ext uri="{FF2B5EF4-FFF2-40B4-BE49-F238E27FC236}">
              <a16:creationId xmlns:a16="http://schemas.microsoft.com/office/drawing/2014/main" id="{3A61367A-81FF-451B-840F-8429945F5601}"/>
            </a:ext>
          </a:extLst>
        </xdr:cNvPr>
        <xdr:cNvSpPr>
          <a:spLocks noChangeAspect="1" noChangeArrowheads="1"/>
        </xdr:cNvSpPr>
      </xdr:nvSpPr>
      <xdr:spPr bwMode="auto">
        <a:xfrm>
          <a:off x="3803650" y="740283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195</xdr:row>
      <xdr:rowOff>0</xdr:rowOff>
    </xdr:from>
    <xdr:ext cx="304800" cy="304094"/>
    <xdr:sp macro="" textlink="">
      <xdr:nvSpPr>
        <xdr:cNvPr id="1115" name="AutoShape 12">
          <a:extLst>
            <a:ext uri="{FF2B5EF4-FFF2-40B4-BE49-F238E27FC236}">
              <a16:creationId xmlns:a16="http://schemas.microsoft.com/office/drawing/2014/main" id="{23DA8C20-B69F-4C7D-9F64-D83CF6F7DE22}"/>
            </a:ext>
          </a:extLst>
        </xdr:cNvPr>
        <xdr:cNvSpPr>
          <a:spLocks noChangeAspect="1" noChangeArrowheads="1"/>
        </xdr:cNvSpPr>
      </xdr:nvSpPr>
      <xdr:spPr bwMode="auto">
        <a:xfrm>
          <a:off x="3803650" y="742124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185</xdr:row>
      <xdr:rowOff>0</xdr:rowOff>
    </xdr:from>
    <xdr:ext cx="304800" cy="304094"/>
    <xdr:sp macro="" textlink="">
      <xdr:nvSpPr>
        <xdr:cNvPr id="1116" name="AutoShape 12">
          <a:extLst>
            <a:ext uri="{FF2B5EF4-FFF2-40B4-BE49-F238E27FC236}">
              <a16:creationId xmlns:a16="http://schemas.microsoft.com/office/drawing/2014/main" id="{424C300D-7B58-4450-94C2-AB2DA7ED3805}"/>
            </a:ext>
          </a:extLst>
        </xdr:cNvPr>
        <xdr:cNvSpPr>
          <a:spLocks noChangeAspect="1" noChangeArrowheads="1"/>
        </xdr:cNvSpPr>
      </xdr:nvSpPr>
      <xdr:spPr bwMode="auto">
        <a:xfrm>
          <a:off x="3803650" y="723709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195</xdr:row>
      <xdr:rowOff>0</xdr:rowOff>
    </xdr:from>
    <xdr:ext cx="304800" cy="304094"/>
    <xdr:sp macro="" textlink="">
      <xdr:nvSpPr>
        <xdr:cNvPr id="1117" name="AutoShape 12">
          <a:extLst>
            <a:ext uri="{FF2B5EF4-FFF2-40B4-BE49-F238E27FC236}">
              <a16:creationId xmlns:a16="http://schemas.microsoft.com/office/drawing/2014/main" id="{1376F72F-C7CB-46DA-9789-2594E3EFBE00}"/>
            </a:ext>
          </a:extLst>
        </xdr:cNvPr>
        <xdr:cNvSpPr>
          <a:spLocks noChangeAspect="1" noChangeArrowheads="1"/>
        </xdr:cNvSpPr>
      </xdr:nvSpPr>
      <xdr:spPr bwMode="auto">
        <a:xfrm>
          <a:off x="3803650" y="742124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196</xdr:row>
      <xdr:rowOff>0</xdr:rowOff>
    </xdr:from>
    <xdr:ext cx="304800" cy="304094"/>
    <xdr:sp macro="" textlink="">
      <xdr:nvSpPr>
        <xdr:cNvPr id="1118" name="AutoShape 12">
          <a:extLst>
            <a:ext uri="{FF2B5EF4-FFF2-40B4-BE49-F238E27FC236}">
              <a16:creationId xmlns:a16="http://schemas.microsoft.com/office/drawing/2014/main" id="{C83FE987-9AF9-409B-9F0C-AA1B894B71E0}"/>
            </a:ext>
          </a:extLst>
        </xdr:cNvPr>
        <xdr:cNvSpPr>
          <a:spLocks noChangeAspect="1" noChangeArrowheads="1"/>
        </xdr:cNvSpPr>
      </xdr:nvSpPr>
      <xdr:spPr bwMode="auto">
        <a:xfrm>
          <a:off x="3803650" y="743966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185</xdr:row>
      <xdr:rowOff>0</xdr:rowOff>
    </xdr:from>
    <xdr:ext cx="304800" cy="304094"/>
    <xdr:sp macro="" textlink="">
      <xdr:nvSpPr>
        <xdr:cNvPr id="1119" name="AutoShape 12">
          <a:extLst>
            <a:ext uri="{FF2B5EF4-FFF2-40B4-BE49-F238E27FC236}">
              <a16:creationId xmlns:a16="http://schemas.microsoft.com/office/drawing/2014/main" id="{EB4264B7-83AB-41AE-90DB-8B9C689FE5E2}"/>
            </a:ext>
          </a:extLst>
        </xdr:cNvPr>
        <xdr:cNvSpPr>
          <a:spLocks noChangeAspect="1" noChangeArrowheads="1"/>
        </xdr:cNvSpPr>
      </xdr:nvSpPr>
      <xdr:spPr bwMode="auto">
        <a:xfrm>
          <a:off x="3803650" y="723709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195</xdr:row>
      <xdr:rowOff>0</xdr:rowOff>
    </xdr:from>
    <xdr:ext cx="304800" cy="304094"/>
    <xdr:sp macro="" textlink="">
      <xdr:nvSpPr>
        <xdr:cNvPr id="1120" name="AutoShape 12">
          <a:extLst>
            <a:ext uri="{FF2B5EF4-FFF2-40B4-BE49-F238E27FC236}">
              <a16:creationId xmlns:a16="http://schemas.microsoft.com/office/drawing/2014/main" id="{00936FF3-7F37-433B-9E6C-C03169FD4943}"/>
            </a:ext>
          </a:extLst>
        </xdr:cNvPr>
        <xdr:cNvSpPr>
          <a:spLocks noChangeAspect="1" noChangeArrowheads="1"/>
        </xdr:cNvSpPr>
      </xdr:nvSpPr>
      <xdr:spPr bwMode="auto">
        <a:xfrm>
          <a:off x="3803650" y="742124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196</xdr:row>
      <xdr:rowOff>0</xdr:rowOff>
    </xdr:from>
    <xdr:ext cx="304800" cy="304094"/>
    <xdr:sp macro="" textlink="">
      <xdr:nvSpPr>
        <xdr:cNvPr id="1121" name="AutoShape 12">
          <a:extLst>
            <a:ext uri="{FF2B5EF4-FFF2-40B4-BE49-F238E27FC236}">
              <a16:creationId xmlns:a16="http://schemas.microsoft.com/office/drawing/2014/main" id="{3B062550-2A10-472B-BE12-783C388044D3}"/>
            </a:ext>
          </a:extLst>
        </xdr:cNvPr>
        <xdr:cNvSpPr>
          <a:spLocks noChangeAspect="1" noChangeArrowheads="1"/>
        </xdr:cNvSpPr>
      </xdr:nvSpPr>
      <xdr:spPr bwMode="auto">
        <a:xfrm>
          <a:off x="3803650" y="743966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185</xdr:row>
      <xdr:rowOff>0</xdr:rowOff>
    </xdr:from>
    <xdr:ext cx="304800" cy="304094"/>
    <xdr:sp macro="" textlink="">
      <xdr:nvSpPr>
        <xdr:cNvPr id="1122" name="AutoShape 12">
          <a:extLst>
            <a:ext uri="{FF2B5EF4-FFF2-40B4-BE49-F238E27FC236}">
              <a16:creationId xmlns:a16="http://schemas.microsoft.com/office/drawing/2014/main" id="{17DBB23D-4C2B-4C38-9F35-B10F3A2E3071}"/>
            </a:ext>
          </a:extLst>
        </xdr:cNvPr>
        <xdr:cNvSpPr>
          <a:spLocks noChangeAspect="1" noChangeArrowheads="1"/>
        </xdr:cNvSpPr>
      </xdr:nvSpPr>
      <xdr:spPr bwMode="auto">
        <a:xfrm>
          <a:off x="3803650" y="723709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186</xdr:row>
      <xdr:rowOff>0</xdr:rowOff>
    </xdr:from>
    <xdr:ext cx="304800" cy="304094"/>
    <xdr:sp macro="" textlink="">
      <xdr:nvSpPr>
        <xdr:cNvPr id="1123" name="AutoShape 12">
          <a:extLst>
            <a:ext uri="{FF2B5EF4-FFF2-40B4-BE49-F238E27FC236}">
              <a16:creationId xmlns:a16="http://schemas.microsoft.com/office/drawing/2014/main" id="{4D0378AB-AB5B-4991-9A9C-7E7F2EDBD14A}"/>
            </a:ext>
          </a:extLst>
        </xdr:cNvPr>
        <xdr:cNvSpPr>
          <a:spLocks noChangeAspect="1" noChangeArrowheads="1"/>
        </xdr:cNvSpPr>
      </xdr:nvSpPr>
      <xdr:spPr bwMode="auto">
        <a:xfrm>
          <a:off x="3803650" y="725551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196</xdr:row>
      <xdr:rowOff>0</xdr:rowOff>
    </xdr:from>
    <xdr:ext cx="304800" cy="304094"/>
    <xdr:sp macro="" textlink="">
      <xdr:nvSpPr>
        <xdr:cNvPr id="1124" name="AutoShape 12">
          <a:extLst>
            <a:ext uri="{FF2B5EF4-FFF2-40B4-BE49-F238E27FC236}">
              <a16:creationId xmlns:a16="http://schemas.microsoft.com/office/drawing/2014/main" id="{5A0101DC-100B-4E74-9350-F67E571AEAED}"/>
            </a:ext>
          </a:extLst>
        </xdr:cNvPr>
        <xdr:cNvSpPr>
          <a:spLocks noChangeAspect="1" noChangeArrowheads="1"/>
        </xdr:cNvSpPr>
      </xdr:nvSpPr>
      <xdr:spPr bwMode="auto">
        <a:xfrm>
          <a:off x="3803650" y="743966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186</xdr:row>
      <xdr:rowOff>0</xdr:rowOff>
    </xdr:from>
    <xdr:ext cx="304800" cy="304094"/>
    <xdr:sp macro="" textlink="">
      <xdr:nvSpPr>
        <xdr:cNvPr id="1125" name="AutoShape 12">
          <a:extLst>
            <a:ext uri="{FF2B5EF4-FFF2-40B4-BE49-F238E27FC236}">
              <a16:creationId xmlns:a16="http://schemas.microsoft.com/office/drawing/2014/main" id="{69EC970F-B7FB-4DB1-AD6D-C07B922D54E6}"/>
            </a:ext>
          </a:extLst>
        </xdr:cNvPr>
        <xdr:cNvSpPr>
          <a:spLocks noChangeAspect="1" noChangeArrowheads="1"/>
        </xdr:cNvSpPr>
      </xdr:nvSpPr>
      <xdr:spPr bwMode="auto">
        <a:xfrm>
          <a:off x="3803650" y="725551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187</xdr:row>
      <xdr:rowOff>0</xdr:rowOff>
    </xdr:from>
    <xdr:ext cx="304800" cy="304094"/>
    <xdr:sp macro="" textlink="">
      <xdr:nvSpPr>
        <xdr:cNvPr id="1126" name="AutoShape 12">
          <a:extLst>
            <a:ext uri="{FF2B5EF4-FFF2-40B4-BE49-F238E27FC236}">
              <a16:creationId xmlns:a16="http://schemas.microsoft.com/office/drawing/2014/main" id="{EA1903A4-439C-4B5C-B0A2-C8D46DF06D49}"/>
            </a:ext>
          </a:extLst>
        </xdr:cNvPr>
        <xdr:cNvSpPr>
          <a:spLocks noChangeAspect="1" noChangeArrowheads="1"/>
        </xdr:cNvSpPr>
      </xdr:nvSpPr>
      <xdr:spPr bwMode="auto">
        <a:xfrm>
          <a:off x="3803650" y="727392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187</xdr:row>
      <xdr:rowOff>0</xdr:rowOff>
    </xdr:from>
    <xdr:ext cx="304800" cy="304094"/>
    <xdr:sp macro="" textlink="">
      <xdr:nvSpPr>
        <xdr:cNvPr id="1127" name="AutoShape 12">
          <a:extLst>
            <a:ext uri="{FF2B5EF4-FFF2-40B4-BE49-F238E27FC236}">
              <a16:creationId xmlns:a16="http://schemas.microsoft.com/office/drawing/2014/main" id="{CF028C7F-D66A-4870-8438-D2EBF9C3699D}"/>
            </a:ext>
          </a:extLst>
        </xdr:cNvPr>
        <xdr:cNvSpPr>
          <a:spLocks noChangeAspect="1" noChangeArrowheads="1"/>
        </xdr:cNvSpPr>
      </xdr:nvSpPr>
      <xdr:spPr bwMode="auto">
        <a:xfrm>
          <a:off x="3803650" y="727392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188</xdr:row>
      <xdr:rowOff>0</xdr:rowOff>
    </xdr:from>
    <xdr:ext cx="304800" cy="304094"/>
    <xdr:sp macro="" textlink="">
      <xdr:nvSpPr>
        <xdr:cNvPr id="1128" name="AutoShape 12">
          <a:extLst>
            <a:ext uri="{FF2B5EF4-FFF2-40B4-BE49-F238E27FC236}">
              <a16:creationId xmlns:a16="http://schemas.microsoft.com/office/drawing/2014/main" id="{2C95D141-28A9-44B9-A52D-E78445ED590D}"/>
            </a:ext>
          </a:extLst>
        </xdr:cNvPr>
        <xdr:cNvSpPr>
          <a:spLocks noChangeAspect="1" noChangeArrowheads="1"/>
        </xdr:cNvSpPr>
      </xdr:nvSpPr>
      <xdr:spPr bwMode="auto">
        <a:xfrm>
          <a:off x="3803650" y="729234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187</xdr:row>
      <xdr:rowOff>0</xdr:rowOff>
    </xdr:from>
    <xdr:ext cx="304800" cy="304094"/>
    <xdr:sp macro="" textlink="">
      <xdr:nvSpPr>
        <xdr:cNvPr id="1129" name="AutoShape 12">
          <a:extLst>
            <a:ext uri="{FF2B5EF4-FFF2-40B4-BE49-F238E27FC236}">
              <a16:creationId xmlns:a16="http://schemas.microsoft.com/office/drawing/2014/main" id="{A0DCDD18-8A68-42FF-B959-4273A30B8CB3}"/>
            </a:ext>
          </a:extLst>
        </xdr:cNvPr>
        <xdr:cNvSpPr>
          <a:spLocks noChangeAspect="1" noChangeArrowheads="1"/>
        </xdr:cNvSpPr>
      </xdr:nvSpPr>
      <xdr:spPr bwMode="auto">
        <a:xfrm>
          <a:off x="3803650" y="727392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188</xdr:row>
      <xdr:rowOff>0</xdr:rowOff>
    </xdr:from>
    <xdr:ext cx="304800" cy="304094"/>
    <xdr:sp macro="" textlink="">
      <xdr:nvSpPr>
        <xdr:cNvPr id="1130" name="AutoShape 12">
          <a:extLst>
            <a:ext uri="{FF2B5EF4-FFF2-40B4-BE49-F238E27FC236}">
              <a16:creationId xmlns:a16="http://schemas.microsoft.com/office/drawing/2014/main" id="{53F8106B-E81D-4B8D-BD78-4EE373B83060}"/>
            </a:ext>
          </a:extLst>
        </xdr:cNvPr>
        <xdr:cNvSpPr>
          <a:spLocks noChangeAspect="1" noChangeArrowheads="1"/>
        </xdr:cNvSpPr>
      </xdr:nvSpPr>
      <xdr:spPr bwMode="auto">
        <a:xfrm>
          <a:off x="3803650" y="729234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188</xdr:row>
      <xdr:rowOff>0</xdr:rowOff>
    </xdr:from>
    <xdr:ext cx="304800" cy="304094"/>
    <xdr:sp macro="" textlink="">
      <xdr:nvSpPr>
        <xdr:cNvPr id="1131" name="AutoShape 12">
          <a:extLst>
            <a:ext uri="{FF2B5EF4-FFF2-40B4-BE49-F238E27FC236}">
              <a16:creationId xmlns:a16="http://schemas.microsoft.com/office/drawing/2014/main" id="{48211C39-4B5D-48AE-B28A-E3A8E71E1706}"/>
            </a:ext>
          </a:extLst>
        </xdr:cNvPr>
        <xdr:cNvSpPr>
          <a:spLocks noChangeAspect="1" noChangeArrowheads="1"/>
        </xdr:cNvSpPr>
      </xdr:nvSpPr>
      <xdr:spPr bwMode="auto">
        <a:xfrm>
          <a:off x="3803650" y="729234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189</xdr:row>
      <xdr:rowOff>0</xdr:rowOff>
    </xdr:from>
    <xdr:ext cx="304800" cy="304094"/>
    <xdr:sp macro="" textlink="">
      <xdr:nvSpPr>
        <xdr:cNvPr id="1132" name="AutoShape 12">
          <a:extLst>
            <a:ext uri="{FF2B5EF4-FFF2-40B4-BE49-F238E27FC236}">
              <a16:creationId xmlns:a16="http://schemas.microsoft.com/office/drawing/2014/main" id="{819E7C5E-E23A-4328-B901-5C5A8BB0B00C}"/>
            </a:ext>
          </a:extLst>
        </xdr:cNvPr>
        <xdr:cNvSpPr>
          <a:spLocks noChangeAspect="1" noChangeArrowheads="1"/>
        </xdr:cNvSpPr>
      </xdr:nvSpPr>
      <xdr:spPr bwMode="auto">
        <a:xfrm>
          <a:off x="3803650" y="731075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191</xdr:row>
      <xdr:rowOff>0</xdr:rowOff>
    </xdr:from>
    <xdr:ext cx="304800" cy="304094"/>
    <xdr:sp macro="" textlink="">
      <xdr:nvSpPr>
        <xdr:cNvPr id="1133" name="AutoShape 12">
          <a:extLst>
            <a:ext uri="{FF2B5EF4-FFF2-40B4-BE49-F238E27FC236}">
              <a16:creationId xmlns:a16="http://schemas.microsoft.com/office/drawing/2014/main" id="{6531677E-F496-427D-9699-F4D69DBEE99E}"/>
            </a:ext>
          </a:extLst>
        </xdr:cNvPr>
        <xdr:cNvSpPr>
          <a:spLocks noChangeAspect="1" noChangeArrowheads="1"/>
        </xdr:cNvSpPr>
      </xdr:nvSpPr>
      <xdr:spPr bwMode="auto">
        <a:xfrm>
          <a:off x="3803650" y="734758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192</xdr:row>
      <xdr:rowOff>0</xdr:rowOff>
    </xdr:from>
    <xdr:ext cx="304800" cy="304094"/>
    <xdr:sp macro="" textlink="">
      <xdr:nvSpPr>
        <xdr:cNvPr id="1134" name="AutoShape 12">
          <a:extLst>
            <a:ext uri="{FF2B5EF4-FFF2-40B4-BE49-F238E27FC236}">
              <a16:creationId xmlns:a16="http://schemas.microsoft.com/office/drawing/2014/main" id="{CB706657-ADDE-42B9-BA7D-4C2F82758500}"/>
            </a:ext>
          </a:extLst>
        </xdr:cNvPr>
        <xdr:cNvSpPr>
          <a:spLocks noChangeAspect="1" noChangeArrowheads="1"/>
        </xdr:cNvSpPr>
      </xdr:nvSpPr>
      <xdr:spPr bwMode="auto">
        <a:xfrm>
          <a:off x="3803650" y="736600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192</xdr:row>
      <xdr:rowOff>0</xdr:rowOff>
    </xdr:from>
    <xdr:ext cx="304800" cy="304094"/>
    <xdr:sp macro="" textlink="">
      <xdr:nvSpPr>
        <xdr:cNvPr id="1135" name="AutoShape 12">
          <a:extLst>
            <a:ext uri="{FF2B5EF4-FFF2-40B4-BE49-F238E27FC236}">
              <a16:creationId xmlns:a16="http://schemas.microsoft.com/office/drawing/2014/main" id="{BFD874C2-5D64-45E0-A49E-1397BDFF8A2D}"/>
            </a:ext>
          </a:extLst>
        </xdr:cNvPr>
        <xdr:cNvSpPr>
          <a:spLocks noChangeAspect="1" noChangeArrowheads="1"/>
        </xdr:cNvSpPr>
      </xdr:nvSpPr>
      <xdr:spPr bwMode="auto">
        <a:xfrm>
          <a:off x="3803650" y="736600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193</xdr:row>
      <xdr:rowOff>0</xdr:rowOff>
    </xdr:from>
    <xdr:ext cx="304800" cy="304094"/>
    <xdr:sp macro="" textlink="">
      <xdr:nvSpPr>
        <xdr:cNvPr id="1136" name="AutoShape 12">
          <a:extLst>
            <a:ext uri="{FF2B5EF4-FFF2-40B4-BE49-F238E27FC236}">
              <a16:creationId xmlns:a16="http://schemas.microsoft.com/office/drawing/2014/main" id="{E2AC4D68-DA59-4EBD-AF41-E197000DEDA7}"/>
            </a:ext>
          </a:extLst>
        </xdr:cNvPr>
        <xdr:cNvSpPr>
          <a:spLocks noChangeAspect="1" noChangeArrowheads="1"/>
        </xdr:cNvSpPr>
      </xdr:nvSpPr>
      <xdr:spPr bwMode="auto">
        <a:xfrm>
          <a:off x="3803650" y="7384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192</xdr:row>
      <xdr:rowOff>0</xdr:rowOff>
    </xdr:from>
    <xdr:ext cx="304800" cy="304094"/>
    <xdr:sp macro="" textlink="">
      <xdr:nvSpPr>
        <xdr:cNvPr id="1137" name="AutoShape 12">
          <a:extLst>
            <a:ext uri="{FF2B5EF4-FFF2-40B4-BE49-F238E27FC236}">
              <a16:creationId xmlns:a16="http://schemas.microsoft.com/office/drawing/2014/main" id="{0ECD9FC5-387B-46AD-9CF6-9535768E6392}"/>
            </a:ext>
          </a:extLst>
        </xdr:cNvPr>
        <xdr:cNvSpPr>
          <a:spLocks noChangeAspect="1" noChangeArrowheads="1"/>
        </xdr:cNvSpPr>
      </xdr:nvSpPr>
      <xdr:spPr bwMode="auto">
        <a:xfrm>
          <a:off x="3803650" y="736600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193</xdr:row>
      <xdr:rowOff>0</xdr:rowOff>
    </xdr:from>
    <xdr:ext cx="304800" cy="304094"/>
    <xdr:sp macro="" textlink="">
      <xdr:nvSpPr>
        <xdr:cNvPr id="1138" name="AutoShape 12">
          <a:extLst>
            <a:ext uri="{FF2B5EF4-FFF2-40B4-BE49-F238E27FC236}">
              <a16:creationId xmlns:a16="http://schemas.microsoft.com/office/drawing/2014/main" id="{8BE85EEB-9F74-4686-A9C5-C7DCBAD2BBA6}"/>
            </a:ext>
          </a:extLst>
        </xdr:cNvPr>
        <xdr:cNvSpPr>
          <a:spLocks noChangeAspect="1" noChangeArrowheads="1"/>
        </xdr:cNvSpPr>
      </xdr:nvSpPr>
      <xdr:spPr bwMode="auto">
        <a:xfrm>
          <a:off x="3803650" y="7384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193</xdr:row>
      <xdr:rowOff>0</xdr:rowOff>
    </xdr:from>
    <xdr:ext cx="304800" cy="304094"/>
    <xdr:sp macro="" textlink="">
      <xdr:nvSpPr>
        <xdr:cNvPr id="1139" name="AutoShape 12">
          <a:extLst>
            <a:ext uri="{FF2B5EF4-FFF2-40B4-BE49-F238E27FC236}">
              <a16:creationId xmlns:a16="http://schemas.microsoft.com/office/drawing/2014/main" id="{29C2AA2F-F12C-4AE1-9637-32001F1A7A6C}"/>
            </a:ext>
          </a:extLst>
        </xdr:cNvPr>
        <xdr:cNvSpPr>
          <a:spLocks noChangeAspect="1" noChangeArrowheads="1"/>
        </xdr:cNvSpPr>
      </xdr:nvSpPr>
      <xdr:spPr bwMode="auto">
        <a:xfrm>
          <a:off x="3803650" y="7384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194</xdr:row>
      <xdr:rowOff>0</xdr:rowOff>
    </xdr:from>
    <xdr:ext cx="304800" cy="304094"/>
    <xdr:sp macro="" textlink="">
      <xdr:nvSpPr>
        <xdr:cNvPr id="1140" name="AutoShape 12">
          <a:extLst>
            <a:ext uri="{FF2B5EF4-FFF2-40B4-BE49-F238E27FC236}">
              <a16:creationId xmlns:a16="http://schemas.microsoft.com/office/drawing/2014/main" id="{209BE3EB-A4F4-4075-8184-873B6F30AA82}"/>
            </a:ext>
          </a:extLst>
        </xdr:cNvPr>
        <xdr:cNvSpPr>
          <a:spLocks noChangeAspect="1" noChangeArrowheads="1"/>
        </xdr:cNvSpPr>
      </xdr:nvSpPr>
      <xdr:spPr bwMode="auto">
        <a:xfrm>
          <a:off x="3803650" y="740283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204</xdr:row>
      <xdr:rowOff>0</xdr:rowOff>
    </xdr:from>
    <xdr:ext cx="304800" cy="304094"/>
    <xdr:sp macro="" textlink="">
      <xdr:nvSpPr>
        <xdr:cNvPr id="1141" name="AutoShape 12">
          <a:extLst>
            <a:ext uri="{FF2B5EF4-FFF2-40B4-BE49-F238E27FC236}">
              <a16:creationId xmlns:a16="http://schemas.microsoft.com/office/drawing/2014/main" id="{66C472F2-94F1-4EDC-B4D3-CC276ACE24A9}"/>
            </a:ext>
          </a:extLst>
        </xdr:cNvPr>
        <xdr:cNvSpPr>
          <a:spLocks noChangeAspect="1" noChangeArrowheads="1"/>
        </xdr:cNvSpPr>
      </xdr:nvSpPr>
      <xdr:spPr bwMode="auto">
        <a:xfrm>
          <a:off x="3803650" y="758698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205</xdr:row>
      <xdr:rowOff>0</xdr:rowOff>
    </xdr:from>
    <xdr:ext cx="304800" cy="304094"/>
    <xdr:sp macro="" textlink="">
      <xdr:nvSpPr>
        <xdr:cNvPr id="1142" name="AutoShape 12">
          <a:extLst>
            <a:ext uri="{FF2B5EF4-FFF2-40B4-BE49-F238E27FC236}">
              <a16:creationId xmlns:a16="http://schemas.microsoft.com/office/drawing/2014/main" id="{DB435FE0-811C-4B3D-B644-1BC9F44C95EB}"/>
            </a:ext>
          </a:extLst>
        </xdr:cNvPr>
        <xdr:cNvSpPr>
          <a:spLocks noChangeAspect="1" noChangeArrowheads="1"/>
        </xdr:cNvSpPr>
      </xdr:nvSpPr>
      <xdr:spPr bwMode="auto">
        <a:xfrm>
          <a:off x="3803650" y="760539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215</xdr:row>
      <xdr:rowOff>0</xdr:rowOff>
    </xdr:from>
    <xdr:ext cx="304800" cy="304094"/>
    <xdr:sp macro="" textlink="">
      <xdr:nvSpPr>
        <xdr:cNvPr id="1143" name="AutoShape 12">
          <a:extLst>
            <a:ext uri="{FF2B5EF4-FFF2-40B4-BE49-F238E27FC236}">
              <a16:creationId xmlns:a16="http://schemas.microsoft.com/office/drawing/2014/main" id="{6AC32FCF-A9D2-4D48-93B3-81734944BCE4}"/>
            </a:ext>
          </a:extLst>
        </xdr:cNvPr>
        <xdr:cNvSpPr>
          <a:spLocks noChangeAspect="1" noChangeArrowheads="1"/>
        </xdr:cNvSpPr>
      </xdr:nvSpPr>
      <xdr:spPr bwMode="auto">
        <a:xfrm>
          <a:off x="3803650" y="778954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216</xdr:row>
      <xdr:rowOff>0</xdr:rowOff>
    </xdr:from>
    <xdr:ext cx="304800" cy="304094"/>
    <xdr:sp macro="" textlink="">
      <xdr:nvSpPr>
        <xdr:cNvPr id="1144" name="AutoShape 12">
          <a:extLst>
            <a:ext uri="{FF2B5EF4-FFF2-40B4-BE49-F238E27FC236}">
              <a16:creationId xmlns:a16="http://schemas.microsoft.com/office/drawing/2014/main" id="{B2D86D58-10EF-4DCF-9C04-6E9331BCEFF2}"/>
            </a:ext>
          </a:extLst>
        </xdr:cNvPr>
        <xdr:cNvSpPr>
          <a:spLocks noChangeAspect="1" noChangeArrowheads="1"/>
        </xdr:cNvSpPr>
      </xdr:nvSpPr>
      <xdr:spPr bwMode="auto">
        <a:xfrm>
          <a:off x="3803650" y="780796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205</xdr:row>
      <xdr:rowOff>0</xdr:rowOff>
    </xdr:from>
    <xdr:ext cx="304800" cy="304094"/>
    <xdr:sp macro="" textlink="">
      <xdr:nvSpPr>
        <xdr:cNvPr id="1145" name="AutoShape 12">
          <a:extLst>
            <a:ext uri="{FF2B5EF4-FFF2-40B4-BE49-F238E27FC236}">
              <a16:creationId xmlns:a16="http://schemas.microsoft.com/office/drawing/2014/main" id="{E1C88BC7-E760-4B7A-84C0-D305FDFCF074}"/>
            </a:ext>
          </a:extLst>
        </xdr:cNvPr>
        <xdr:cNvSpPr>
          <a:spLocks noChangeAspect="1" noChangeArrowheads="1"/>
        </xdr:cNvSpPr>
      </xdr:nvSpPr>
      <xdr:spPr bwMode="auto">
        <a:xfrm>
          <a:off x="3803650" y="760539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206</xdr:row>
      <xdr:rowOff>0</xdr:rowOff>
    </xdr:from>
    <xdr:ext cx="304800" cy="304094"/>
    <xdr:sp macro="" textlink="">
      <xdr:nvSpPr>
        <xdr:cNvPr id="1146" name="AutoShape 12">
          <a:extLst>
            <a:ext uri="{FF2B5EF4-FFF2-40B4-BE49-F238E27FC236}">
              <a16:creationId xmlns:a16="http://schemas.microsoft.com/office/drawing/2014/main" id="{A5A08540-DEA8-4656-AB61-0932FF194237}"/>
            </a:ext>
          </a:extLst>
        </xdr:cNvPr>
        <xdr:cNvSpPr>
          <a:spLocks noChangeAspect="1" noChangeArrowheads="1"/>
        </xdr:cNvSpPr>
      </xdr:nvSpPr>
      <xdr:spPr bwMode="auto">
        <a:xfrm>
          <a:off x="3803650" y="762381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216</xdr:row>
      <xdr:rowOff>0</xdr:rowOff>
    </xdr:from>
    <xdr:ext cx="304800" cy="304094"/>
    <xdr:sp macro="" textlink="">
      <xdr:nvSpPr>
        <xdr:cNvPr id="1147" name="AutoShape 12">
          <a:extLst>
            <a:ext uri="{FF2B5EF4-FFF2-40B4-BE49-F238E27FC236}">
              <a16:creationId xmlns:a16="http://schemas.microsoft.com/office/drawing/2014/main" id="{14C8710B-1DE4-4F9B-9B52-E39EA5EA7782}"/>
            </a:ext>
          </a:extLst>
        </xdr:cNvPr>
        <xdr:cNvSpPr>
          <a:spLocks noChangeAspect="1" noChangeArrowheads="1"/>
        </xdr:cNvSpPr>
      </xdr:nvSpPr>
      <xdr:spPr bwMode="auto">
        <a:xfrm>
          <a:off x="3803650" y="780796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217</xdr:row>
      <xdr:rowOff>0</xdr:rowOff>
    </xdr:from>
    <xdr:ext cx="304800" cy="304094"/>
    <xdr:sp macro="" textlink="">
      <xdr:nvSpPr>
        <xdr:cNvPr id="1148" name="AutoShape 12">
          <a:extLst>
            <a:ext uri="{FF2B5EF4-FFF2-40B4-BE49-F238E27FC236}">
              <a16:creationId xmlns:a16="http://schemas.microsoft.com/office/drawing/2014/main" id="{E1CFA0B4-504A-4BFB-A3DC-F3CA0DB6B2EE}"/>
            </a:ext>
          </a:extLst>
        </xdr:cNvPr>
        <xdr:cNvSpPr>
          <a:spLocks noChangeAspect="1" noChangeArrowheads="1"/>
        </xdr:cNvSpPr>
      </xdr:nvSpPr>
      <xdr:spPr bwMode="auto">
        <a:xfrm>
          <a:off x="3803650" y="78263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205</xdr:row>
      <xdr:rowOff>0</xdr:rowOff>
    </xdr:from>
    <xdr:ext cx="304800" cy="304094"/>
    <xdr:sp macro="" textlink="">
      <xdr:nvSpPr>
        <xdr:cNvPr id="1149" name="AutoShape 12">
          <a:extLst>
            <a:ext uri="{FF2B5EF4-FFF2-40B4-BE49-F238E27FC236}">
              <a16:creationId xmlns:a16="http://schemas.microsoft.com/office/drawing/2014/main" id="{026E3650-FB76-47A9-81D0-980A37BB9851}"/>
            </a:ext>
          </a:extLst>
        </xdr:cNvPr>
        <xdr:cNvSpPr>
          <a:spLocks noChangeAspect="1" noChangeArrowheads="1"/>
        </xdr:cNvSpPr>
      </xdr:nvSpPr>
      <xdr:spPr bwMode="auto">
        <a:xfrm>
          <a:off x="3803650" y="760539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206</xdr:row>
      <xdr:rowOff>0</xdr:rowOff>
    </xdr:from>
    <xdr:ext cx="304800" cy="304094"/>
    <xdr:sp macro="" textlink="">
      <xdr:nvSpPr>
        <xdr:cNvPr id="1150" name="AutoShape 12">
          <a:extLst>
            <a:ext uri="{FF2B5EF4-FFF2-40B4-BE49-F238E27FC236}">
              <a16:creationId xmlns:a16="http://schemas.microsoft.com/office/drawing/2014/main" id="{E4962D2F-1F1E-4D81-88E8-81EA43990019}"/>
            </a:ext>
          </a:extLst>
        </xdr:cNvPr>
        <xdr:cNvSpPr>
          <a:spLocks noChangeAspect="1" noChangeArrowheads="1"/>
        </xdr:cNvSpPr>
      </xdr:nvSpPr>
      <xdr:spPr bwMode="auto">
        <a:xfrm>
          <a:off x="3803650" y="762381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216</xdr:row>
      <xdr:rowOff>0</xdr:rowOff>
    </xdr:from>
    <xdr:ext cx="304800" cy="304094"/>
    <xdr:sp macro="" textlink="">
      <xdr:nvSpPr>
        <xdr:cNvPr id="1151" name="AutoShape 12">
          <a:extLst>
            <a:ext uri="{FF2B5EF4-FFF2-40B4-BE49-F238E27FC236}">
              <a16:creationId xmlns:a16="http://schemas.microsoft.com/office/drawing/2014/main" id="{3A2D85C3-DEF6-496E-BB93-22B093FC9E81}"/>
            </a:ext>
          </a:extLst>
        </xdr:cNvPr>
        <xdr:cNvSpPr>
          <a:spLocks noChangeAspect="1" noChangeArrowheads="1"/>
        </xdr:cNvSpPr>
      </xdr:nvSpPr>
      <xdr:spPr bwMode="auto">
        <a:xfrm>
          <a:off x="3803650" y="780796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217</xdr:row>
      <xdr:rowOff>0</xdr:rowOff>
    </xdr:from>
    <xdr:ext cx="304800" cy="304094"/>
    <xdr:sp macro="" textlink="">
      <xdr:nvSpPr>
        <xdr:cNvPr id="1152" name="AutoShape 12">
          <a:extLst>
            <a:ext uri="{FF2B5EF4-FFF2-40B4-BE49-F238E27FC236}">
              <a16:creationId xmlns:a16="http://schemas.microsoft.com/office/drawing/2014/main" id="{4D51222C-E4E3-4F38-B80A-2EDF6057AF7F}"/>
            </a:ext>
          </a:extLst>
        </xdr:cNvPr>
        <xdr:cNvSpPr>
          <a:spLocks noChangeAspect="1" noChangeArrowheads="1"/>
        </xdr:cNvSpPr>
      </xdr:nvSpPr>
      <xdr:spPr bwMode="auto">
        <a:xfrm>
          <a:off x="3803650" y="78263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206</xdr:row>
      <xdr:rowOff>0</xdr:rowOff>
    </xdr:from>
    <xdr:ext cx="304800" cy="304094"/>
    <xdr:sp macro="" textlink="">
      <xdr:nvSpPr>
        <xdr:cNvPr id="1153" name="AutoShape 12">
          <a:extLst>
            <a:ext uri="{FF2B5EF4-FFF2-40B4-BE49-F238E27FC236}">
              <a16:creationId xmlns:a16="http://schemas.microsoft.com/office/drawing/2014/main" id="{56607506-F371-402C-B6CA-AC28AB2703C8}"/>
            </a:ext>
          </a:extLst>
        </xdr:cNvPr>
        <xdr:cNvSpPr>
          <a:spLocks noChangeAspect="1" noChangeArrowheads="1"/>
        </xdr:cNvSpPr>
      </xdr:nvSpPr>
      <xdr:spPr bwMode="auto">
        <a:xfrm>
          <a:off x="3803650" y="762381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207</xdr:row>
      <xdr:rowOff>0</xdr:rowOff>
    </xdr:from>
    <xdr:ext cx="304800" cy="304094"/>
    <xdr:sp macro="" textlink="">
      <xdr:nvSpPr>
        <xdr:cNvPr id="1154" name="AutoShape 12">
          <a:extLst>
            <a:ext uri="{FF2B5EF4-FFF2-40B4-BE49-F238E27FC236}">
              <a16:creationId xmlns:a16="http://schemas.microsoft.com/office/drawing/2014/main" id="{2757CC27-4BBC-4DEB-991B-93A41A39C2C0}"/>
            </a:ext>
          </a:extLst>
        </xdr:cNvPr>
        <xdr:cNvSpPr>
          <a:spLocks noChangeAspect="1" noChangeArrowheads="1"/>
        </xdr:cNvSpPr>
      </xdr:nvSpPr>
      <xdr:spPr bwMode="auto">
        <a:xfrm>
          <a:off x="3803650" y="764222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217</xdr:row>
      <xdr:rowOff>0</xdr:rowOff>
    </xdr:from>
    <xdr:ext cx="304800" cy="304094"/>
    <xdr:sp macro="" textlink="">
      <xdr:nvSpPr>
        <xdr:cNvPr id="1155" name="AutoShape 12">
          <a:extLst>
            <a:ext uri="{FF2B5EF4-FFF2-40B4-BE49-F238E27FC236}">
              <a16:creationId xmlns:a16="http://schemas.microsoft.com/office/drawing/2014/main" id="{ACB54602-9FDB-417D-9146-059543DDCA3C}"/>
            </a:ext>
          </a:extLst>
        </xdr:cNvPr>
        <xdr:cNvSpPr>
          <a:spLocks noChangeAspect="1" noChangeArrowheads="1"/>
        </xdr:cNvSpPr>
      </xdr:nvSpPr>
      <xdr:spPr bwMode="auto">
        <a:xfrm>
          <a:off x="3803650" y="78263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207</xdr:row>
      <xdr:rowOff>0</xdr:rowOff>
    </xdr:from>
    <xdr:ext cx="304800" cy="304094"/>
    <xdr:sp macro="" textlink="">
      <xdr:nvSpPr>
        <xdr:cNvPr id="1156" name="AutoShape 12">
          <a:extLst>
            <a:ext uri="{FF2B5EF4-FFF2-40B4-BE49-F238E27FC236}">
              <a16:creationId xmlns:a16="http://schemas.microsoft.com/office/drawing/2014/main" id="{8EE71177-4F94-4D7B-A29B-4441CE39CCAE}"/>
            </a:ext>
          </a:extLst>
        </xdr:cNvPr>
        <xdr:cNvSpPr>
          <a:spLocks noChangeAspect="1" noChangeArrowheads="1"/>
        </xdr:cNvSpPr>
      </xdr:nvSpPr>
      <xdr:spPr bwMode="auto">
        <a:xfrm>
          <a:off x="3803650" y="764222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208</xdr:row>
      <xdr:rowOff>0</xdr:rowOff>
    </xdr:from>
    <xdr:ext cx="304800" cy="304094"/>
    <xdr:sp macro="" textlink="">
      <xdr:nvSpPr>
        <xdr:cNvPr id="1157" name="AutoShape 12">
          <a:extLst>
            <a:ext uri="{FF2B5EF4-FFF2-40B4-BE49-F238E27FC236}">
              <a16:creationId xmlns:a16="http://schemas.microsoft.com/office/drawing/2014/main" id="{9D01CD09-7D7B-4182-9C8C-07DA2262AA0C}"/>
            </a:ext>
          </a:extLst>
        </xdr:cNvPr>
        <xdr:cNvSpPr>
          <a:spLocks noChangeAspect="1" noChangeArrowheads="1"/>
        </xdr:cNvSpPr>
      </xdr:nvSpPr>
      <xdr:spPr bwMode="auto">
        <a:xfrm>
          <a:off x="3803650" y="766064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208</xdr:row>
      <xdr:rowOff>0</xdr:rowOff>
    </xdr:from>
    <xdr:ext cx="304800" cy="304094"/>
    <xdr:sp macro="" textlink="">
      <xdr:nvSpPr>
        <xdr:cNvPr id="1158" name="AutoShape 12">
          <a:extLst>
            <a:ext uri="{FF2B5EF4-FFF2-40B4-BE49-F238E27FC236}">
              <a16:creationId xmlns:a16="http://schemas.microsoft.com/office/drawing/2014/main" id="{33A75D7F-688A-4704-AC70-4050D5CF88F1}"/>
            </a:ext>
          </a:extLst>
        </xdr:cNvPr>
        <xdr:cNvSpPr>
          <a:spLocks noChangeAspect="1" noChangeArrowheads="1"/>
        </xdr:cNvSpPr>
      </xdr:nvSpPr>
      <xdr:spPr bwMode="auto">
        <a:xfrm>
          <a:off x="3803650" y="766064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209</xdr:row>
      <xdr:rowOff>0</xdr:rowOff>
    </xdr:from>
    <xdr:ext cx="304800" cy="304094"/>
    <xdr:sp macro="" textlink="">
      <xdr:nvSpPr>
        <xdr:cNvPr id="1159" name="AutoShape 12">
          <a:extLst>
            <a:ext uri="{FF2B5EF4-FFF2-40B4-BE49-F238E27FC236}">
              <a16:creationId xmlns:a16="http://schemas.microsoft.com/office/drawing/2014/main" id="{DEBDC335-C054-4C87-804A-F09A56D848D7}"/>
            </a:ext>
          </a:extLst>
        </xdr:cNvPr>
        <xdr:cNvSpPr>
          <a:spLocks noChangeAspect="1" noChangeArrowheads="1"/>
        </xdr:cNvSpPr>
      </xdr:nvSpPr>
      <xdr:spPr bwMode="auto">
        <a:xfrm>
          <a:off x="3803650" y="767905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208</xdr:row>
      <xdr:rowOff>0</xdr:rowOff>
    </xdr:from>
    <xdr:ext cx="304800" cy="304094"/>
    <xdr:sp macro="" textlink="">
      <xdr:nvSpPr>
        <xdr:cNvPr id="1160" name="AutoShape 12">
          <a:extLst>
            <a:ext uri="{FF2B5EF4-FFF2-40B4-BE49-F238E27FC236}">
              <a16:creationId xmlns:a16="http://schemas.microsoft.com/office/drawing/2014/main" id="{300A8544-FC35-48CC-A009-B0FFD50C5797}"/>
            </a:ext>
          </a:extLst>
        </xdr:cNvPr>
        <xdr:cNvSpPr>
          <a:spLocks noChangeAspect="1" noChangeArrowheads="1"/>
        </xdr:cNvSpPr>
      </xdr:nvSpPr>
      <xdr:spPr bwMode="auto">
        <a:xfrm>
          <a:off x="3803650" y="766064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209</xdr:row>
      <xdr:rowOff>0</xdr:rowOff>
    </xdr:from>
    <xdr:ext cx="304800" cy="304094"/>
    <xdr:sp macro="" textlink="">
      <xdr:nvSpPr>
        <xdr:cNvPr id="1161" name="AutoShape 12">
          <a:extLst>
            <a:ext uri="{FF2B5EF4-FFF2-40B4-BE49-F238E27FC236}">
              <a16:creationId xmlns:a16="http://schemas.microsoft.com/office/drawing/2014/main" id="{E6373A2F-3EF1-4B7D-AD70-713541BA35AC}"/>
            </a:ext>
          </a:extLst>
        </xdr:cNvPr>
        <xdr:cNvSpPr>
          <a:spLocks noChangeAspect="1" noChangeArrowheads="1"/>
        </xdr:cNvSpPr>
      </xdr:nvSpPr>
      <xdr:spPr bwMode="auto">
        <a:xfrm>
          <a:off x="3803650" y="767905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209</xdr:row>
      <xdr:rowOff>0</xdr:rowOff>
    </xdr:from>
    <xdr:ext cx="304800" cy="304094"/>
    <xdr:sp macro="" textlink="">
      <xdr:nvSpPr>
        <xdr:cNvPr id="1162" name="AutoShape 12">
          <a:extLst>
            <a:ext uri="{FF2B5EF4-FFF2-40B4-BE49-F238E27FC236}">
              <a16:creationId xmlns:a16="http://schemas.microsoft.com/office/drawing/2014/main" id="{35339832-072A-4685-949B-F0122425E343}"/>
            </a:ext>
          </a:extLst>
        </xdr:cNvPr>
        <xdr:cNvSpPr>
          <a:spLocks noChangeAspect="1" noChangeArrowheads="1"/>
        </xdr:cNvSpPr>
      </xdr:nvSpPr>
      <xdr:spPr bwMode="auto">
        <a:xfrm>
          <a:off x="3803650" y="767905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210</xdr:row>
      <xdr:rowOff>0</xdr:rowOff>
    </xdr:from>
    <xdr:ext cx="304800" cy="304094"/>
    <xdr:sp macro="" textlink="">
      <xdr:nvSpPr>
        <xdr:cNvPr id="1163" name="AutoShape 12">
          <a:extLst>
            <a:ext uri="{FF2B5EF4-FFF2-40B4-BE49-F238E27FC236}">
              <a16:creationId xmlns:a16="http://schemas.microsoft.com/office/drawing/2014/main" id="{4DB57152-815F-46BE-B3CE-03D55A21718D}"/>
            </a:ext>
          </a:extLst>
        </xdr:cNvPr>
        <xdr:cNvSpPr>
          <a:spLocks noChangeAspect="1" noChangeArrowheads="1"/>
        </xdr:cNvSpPr>
      </xdr:nvSpPr>
      <xdr:spPr bwMode="auto">
        <a:xfrm>
          <a:off x="3803650" y="769747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192</xdr:row>
      <xdr:rowOff>0</xdr:rowOff>
    </xdr:from>
    <xdr:ext cx="304800" cy="304094"/>
    <xdr:sp macro="" textlink="">
      <xdr:nvSpPr>
        <xdr:cNvPr id="1164" name="AutoShape 12">
          <a:extLst>
            <a:ext uri="{FF2B5EF4-FFF2-40B4-BE49-F238E27FC236}">
              <a16:creationId xmlns:a16="http://schemas.microsoft.com/office/drawing/2014/main" id="{E6435560-C22D-489F-9972-5FB5A4985C6F}"/>
            </a:ext>
          </a:extLst>
        </xdr:cNvPr>
        <xdr:cNvSpPr>
          <a:spLocks noChangeAspect="1" noChangeArrowheads="1"/>
        </xdr:cNvSpPr>
      </xdr:nvSpPr>
      <xdr:spPr bwMode="auto">
        <a:xfrm>
          <a:off x="3803650" y="736600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193</xdr:row>
      <xdr:rowOff>0</xdr:rowOff>
    </xdr:from>
    <xdr:ext cx="304800" cy="304094"/>
    <xdr:sp macro="" textlink="">
      <xdr:nvSpPr>
        <xdr:cNvPr id="1165" name="AutoShape 12">
          <a:extLst>
            <a:ext uri="{FF2B5EF4-FFF2-40B4-BE49-F238E27FC236}">
              <a16:creationId xmlns:a16="http://schemas.microsoft.com/office/drawing/2014/main" id="{2ADD735A-E915-4E51-A6E2-389D8CF55C85}"/>
            </a:ext>
          </a:extLst>
        </xdr:cNvPr>
        <xdr:cNvSpPr>
          <a:spLocks noChangeAspect="1" noChangeArrowheads="1"/>
        </xdr:cNvSpPr>
      </xdr:nvSpPr>
      <xdr:spPr bwMode="auto">
        <a:xfrm>
          <a:off x="3803650" y="7384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193</xdr:row>
      <xdr:rowOff>0</xdr:rowOff>
    </xdr:from>
    <xdr:ext cx="304800" cy="304094"/>
    <xdr:sp macro="" textlink="">
      <xdr:nvSpPr>
        <xdr:cNvPr id="1166" name="AutoShape 12">
          <a:extLst>
            <a:ext uri="{FF2B5EF4-FFF2-40B4-BE49-F238E27FC236}">
              <a16:creationId xmlns:a16="http://schemas.microsoft.com/office/drawing/2014/main" id="{A32A93EA-3547-441A-B569-7CEE1B44051C}"/>
            </a:ext>
          </a:extLst>
        </xdr:cNvPr>
        <xdr:cNvSpPr>
          <a:spLocks noChangeAspect="1" noChangeArrowheads="1"/>
        </xdr:cNvSpPr>
      </xdr:nvSpPr>
      <xdr:spPr bwMode="auto">
        <a:xfrm>
          <a:off x="3803650" y="7384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194</xdr:row>
      <xdr:rowOff>0</xdr:rowOff>
    </xdr:from>
    <xdr:ext cx="304800" cy="304094"/>
    <xdr:sp macro="" textlink="">
      <xdr:nvSpPr>
        <xdr:cNvPr id="1167" name="AutoShape 12">
          <a:extLst>
            <a:ext uri="{FF2B5EF4-FFF2-40B4-BE49-F238E27FC236}">
              <a16:creationId xmlns:a16="http://schemas.microsoft.com/office/drawing/2014/main" id="{CD4E61B0-CE3B-4801-9691-FB89BA9BB94A}"/>
            </a:ext>
          </a:extLst>
        </xdr:cNvPr>
        <xdr:cNvSpPr>
          <a:spLocks noChangeAspect="1" noChangeArrowheads="1"/>
        </xdr:cNvSpPr>
      </xdr:nvSpPr>
      <xdr:spPr bwMode="auto">
        <a:xfrm>
          <a:off x="3803650" y="740283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193</xdr:row>
      <xdr:rowOff>0</xdr:rowOff>
    </xdr:from>
    <xdr:ext cx="304800" cy="304094"/>
    <xdr:sp macro="" textlink="">
      <xdr:nvSpPr>
        <xdr:cNvPr id="1168" name="AutoShape 12">
          <a:extLst>
            <a:ext uri="{FF2B5EF4-FFF2-40B4-BE49-F238E27FC236}">
              <a16:creationId xmlns:a16="http://schemas.microsoft.com/office/drawing/2014/main" id="{D1171A3C-87C6-4FC6-BBCC-E3E6D3CC13E7}"/>
            </a:ext>
          </a:extLst>
        </xdr:cNvPr>
        <xdr:cNvSpPr>
          <a:spLocks noChangeAspect="1" noChangeArrowheads="1"/>
        </xdr:cNvSpPr>
      </xdr:nvSpPr>
      <xdr:spPr bwMode="auto">
        <a:xfrm>
          <a:off x="3803650" y="7384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194</xdr:row>
      <xdr:rowOff>0</xdr:rowOff>
    </xdr:from>
    <xdr:ext cx="304800" cy="304094"/>
    <xdr:sp macro="" textlink="">
      <xdr:nvSpPr>
        <xdr:cNvPr id="1169" name="AutoShape 12">
          <a:extLst>
            <a:ext uri="{FF2B5EF4-FFF2-40B4-BE49-F238E27FC236}">
              <a16:creationId xmlns:a16="http://schemas.microsoft.com/office/drawing/2014/main" id="{764C78CE-5EB7-4D18-B45C-7CA56BAE8F91}"/>
            </a:ext>
          </a:extLst>
        </xdr:cNvPr>
        <xdr:cNvSpPr>
          <a:spLocks noChangeAspect="1" noChangeArrowheads="1"/>
        </xdr:cNvSpPr>
      </xdr:nvSpPr>
      <xdr:spPr bwMode="auto">
        <a:xfrm>
          <a:off x="3803650" y="740283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194</xdr:row>
      <xdr:rowOff>0</xdr:rowOff>
    </xdr:from>
    <xdr:ext cx="304800" cy="304094"/>
    <xdr:sp macro="" textlink="">
      <xdr:nvSpPr>
        <xdr:cNvPr id="1170" name="AutoShape 12">
          <a:extLst>
            <a:ext uri="{FF2B5EF4-FFF2-40B4-BE49-F238E27FC236}">
              <a16:creationId xmlns:a16="http://schemas.microsoft.com/office/drawing/2014/main" id="{4C038033-3DA9-49F8-B4FD-A8B96B56942B}"/>
            </a:ext>
          </a:extLst>
        </xdr:cNvPr>
        <xdr:cNvSpPr>
          <a:spLocks noChangeAspect="1" noChangeArrowheads="1"/>
        </xdr:cNvSpPr>
      </xdr:nvSpPr>
      <xdr:spPr bwMode="auto">
        <a:xfrm>
          <a:off x="3803650" y="740283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195</xdr:row>
      <xdr:rowOff>0</xdr:rowOff>
    </xdr:from>
    <xdr:ext cx="304800" cy="304094"/>
    <xdr:sp macro="" textlink="">
      <xdr:nvSpPr>
        <xdr:cNvPr id="1171" name="AutoShape 12">
          <a:extLst>
            <a:ext uri="{FF2B5EF4-FFF2-40B4-BE49-F238E27FC236}">
              <a16:creationId xmlns:a16="http://schemas.microsoft.com/office/drawing/2014/main" id="{F9BBFA14-B7AE-4B05-BB1D-8D2FE255E0FF}"/>
            </a:ext>
          </a:extLst>
        </xdr:cNvPr>
        <xdr:cNvSpPr>
          <a:spLocks noChangeAspect="1" noChangeArrowheads="1"/>
        </xdr:cNvSpPr>
      </xdr:nvSpPr>
      <xdr:spPr bwMode="auto">
        <a:xfrm>
          <a:off x="3803650" y="742124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205</xdr:row>
      <xdr:rowOff>0</xdr:rowOff>
    </xdr:from>
    <xdr:ext cx="304800" cy="304094"/>
    <xdr:sp macro="" textlink="">
      <xdr:nvSpPr>
        <xdr:cNvPr id="1172" name="AutoShape 12">
          <a:extLst>
            <a:ext uri="{FF2B5EF4-FFF2-40B4-BE49-F238E27FC236}">
              <a16:creationId xmlns:a16="http://schemas.microsoft.com/office/drawing/2014/main" id="{3A60D4DB-01C3-448B-9C16-A284DBEE349E}"/>
            </a:ext>
          </a:extLst>
        </xdr:cNvPr>
        <xdr:cNvSpPr>
          <a:spLocks noChangeAspect="1" noChangeArrowheads="1"/>
        </xdr:cNvSpPr>
      </xdr:nvSpPr>
      <xdr:spPr bwMode="auto">
        <a:xfrm>
          <a:off x="3803650" y="760539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206</xdr:row>
      <xdr:rowOff>0</xdr:rowOff>
    </xdr:from>
    <xdr:ext cx="304800" cy="304094"/>
    <xdr:sp macro="" textlink="">
      <xdr:nvSpPr>
        <xdr:cNvPr id="1173" name="AutoShape 12">
          <a:extLst>
            <a:ext uri="{FF2B5EF4-FFF2-40B4-BE49-F238E27FC236}">
              <a16:creationId xmlns:a16="http://schemas.microsoft.com/office/drawing/2014/main" id="{4E8C41EF-6021-4620-99BD-350036A7CC1C}"/>
            </a:ext>
          </a:extLst>
        </xdr:cNvPr>
        <xdr:cNvSpPr>
          <a:spLocks noChangeAspect="1" noChangeArrowheads="1"/>
        </xdr:cNvSpPr>
      </xdr:nvSpPr>
      <xdr:spPr bwMode="auto">
        <a:xfrm>
          <a:off x="3803650" y="762381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216</xdr:row>
      <xdr:rowOff>0</xdr:rowOff>
    </xdr:from>
    <xdr:ext cx="304800" cy="304094"/>
    <xdr:sp macro="" textlink="">
      <xdr:nvSpPr>
        <xdr:cNvPr id="1174" name="AutoShape 12">
          <a:extLst>
            <a:ext uri="{FF2B5EF4-FFF2-40B4-BE49-F238E27FC236}">
              <a16:creationId xmlns:a16="http://schemas.microsoft.com/office/drawing/2014/main" id="{A1821A39-63AE-4984-A521-468F5B06A14E}"/>
            </a:ext>
          </a:extLst>
        </xdr:cNvPr>
        <xdr:cNvSpPr>
          <a:spLocks noChangeAspect="1" noChangeArrowheads="1"/>
        </xdr:cNvSpPr>
      </xdr:nvSpPr>
      <xdr:spPr bwMode="auto">
        <a:xfrm>
          <a:off x="3803650" y="780796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217</xdr:row>
      <xdr:rowOff>0</xdr:rowOff>
    </xdr:from>
    <xdr:ext cx="304800" cy="304094"/>
    <xdr:sp macro="" textlink="">
      <xdr:nvSpPr>
        <xdr:cNvPr id="1175" name="AutoShape 12">
          <a:extLst>
            <a:ext uri="{FF2B5EF4-FFF2-40B4-BE49-F238E27FC236}">
              <a16:creationId xmlns:a16="http://schemas.microsoft.com/office/drawing/2014/main" id="{F11868FF-4FD7-4600-A14A-A5C4A6F41B6E}"/>
            </a:ext>
          </a:extLst>
        </xdr:cNvPr>
        <xdr:cNvSpPr>
          <a:spLocks noChangeAspect="1" noChangeArrowheads="1"/>
        </xdr:cNvSpPr>
      </xdr:nvSpPr>
      <xdr:spPr bwMode="auto">
        <a:xfrm>
          <a:off x="3803650" y="78263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206</xdr:row>
      <xdr:rowOff>0</xdr:rowOff>
    </xdr:from>
    <xdr:ext cx="304800" cy="304094"/>
    <xdr:sp macro="" textlink="">
      <xdr:nvSpPr>
        <xdr:cNvPr id="1176" name="AutoShape 12">
          <a:extLst>
            <a:ext uri="{FF2B5EF4-FFF2-40B4-BE49-F238E27FC236}">
              <a16:creationId xmlns:a16="http://schemas.microsoft.com/office/drawing/2014/main" id="{3ED92C9C-46B1-40A4-96E2-E76B3548D626}"/>
            </a:ext>
          </a:extLst>
        </xdr:cNvPr>
        <xdr:cNvSpPr>
          <a:spLocks noChangeAspect="1" noChangeArrowheads="1"/>
        </xdr:cNvSpPr>
      </xdr:nvSpPr>
      <xdr:spPr bwMode="auto">
        <a:xfrm>
          <a:off x="3803650" y="762381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207</xdr:row>
      <xdr:rowOff>0</xdr:rowOff>
    </xdr:from>
    <xdr:ext cx="304800" cy="304094"/>
    <xdr:sp macro="" textlink="">
      <xdr:nvSpPr>
        <xdr:cNvPr id="1177" name="AutoShape 12">
          <a:extLst>
            <a:ext uri="{FF2B5EF4-FFF2-40B4-BE49-F238E27FC236}">
              <a16:creationId xmlns:a16="http://schemas.microsoft.com/office/drawing/2014/main" id="{6F681A7E-F600-47DB-A143-611C9E3E519B}"/>
            </a:ext>
          </a:extLst>
        </xdr:cNvPr>
        <xdr:cNvSpPr>
          <a:spLocks noChangeAspect="1" noChangeArrowheads="1"/>
        </xdr:cNvSpPr>
      </xdr:nvSpPr>
      <xdr:spPr bwMode="auto">
        <a:xfrm>
          <a:off x="3803650" y="764222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217</xdr:row>
      <xdr:rowOff>0</xdr:rowOff>
    </xdr:from>
    <xdr:ext cx="304800" cy="304094"/>
    <xdr:sp macro="" textlink="">
      <xdr:nvSpPr>
        <xdr:cNvPr id="1178" name="AutoShape 12">
          <a:extLst>
            <a:ext uri="{FF2B5EF4-FFF2-40B4-BE49-F238E27FC236}">
              <a16:creationId xmlns:a16="http://schemas.microsoft.com/office/drawing/2014/main" id="{2BB75DAA-0227-47D9-B9E8-902621AFFB06}"/>
            </a:ext>
          </a:extLst>
        </xdr:cNvPr>
        <xdr:cNvSpPr>
          <a:spLocks noChangeAspect="1" noChangeArrowheads="1"/>
        </xdr:cNvSpPr>
      </xdr:nvSpPr>
      <xdr:spPr bwMode="auto">
        <a:xfrm>
          <a:off x="3803650" y="78263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218</xdr:row>
      <xdr:rowOff>0</xdr:rowOff>
    </xdr:from>
    <xdr:ext cx="304800" cy="304094"/>
    <xdr:sp macro="" textlink="">
      <xdr:nvSpPr>
        <xdr:cNvPr id="1179" name="AutoShape 12">
          <a:extLst>
            <a:ext uri="{FF2B5EF4-FFF2-40B4-BE49-F238E27FC236}">
              <a16:creationId xmlns:a16="http://schemas.microsoft.com/office/drawing/2014/main" id="{D5E4543C-22AC-4B33-8E3B-FBEB6D85B798}"/>
            </a:ext>
          </a:extLst>
        </xdr:cNvPr>
        <xdr:cNvSpPr>
          <a:spLocks noChangeAspect="1" noChangeArrowheads="1"/>
        </xdr:cNvSpPr>
      </xdr:nvSpPr>
      <xdr:spPr bwMode="auto">
        <a:xfrm>
          <a:off x="3803650" y="784479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206</xdr:row>
      <xdr:rowOff>0</xdr:rowOff>
    </xdr:from>
    <xdr:ext cx="304800" cy="304094"/>
    <xdr:sp macro="" textlink="">
      <xdr:nvSpPr>
        <xdr:cNvPr id="1180" name="AutoShape 12">
          <a:extLst>
            <a:ext uri="{FF2B5EF4-FFF2-40B4-BE49-F238E27FC236}">
              <a16:creationId xmlns:a16="http://schemas.microsoft.com/office/drawing/2014/main" id="{6AD89BC2-07BD-4B84-9B6E-BF40EC381F55}"/>
            </a:ext>
          </a:extLst>
        </xdr:cNvPr>
        <xdr:cNvSpPr>
          <a:spLocks noChangeAspect="1" noChangeArrowheads="1"/>
        </xdr:cNvSpPr>
      </xdr:nvSpPr>
      <xdr:spPr bwMode="auto">
        <a:xfrm>
          <a:off x="3803650" y="762381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207</xdr:row>
      <xdr:rowOff>0</xdr:rowOff>
    </xdr:from>
    <xdr:ext cx="304800" cy="304094"/>
    <xdr:sp macro="" textlink="">
      <xdr:nvSpPr>
        <xdr:cNvPr id="1181" name="AutoShape 12">
          <a:extLst>
            <a:ext uri="{FF2B5EF4-FFF2-40B4-BE49-F238E27FC236}">
              <a16:creationId xmlns:a16="http://schemas.microsoft.com/office/drawing/2014/main" id="{354FE6B3-FE7D-4A8E-9971-F5FFAB66FBBD}"/>
            </a:ext>
          </a:extLst>
        </xdr:cNvPr>
        <xdr:cNvSpPr>
          <a:spLocks noChangeAspect="1" noChangeArrowheads="1"/>
        </xdr:cNvSpPr>
      </xdr:nvSpPr>
      <xdr:spPr bwMode="auto">
        <a:xfrm>
          <a:off x="3803650" y="764222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217</xdr:row>
      <xdr:rowOff>0</xdr:rowOff>
    </xdr:from>
    <xdr:ext cx="304800" cy="304094"/>
    <xdr:sp macro="" textlink="">
      <xdr:nvSpPr>
        <xdr:cNvPr id="1182" name="AutoShape 12">
          <a:extLst>
            <a:ext uri="{FF2B5EF4-FFF2-40B4-BE49-F238E27FC236}">
              <a16:creationId xmlns:a16="http://schemas.microsoft.com/office/drawing/2014/main" id="{09026094-459F-4136-AE8A-D6669E4F2619}"/>
            </a:ext>
          </a:extLst>
        </xdr:cNvPr>
        <xdr:cNvSpPr>
          <a:spLocks noChangeAspect="1" noChangeArrowheads="1"/>
        </xdr:cNvSpPr>
      </xdr:nvSpPr>
      <xdr:spPr bwMode="auto">
        <a:xfrm>
          <a:off x="3803650" y="78263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218</xdr:row>
      <xdr:rowOff>0</xdr:rowOff>
    </xdr:from>
    <xdr:ext cx="304800" cy="304094"/>
    <xdr:sp macro="" textlink="">
      <xdr:nvSpPr>
        <xdr:cNvPr id="1183" name="AutoShape 12">
          <a:extLst>
            <a:ext uri="{FF2B5EF4-FFF2-40B4-BE49-F238E27FC236}">
              <a16:creationId xmlns:a16="http://schemas.microsoft.com/office/drawing/2014/main" id="{6ABA8226-BD0B-4D1A-848E-0665BDF46826}"/>
            </a:ext>
          </a:extLst>
        </xdr:cNvPr>
        <xdr:cNvSpPr>
          <a:spLocks noChangeAspect="1" noChangeArrowheads="1"/>
        </xdr:cNvSpPr>
      </xdr:nvSpPr>
      <xdr:spPr bwMode="auto">
        <a:xfrm>
          <a:off x="3803650" y="784479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207</xdr:row>
      <xdr:rowOff>0</xdr:rowOff>
    </xdr:from>
    <xdr:ext cx="304800" cy="304094"/>
    <xdr:sp macro="" textlink="">
      <xdr:nvSpPr>
        <xdr:cNvPr id="1184" name="AutoShape 12">
          <a:extLst>
            <a:ext uri="{FF2B5EF4-FFF2-40B4-BE49-F238E27FC236}">
              <a16:creationId xmlns:a16="http://schemas.microsoft.com/office/drawing/2014/main" id="{335B15A0-65C4-4D08-8D18-1400785AA9B7}"/>
            </a:ext>
          </a:extLst>
        </xdr:cNvPr>
        <xdr:cNvSpPr>
          <a:spLocks noChangeAspect="1" noChangeArrowheads="1"/>
        </xdr:cNvSpPr>
      </xdr:nvSpPr>
      <xdr:spPr bwMode="auto">
        <a:xfrm>
          <a:off x="3803650" y="764222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208</xdr:row>
      <xdr:rowOff>0</xdr:rowOff>
    </xdr:from>
    <xdr:ext cx="304800" cy="304094"/>
    <xdr:sp macro="" textlink="">
      <xdr:nvSpPr>
        <xdr:cNvPr id="1185" name="AutoShape 12">
          <a:extLst>
            <a:ext uri="{FF2B5EF4-FFF2-40B4-BE49-F238E27FC236}">
              <a16:creationId xmlns:a16="http://schemas.microsoft.com/office/drawing/2014/main" id="{8A5C0D5B-1327-46BF-9934-1A746F0C0382}"/>
            </a:ext>
          </a:extLst>
        </xdr:cNvPr>
        <xdr:cNvSpPr>
          <a:spLocks noChangeAspect="1" noChangeArrowheads="1"/>
        </xdr:cNvSpPr>
      </xdr:nvSpPr>
      <xdr:spPr bwMode="auto">
        <a:xfrm>
          <a:off x="3803650" y="766064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218</xdr:row>
      <xdr:rowOff>0</xdr:rowOff>
    </xdr:from>
    <xdr:ext cx="304800" cy="304094"/>
    <xdr:sp macro="" textlink="">
      <xdr:nvSpPr>
        <xdr:cNvPr id="1186" name="AutoShape 12">
          <a:extLst>
            <a:ext uri="{FF2B5EF4-FFF2-40B4-BE49-F238E27FC236}">
              <a16:creationId xmlns:a16="http://schemas.microsoft.com/office/drawing/2014/main" id="{CB5812F1-EC3F-455A-9D96-710BF4BF482B}"/>
            </a:ext>
          </a:extLst>
        </xdr:cNvPr>
        <xdr:cNvSpPr>
          <a:spLocks noChangeAspect="1" noChangeArrowheads="1"/>
        </xdr:cNvSpPr>
      </xdr:nvSpPr>
      <xdr:spPr bwMode="auto">
        <a:xfrm>
          <a:off x="3803650" y="784479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208</xdr:row>
      <xdr:rowOff>0</xdr:rowOff>
    </xdr:from>
    <xdr:ext cx="304800" cy="304094"/>
    <xdr:sp macro="" textlink="">
      <xdr:nvSpPr>
        <xdr:cNvPr id="1187" name="AutoShape 12">
          <a:extLst>
            <a:ext uri="{FF2B5EF4-FFF2-40B4-BE49-F238E27FC236}">
              <a16:creationId xmlns:a16="http://schemas.microsoft.com/office/drawing/2014/main" id="{116149A1-7BE7-4896-9F96-2ED5CDBE094A}"/>
            </a:ext>
          </a:extLst>
        </xdr:cNvPr>
        <xdr:cNvSpPr>
          <a:spLocks noChangeAspect="1" noChangeArrowheads="1"/>
        </xdr:cNvSpPr>
      </xdr:nvSpPr>
      <xdr:spPr bwMode="auto">
        <a:xfrm>
          <a:off x="3803650" y="766064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209</xdr:row>
      <xdr:rowOff>0</xdr:rowOff>
    </xdr:from>
    <xdr:ext cx="304800" cy="304094"/>
    <xdr:sp macro="" textlink="">
      <xdr:nvSpPr>
        <xdr:cNvPr id="1188" name="AutoShape 12">
          <a:extLst>
            <a:ext uri="{FF2B5EF4-FFF2-40B4-BE49-F238E27FC236}">
              <a16:creationId xmlns:a16="http://schemas.microsoft.com/office/drawing/2014/main" id="{141589FF-847D-41F2-B3C5-ADC5D5381B42}"/>
            </a:ext>
          </a:extLst>
        </xdr:cNvPr>
        <xdr:cNvSpPr>
          <a:spLocks noChangeAspect="1" noChangeArrowheads="1"/>
        </xdr:cNvSpPr>
      </xdr:nvSpPr>
      <xdr:spPr bwMode="auto">
        <a:xfrm>
          <a:off x="3803650" y="767905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209</xdr:row>
      <xdr:rowOff>0</xdr:rowOff>
    </xdr:from>
    <xdr:ext cx="304800" cy="304094"/>
    <xdr:sp macro="" textlink="">
      <xdr:nvSpPr>
        <xdr:cNvPr id="1189" name="AutoShape 12">
          <a:extLst>
            <a:ext uri="{FF2B5EF4-FFF2-40B4-BE49-F238E27FC236}">
              <a16:creationId xmlns:a16="http://schemas.microsoft.com/office/drawing/2014/main" id="{7A457653-04E1-4C73-B32B-C79CC26643E2}"/>
            </a:ext>
          </a:extLst>
        </xdr:cNvPr>
        <xdr:cNvSpPr>
          <a:spLocks noChangeAspect="1" noChangeArrowheads="1"/>
        </xdr:cNvSpPr>
      </xdr:nvSpPr>
      <xdr:spPr bwMode="auto">
        <a:xfrm>
          <a:off x="3803650" y="767905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210</xdr:row>
      <xdr:rowOff>0</xdr:rowOff>
    </xdr:from>
    <xdr:ext cx="304800" cy="304094"/>
    <xdr:sp macro="" textlink="">
      <xdr:nvSpPr>
        <xdr:cNvPr id="1190" name="AutoShape 12">
          <a:extLst>
            <a:ext uri="{FF2B5EF4-FFF2-40B4-BE49-F238E27FC236}">
              <a16:creationId xmlns:a16="http://schemas.microsoft.com/office/drawing/2014/main" id="{3D3D8FAA-00BA-4778-B45E-EB3751D1881B}"/>
            </a:ext>
          </a:extLst>
        </xdr:cNvPr>
        <xdr:cNvSpPr>
          <a:spLocks noChangeAspect="1" noChangeArrowheads="1"/>
        </xdr:cNvSpPr>
      </xdr:nvSpPr>
      <xdr:spPr bwMode="auto">
        <a:xfrm>
          <a:off x="3803650" y="769747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209</xdr:row>
      <xdr:rowOff>0</xdr:rowOff>
    </xdr:from>
    <xdr:ext cx="304800" cy="304094"/>
    <xdr:sp macro="" textlink="">
      <xdr:nvSpPr>
        <xdr:cNvPr id="1191" name="AutoShape 12">
          <a:extLst>
            <a:ext uri="{FF2B5EF4-FFF2-40B4-BE49-F238E27FC236}">
              <a16:creationId xmlns:a16="http://schemas.microsoft.com/office/drawing/2014/main" id="{68DECBDC-FF14-47E1-A9F0-8B9ADB98EE97}"/>
            </a:ext>
          </a:extLst>
        </xdr:cNvPr>
        <xdr:cNvSpPr>
          <a:spLocks noChangeAspect="1" noChangeArrowheads="1"/>
        </xdr:cNvSpPr>
      </xdr:nvSpPr>
      <xdr:spPr bwMode="auto">
        <a:xfrm>
          <a:off x="3803650" y="767905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210</xdr:row>
      <xdr:rowOff>0</xdr:rowOff>
    </xdr:from>
    <xdr:ext cx="304800" cy="304094"/>
    <xdr:sp macro="" textlink="">
      <xdr:nvSpPr>
        <xdr:cNvPr id="1192" name="AutoShape 12">
          <a:extLst>
            <a:ext uri="{FF2B5EF4-FFF2-40B4-BE49-F238E27FC236}">
              <a16:creationId xmlns:a16="http://schemas.microsoft.com/office/drawing/2014/main" id="{92293B22-C02E-41C4-B8B0-7A89CA2778A8}"/>
            </a:ext>
          </a:extLst>
        </xdr:cNvPr>
        <xdr:cNvSpPr>
          <a:spLocks noChangeAspect="1" noChangeArrowheads="1"/>
        </xdr:cNvSpPr>
      </xdr:nvSpPr>
      <xdr:spPr bwMode="auto">
        <a:xfrm>
          <a:off x="3803650" y="769747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210</xdr:row>
      <xdr:rowOff>0</xdr:rowOff>
    </xdr:from>
    <xdr:ext cx="304800" cy="304094"/>
    <xdr:sp macro="" textlink="">
      <xdr:nvSpPr>
        <xdr:cNvPr id="1193" name="AutoShape 12">
          <a:extLst>
            <a:ext uri="{FF2B5EF4-FFF2-40B4-BE49-F238E27FC236}">
              <a16:creationId xmlns:a16="http://schemas.microsoft.com/office/drawing/2014/main" id="{6637E28A-7047-41E7-B0ED-2F9083D9E079}"/>
            </a:ext>
          </a:extLst>
        </xdr:cNvPr>
        <xdr:cNvSpPr>
          <a:spLocks noChangeAspect="1" noChangeArrowheads="1"/>
        </xdr:cNvSpPr>
      </xdr:nvSpPr>
      <xdr:spPr bwMode="auto">
        <a:xfrm>
          <a:off x="3803650" y="769747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211</xdr:row>
      <xdr:rowOff>0</xdr:rowOff>
    </xdr:from>
    <xdr:ext cx="304800" cy="304094"/>
    <xdr:sp macro="" textlink="">
      <xdr:nvSpPr>
        <xdr:cNvPr id="1194" name="AutoShape 12">
          <a:extLst>
            <a:ext uri="{FF2B5EF4-FFF2-40B4-BE49-F238E27FC236}">
              <a16:creationId xmlns:a16="http://schemas.microsoft.com/office/drawing/2014/main" id="{3EF17840-FD35-4F73-B0D5-BB87BB3913ED}"/>
            </a:ext>
          </a:extLst>
        </xdr:cNvPr>
        <xdr:cNvSpPr>
          <a:spLocks noChangeAspect="1" noChangeArrowheads="1"/>
        </xdr:cNvSpPr>
      </xdr:nvSpPr>
      <xdr:spPr bwMode="auto">
        <a:xfrm>
          <a:off x="3803650" y="771588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194</xdr:row>
      <xdr:rowOff>0</xdr:rowOff>
    </xdr:from>
    <xdr:ext cx="304800" cy="304094"/>
    <xdr:sp macro="" textlink="">
      <xdr:nvSpPr>
        <xdr:cNvPr id="1195" name="AutoShape 12">
          <a:extLst>
            <a:ext uri="{FF2B5EF4-FFF2-40B4-BE49-F238E27FC236}">
              <a16:creationId xmlns:a16="http://schemas.microsoft.com/office/drawing/2014/main" id="{97D4393C-1B84-44A1-A57F-D8C24E5FC023}"/>
            </a:ext>
          </a:extLst>
        </xdr:cNvPr>
        <xdr:cNvSpPr>
          <a:spLocks noChangeAspect="1" noChangeArrowheads="1"/>
        </xdr:cNvSpPr>
      </xdr:nvSpPr>
      <xdr:spPr bwMode="auto">
        <a:xfrm>
          <a:off x="3803650" y="740283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195</xdr:row>
      <xdr:rowOff>0</xdr:rowOff>
    </xdr:from>
    <xdr:ext cx="304800" cy="304094"/>
    <xdr:sp macro="" textlink="">
      <xdr:nvSpPr>
        <xdr:cNvPr id="1196" name="AutoShape 12">
          <a:extLst>
            <a:ext uri="{FF2B5EF4-FFF2-40B4-BE49-F238E27FC236}">
              <a16:creationId xmlns:a16="http://schemas.microsoft.com/office/drawing/2014/main" id="{D54C83E1-D517-45AA-AB68-730AFF6F9630}"/>
            </a:ext>
          </a:extLst>
        </xdr:cNvPr>
        <xdr:cNvSpPr>
          <a:spLocks noChangeAspect="1" noChangeArrowheads="1"/>
        </xdr:cNvSpPr>
      </xdr:nvSpPr>
      <xdr:spPr bwMode="auto">
        <a:xfrm>
          <a:off x="3803650" y="742124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185</xdr:row>
      <xdr:rowOff>0</xdr:rowOff>
    </xdr:from>
    <xdr:ext cx="304800" cy="304094"/>
    <xdr:sp macro="" textlink="">
      <xdr:nvSpPr>
        <xdr:cNvPr id="1197" name="AutoShape 12">
          <a:extLst>
            <a:ext uri="{FF2B5EF4-FFF2-40B4-BE49-F238E27FC236}">
              <a16:creationId xmlns:a16="http://schemas.microsoft.com/office/drawing/2014/main" id="{791374E7-F6CD-4E71-A49E-012F42E297D3}"/>
            </a:ext>
          </a:extLst>
        </xdr:cNvPr>
        <xdr:cNvSpPr>
          <a:spLocks noChangeAspect="1" noChangeArrowheads="1"/>
        </xdr:cNvSpPr>
      </xdr:nvSpPr>
      <xdr:spPr bwMode="auto">
        <a:xfrm>
          <a:off x="3803650" y="723709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195</xdr:row>
      <xdr:rowOff>0</xdr:rowOff>
    </xdr:from>
    <xdr:ext cx="304800" cy="304094"/>
    <xdr:sp macro="" textlink="">
      <xdr:nvSpPr>
        <xdr:cNvPr id="1198" name="AutoShape 12">
          <a:extLst>
            <a:ext uri="{FF2B5EF4-FFF2-40B4-BE49-F238E27FC236}">
              <a16:creationId xmlns:a16="http://schemas.microsoft.com/office/drawing/2014/main" id="{5BB636B9-D05C-49BE-A184-A5E7B81A7858}"/>
            </a:ext>
          </a:extLst>
        </xdr:cNvPr>
        <xdr:cNvSpPr>
          <a:spLocks noChangeAspect="1" noChangeArrowheads="1"/>
        </xdr:cNvSpPr>
      </xdr:nvSpPr>
      <xdr:spPr bwMode="auto">
        <a:xfrm>
          <a:off x="3803650" y="742124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196</xdr:row>
      <xdr:rowOff>0</xdr:rowOff>
    </xdr:from>
    <xdr:ext cx="304800" cy="304094"/>
    <xdr:sp macro="" textlink="">
      <xdr:nvSpPr>
        <xdr:cNvPr id="1199" name="AutoShape 12">
          <a:extLst>
            <a:ext uri="{FF2B5EF4-FFF2-40B4-BE49-F238E27FC236}">
              <a16:creationId xmlns:a16="http://schemas.microsoft.com/office/drawing/2014/main" id="{D5DF1D88-4DF7-4636-8A15-ECC516031C57}"/>
            </a:ext>
          </a:extLst>
        </xdr:cNvPr>
        <xdr:cNvSpPr>
          <a:spLocks noChangeAspect="1" noChangeArrowheads="1"/>
        </xdr:cNvSpPr>
      </xdr:nvSpPr>
      <xdr:spPr bwMode="auto">
        <a:xfrm>
          <a:off x="3803650" y="743966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185</xdr:row>
      <xdr:rowOff>0</xdr:rowOff>
    </xdr:from>
    <xdr:ext cx="304800" cy="304094"/>
    <xdr:sp macro="" textlink="">
      <xdr:nvSpPr>
        <xdr:cNvPr id="1200" name="AutoShape 12">
          <a:extLst>
            <a:ext uri="{FF2B5EF4-FFF2-40B4-BE49-F238E27FC236}">
              <a16:creationId xmlns:a16="http://schemas.microsoft.com/office/drawing/2014/main" id="{B28A39DD-C3C1-455A-A95E-8EB72BF415EA}"/>
            </a:ext>
          </a:extLst>
        </xdr:cNvPr>
        <xdr:cNvSpPr>
          <a:spLocks noChangeAspect="1" noChangeArrowheads="1"/>
        </xdr:cNvSpPr>
      </xdr:nvSpPr>
      <xdr:spPr bwMode="auto">
        <a:xfrm>
          <a:off x="3803650" y="723709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195</xdr:row>
      <xdr:rowOff>0</xdr:rowOff>
    </xdr:from>
    <xdr:ext cx="304800" cy="304094"/>
    <xdr:sp macro="" textlink="">
      <xdr:nvSpPr>
        <xdr:cNvPr id="1201" name="AutoShape 12">
          <a:extLst>
            <a:ext uri="{FF2B5EF4-FFF2-40B4-BE49-F238E27FC236}">
              <a16:creationId xmlns:a16="http://schemas.microsoft.com/office/drawing/2014/main" id="{1DF5CE1F-D1DA-4BCE-B03D-543D53B324BC}"/>
            </a:ext>
          </a:extLst>
        </xdr:cNvPr>
        <xdr:cNvSpPr>
          <a:spLocks noChangeAspect="1" noChangeArrowheads="1"/>
        </xdr:cNvSpPr>
      </xdr:nvSpPr>
      <xdr:spPr bwMode="auto">
        <a:xfrm>
          <a:off x="3803650" y="742124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196</xdr:row>
      <xdr:rowOff>0</xdr:rowOff>
    </xdr:from>
    <xdr:ext cx="304800" cy="304094"/>
    <xdr:sp macro="" textlink="">
      <xdr:nvSpPr>
        <xdr:cNvPr id="1202" name="AutoShape 12">
          <a:extLst>
            <a:ext uri="{FF2B5EF4-FFF2-40B4-BE49-F238E27FC236}">
              <a16:creationId xmlns:a16="http://schemas.microsoft.com/office/drawing/2014/main" id="{DA68FAA3-1989-44AD-8247-BCDDC508F8AE}"/>
            </a:ext>
          </a:extLst>
        </xdr:cNvPr>
        <xdr:cNvSpPr>
          <a:spLocks noChangeAspect="1" noChangeArrowheads="1"/>
        </xdr:cNvSpPr>
      </xdr:nvSpPr>
      <xdr:spPr bwMode="auto">
        <a:xfrm>
          <a:off x="3803650" y="743966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185</xdr:row>
      <xdr:rowOff>0</xdr:rowOff>
    </xdr:from>
    <xdr:ext cx="304800" cy="304094"/>
    <xdr:sp macro="" textlink="">
      <xdr:nvSpPr>
        <xdr:cNvPr id="1203" name="AutoShape 12">
          <a:extLst>
            <a:ext uri="{FF2B5EF4-FFF2-40B4-BE49-F238E27FC236}">
              <a16:creationId xmlns:a16="http://schemas.microsoft.com/office/drawing/2014/main" id="{73C60694-81A6-428B-A4B7-328121CCF77F}"/>
            </a:ext>
          </a:extLst>
        </xdr:cNvPr>
        <xdr:cNvSpPr>
          <a:spLocks noChangeAspect="1" noChangeArrowheads="1"/>
        </xdr:cNvSpPr>
      </xdr:nvSpPr>
      <xdr:spPr bwMode="auto">
        <a:xfrm>
          <a:off x="3803650" y="723709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186</xdr:row>
      <xdr:rowOff>0</xdr:rowOff>
    </xdr:from>
    <xdr:ext cx="304800" cy="304094"/>
    <xdr:sp macro="" textlink="">
      <xdr:nvSpPr>
        <xdr:cNvPr id="1204" name="AutoShape 12">
          <a:extLst>
            <a:ext uri="{FF2B5EF4-FFF2-40B4-BE49-F238E27FC236}">
              <a16:creationId xmlns:a16="http://schemas.microsoft.com/office/drawing/2014/main" id="{1A171DED-11D1-4CA0-8F5B-45B8823E1FF0}"/>
            </a:ext>
          </a:extLst>
        </xdr:cNvPr>
        <xdr:cNvSpPr>
          <a:spLocks noChangeAspect="1" noChangeArrowheads="1"/>
        </xdr:cNvSpPr>
      </xdr:nvSpPr>
      <xdr:spPr bwMode="auto">
        <a:xfrm>
          <a:off x="3803650" y="725551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196</xdr:row>
      <xdr:rowOff>0</xdr:rowOff>
    </xdr:from>
    <xdr:ext cx="304800" cy="304094"/>
    <xdr:sp macro="" textlink="">
      <xdr:nvSpPr>
        <xdr:cNvPr id="1205" name="AutoShape 12">
          <a:extLst>
            <a:ext uri="{FF2B5EF4-FFF2-40B4-BE49-F238E27FC236}">
              <a16:creationId xmlns:a16="http://schemas.microsoft.com/office/drawing/2014/main" id="{1B8C2094-2734-4A57-8D16-9607369B9479}"/>
            </a:ext>
          </a:extLst>
        </xdr:cNvPr>
        <xdr:cNvSpPr>
          <a:spLocks noChangeAspect="1" noChangeArrowheads="1"/>
        </xdr:cNvSpPr>
      </xdr:nvSpPr>
      <xdr:spPr bwMode="auto">
        <a:xfrm>
          <a:off x="3803650" y="743966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197</xdr:row>
      <xdr:rowOff>0</xdr:rowOff>
    </xdr:from>
    <xdr:ext cx="304800" cy="304094"/>
    <xdr:sp macro="" textlink="">
      <xdr:nvSpPr>
        <xdr:cNvPr id="1206" name="AutoShape 12">
          <a:extLst>
            <a:ext uri="{FF2B5EF4-FFF2-40B4-BE49-F238E27FC236}">
              <a16:creationId xmlns:a16="http://schemas.microsoft.com/office/drawing/2014/main" id="{687DC255-C535-495F-8FBB-FBC5B2248F7E}"/>
            </a:ext>
          </a:extLst>
        </xdr:cNvPr>
        <xdr:cNvSpPr>
          <a:spLocks noChangeAspect="1" noChangeArrowheads="1"/>
        </xdr:cNvSpPr>
      </xdr:nvSpPr>
      <xdr:spPr bwMode="auto">
        <a:xfrm>
          <a:off x="3803650" y="7458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207</xdr:row>
      <xdr:rowOff>0</xdr:rowOff>
    </xdr:from>
    <xdr:ext cx="304800" cy="304094"/>
    <xdr:sp macro="" textlink="">
      <xdr:nvSpPr>
        <xdr:cNvPr id="1207" name="AutoShape 12">
          <a:extLst>
            <a:ext uri="{FF2B5EF4-FFF2-40B4-BE49-F238E27FC236}">
              <a16:creationId xmlns:a16="http://schemas.microsoft.com/office/drawing/2014/main" id="{2812D0E9-9A80-4680-A76C-6DD52D2432DB}"/>
            </a:ext>
          </a:extLst>
        </xdr:cNvPr>
        <xdr:cNvSpPr>
          <a:spLocks noChangeAspect="1" noChangeArrowheads="1"/>
        </xdr:cNvSpPr>
      </xdr:nvSpPr>
      <xdr:spPr bwMode="auto">
        <a:xfrm>
          <a:off x="3803650" y="764222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208</xdr:row>
      <xdr:rowOff>0</xdr:rowOff>
    </xdr:from>
    <xdr:ext cx="304800" cy="304094"/>
    <xdr:sp macro="" textlink="">
      <xdr:nvSpPr>
        <xdr:cNvPr id="1208" name="AutoShape 12">
          <a:extLst>
            <a:ext uri="{FF2B5EF4-FFF2-40B4-BE49-F238E27FC236}">
              <a16:creationId xmlns:a16="http://schemas.microsoft.com/office/drawing/2014/main" id="{E1E89BEA-6700-4574-A495-9BBB522B940D}"/>
            </a:ext>
          </a:extLst>
        </xdr:cNvPr>
        <xdr:cNvSpPr>
          <a:spLocks noChangeAspect="1" noChangeArrowheads="1"/>
        </xdr:cNvSpPr>
      </xdr:nvSpPr>
      <xdr:spPr bwMode="auto">
        <a:xfrm>
          <a:off x="3803650" y="766064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218</xdr:row>
      <xdr:rowOff>0</xdr:rowOff>
    </xdr:from>
    <xdr:ext cx="304800" cy="304094"/>
    <xdr:sp macro="" textlink="">
      <xdr:nvSpPr>
        <xdr:cNvPr id="1209" name="AutoShape 12">
          <a:extLst>
            <a:ext uri="{FF2B5EF4-FFF2-40B4-BE49-F238E27FC236}">
              <a16:creationId xmlns:a16="http://schemas.microsoft.com/office/drawing/2014/main" id="{9CAB1CE4-731F-4D63-BF2F-BB71A5DD3BFE}"/>
            </a:ext>
          </a:extLst>
        </xdr:cNvPr>
        <xdr:cNvSpPr>
          <a:spLocks noChangeAspect="1" noChangeArrowheads="1"/>
        </xdr:cNvSpPr>
      </xdr:nvSpPr>
      <xdr:spPr bwMode="auto">
        <a:xfrm>
          <a:off x="3803650" y="784479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219</xdr:row>
      <xdr:rowOff>0</xdr:rowOff>
    </xdr:from>
    <xdr:ext cx="304800" cy="304094"/>
    <xdr:sp macro="" textlink="">
      <xdr:nvSpPr>
        <xdr:cNvPr id="1210" name="AutoShape 12">
          <a:extLst>
            <a:ext uri="{FF2B5EF4-FFF2-40B4-BE49-F238E27FC236}">
              <a16:creationId xmlns:a16="http://schemas.microsoft.com/office/drawing/2014/main" id="{72CF9ED4-4D01-49A2-8FEE-97569D7A7554}"/>
            </a:ext>
          </a:extLst>
        </xdr:cNvPr>
        <xdr:cNvSpPr>
          <a:spLocks noChangeAspect="1" noChangeArrowheads="1"/>
        </xdr:cNvSpPr>
      </xdr:nvSpPr>
      <xdr:spPr bwMode="auto">
        <a:xfrm>
          <a:off x="3803650" y="786320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208</xdr:row>
      <xdr:rowOff>0</xdr:rowOff>
    </xdr:from>
    <xdr:ext cx="304800" cy="304094"/>
    <xdr:sp macro="" textlink="">
      <xdr:nvSpPr>
        <xdr:cNvPr id="1211" name="AutoShape 12">
          <a:extLst>
            <a:ext uri="{FF2B5EF4-FFF2-40B4-BE49-F238E27FC236}">
              <a16:creationId xmlns:a16="http://schemas.microsoft.com/office/drawing/2014/main" id="{D1847B30-CF39-4E71-A2E5-E5336A444C42}"/>
            </a:ext>
          </a:extLst>
        </xdr:cNvPr>
        <xdr:cNvSpPr>
          <a:spLocks noChangeAspect="1" noChangeArrowheads="1"/>
        </xdr:cNvSpPr>
      </xdr:nvSpPr>
      <xdr:spPr bwMode="auto">
        <a:xfrm>
          <a:off x="3803650" y="766064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209</xdr:row>
      <xdr:rowOff>0</xdr:rowOff>
    </xdr:from>
    <xdr:ext cx="304800" cy="304094"/>
    <xdr:sp macro="" textlink="">
      <xdr:nvSpPr>
        <xdr:cNvPr id="1212" name="AutoShape 12">
          <a:extLst>
            <a:ext uri="{FF2B5EF4-FFF2-40B4-BE49-F238E27FC236}">
              <a16:creationId xmlns:a16="http://schemas.microsoft.com/office/drawing/2014/main" id="{2E9B8DB3-FBDF-4C1F-8857-65CEC4473CA7}"/>
            </a:ext>
          </a:extLst>
        </xdr:cNvPr>
        <xdr:cNvSpPr>
          <a:spLocks noChangeAspect="1" noChangeArrowheads="1"/>
        </xdr:cNvSpPr>
      </xdr:nvSpPr>
      <xdr:spPr bwMode="auto">
        <a:xfrm>
          <a:off x="3803650" y="767905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219</xdr:row>
      <xdr:rowOff>0</xdr:rowOff>
    </xdr:from>
    <xdr:ext cx="304800" cy="304094"/>
    <xdr:sp macro="" textlink="">
      <xdr:nvSpPr>
        <xdr:cNvPr id="1213" name="AutoShape 12">
          <a:extLst>
            <a:ext uri="{FF2B5EF4-FFF2-40B4-BE49-F238E27FC236}">
              <a16:creationId xmlns:a16="http://schemas.microsoft.com/office/drawing/2014/main" id="{07A2A963-B09A-4F39-A5E3-3D3E76A07CE4}"/>
            </a:ext>
          </a:extLst>
        </xdr:cNvPr>
        <xdr:cNvSpPr>
          <a:spLocks noChangeAspect="1" noChangeArrowheads="1"/>
        </xdr:cNvSpPr>
      </xdr:nvSpPr>
      <xdr:spPr bwMode="auto">
        <a:xfrm>
          <a:off x="3803650" y="786320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220</xdr:row>
      <xdr:rowOff>0</xdr:rowOff>
    </xdr:from>
    <xdr:ext cx="304800" cy="304094"/>
    <xdr:sp macro="" textlink="">
      <xdr:nvSpPr>
        <xdr:cNvPr id="1214" name="AutoShape 12">
          <a:extLst>
            <a:ext uri="{FF2B5EF4-FFF2-40B4-BE49-F238E27FC236}">
              <a16:creationId xmlns:a16="http://schemas.microsoft.com/office/drawing/2014/main" id="{6B5C92E2-B1C9-49BB-B327-965765EEF178}"/>
            </a:ext>
          </a:extLst>
        </xdr:cNvPr>
        <xdr:cNvSpPr>
          <a:spLocks noChangeAspect="1" noChangeArrowheads="1"/>
        </xdr:cNvSpPr>
      </xdr:nvSpPr>
      <xdr:spPr bwMode="auto">
        <a:xfrm>
          <a:off x="3803650" y="788162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208</xdr:row>
      <xdr:rowOff>0</xdr:rowOff>
    </xdr:from>
    <xdr:ext cx="304800" cy="304094"/>
    <xdr:sp macro="" textlink="">
      <xdr:nvSpPr>
        <xdr:cNvPr id="1215" name="AutoShape 12">
          <a:extLst>
            <a:ext uri="{FF2B5EF4-FFF2-40B4-BE49-F238E27FC236}">
              <a16:creationId xmlns:a16="http://schemas.microsoft.com/office/drawing/2014/main" id="{DD3C6750-1E98-416C-A7B6-34D5C02C39D3}"/>
            </a:ext>
          </a:extLst>
        </xdr:cNvPr>
        <xdr:cNvSpPr>
          <a:spLocks noChangeAspect="1" noChangeArrowheads="1"/>
        </xdr:cNvSpPr>
      </xdr:nvSpPr>
      <xdr:spPr bwMode="auto">
        <a:xfrm>
          <a:off x="3803650" y="766064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209</xdr:row>
      <xdr:rowOff>0</xdr:rowOff>
    </xdr:from>
    <xdr:ext cx="304800" cy="304094"/>
    <xdr:sp macro="" textlink="">
      <xdr:nvSpPr>
        <xdr:cNvPr id="1216" name="AutoShape 12">
          <a:extLst>
            <a:ext uri="{FF2B5EF4-FFF2-40B4-BE49-F238E27FC236}">
              <a16:creationId xmlns:a16="http://schemas.microsoft.com/office/drawing/2014/main" id="{D0087A87-E1E3-47A0-9058-BEE1ACEC4182}"/>
            </a:ext>
          </a:extLst>
        </xdr:cNvPr>
        <xdr:cNvSpPr>
          <a:spLocks noChangeAspect="1" noChangeArrowheads="1"/>
        </xdr:cNvSpPr>
      </xdr:nvSpPr>
      <xdr:spPr bwMode="auto">
        <a:xfrm>
          <a:off x="3803650" y="767905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219</xdr:row>
      <xdr:rowOff>0</xdr:rowOff>
    </xdr:from>
    <xdr:ext cx="304800" cy="304094"/>
    <xdr:sp macro="" textlink="">
      <xdr:nvSpPr>
        <xdr:cNvPr id="1217" name="AutoShape 12">
          <a:extLst>
            <a:ext uri="{FF2B5EF4-FFF2-40B4-BE49-F238E27FC236}">
              <a16:creationId xmlns:a16="http://schemas.microsoft.com/office/drawing/2014/main" id="{11E96870-8AF1-4C9F-A2F5-CE0B50152161}"/>
            </a:ext>
          </a:extLst>
        </xdr:cNvPr>
        <xdr:cNvSpPr>
          <a:spLocks noChangeAspect="1" noChangeArrowheads="1"/>
        </xdr:cNvSpPr>
      </xdr:nvSpPr>
      <xdr:spPr bwMode="auto">
        <a:xfrm>
          <a:off x="3803650" y="786320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220</xdr:row>
      <xdr:rowOff>0</xdr:rowOff>
    </xdr:from>
    <xdr:ext cx="304800" cy="304094"/>
    <xdr:sp macro="" textlink="">
      <xdr:nvSpPr>
        <xdr:cNvPr id="1218" name="AutoShape 12">
          <a:extLst>
            <a:ext uri="{FF2B5EF4-FFF2-40B4-BE49-F238E27FC236}">
              <a16:creationId xmlns:a16="http://schemas.microsoft.com/office/drawing/2014/main" id="{5E9DDE82-D976-4281-90A0-1EF77A045037}"/>
            </a:ext>
          </a:extLst>
        </xdr:cNvPr>
        <xdr:cNvSpPr>
          <a:spLocks noChangeAspect="1" noChangeArrowheads="1"/>
        </xdr:cNvSpPr>
      </xdr:nvSpPr>
      <xdr:spPr bwMode="auto">
        <a:xfrm>
          <a:off x="3803650" y="788162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209</xdr:row>
      <xdr:rowOff>0</xdr:rowOff>
    </xdr:from>
    <xdr:ext cx="304800" cy="304094"/>
    <xdr:sp macro="" textlink="">
      <xdr:nvSpPr>
        <xdr:cNvPr id="1219" name="AutoShape 12">
          <a:extLst>
            <a:ext uri="{FF2B5EF4-FFF2-40B4-BE49-F238E27FC236}">
              <a16:creationId xmlns:a16="http://schemas.microsoft.com/office/drawing/2014/main" id="{9C0F2B7E-EFCF-4EAE-B929-92CFE762D9A4}"/>
            </a:ext>
          </a:extLst>
        </xdr:cNvPr>
        <xdr:cNvSpPr>
          <a:spLocks noChangeAspect="1" noChangeArrowheads="1"/>
        </xdr:cNvSpPr>
      </xdr:nvSpPr>
      <xdr:spPr bwMode="auto">
        <a:xfrm>
          <a:off x="3803650" y="767905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210</xdr:row>
      <xdr:rowOff>0</xdr:rowOff>
    </xdr:from>
    <xdr:ext cx="304800" cy="304094"/>
    <xdr:sp macro="" textlink="">
      <xdr:nvSpPr>
        <xdr:cNvPr id="1220" name="AutoShape 12">
          <a:extLst>
            <a:ext uri="{FF2B5EF4-FFF2-40B4-BE49-F238E27FC236}">
              <a16:creationId xmlns:a16="http://schemas.microsoft.com/office/drawing/2014/main" id="{00046615-1D4D-4C68-B072-F38EF0C80622}"/>
            </a:ext>
          </a:extLst>
        </xdr:cNvPr>
        <xdr:cNvSpPr>
          <a:spLocks noChangeAspect="1" noChangeArrowheads="1"/>
        </xdr:cNvSpPr>
      </xdr:nvSpPr>
      <xdr:spPr bwMode="auto">
        <a:xfrm>
          <a:off x="3803650" y="769747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220</xdr:row>
      <xdr:rowOff>0</xdr:rowOff>
    </xdr:from>
    <xdr:ext cx="304800" cy="304094"/>
    <xdr:sp macro="" textlink="">
      <xdr:nvSpPr>
        <xdr:cNvPr id="1221" name="AutoShape 12">
          <a:extLst>
            <a:ext uri="{FF2B5EF4-FFF2-40B4-BE49-F238E27FC236}">
              <a16:creationId xmlns:a16="http://schemas.microsoft.com/office/drawing/2014/main" id="{DC41FEA4-2649-4478-B0B2-080210AD59BA}"/>
            </a:ext>
          </a:extLst>
        </xdr:cNvPr>
        <xdr:cNvSpPr>
          <a:spLocks noChangeAspect="1" noChangeArrowheads="1"/>
        </xdr:cNvSpPr>
      </xdr:nvSpPr>
      <xdr:spPr bwMode="auto">
        <a:xfrm>
          <a:off x="3803650" y="788162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210</xdr:row>
      <xdr:rowOff>0</xdr:rowOff>
    </xdr:from>
    <xdr:ext cx="304800" cy="304094"/>
    <xdr:sp macro="" textlink="">
      <xdr:nvSpPr>
        <xdr:cNvPr id="1222" name="AutoShape 12">
          <a:extLst>
            <a:ext uri="{FF2B5EF4-FFF2-40B4-BE49-F238E27FC236}">
              <a16:creationId xmlns:a16="http://schemas.microsoft.com/office/drawing/2014/main" id="{CED77B05-F7AF-42A2-9E24-C97B351A4543}"/>
            </a:ext>
          </a:extLst>
        </xdr:cNvPr>
        <xdr:cNvSpPr>
          <a:spLocks noChangeAspect="1" noChangeArrowheads="1"/>
        </xdr:cNvSpPr>
      </xdr:nvSpPr>
      <xdr:spPr bwMode="auto">
        <a:xfrm>
          <a:off x="3803650" y="769747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211</xdr:row>
      <xdr:rowOff>0</xdr:rowOff>
    </xdr:from>
    <xdr:ext cx="304800" cy="304094"/>
    <xdr:sp macro="" textlink="">
      <xdr:nvSpPr>
        <xdr:cNvPr id="1223" name="AutoShape 12">
          <a:extLst>
            <a:ext uri="{FF2B5EF4-FFF2-40B4-BE49-F238E27FC236}">
              <a16:creationId xmlns:a16="http://schemas.microsoft.com/office/drawing/2014/main" id="{E454F5CC-A3BA-4CC9-9710-06E80481CD16}"/>
            </a:ext>
          </a:extLst>
        </xdr:cNvPr>
        <xdr:cNvSpPr>
          <a:spLocks noChangeAspect="1" noChangeArrowheads="1"/>
        </xdr:cNvSpPr>
      </xdr:nvSpPr>
      <xdr:spPr bwMode="auto">
        <a:xfrm>
          <a:off x="3803650" y="771588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211</xdr:row>
      <xdr:rowOff>0</xdr:rowOff>
    </xdr:from>
    <xdr:ext cx="304800" cy="304094"/>
    <xdr:sp macro="" textlink="">
      <xdr:nvSpPr>
        <xdr:cNvPr id="1224" name="AutoShape 12">
          <a:extLst>
            <a:ext uri="{FF2B5EF4-FFF2-40B4-BE49-F238E27FC236}">
              <a16:creationId xmlns:a16="http://schemas.microsoft.com/office/drawing/2014/main" id="{52A9B468-98AC-49B8-A307-968512BA0D9C}"/>
            </a:ext>
          </a:extLst>
        </xdr:cNvPr>
        <xdr:cNvSpPr>
          <a:spLocks noChangeAspect="1" noChangeArrowheads="1"/>
        </xdr:cNvSpPr>
      </xdr:nvSpPr>
      <xdr:spPr bwMode="auto">
        <a:xfrm>
          <a:off x="3803650" y="771588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212</xdr:row>
      <xdr:rowOff>0</xdr:rowOff>
    </xdr:from>
    <xdr:ext cx="304800" cy="304094"/>
    <xdr:sp macro="" textlink="">
      <xdr:nvSpPr>
        <xdr:cNvPr id="1225" name="AutoShape 12">
          <a:extLst>
            <a:ext uri="{FF2B5EF4-FFF2-40B4-BE49-F238E27FC236}">
              <a16:creationId xmlns:a16="http://schemas.microsoft.com/office/drawing/2014/main" id="{ADCB8AC8-1D67-4921-B8DE-66605E0EA9C2}"/>
            </a:ext>
          </a:extLst>
        </xdr:cNvPr>
        <xdr:cNvSpPr>
          <a:spLocks noChangeAspect="1" noChangeArrowheads="1"/>
        </xdr:cNvSpPr>
      </xdr:nvSpPr>
      <xdr:spPr bwMode="auto">
        <a:xfrm>
          <a:off x="3803650" y="773430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211</xdr:row>
      <xdr:rowOff>0</xdr:rowOff>
    </xdr:from>
    <xdr:ext cx="304800" cy="304094"/>
    <xdr:sp macro="" textlink="">
      <xdr:nvSpPr>
        <xdr:cNvPr id="1226" name="AutoShape 12">
          <a:extLst>
            <a:ext uri="{FF2B5EF4-FFF2-40B4-BE49-F238E27FC236}">
              <a16:creationId xmlns:a16="http://schemas.microsoft.com/office/drawing/2014/main" id="{05AF8557-36E1-413E-B403-DA7F826AF756}"/>
            </a:ext>
          </a:extLst>
        </xdr:cNvPr>
        <xdr:cNvSpPr>
          <a:spLocks noChangeAspect="1" noChangeArrowheads="1"/>
        </xdr:cNvSpPr>
      </xdr:nvSpPr>
      <xdr:spPr bwMode="auto">
        <a:xfrm>
          <a:off x="3803650" y="771588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212</xdr:row>
      <xdr:rowOff>0</xdr:rowOff>
    </xdr:from>
    <xdr:ext cx="304800" cy="304094"/>
    <xdr:sp macro="" textlink="">
      <xdr:nvSpPr>
        <xdr:cNvPr id="1227" name="AutoShape 12">
          <a:extLst>
            <a:ext uri="{FF2B5EF4-FFF2-40B4-BE49-F238E27FC236}">
              <a16:creationId xmlns:a16="http://schemas.microsoft.com/office/drawing/2014/main" id="{23E75CBC-431D-4AA4-8C11-9BF2E555555B}"/>
            </a:ext>
          </a:extLst>
        </xdr:cNvPr>
        <xdr:cNvSpPr>
          <a:spLocks noChangeAspect="1" noChangeArrowheads="1"/>
        </xdr:cNvSpPr>
      </xdr:nvSpPr>
      <xdr:spPr bwMode="auto">
        <a:xfrm>
          <a:off x="3803650" y="773430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212</xdr:row>
      <xdr:rowOff>0</xdr:rowOff>
    </xdr:from>
    <xdr:ext cx="304800" cy="304094"/>
    <xdr:sp macro="" textlink="">
      <xdr:nvSpPr>
        <xdr:cNvPr id="1228" name="AutoShape 12">
          <a:extLst>
            <a:ext uri="{FF2B5EF4-FFF2-40B4-BE49-F238E27FC236}">
              <a16:creationId xmlns:a16="http://schemas.microsoft.com/office/drawing/2014/main" id="{467AC8AF-2D3F-4D52-BC08-A6EF65915B7F}"/>
            </a:ext>
          </a:extLst>
        </xdr:cNvPr>
        <xdr:cNvSpPr>
          <a:spLocks noChangeAspect="1" noChangeArrowheads="1"/>
        </xdr:cNvSpPr>
      </xdr:nvSpPr>
      <xdr:spPr bwMode="auto">
        <a:xfrm>
          <a:off x="3803650" y="773430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213</xdr:row>
      <xdr:rowOff>0</xdr:rowOff>
    </xdr:from>
    <xdr:ext cx="304800" cy="304094"/>
    <xdr:sp macro="" textlink="">
      <xdr:nvSpPr>
        <xdr:cNvPr id="1229" name="AutoShape 12">
          <a:extLst>
            <a:ext uri="{FF2B5EF4-FFF2-40B4-BE49-F238E27FC236}">
              <a16:creationId xmlns:a16="http://schemas.microsoft.com/office/drawing/2014/main" id="{DD4EEB54-7004-4F4F-BE40-9461BB6050E8}"/>
            </a:ext>
          </a:extLst>
        </xdr:cNvPr>
        <xdr:cNvSpPr>
          <a:spLocks noChangeAspect="1" noChangeArrowheads="1"/>
        </xdr:cNvSpPr>
      </xdr:nvSpPr>
      <xdr:spPr bwMode="auto">
        <a:xfrm>
          <a:off x="3803650" y="77527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234</xdr:row>
      <xdr:rowOff>0</xdr:rowOff>
    </xdr:from>
    <xdr:ext cx="304800" cy="304094"/>
    <xdr:sp macro="" textlink="">
      <xdr:nvSpPr>
        <xdr:cNvPr id="1230" name="AutoShape 12">
          <a:extLst>
            <a:ext uri="{FF2B5EF4-FFF2-40B4-BE49-F238E27FC236}">
              <a16:creationId xmlns:a16="http://schemas.microsoft.com/office/drawing/2014/main" id="{073521FF-3DED-4FD8-9DCD-B12BE0BD6E3E}"/>
            </a:ext>
          </a:extLst>
        </xdr:cNvPr>
        <xdr:cNvSpPr>
          <a:spLocks noChangeAspect="1" noChangeArrowheads="1"/>
        </xdr:cNvSpPr>
      </xdr:nvSpPr>
      <xdr:spPr bwMode="auto">
        <a:xfrm>
          <a:off x="3803650" y="813943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235</xdr:row>
      <xdr:rowOff>0</xdr:rowOff>
    </xdr:from>
    <xdr:ext cx="304800" cy="304094"/>
    <xdr:sp macro="" textlink="">
      <xdr:nvSpPr>
        <xdr:cNvPr id="1231" name="AutoShape 12">
          <a:extLst>
            <a:ext uri="{FF2B5EF4-FFF2-40B4-BE49-F238E27FC236}">
              <a16:creationId xmlns:a16="http://schemas.microsoft.com/office/drawing/2014/main" id="{9A7E389F-D274-4B7D-9B57-E572DC015275}"/>
            </a:ext>
          </a:extLst>
        </xdr:cNvPr>
        <xdr:cNvSpPr>
          <a:spLocks noChangeAspect="1" noChangeArrowheads="1"/>
        </xdr:cNvSpPr>
      </xdr:nvSpPr>
      <xdr:spPr bwMode="auto">
        <a:xfrm>
          <a:off x="3803650" y="815784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245</xdr:row>
      <xdr:rowOff>0</xdr:rowOff>
    </xdr:from>
    <xdr:ext cx="304800" cy="304094"/>
    <xdr:sp macro="" textlink="">
      <xdr:nvSpPr>
        <xdr:cNvPr id="1232" name="AutoShape 12">
          <a:extLst>
            <a:ext uri="{FF2B5EF4-FFF2-40B4-BE49-F238E27FC236}">
              <a16:creationId xmlns:a16="http://schemas.microsoft.com/office/drawing/2014/main" id="{1749348C-3E27-43C5-82DA-901975E1840D}"/>
            </a:ext>
          </a:extLst>
        </xdr:cNvPr>
        <xdr:cNvSpPr>
          <a:spLocks noChangeAspect="1" noChangeArrowheads="1"/>
        </xdr:cNvSpPr>
      </xdr:nvSpPr>
      <xdr:spPr bwMode="auto">
        <a:xfrm>
          <a:off x="3803650" y="834199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246</xdr:row>
      <xdr:rowOff>0</xdr:rowOff>
    </xdr:from>
    <xdr:ext cx="304800" cy="304094"/>
    <xdr:sp macro="" textlink="">
      <xdr:nvSpPr>
        <xdr:cNvPr id="1233" name="AutoShape 12">
          <a:extLst>
            <a:ext uri="{FF2B5EF4-FFF2-40B4-BE49-F238E27FC236}">
              <a16:creationId xmlns:a16="http://schemas.microsoft.com/office/drawing/2014/main" id="{0838CAF3-33C8-4F0F-B4A3-3A3739EEFE93}"/>
            </a:ext>
          </a:extLst>
        </xdr:cNvPr>
        <xdr:cNvSpPr>
          <a:spLocks noChangeAspect="1" noChangeArrowheads="1"/>
        </xdr:cNvSpPr>
      </xdr:nvSpPr>
      <xdr:spPr bwMode="auto">
        <a:xfrm>
          <a:off x="3803650" y="836041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235</xdr:row>
      <xdr:rowOff>0</xdr:rowOff>
    </xdr:from>
    <xdr:ext cx="304800" cy="304094"/>
    <xdr:sp macro="" textlink="">
      <xdr:nvSpPr>
        <xdr:cNvPr id="1234" name="AutoShape 12">
          <a:extLst>
            <a:ext uri="{FF2B5EF4-FFF2-40B4-BE49-F238E27FC236}">
              <a16:creationId xmlns:a16="http://schemas.microsoft.com/office/drawing/2014/main" id="{9CEE309B-F624-47E3-96D5-4374BC001C60}"/>
            </a:ext>
          </a:extLst>
        </xdr:cNvPr>
        <xdr:cNvSpPr>
          <a:spLocks noChangeAspect="1" noChangeArrowheads="1"/>
        </xdr:cNvSpPr>
      </xdr:nvSpPr>
      <xdr:spPr bwMode="auto">
        <a:xfrm>
          <a:off x="3803650" y="815784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236</xdr:row>
      <xdr:rowOff>0</xdr:rowOff>
    </xdr:from>
    <xdr:ext cx="304800" cy="304094"/>
    <xdr:sp macro="" textlink="">
      <xdr:nvSpPr>
        <xdr:cNvPr id="1235" name="AutoShape 12">
          <a:extLst>
            <a:ext uri="{FF2B5EF4-FFF2-40B4-BE49-F238E27FC236}">
              <a16:creationId xmlns:a16="http://schemas.microsoft.com/office/drawing/2014/main" id="{21B44A30-1BA9-4C3A-851D-D15C3750E07D}"/>
            </a:ext>
          </a:extLst>
        </xdr:cNvPr>
        <xdr:cNvSpPr>
          <a:spLocks noChangeAspect="1" noChangeArrowheads="1"/>
        </xdr:cNvSpPr>
      </xdr:nvSpPr>
      <xdr:spPr bwMode="auto">
        <a:xfrm>
          <a:off x="3803650" y="817626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246</xdr:row>
      <xdr:rowOff>0</xdr:rowOff>
    </xdr:from>
    <xdr:ext cx="304800" cy="304094"/>
    <xdr:sp macro="" textlink="">
      <xdr:nvSpPr>
        <xdr:cNvPr id="1236" name="AutoShape 12">
          <a:extLst>
            <a:ext uri="{FF2B5EF4-FFF2-40B4-BE49-F238E27FC236}">
              <a16:creationId xmlns:a16="http://schemas.microsoft.com/office/drawing/2014/main" id="{B54711E0-43C8-45B1-806E-C91C059DBF14}"/>
            </a:ext>
          </a:extLst>
        </xdr:cNvPr>
        <xdr:cNvSpPr>
          <a:spLocks noChangeAspect="1" noChangeArrowheads="1"/>
        </xdr:cNvSpPr>
      </xdr:nvSpPr>
      <xdr:spPr bwMode="auto">
        <a:xfrm>
          <a:off x="3803650" y="836041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247</xdr:row>
      <xdr:rowOff>0</xdr:rowOff>
    </xdr:from>
    <xdr:ext cx="304800" cy="304094"/>
    <xdr:sp macro="" textlink="">
      <xdr:nvSpPr>
        <xdr:cNvPr id="1237" name="AutoShape 12">
          <a:extLst>
            <a:ext uri="{FF2B5EF4-FFF2-40B4-BE49-F238E27FC236}">
              <a16:creationId xmlns:a16="http://schemas.microsoft.com/office/drawing/2014/main" id="{A4C8240E-E599-49EC-B9C6-5B60E4C98882}"/>
            </a:ext>
          </a:extLst>
        </xdr:cNvPr>
        <xdr:cNvSpPr>
          <a:spLocks noChangeAspect="1" noChangeArrowheads="1"/>
        </xdr:cNvSpPr>
      </xdr:nvSpPr>
      <xdr:spPr bwMode="auto">
        <a:xfrm>
          <a:off x="3803650" y="837882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303</xdr:row>
      <xdr:rowOff>0</xdr:rowOff>
    </xdr:from>
    <xdr:ext cx="304800" cy="304094"/>
    <xdr:sp macro="" textlink="">
      <xdr:nvSpPr>
        <xdr:cNvPr id="1238" name="AutoShape 12">
          <a:extLst>
            <a:ext uri="{FF2B5EF4-FFF2-40B4-BE49-F238E27FC236}">
              <a16:creationId xmlns:a16="http://schemas.microsoft.com/office/drawing/2014/main" id="{A06E2AF0-569E-43C5-8E1F-C16D3D727985}"/>
            </a:ext>
          </a:extLst>
        </xdr:cNvPr>
        <xdr:cNvSpPr>
          <a:spLocks noChangeAspect="1" noChangeArrowheads="1"/>
        </xdr:cNvSpPr>
      </xdr:nvSpPr>
      <xdr:spPr bwMode="auto">
        <a:xfrm>
          <a:off x="3803650" y="941006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304</xdr:row>
      <xdr:rowOff>0</xdr:rowOff>
    </xdr:from>
    <xdr:ext cx="304800" cy="304094"/>
    <xdr:sp macro="" textlink="">
      <xdr:nvSpPr>
        <xdr:cNvPr id="1239" name="AutoShape 12">
          <a:extLst>
            <a:ext uri="{FF2B5EF4-FFF2-40B4-BE49-F238E27FC236}">
              <a16:creationId xmlns:a16="http://schemas.microsoft.com/office/drawing/2014/main" id="{3CD59DE6-B2DE-48F6-B419-B381581B38F4}"/>
            </a:ext>
          </a:extLst>
        </xdr:cNvPr>
        <xdr:cNvSpPr>
          <a:spLocks noChangeAspect="1" noChangeArrowheads="1"/>
        </xdr:cNvSpPr>
      </xdr:nvSpPr>
      <xdr:spPr bwMode="auto">
        <a:xfrm>
          <a:off x="3803650" y="942848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314</xdr:row>
      <xdr:rowOff>0</xdr:rowOff>
    </xdr:from>
    <xdr:ext cx="304800" cy="304094"/>
    <xdr:sp macro="" textlink="">
      <xdr:nvSpPr>
        <xdr:cNvPr id="1240" name="AutoShape 12">
          <a:extLst>
            <a:ext uri="{FF2B5EF4-FFF2-40B4-BE49-F238E27FC236}">
              <a16:creationId xmlns:a16="http://schemas.microsoft.com/office/drawing/2014/main" id="{6A2EA51E-DD29-483A-84A2-AB61D16D59C9}"/>
            </a:ext>
          </a:extLst>
        </xdr:cNvPr>
        <xdr:cNvSpPr>
          <a:spLocks noChangeAspect="1" noChangeArrowheads="1"/>
        </xdr:cNvSpPr>
      </xdr:nvSpPr>
      <xdr:spPr bwMode="auto">
        <a:xfrm>
          <a:off x="3803650" y="961263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315</xdr:row>
      <xdr:rowOff>0</xdr:rowOff>
    </xdr:from>
    <xdr:ext cx="304800" cy="304094"/>
    <xdr:sp macro="" textlink="">
      <xdr:nvSpPr>
        <xdr:cNvPr id="1241" name="AutoShape 12">
          <a:extLst>
            <a:ext uri="{FF2B5EF4-FFF2-40B4-BE49-F238E27FC236}">
              <a16:creationId xmlns:a16="http://schemas.microsoft.com/office/drawing/2014/main" id="{B0A0DE1E-9B15-4136-97EA-2D226F86C73D}"/>
            </a:ext>
          </a:extLst>
        </xdr:cNvPr>
        <xdr:cNvSpPr>
          <a:spLocks noChangeAspect="1" noChangeArrowheads="1"/>
        </xdr:cNvSpPr>
      </xdr:nvSpPr>
      <xdr:spPr bwMode="auto">
        <a:xfrm>
          <a:off x="3803650" y="963104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304</xdr:row>
      <xdr:rowOff>0</xdr:rowOff>
    </xdr:from>
    <xdr:ext cx="304800" cy="304094"/>
    <xdr:sp macro="" textlink="">
      <xdr:nvSpPr>
        <xdr:cNvPr id="1242" name="AutoShape 12">
          <a:extLst>
            <a:ext uri="{FF2B5EF4-FFF2-40B4-BE49-F238E27FC236}">
              <a16:creationId xmlns:a16="http://schemas.microsoft.com/office/drawing/2014/main" id="{FD2E96CC-2A94-499D-9833-51415EB7B866}"/>
            </a:ext>
          </a:extLst>
        </xdr:cNvPr>
        <xdr:cNvSpPr>
          <a:spLocks noChangeAspect="1" noChangeArrowheads="1"/>
        </xdr:cNvSpPr>
      </xdr:nvSpPr>
      <xdr:spPr bwMode="auto">
        <a:xfrm>
          <a:off x="3803650" y="942848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305</xdr:row>
      <xdr:rowOff>0</xdr:rowOff>
    </xdr:from>
    <xdr:ext cx="304800" cy="304094"/>
    <xdr:sp macro="" textlink="">
      <xdr:nvSpPr>
        <xdr:cNvPr id="1243" name="AutoShape 12">
          <a:extLst>
            <a:ext uri="{FF2B5EF4-FFF2-40B4-BE49-F238E27FC236}">
              <a16:creationId xmlns:a16="http://schemas.microsoft.com/office/drawing/2014/main" id="{290E8E3B-7E0C-4715-AC6E-8806557C25CA}"/>
            </a:ext>
          </a:extLst>
        </xdr:cNvPr>
        <xdr:cNvSpPr>
          <a:spLocks noChangeAspect="1" noChangeArrowheads="1"/>
        </xdr:cNvSpPr>
      </xdr:nvSpPr>
      <xdr:spPr bwMode="auto">
        <a:xfrm>
          <a:off x="3803650" y="944689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315</xdr:row>
      <xdr:rowOff>0</xdr:rowOff>
    </xdr:from>
    <xdr:ext cx="304800" cy="304094"/>
    <xdr:sp macro="" textlink="">
      <xdr:nvSpPr>
        <xdr:cNvPr id="1244" name="AutoShape 12">
          <a:extLst>
            <a:ext uri="{FF2B5EF4-FFF2-40B4-BE49-F238E27FC236}">
              <a16:creationId xmlns:a16="http://schemas.microsoft.com/office/drawing/2014/main" id="{407DA13C-75AB-4170-A90E-6FF38CFF662D}"/>
            </a:ext>
          </a:extLst>
        </xdr:cNvPr>
        <xdr:cNvSpPr>
          <a:spLocks noChangeAspect="1" noChangeArrowheads="1"/>
        </xdr:cNvSpPr>
      </xdr:nvSpPr>
      <xdr:spPr bwMode="auto">
        <a:xfrm>
          <a:off x="3803650" y="963104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316</xdr:row>
      <xdr:rowOff>0</xdr:rowOff>
    </xdr:from>
    <xdr:ext cx="304800" cy="304094"/>
    <xdr:sp macro="" textlink="">
      <xdr:nvSpPr>
        <xdr:cNvPr id="1245" name="AutoShape 12">
          <a:extLst>
            <a:ext uri="{FF2B5EF4-FFF2-40B4-BE49-F238E27FC236}">
              <a16:creationId xmlns:a16="http://schemas.microsoft.com/office/drawing/2014/main" id="{4B97F306-C0BB-4B24-B49F-842255C9FE36}"/>
            </a:ext>
          </a:extLst>
        </xdr:cNvPr>
        <xdr:cNvSpPr>
          <a:spLocks noChangeAspect="1" noChangeArrowheads="1"/>
        </xdr:cNvSpPr>
      </xdr:nvSpPr>
      <xdr:spPr bwMode="auto">
        <a:xfrm>
          <a:off x="3803650" y="964946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235</xdr:row>
      <xdr:rowOff>0</xdr:rowOff>
    </xdr:from>
    <xdr:ext cx="304800" cy="304094"/>
    <xdr:sp macro="" textlink="">
      <xdr:nvSpPr>
        <xdr:cNvPr id="1246" name="AutoShape 12">
          <a:extLst>
            <a:ext uri="{FF2B5EF4-FFF2-40B4-BE49-F238E27FC236}">
              <a16:creationId xmlns:a16="http://schemas.microsoft.com/office/drawing/2014/main" id="{58537819-2B08-47E9-AFCC-A0AFF8829029}"/>
            </a:ext>
          </a:extLst>
        </xdr:cNvPr>
        <xdr:cNvSpPr>
          <a:spLocks noChangeAspect="1" noChangeArrowheads="1"/>
        </xdr:cNvSpPr>
      </xdr:nvSpPr>
      <xdr:spPr bwMode="auto">
        <a:xfrm>
          <a:off x="3803650" y="815784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236</xdr:row>
      <xdr:rowOff>0</xdr:rowOff>
    </xdr:from>
    <xdr:ext cx="304800" cy="304094"/>
    <xdr:sp macro="" textlink="">
      <xdr:nvSpPr>
        <xdr:cNvPr id="1247" name="AutoShape 12">
          <a:extLst>
            <a:ext uri="{FF2B5EF4-FFF2-40B4-BE49-F238E27FC236}">
              <a16:creationId xmlns:a16="http://schemas.microsoft.com/office/drawing/2014/main" id="{D06C5CA4-D0C1-4C20-85BA-8AE2876C77CB}"/>
            </a:ext>
          </a:extLst>
        </xdr:cNvPr>
        <xdr:cNvSpPr>
          <a:spLocks noChangeAspect="1" noChangeArrowheads="1"/>
        </xdr:cNvSpPr>
      </xdr:nvSpPr>
      <xdr:spPr bwMode="auto">
        <a:xfrm>
          <a:off x="3803650" y="817626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246</xdr:row>
      <xdr:rowOff>0</xdr:rowOff>
    </xdr:from>
    <xdr:ext cx="304800" cy="304094"/>
    <xdr:sp macro="" textlink="">
      <xdr:nvSpPr>
        <xdr:cNvPr id="1248" name="AutoShape 12">
          <a:extLst>
            <a:ext uri="{FF2B5EF4-FFF2-40B4-BE49-F238E27FC236}">
              <a16:creationId xmlns:a16="http://schemas.microsoft.com/office/drawing/2014/main" id="{CC937CBF-E61D-496D-9196-87AC4FB946CE}"/>
            </a:ext>
          </a:extLst>
        </xdr:cNvPr>
        <xdr:cNvSpPr>
          <a:spLocks noChangeAspect="1" noChangeArrowheads="1"/>
        </xdr:cNvSpPr>
      </xdr:nvSpPr>
      <xdr:spPr bwMode="auto">
        <a:xfrm>
          <a:off x="3803650" y="836041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247</xdr:row>
      <xdr:rowOff>0</xdr:rowOff>
    </xdr:from>
    <xdr:ext cx="304800" cy="304094"/>
    <xdr:sp macro="" textlink="">
      <xdr:nvSpPr>
        <xdr:cNvPr id="1249" name="AutoShape 12">
          <a:extLst>
            <a:ext uri="{FF2B5EF4-FFF2-40B4-BE49-F238E27FC236}">
              <a16:creationId xmlns:a16="http://schemas.microsoft.com/office/drawing/2014/main" id="{83B863AE-217B-400A-B364-B01BB49EB0EB}"/>
            </a:ext>
          </a:extLst>
        </xdr:cNvPr>
        <xdr:cNvSpPr>
          <a:spLocks noChangeAspect="1" noChangeArrowheads="1"/>
        </xdr:cNvSpPr>
      </xdr:nvSpPr>
      <xdr:spPr bwMode="auto">
        <a:xfrm>
          <a:off x="3803650" y="837882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236</xdr:row>
      <xdr:rowOff>0</xdr:rowOff>
    </xdr:from>
    <xdr:ext cx="304800" cy="304094"/>
    <xdr:sp macro="" textlink="">
      <xdr:nvSpPr>
        <xdr:cNvPr id="1250" name="AutoShape 12">
          <a:extLst>
            <a:ext uri="{FF2B5EF4-FFF2-40B4-BE49-F238E27FC236}">
              <a16:creationId xmlns:a16="http://schemas.microsoft.com/office/drawing/2014/main" id="{7E4CA9E7-DC55-43F0-919B-126416B43F63}"/>
            </a:ext>
          </a:extLst>
        </xdr:cNvPr>
        <xdr:cNvSpPr>
          <a:spLocks noChangeAspect="1" noChangeArrowheads="1"/>
        </xdr:cNvSpPr>
      </xdr:nvSpPr>
      <xdr:spPr bwMode="auto">
        <a:xfrm>
          <a:off x="3803650" y="817626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237</xdr:row>
      <xdr:rowOff>0</xdr:rowOff>
    </xdr:from>
    <xdr:ext cx="304800" cy="304094"/>
    <xdr:sp macro="" textlink="">
      <xdr:nvSpPr>
        <xdr:cNvPr id="1251" name="AutoShape 12">
          <a:extLst>
            <a:ext uri="{FF2B5EF4-FFF2-40B4-BE49-F238E27FC236}">
              <a16:creationId xmlns:a16="http://schemas.microsoft.com/office/drawing/2014/main" id="{DA199694-1E21-456F-A412-C09E127D7D8A}"/>
            </a:ext>
          </a:extLst>
        </xdr:cNvPr>
        <xdr:cNvSpPr>
          <a:spLocks noChangeAspect="1" noChangeArrowheads="1"/>
        </xdr:cNvSpPr>
      </xdr:nvSpPr>
      <xdr:spPr bwMode="auto">
        <a:xfrm>
          <a:off x="3803650" y="81946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247</xdr:row>
      <xdr:rowOff>0</xdr:rowOff>
    </xdr:from>
    <xdr:ext cx="304800" cy="304094"/>
    <xdr:sp macro="" textlink="">
      <xdr:nvSpPr>
        <xdr:cNvPr id="1252" name="AutoShape 12">
          <a:extLst>
            <a:ext uri="{FF2B5EF4-FFF2-40B4-BE49-F238E27FC236}">
              <a16:creationId xmlns:a16="http://schemas.microsoft.com/office/drawing/2014/main" id="{26BE0C9D-44F6-4A6E-8D75-90A4C9F8B484}"/>
            </a:ext>
          </a:extLst>
        </xdr:cNvPr>
        <xdr:cNvSpPr>
          <a:spLocks noChangeAspect="1" noChangeArrowheads="1"/>
        </xdr:cNvSpPr>
      </xdr:nvSpPr>
      <xdr:spPr bwMode="auto">
        <a:xfrm>
          <a:off x="3803650" y="837882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248</xdr:row>
      <xdr:rowOff>0</xdr:rowOff>
    </xdr:from>
    <xdr:ext cx="304800" cy="304094"/>
    <xdr:sp macro="" textlink="">
      <xdr:nvSpPr>
        <xdr:cNvPr id="1253" name="AutoShape 12">
          <a:extLst>
            <a:ext uri="{FF2B5EF4-FFF2-40B4-BE49-F238E27FC236}">
              <a16:creationId xmlns:a16="http://schemas.microsoft.com/office/drawing/2014/main" id="{78F0CB85-E29E-49B2-8F10-1B7E7300BC51}"/>
            </a:ext>
          </a:extLst>
        </xdr:cNvPr>
        <xdr:cNvSpPr>
          <a:spLocks noChangeAspect="1" noChangeArrowheads="1"/>
        </xdr:cNvSpPr>
      </xdr:nvSpPr>
      <xdr:spPr bwMode="auto">
        <a:xfrm>
          <a:off x="3803650" y="839724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304</xdr:row>
      <xdr:rowOff>0</xdr:rowOff>
    </xdr:from>
    <xdr:ext cx="304800" cy="304094"/>
    <xdr:sp macro="" textlink="">
      <xdr:nvSpPr>
        <xdr:cNvPr id="1254" name="AutoShape 12">
          <a:extLst>
            <a:ext uri="{FF2B5EF4-FFF2-40B4-BE49-F238E27FC236}">
              <a16:creationId xmlns:a16="http://schemas.microsoft.com/office/drawing/2014/main" id="{DB1B68BA-4BB6-4046-87CC-0ACEF39CF0A5}"/>
            </a:ext>
          </a:extLst>
        </xdr:cNvPr>
        <xdr:cNvSpPr>
          <a:spLocks noChangeAspect="1" noChangeArrowheads="1"/>
        </xdr:cNvSpPr>
      </xdr:nvSpPr>
      <xdr:spPr bwMode="auto">
        <a:xfrm>
          <a:off x="3803650" y="942848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305</xdr:row>
      <xdr:rowOff>0</xdr:rowOff>
    </xdr:from>
    <xdr:ext cx="304800" cy="304094"/>
    <xdr:sp macro="" textlink="">
      <xdr:nvSpPr>
        <xdr:cNvPr id="1255" name="AutoShape 12">
          <a:extLst>
            <a:ext uri="{FF2B5EF4-FFF2-40B4-BE49-F238E27FC236}">
              <a16:creationId xmlns:a16="http://schemas.microsoft.com/office/drawing/2014/main" id="{0016B2EE-1C90-4CA1-A6E4-A3F8C88C68E5}"/>
            </a:ext>
          </a:extLst>
        </xdr:cNvPr>
        <xdr:cNvSpPr>
          <a:spLocks noChangeAspect="1" noChangeArrowheads="1"/>
        </xdr:cNvSpPr>
      </xdr:nvSpPr>
      <xdr:spPr bwMode="auto">
        <a:xfrm>
          <a:off x="3803650" y="944689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315</xdr:row>
      <xdr:rowOff>0</xdr:rowOff>
    </xdr:from>
    <xdr:ext cx="304800" cy="304094"/>
    <xdr:sp macro="" textlink="">
      <xdr:nvSpPr>
        <xdr:cNvPr id="1256" name="AutoShape 12">
          <a:extLst>
            <a:ext uri="{FF2B5EF4-FFF2-40B4-BE49-F238E27FC236}">
              <a16:creationId xmlns:a16="http://schemas.microsoft.com/office/drawing/2014/main" id="{1ED91CFB-334D-4120-8991-A25A6D8D3FFC}"/>
            </a:ext>
          </a:extLst>
        </xdr:cNvPr>
        <xdr:cNvSpPr>
          <a:spLocks noChangeAspect="1" noChangeArrowheads="1"/>
        </xdr:cNvSpPr>
      </xdr:nvSpPr>
      <xdr:spPr bwMode="auto">
        <a:xfrm>
          <a:off x="3803650" y="963104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316</xdr:row>
      <xdr:rowOff>0</xdr:rowOff>
    </xdr:from>
    <xdr:ext cx="304800" cy="304094"/>
    <xdr:sp macro="" textlink="">
      <xdr:nvSpPr>
        <xdr:cNvPr id="1257" name="AutoShape 12">
          <a:extLst>
            <a:ext uri="{FF2B5EF4-FFF2-40B4-BE49-F238E27FC236}">
              <a16:creationId xmlns:a16="http://schemas.microsoft.com/office/drawing/2014/main" id="{7F046E69-C3A7-4A3C-AA95-4BF6A8890DD5}"/>
            </a:ext>
          </a:extLst>
        </xdr:cNvPr>
        <xdr:cNvSpPr>
          <a:spLocks noChangeAspect="1" noChangeArrowheads="1"/>
        </xdr:cNvSpPr>
      </xdr:nvSpPr>
      <xdr:spPr bwMode="auto">
        <a:xfrm>
          <a:off x="3803650" y="964946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305</xdr:row>
      <xdr:rowOff>0</xdr:rowOff>
    </xdr:from>
    <xdr:ext cx="304800" cy="304094"/>
    <xdr:sp macro="" textlink="">
      <xdr:nvSpPr>
        <xdr:cNvPr id="1258" name="AutoShape 12">
          <a:extLst>
            <a:ext uri="{FF2B5EF4-FFF2-40B4-BE49-F238E27FC236}">
              <a16:creationId xmlns:a16="http://schemas.microsoft.com/office/drawing/2014/main" id="{46210CD4-C6A7-4654-BF9B-D38E0003CC9D}"/>
            </a:ext>
          </a:extLst>
        </xdr:cNvPr>
        <xdr:cNvSpPr>
          <a:spLocks noChangeAspect="1" noChangeArrowheads="1"/>
        </xdr:cNvSpPr>
      </xdr:nvSpPr>
      <xdr:spPr bwMode="auto">
        <a:xfrm>
          <a:off x="3803650" y="944689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306</xdr:row>
      <xdr:rowOff>0</xdr:rowOff>
    </xdr:from>
    <xdr:ext cx="304800" cy="304094"/>
    <xdr:sp macro="" textlink="">
      <xdr:nvSpPr>
        <xdr:cNvPr id="1259" name="AutoShape 12">
          <a:extLst>
            <a:ext uri="{FF2B5EF4-FFF2-40B4-BE49-F238E27FC236}">
              <a16:creationId xmlns:a16="http://schemas.microsoft.com/office/drawing/2014/main" id="{4FDBD57B-4354-401A-B480-D84B4F2E5C83}"/>
            </a:ext>
          </a:extLst>
        </xdr:cNvPr>
        <xdr:cNvSpPr>
          <a:spLocks noChangeAspect="1" noChangeArrowheads="1"/>
        </xdr:cNvSpPr>
      </xdr:nvSpPr>
      <xdr:spPr bwMode="auto">
        <a:xfrm>
          <a:off x="3803650" y="946531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316</xdr:row>
      <xdr:rowOff>0</xdr:rowOff>
    </xdr:from>
    <xdr:ext cx="304800" cy="304094"/>
    <xdr:sp macro="" textlink="">
      <xdr:nvSpPr>
        <xdr:cNvPr id="1260" name="AutoShape 12">
          <a:extLst>
            <a:ext uri="{FF2B5EF4-FFF2-40B4-BE49-F238E27FC236}">
              <a16:creationId xmlns:a16="http://schemas.microsoft.com/office/drawing/2014/main" id="{24C5CF1F-1E3E-4D74-9F60-1A66BB0A43C0}"/>
            </a:ext>
          </a:extLst>
        </xdr:cNvPr>
        <xdr:cNvSpPr>
          <a:spLocks noChangeAspect="1" noChangeArrowheads="1"/>
        </xdr:cNvSpPr>
      </xdr:nvSpPr>
      <xdr:spPr bwMode="auto">
        <a:xfrm>
          <a:off x="3803650" y="964946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317</xdr:row>
      <xdr:rowOff>0</xdr:rowOff>
    </xdr:from>
    <xdr:ext cx="304800" cy="304094"/>
    <xdr:sp macro="" textlink="">
      <xdr:nvSpPr>
        <xdr:cNvPr id="1261" name="AutoShape 12">
          <a:extLst>
            <a:ext uri="{FF2B5EF4-FFF2-40B4-BE49-F238E27FC236}">
              <a16:creationId xmlns:a16="http://schemas.microsoft.com/office/drawing/2014/main" id="{95E7A025-FA31-42E5-9CD4-084702F8BE9F}"/>
            </a:ext>
          </a:extLst>
        </xdr:cNvPr>
        <xdr:cNvSpPr>
          <a:spLocks noChangeAspect="1" noChangeArrowheads="1"/>
        </xdr:cNvSpPr>
      </xdr:nvSpPr>
      <xdr:spPr bwMode="auto">
        <a:xfrm>
          <a:off x="3803650" y="96678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278</xdr:row>
      <xdr:rowOff>0</xdr:rowOff>
    </xdr:from>
    <xdr:ext cx="304800" cy="304094"/>
    <xdr:sp macro="" textlink="">
      <xdr:nvSpPr>
        <xdr:cNvPr id="1262" name="AutoShape 12">
          <a:extLst>
            <a:ext uri="{FF2B5EF4-FFF2-40B4-BE49-F238E27FC236}">
              <a16:creationId xmlns:a16="http://schemas.microsoft.com/office/drawing/2014/main" id="{34BA744A-123D-4E35-B133-51D4B35F0BB6}"/>
            </a:ext>
          </a:extLst>
        </xdr:cNvPr>
        <xdr:cNvSpPr>
          <a:spLocks noChangeAspect="1" noChangeArrowheads="1"/>
        </xdr:cNvSpPr>
      </xdr:nvSpPr>
      <xdr:spPr bwMode="auto">
        <a:xfrm>
          <a:off x="3803650" y="894969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279</xdr:row>
      <xdr:rowOff>0</xdr:rowOff>
    </xdr:from>
    <xdr:ext cx="304800" cy="304094"/>
    <xdr:sp macro="" textlink="">
      <xdr:nvSpPr>
        <xdr:cNvPr id="1263" name="AutoShape 12">
          <a:extLst>
            <a:ext uri="{FF2B5EF4-FFF2-40B4-BE49-F238E27FC236}">
              <a16:creationId xmlns:a16="http://schemas.microsoft.com/office/drawing/2014/main" id="{FC63C12D-46AC-4ADF-817A-023A731D6227}"/>
            </a:ext>
          </a:extLst>
        </xdr:cNvPr>
        <xdr:cNvSpPr>
          <a:spLocks noChangeAspect="1" noChangeArrowheads="1"/>
        </xdr:cNvSpPr>
      </xdr:nvSpPr>
      <xdr:spPr bwMode="auto">
        <a:xfrm>
          <a:off x="3803650" y="896810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289</xdr:row>
      <xdr:rowOff>0</xdr:rowOff>
    </xdr:from>
    <xdr:ext cx="304800" cy="304094"/>
    <xdr:sp macro="" textlink="">
      <xdr:nvSpPr>
        <xdr:cNvPr id="1264" name="AutoShape 12">
          <a:extLst>
            <a:ext uri="{FF2B5EF4-FFF2-40B4-BE49-F238E27FC236}">
              <a16:creationId xmlns:a16="http://schemas.microsoft.com/office/drawing/2014/main" id="{640E75CE-6549-422E-91DA-4A0474093829}"/>
            </a:ext>
          </a:extLst>
        </xdr:cNvPr>
        <xdr:cNvSpPr>
          <a:spLocks noChangeAspect="1" noChangeArrowheads="1"/>
        </xdr:cNvSpPr>
      </xdr:nvSpPr>
      <xdr:spPr bwMode="auto">
        <a:xfrm>
          <a:off x="3803650" y="915225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290</xdr:row>
      <xdr:rowOff>0</xdr:rowOff>
    </xdr:from>
    <xdr:ext cx="304800" cy="304094"/>
    <xdr:sp macro="" textlink="">
      <xdr:nvSpPr>
        <xdr:cNvPr id="1265" name="AutoShape 12">
          <a:extLst>
            <a:ext uri="{FF2B5EF4-FFF2-40B4-BE49-F238E27FC236}">
              <a16:creationId xmlns:a16="http://schemas.microsoft.com/office/drawing/2014/main" id="{DAF751EB-83C0-4B60-8464-881FFF5B6040}"/>
            </a:ext>
          </a:extLst>
        </xdr:cNvPr>
        <xdr:cNvSpPr>
          <a:spLocks noChangeAspect="1" noChangeArrowheads="1"/>
        </xdr:cNvSpPr>
      </xdr:nvSpPr>
      <xdr:spPr bwMode="auto">
        <a:xfrm>
          <a:off x="3803650" y="917067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279</xdr:row>
      <xdr:rowOff>0</xdr:rowOff>
    </xdr:from>
    <xdr:ext cx="304800" cy="304094"/>
    <xdr:sp macro="" textlink="">
      <xdr:nvSpPr>
        <xdr:cNvPr id="1266" name="AutoShape 12">
          <a:extLst>
            <a:ext uri="{FF2B5EF4-FFF2-40B4-BE49-F238E27FC236}">
              <a16:creationId xmlns:a16="http://schemas.microsoft.com/office/drawing/2014/main" id="{EC0FD2E8-0FD0-4811-B9D4-29AD80062AE1}"/>
            </a:ext>
          </a:extLst>
        </xdr:cNvPr>
        <xdr:cNvSpPr>
          <a:spLocks noChangeAspect="1" noChangeArrowheads="1"/>
        </xdr:cNvSpPr>
      </xdr:nvSpPr>
      <xdr:spPr bwMode="auto">
        <a:xfrm>
          <a:off x="3803650" y="896810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280</xdr:row>
      <xdr:rowOff>0</xdr:rowOff>
    </xdr:from>
    <xdr:ext cx="304800" cy="304094"/>
    <xdr:sp macro="" textlink="">
      <xdr:nvSpPr>
        <xdr:cNvPr id="1267" name="AutoShape 12">
          <a:extLst>
            <a:ext uri="{FF2B5EF4-FFF2-40B4-BE49-F238E27FC236}">
              <a16:creationId xmlns:a16="http://schemas.microsoft.com/office/drawing/2014/main" id="{5F3DA9D8-7BAF-4B72-B75A-B687D59279FC}"/>
            </a:ext>
          </a:extLst>
        </xdr:cNvPr>
        <xdr:cNvSpPr>
          <a:spLocks noChangeAspect="1" noChangeArrowheads="1"/>
        </xdr:cNvSpPr>
      </xdr:nvSpPr>
      <xdr:spPr bwMode="auto">
        <a:xfrm>
          <a:off x="3803650" y="898652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290</xdr:row>
      <xdr:rowOff>0</xdr:rowOff>
    </xdr:from>
    <xdr:ext cx="304800" cy="304094"/>
    <xdr:sp macro="" textlink="">
      <xdr:nvSpPr>
        <xdr:cNvPr id="1268" name="AutoShape 12">
          <a:extLst>
            <a:ext uri="{FF2B5EF4-FFF2-40B4-BE49-F238E27FC236}">
              <a16:creationId xmlns:a16="http://schemas.microsoft.com/office/drawing/2014/main" id="{E2801457-FA60-49F5-BFFF-AE4D83A1A43C}"/>
            </a:ext>
          </a:extLst>
        </xdr:cNvPr>
        <xdr:cNvSpPr>
          <a:spLocks noChangeAspect="1" noChangeArrowheads="1"/>
        </xdr:cNvSpPr>
      </xdr:nvSpPr>
      <xdr:spPr bwMode="auto">
        <a:xfrm>
          <a:off x="3803650" y="917067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291</xdr:row>
      <xdr:rowOff>0</xdr:rowOff>
    </xdr:from>
    <xdr:ext cx="304800" cy="304094"/>
    <xdr:sp macro="" textlink="">
      <xdr:nvSpPr>
        <xdr:cNvPr id="1269" name="AutoShape 12">
          <a:extLst>
            <a:ext uri="{FF2B5EF4-FFF2-40B4-BE49-F238E27FC236}">
              <a16:creationId xmlns:a16="http://schemas.microsoft.com/office/drawing/2014/main" id="{97623488-344B-4163-8ED4-49944E4D69F6}"/>
            </a:ext>
          </a:extLst>
        </xdr:cNvPr>
        <xdr:cNvSpPr>
          <a:spLocks noChangeAspect="1" noChangeArrowheads="1"/>
        </xdr:cNvSpPr>
      </xdr:nvSpPr>
      <xdr:spPr bwMode="auto">
        <a:xfrm>
          <a:off x="3803650" y="918908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279</xdr:row>
      <xdr:rowOff>0</xdr:rowOff>
    </xdr:from>
    <xdr:ext cx="304800" cy="304094"/>
    <xdr:sp macro="" textlink="">
      <xdr:nvSpPr>
        <xdr:cNvPr id="1270" name="AutoShape 12">
          <a:extLst>
            <a:ext uri="{FF2B5EF4-FFF2-40B4-BE49-F238E27FC236}">
              <a16:creationId xmlns:a16="http://schemas.microsoft.com/office/drawing/2014/main" id="{D8EE7C02-5160-4810-BE18-F3701913E718}"/>
            </a:ext>
          </a:extLst>
        </xdr:cNvPr>
        <xdr:cNvSpPr>
          <a:spLocks noChangeAspect="1" noChangeArrowheads="1"/>
        </xdr:cNvSpPr>
      </xdr:nvSpPr>
      <xdr:spPr bwMode="auto">
        <a:xfrm>
          <a:off x="3803650" y="896810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280</xdr:row>
      <xdr:rowOff>0</xdr:rowOff>
    </xdr:from>
    <xdr:ext cx="304800" cy="304094"/>
    <xdr:sp macro="" textlink="">
      <xdr:nvSpPr>
        <xdr:cNvPr id="1271" name="AutoShape 12">
          <a:extLst>
            <a:ext uri="{FF2B5EF4-FFF2-40B4-BE49-F238E27FC236}">
              <a16:creationId xmlns:a16="http://schemas.microsoft.com/office/drawing/2014/main" id="{1964171A-A5AB-4E16-9370-EB1BE9DAA4B9}"/>
            </a:ext>
          </a:extLst>
        </xdr:cNvPr>
        <xdr:cNvSpPr>
          <a:spLocks noChangeAspect="1" noChangeArrowheads="1"/>
        </xdr:cNvSpPr>
      </xdr:nvSpPr>
      <xdr:spPr bwMode="auto">
        <a:xfrm>
          <a:off x="3803650" y="898652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290</xdr:row>
      <xdr:rowOff>0</xdr:rowOff>
    </xdr:from>
    <xdr:ext cx="304800" cy="304094"/>
    <xdr:sp macro="" textlink="">
      <xdr:nvSpPr>
        <xdr:cNvPr id="1272" name="AutoShape 12">
          <a:extLst>
            <a:ext uri="{FF2B5EF4-FFF2-40B4-BE49-F238E27FC236}">
              <a16:creationId xmlns:a16="http://schemas.microsoft.com/office/drawing/2014/main" id="{798FCDCB-CEC8-4C09-B297-A042E070FAA7}"/>
            </a:ext>
          </a:extLst>
        </xdr:cNvPr>
        <xdr:cNvSpPr>
          <a:spLocks noChangeAspect="1" noChangeArrowheads="1"/>
        </xdr:cNvSpPr>
      </xdr:nvSpPr>
      <xdr:spPr bwMode="auto">
        <a:xfrm>
          <a:off x="3803650" y="917067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291</xdr:row>
      <xdr:rowOff>0</xdr:rowOff>
    </xdr:from>
    <xdr:ext cx="304800" cy="304094"/>
    <xdr:sp macro="" textlink="">
      <xdr:nvSpPr>
        <xdr:cNvPr id="1273" name="AutoShape 12">
          <a:extLst>
            <a:ext uri="{FF2B5EF4-FFF2-40B4-BE49-F238E27FC236}">
              <a16:creationId xmlns:a16="http://schemas.microsoft.com/office/drawing/2014/main" id="{9E47B0FB-CF90-4270-A925-EF8D45371943}"/>
            </a:ext>
          </a:extLst>
        </xdr:cNvPr>
        <xdr:cNvSpPr>
          <a:spLocks noChangeAspect="1" noChangeArrowheads="1"/>
        </xdr:cNvSpPr>
      </xdr:nvSpPr>
      <xdr:spPr bwMode="auto">
        <a:xfrm>
          <a:off x="3803650" y="918908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280</xdr:row>
      <xdr:rowOff>0</xdr:rowOff>
    </xdr:from>
    <xdr:ext cx="304800" cy="304094"/>
    <xdr:sp macro="" textlink="">
      <xdr:nvSpPr>
        <xdr:cNvPr id="1274" name="AutoShape 12">
          <a:extLst>
            <a:ext uri="{FF2B5EF4-FFF2-40B4-BE49-F238E27FC236}">
              <a16:creationId xmlns:a16="http://schemas.microsoft.com/office/drawing/2014/main" id="{9935ACFE-8202-4600-92FC-FA20D829D304}"/>
            </a:ext>
          </a:extLst>
        </xdr:cNvPr>
        <xdr:cNvSpPr>
          <a:spLocks noChangeAspect="1" noChangeArrowheads="1"/>
        </xdr:cNvSpPr>
      </xdr:nvSpPr>
      <xdr:spPr bwMode="auto">
        <a:xfrm>
          <a:off x="3803650" y="898652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281</xdr:row>
      <xdr:rowOff>0</xdr:rowOff>
    </xdr:from>
    <xdr:ext cx="304800" cy="304094"/>
    <xdr:sp macro="" textlink="">
      <xdr:nvSpPr>
        <xdr:cNvPr id="1275" name="AutoShape 12">
          <a:extLst>
            <a:ext uri="{FF2B5EF4-FFF2-40B4-BE49-F238E27FC236}">
              <a16:creationId xmlns:a16="http://schemas.microsoft.com/office/drawing/2014/main" id="{119D8D4D-B004-448A-ADCA-4E5ADD634366}"/>
            </a:ext>
          </a:extLst>
        </xdr:cNvPr>
        <xdr:cNvSpPr>
          <a:spLocks noChangeAspect="1" noChangeArrowheads="1"/>
        </xdr:cNvSpPr>
      </xdr:nvSpPr>
      <xdr:spPr bwMode="auto">
        <a:xfrm>
          <a:off x="3803650" y="900493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291</xdr:row>
      <xdr:rowOff>0</xdr:rowOff>
    </xdr:from>
    <xdr:ext cx="304800" cy="304094"/>
    <xdr:sp macro="" textlink="">
      <xdr:nvSpPr>
        <xdr:cNvPr id="1276" name="AutoShape 12">
          <a:extLst>
            <a:ext uri="{FF2B5EF4-FFF2-40B4-BE49-F238E27FC236}">
              <a16:creationId xmlns:a16="http://schemas.microsoft.com/office/drawing/2014/main" id="{DE6C4952-E3A9-4228-B392-682FAEAC2AB9}"/>
            </a:ext>
          </a:extLst>
        </xdr:cNvPr>
        <xdr:cNvSpPr>
          <a:spLocks noChangeAspect="1" noChangeArrowheads="1"/>
        </xdr:cNvSpPr>
      </xdr:nvSpPr>
      <xdr:spPr bwMode="auto">
        <a:xfrm>
          <a:off x="3803650" y="918908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292</xdr:row>
      <xdr:rowOff>0</xdr:rowOff>
    </xdr:from>
    <xdr:ext cx="304800" cy="304094"/>
    <xdr:sp macro="" textlink="">
      <xdr:nvSpPr>
        <xdr:cNvPr id="1277" name="AutoShape 12">
          <a:extLst>
            <a:ext uri="{FF2B5EF4-FFF2-40B4-BE49-F238E27FC236}">
              <a16:creationId xmlns:a16="http://schemas.microsoft.com/office/drawing/2014/main" id="{5CFCA57F-D62A-4C53-B12C-108584D620C9}"/>
            </a:ext>
          </a:extLst>
        </xdr:cNvPr>
        <xdr:cNvSpPr>
          <a:spLocks noChangeAspect="1" noChangeArrowheads="1"/>
        </xdr:cNvSpPr>
      </xdr:nvSpPr>
      <xdr:spPr bwMode="auto">
        <a:xfrm>
          <a:off x="3803650" y="920750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283</xdr:row>
      <xdr:rowOff>0</xdr:rowOff>
    </xdr:from>
    <xdr:ext cx="304800" cy="304094"/>
    <xdr:sp macro="" textlink="">
      <xdr:nvSpPr>
        <xdr:cNvPr id="1278" name="AutoShape 12">
          <a:extLst>
            <a:ext uri="{FF2B5EF4-FFF2-40B4-BE49-F238E27FC236}">
              <a16:creationId xmlns:a16="http://schemas.microsoft.com/office/drawing/2014/main" id="{C288E06A-D2DF-4F0B-ACF2-E2C3477C964C}"/>
            </a:ext>
          </a:extLst>
        </xdr:cNvPr>
        <xdr:cNvSpPr>
          <a:spLocks noChangeAspect="1" noChangeArrowheads="1"/>
        </xdr:cNvSpPr>
      </xdr:nvSpPr>
      <xdr:spPr bwMode="auto">
        <a:xfrm>
          <a:off x="3803650" y="904176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284</xdr:row>
      <xdr:rowOff>0</xdr:rowOff>
    </xdr:from>
    <xdr:ext cx="304800" cy="304094"/>
    <xdr:sp macro="" textlink="">
      <xdr:nvSpPr>
        <xdr:cNvPr id="1279" name="AutoShape 12">
          <a:extLst>
            <a:ext uri="{FF2B5EF4-FFF2-40B4-BE49-F238E27FC236}">
              <a16:creationId xmlns:a16="http://schemas.microsoft.com/office/drawing/2014/main" id="{3F771B80-5F65-4A0F-B9AE-29307FE4720B}"/>
            </a:ext>
          </a:extLst>
        </xdr:cNvPr>
        <xdr:cNvSpPr>
          <a:spLocks noChangeAspect="1" noChangeArrowheads="1"/>
        </xdr:cNvSpPr>
      </xdr:nvSpPr>
      <xdr:spPr bwMode="auto">
        <a:xfrm>
          <a:off x="3803650" y="906018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294</xdr:row>
      <xdr:rowOff>0</xdr:rowOff>
    </xdr:from>
    <xdr:ext cx="304800" cy="304094"/>
    <xdr:sp macro="" textlink="">
      <xdr:nvSpPr>
        <xdr:cNvPr id="1280" name="AutoShape 12">
          <a:extLst>
            <a:ext uri="{FF2B5EF4-FFF2-40B4-BE49-F238E27FC236}">
              <a16:creationId xmlns:a16="http://schemas.microsoft.com/office/drawing/2014/main" id="{0C44AFB6-D6CB-4D45-808D-ECB52549B7DE}"/>
            </a:ext>
          </a:extLst>
        </xdr:cNvPr>
        <xdr:cNvSpPr>
          <a:spLocks noChangeAspect="1" noChangeArrowheads="1"/>
        </xdr:cNvSpPr>
      </xdr:nvSpPr>
      <xdr:spPr bwMode="auto">
        <a:xfrm>
          <a:off x="3803650" y="924433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295</xdr:row>
      <xdr:rowOff>0</xdr:rowOff>
    </xdr:from>
    <xdr:ext cx="304800" cy="304094"/>
    <xdr:sp macro="" textlink="">
      <xdr:nvSpPr>
        <xdr:cNvPr id="1281" name="AutoShape 12">
          <a:extLst>
            <a:ext uri="{FF2B5EF4-FFF2-40B4-BE49-F238E27FC236}">
              <a16:creationId xmlns:a16="http://schemas.microsoft.com/office/drawing/2014/main" id="{A3781BC4-D71A-4A78-8CF1-738EF3EE61BD}"/>
            </a:ext>
          </a:extLst>
        </xdr:cNvPr>
        <xdr:cNvSpPr>
          <a:spLocks noChangeAspect="1" noChangeArrowheads="1"/>
        </xdr:cNvSpPr>
      </xdr:nvSpPr>
      <xdr:spPr bwMode="auto">
        <a:xfrm>
          <a:off x="3803650" y="926274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284</xdr:row>
      <xdr:rowOff>0</xdr:rowOff>
    </xdr:from>
    <xdr:ext cx="304800" cy="304094"/>
    <xdr:sp macro="" textlink="">
      <xdr:nvSpPr>
        <xdr:cNvPr id="1282" name="AutoShape 12">
          <a:extLst>
            <a:ext uri="{FF2B5EF4-FFF2-40B4-BE49-F238E27FC236}">
              <a16:creationId xmlns:a16="http://schemas.microsoft.com/office/drawing/2014/main" id="{24B2DE6A-CC1B-4324-9477-2842DE53D044}"/>
            </a:ext>
          </a:extLst>
        </xdr:cNvPr>
        <xdr:cNvSpPr>
          <a:spLocks noChangeAspect="1" noChangeArrowheads="1"/>
        </xdr:cNvSpPr>
      </xdr:nvSpPr>
      <xdr:spPr bwMode="auto">
        <a:xfrm>
          <a:off x="3803650" y="906018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285</xdr:row>
      <xdr:rowOff>0</xdr:rowOff>
    </xdr:from>
    <xdr:ext cx="304800" cy="304094"/>
    <xdr:sp macro="" textlink="">
      <xdr:nvSpPr>
        <xdr:cNvPr id="1283" name="AutoShape 12">
          <a:extLst>
            <a:ext uri="{FF2B5EF4-FFF2-40B4-BE49-F238E27FC236}">
              <a16:creationId xmlns:a16="http://schemas.microsoft.com/office/drawing/2014/main" id="{53613E58-7E4C-462F-815C-119FCEBFBFB8}"/>
            </a:ext>
          </a:extLst>
        </xdr:cNvPr>
        <xdr:cNvSpPr>
          <a:spLocks noChangeAspect="1" noChangeArrowheads="1"/>
        </xdr:cNvSpPr>
      </xdr:nvSpPr>
      <xdr:spPr bwMode="auto">
        <a:xfrm>
          <a:off x="3803650" y="907859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295</xdr:row>
      <xdr:rowOff>0</xdr:rowOff>
    </xdr:from>
    <xdr:ext cx="304800" cy="304094"/>
    <xdr:sp macro="" textlink="">
      <xdr:nvSpPr>
        <xdr:cNvPr id="1284" name="AutoShape 12">
          <a:extLst>
            <a:ext uri="{FF2B5EF4-FFF2-40B4-BE49-F238E27FC236}">
              <a16:creationId xmlns:a16="http://schemas.microsoft.com/office/drawing/2014/main" id="{A6CE4480-B4D9-46FC-B4BC-8D5D31A18D75}"/>
            </a:ext>
          </a:extLst>
        </xdr:cNvPr>
        <xdr:cNvSpPr>
          <a:spLocks noChangeAspect="1" noChangeArrowheads="1"/>
        </xdr:cNvSpPr>
      </xdr:nvSpPr>
      <xdr:spPr bwMode="auto">
        <a:xfrm>
          <a:off x="3803650" y="926274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296</xdr:row>
      <xdr:rowOff>0</xdr:rowOff>
    </xdr:from>
    <xdr:ext cx="304800" cy="304094"/>
    <xdr:sp macro="" textlink="">
      <xdr:nvSpPr>
        <xdr:cNvPr id="1285" name="AutoShape 12">
          <a:extLst>
            <a:ext uri="{FF2B5EF4-FFF2-40B4-BE49-F238E27FC236}">
              <a16:creationId xmlns:a16="http://schemas.microsoft.com/office/drawing/2014/main" id="{302384FA-4636-434E-9744-D693F45D070D}"/>
            </a:ext>
          </a:extLst>
        </xdr:cNvPr>
        <xdr:cNvSpPr>
          <a:spLocks noChangeAspect="1" noChangeArrowheads="1"/>
        </xdr:cNvSpPr>
      </xdr:nvSpPr>
      <xdr:spPr bwMode="auto">
        <a:xfrm>
          <a:off x="3803650" y="928116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284</xdr:row>
      <xdr:rowOff>0</xdr:rowOff>
    </xdr:from>
    <xdr:ext cx="304800" cy="304094"/>
    <xdr:sp macro="" textlink="">
      <xdr:nvSpPr>
        <xdr:cNvPr id="1286" name="AutoShape 12">
          <a:extLst>
            <a:ext uri="{FF2B5EF4-FFF2-40B4-BE49-F238E27FC236}">
              <a16:creationId xmlns:a16="http://schemas.microsoft.com/office/drawing/2014/main" id="{0656B0BC-5558-4E2F-B9D8-A93C9014667A}"/>
            </a:ext>
          </a:extLst>
        </xdr:cNvPr>
        <xdr:cNvSpPr>
          <a:spLocks noChangeAspect="1" noChangeArrowheads="1"/>
        </xdr:cNvSpPr>
      </xdr:nvSpPr>
      <xdr:spPr bwMode="auto">
        <a:xfrm>
          <a:off x="3803650" y="906018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285</xdr:row>
      <xdr:rowOff>0</xdr:rowOff>
    </xdr:from>
    <xdr:ext cx="304800" cy="304094"/>
    <xdr:sp macro="" textlink="">
      <xdr:nvSpPr>
        <xdr:cNvPr id="1287" name="AutoShape 12">
          <a:extLst>
            <a:ext uri="{FF2B5EF4-FFF2-40B4-BE49-F238E27FC236}">
              <a16:creationId xmlns:a16="http://schemas.microsoft.com/office/drawing/2014/main" id="{D4DFA9E0-9C78-4EA3-8313-C0BEC2ACA8D4}"/>
            </a:ext>
          </a:extLst>
        </xdr:cNvPr>
        <xdr:cNvSpPr>
          <a:spLocks noChangeAspect="1" noChangeArrowheads="1"/>
        </xdr:cNvSpPr>
      </xdr:nvSpPr>
      <xdr:spPr bwMode="auto">
        <a:xfrm>
          <a:off x="3803650" y="907859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295</xdr:row>
      <xdr:rowOff>0</xdr:rowOff>
    </xdr:from>
    <xdr:ext cx="304800" cy="304094"/>
    <xdr:sp macro="" textlink="">
      <xdr:nvSpPr>
        <xdr:cNvPr id="1288" name="AutoShape 12">
          <a:extLst>
            <a:ext uri="{FF2B5EF4-FFF2-40B4-BE49-F238E27FC236}">
              <a16:creationId xmlns:a16="http://schemas.microsoft.com/office/drawing/2014/main" id="{9D5D9DE4-CE3A-43FF-91D4-6D5C24C1C451}"/>
            </a:ext>
          </a:extLst>
        </xdr:cNvPr>
        <xdr:cNvSpPr>
          <a:spLocks noChangeAspect="1" noChangeArrowheads="1"/>
        </xdr:cNvSpPr>
      </xdr:nvSpPr>
      <xdr:spPr bwMode="auto">
        <a:xfrm>
          <a:off x="3803650" y="926274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296</xdr:row>
      <xdr:rowOff>0</xdr:rowOff>
    </xdr:from>
    <xdr:ext cx="304800" cy="304094"/>
    <xdr:sp macro="" textlink="">
      <xdr:nvSpPr>
        <xdr:cNvPr id="1289" name="AutoShape 12">
          <a:extLst>
            <a:ext uri="{FF2B5EF4-FFF2-40B4-BE49-F238E27FC236}">
              <a16:creationId xmlns:a16="http://schemas.microsoft.com/office/drawing/2014/main" id="{C00A0F95-79B3-476A-B2B8-A52D448140F3}"/>
            </a:ext>
          </a:extLst>
        </xdr:cNvPr>
        <xdr:cNvSpPr>
          <a:spLocks noChangeAspect="1" noChangeArrowheads="1"/>
        </xdr:cNvSpPr>
      </xdr:nvSpPr>
      <xdr:spPr bwMode="auto">
        <a:xfrm>
          <a:off x="3803650" y="928116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285</xdr:row>
      <xdr:rowOff>0</xdr:rowOff>
    </xdr:from>
    <xdr:ext cx="304800" cy="304094"/>
    <xdr:sp macro="" textlink="">
      <xdr:nvSpPr>
        <xdr:cNvPr id="1290" name="AutoShape 12">
          <a:extLst>
            <a:ext uri="{FF2B5EF4-FFF2-40B4-BE49-F238E27FC236}">
              <a16:creationId xmlns:a16="http://schemas.microsoft.com/office/drawing/2014/main" id="{86359A32-1234-4FCA-9123-99A3EFC8365E}"/>
            </a:ext>
          </a:extLst>
        </xdr:cNvPr>
        <xdr:cNvSpPr>
          <a:spLocks noChangeAspect="1" noChangeArrowheads="1"/>
        </xdr:cNvSpPr>
      </xdr:nvSpPr>
      <xdr:spPr bwMode="auto">
        <a:xfrm>
          <a:off x="3803650" y="907859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286</xdr:row>
      <xdr:rowOff>0</xdr:rowOff>
    </xdr:from>
    <xdr:ext cx="304800" cy="304094"/>
    <xdr:sp macro="" textlink="">
      <xdr:nvSpPr>
        <xdr:cNvPr id="1291" name="AutoShape 12">
          <a:extLst>
            <a:ext uri="{FF2B5EF4-FFF2-40B4-BE49-F238E27FC236}">
              <a16:creationId xmlns:a16="http://schemas.microsoft.com/office/drawing/2014/main" id="{7CA52374-A36E-4405-A9EA-D07695C86837}"/>
            </a:ext>
          </a:extLst>
        </xdr:cNvPr>
        <xdr:cNvSpPr>
          <a:spLocks noChangeAspect="1" noChangeArrowheads="1"/>
        </xdr:cNvSpPr>
      </xdr:nvSpPr>
      <xdr:spPr bwMode="auto">
        <a:xfrm>
          <a:off x="3803650" y="909701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296</xdr:row>
      <xdr:rowOff>0</xdr:rowOff>
    </xdr:from>
    <xdr:ext cx="304800" cy="304094"/>
    <xdr:sp macro="" textlink="">
      <xdr:nvSpPr>
        <xdr:cNvPr id="1292" name="AutoShape 12">
          <a:extLst>
            <a:ext uri="{FF2B5EF4-FFF2-40B4-BE49-F238E27FC236}">
              <a16:creationId xmlns:a16="http://schemas.microsoft.com/office/drawing/2014/main" id="{D300DA02-6A32-4F80-BED7-06237FF4F0E0}"/>
            </a:ext>
          </a:extLst>
        </xdr:cNvPr>
        <xdr:cNvSpPr>
          <a:spLocks noChangeAspect="1" noChangeArrowheads="1"/>
        </xdr:cNvSpPr>
      </xdr:nvSpPr>
      <xdr:spPr bwMode="auto">
        <a:xfrm>
          <a:off x="3803650" y="928116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297</xdr:row>
      <xdr:rowOff>0</xdr:rowOff>
    </xdr:from>
    <xdr:ext cx="304800" cy="304094"/>
    <xdr:sp macro="" textlink="">
      <xdr:nvSpPr>
        <xdr:cNvPr id="1293" name="AutoShape 12">
          <a:extLst>
            <a:ext uri="{FF2B5EF4-FFF2-40B4-BE49-F238E27FC236}">
              <a16:creationId xmlns:a16="http://schemas.microsoft.com/office/drawing/2014/main" id="{A94EBE85-4D08-4FE4-ACBF-3BB26F58F1FE}"/>
            </a:ext>
          </a:extLst>
        </xdr:cNvPr>
        <xdr:cNvSpPr>
          <a:spLocks noChangeAspect="1" noChangeArrowheads="1"/>
        </xdr:cNvSpPr>
      </xdr:nvSpPr>
      <xdr:spPr bwMode="auto">
        <a:xfrm>
          <a:off x="3803650" y="92995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327</xdr:row>
      <xdr:rowOff>0</xdr:rowOff>
    </xdr:from>
    <xdr:ext cx="304800" cy="304094"/>
    <xdr:sp macro="" textlink="">
      <xdr:nvSpPr>
        <xdr:cNvPr id="1294" name="AutoShape 12">
          <a:extLst>
            <a:ext uri="{FF2B5EF4-FFF2-40B4-BE49-F238E27FC236}">
              <a16:creationId xmlns:a16="http://schemas.microsoft.com/office/drawing/2014/main" id="{54BD077E-1263-49BA-A44A-2F8EBFDFE69F}"/>
            </a:ext>
          </a:extLst>
        </xdr:cNvPr>
        <xdr:cNvSpPr>
          <a:spLocks noChangeAspect="1" noChangeArrowheads="1"/>
        </xdr:cNvSpPr>
      </xdr:nvSpPr>
      <xdr:spPr bwMode="auto">
        <a:xfrm>
          <a:off x="3803650" y="985202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328</xdr:row>
      <xdr:rowOff>0</xdr:rowOff>
    </xdr:from>
    <xdr:ext cx="304800" cy="304094"/>
    <xdr:sp macro="" textlink="">
      <xdr:nvSpPr>
        <xdr:cNvPr id="1295" name="AutoShape 12">
          <a:extLst>
            <a:ext uri="{FF2B5EF4-FFF2-40B4-BE49-F238E27FC236}">
              <a16:creationId xmlns:a16="http://schemas.microsoft.com/office/drawing/2014/main" id="{6E1D59F9-96BD-4EFC-A98F-5DC862B9BA9D}"/>
            </a:ext>
          </a:extLst>
        </xdr:cNvPr>
        <xdr:cNvSpPr>
          <a:spLocks noChangeAspect="1" noChangeArrowheads="1"/>
        </xdr:cNvSpPr>
      </xdr:nvSpPr>
      <xdr:spPr bwMode="auto">
        <a:xfrm>
          <a:off x="3803650" y="987044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338</xdr:row>
      <xdr:rowOff>0</xdr:rowOff>
    </xdr:from>
    <xdr:ext cx="304800" cy="304094"/>
    <xdr:sp macro="" textlink="">
      <xdr:nvSpPr>
        <xdr:cNvPr id="1296" name="AutoShape 12">
          <a:extLst>
            <a:ext uri="{FF2B5EF4-FFF2-40B4-BE49-F238E27FC236}">
              <a16:creationId xmlns:a16="http://schemas.microsoft.com/office/drawing/2014/main" id="{F8B6FA9D-6683-40CD-802C-30A17A6B2ED0}"/>
            </a:ext>
          </a:extLst>
        </xdr:cNvPr>
        <xdr:cNvSpPr>
          <a:spLocks noChangeAspect="1" noChangeArrowheads="1"/>
        </xdr:cNvSpPr>
      </xdr:nvSpPr>
      <xdr:spPr bwMode="auto">
        <a:xfrm>
          <a:off x="3803650" y="1005459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339</xdr:row>
      <xdr:rowOff>0</xdr:rowOff>
    </xdr:from>
    <xdr:ext cx="304800" cy="304094"/>
    <xdr:sp macro="" textlink="">
      <xdr:nvSpPr>
        <xdr:cNvPr id="1297" name="AutoShape 12">
          <a:extLst>
            <a:ext uri="{FF2B5EF4-FFF2-40B4-BE49-F238E27FC236}">
              <a16:creationId xmlns:a16="http://schemas.microsoft.com/office/drawing/2014/main" id="{0B26F5F9-6F76-4E5A-B2A3-0AAF61AF3D95}"/>
            </a:ext>
          </a:extLst>
        </xdr:cNvPr>
        <xdr:cNvSpPr>
          <a:spLocks noChangeAspect="1" noChangeArrowheads="1"/>
        </xdr:cNvSpPr>
      </xdr:nvSpPr>
      <xdr:spPr bwMode="auto">
        <a:xfrm>
          <a:off x="3803650" y="1007300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328</xdr:row>
      <xdr:rowOff>0</xdr:rowOff>
    </xdr:from>
    <xdr:ext cx="304800" cy="304094"/>
    <xdr:sp macro="" textlink="">
      <xdr:nvSpPr>
        <xdr:cNvPr id="1298" name="AutoShape 12">
          <a:extLst>
            <a:ext uri="{FF2B5EF4-FFF2-40B4-BE49-F238E27FC236}">
              <a16:creationId xmlns:a16="http://schemas.microsoft.com/office/drawing/2014/main" id="{EF02C6AF-316B-48FC-9DB0-FB8557B9BB8E}"/>
            </a:ext>
          </a:extLst>
        </xdr:cNvPr>
        <xdr:cNvSpPr>
          <a:spLocks noChangeAspect="1" noChangeArrowheads="1"/>
        </xdr:cNvSpPr>
      </xdr:nvSpPr>
      <xdr:spPr bwMode="auto">
        <a:xfrm>
          <a:off x="3803650" y="987044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329</xdr:row>
      <xdr:rowOff>0</xdr:rowOff>
    </xdr:from>
    <xdr:ext cx="304800" cy="304094"/>
    <xdr:sp macro="" textlink="">
      <xdr:nvSpPr>
        <xdr:cNvPr id="1299" name="AutoShape 12">
          <a:extLst>
            <a:ext uri="{FF2B5EF4-FFF2-40B4-BE49-F238E27FC236}">
              <a16:creationId xmlns:a16="http://schemas.microsoft.com/office/drawing/2014/main" id="{8B64F2C5-A9D4-4531-852E-FEB63131BC90}"/>
            </a:ext>
          </a:extLst>
        </xdr:cNvPr>
        <xdr:cNvSpPr>
          <a:spLocks noChangeAspect="1" noChangeArrowheads="1"/>
        </xdr:cNvSpPr>
      </xdr:nvSpPr>
      <xdr:spPr bwMode="auto">
        <a:xfrm>
          <a:off x="3803650" y="988885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339</xdr:row>
      <xdr:rowOff>0</xdr:rowOff>
    </xdr:from>
    <xdr:ext cx="304800" cy="304094"/>
    <xdr:sp macro="" textlink="">
      <xdr:nvSpPr>
        <xdr:cNvPr id="1300" name="AutoShape 12">
          <a:extLst>
            <a:ext uri="{FF2B5EF4-FFF2-40B4-BE49-F238E27FC236}">
              <a16:creationId xmlns:a16="http://schemas.microsoft.com/office/drawing/2014/main" id="{C03B26F3-6FF6-463C-8836-01794340BE75}"/>
            </a:ext>
          </a:extLst>
        </xdr:cNvPr>
        <xdr:cNvSpPr>
          <a:spLocks noChangeAspect="1" noChangeArrowheads="1"/>
        </xdr:cNvSpPr>
      </xdr:nvSpPr>
      <xdr:spPr bwMode="auto">
        <a:xfrm>
          <a:off x="3803650" y="1007300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340</xdr:row>
      <xdr:rowOff>0</xdr:rowOff>
    </xdr:from>
    <xdr:ext cx="304800" cy="304094"/>
    <xdr:sp macro="" textlink="">
      <xdr:nvSpPr>
        <xdr:cNvPr id="1301" name="AutoShape 12">
          <a:extLst>
            <a:ext uri="{FF2B5EF4-FFF2-40B4-BE49-F238E27FC236}">
              <a16:creationId xmlns:a16="http://schemas.microsoft.com/office/drawing/2014/main" id="{D1C9D342-A13B-4122-9BF0-ABDCC9E9E6E6}"/>
            </a:ext>
          </a:extLst>
        </xdr:cNvPr>
        <xdr:cNvSpPr>
          <a:spLocks noChangeAspect="1" noChangeArrowheads="1"/>
        </xdr:cNvSpPr>
      </xdr:nvSpPr>
      <xdr:spPr bwMode="auto">
        <a:xfrm>
          <a:off x="3803650" y="1009142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328</xdr:row>
      <xdr:rowOff>0</xdr:rowOff>
    </xdr:from>
    <xdr:ext cx="304800" cy="304094"/>
    <xdr:sp macro="" textlink="">
      <xdr:nvSpPr>
        <xdr:cNvPr id="1302" name="AutoShape 12">
          <a:extLst>
            <a:ext uri="{FF2B5EF4-FFF2-40B4-BE49-F238E27FC236}">
              <a16:creationId xmlns:a16="http://schemas.microsoft.com/office/drawing/2014/main" id="{167080E6-64A0-4BEF-A3EB-A571A997B1BD}"/>
            </a:ext>
          </a:extLst>
        </xdr:cNvPr>
        <xdr:cNvSpPr>
          <a:spLocks noChangeAspect="1" noChangeArrowheads="1"/>
        </xdr:cNvSpPr>
      </xdr:nvSpPr>
      <xdr:spPr bwMode="auto">
        <a:xfrm>
          <a:off x="3803650" y="987044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329</xdr:row>
      <xdr:rowOff>0</xdr:rowOff>
    </xdr:from>
    <xdr:ext cx="304800" cy="304094"/>
    <xdr:sp macro="" textlink="">
      <xdr:nvSpPr>
        <xdr:cNvPr id="1303" name="AutoShape 12">
          <a:extLst>
            <a:ext uri="{FF2B5EF4-FFF2-40B4-BE49-F238E27FC236}">
              <a16:creationId xmlns:a16="http://schemas.microsoft.com/office/drawing/2014/main" id="{ACCF088A-BEB9-4A07-AAF7-CD4D3720E0C6}"/>
            </a:ext>
          </a:extLst>
        </xdr:cNvPr>
        <xdr:cNvSpPr>
          <a:spLocks noChangeAspect="1" noChangeArrowheads="1"/>
        </xdr:cNvSpPr>
      </xdr:nvSpPr>
      <xdr:spPr bwMode="auto">
        <a:xfrm>
          <a:off x="3803650" y="988885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339</xdr:row>
      <xdr:rowOff>0</xdr:rowOff>
    </xdr:from>
    <xdr:ext cx="304800" cy="304094"/>
    <xdr:sp macro="" textlink="">
      <xdr:nvSpPr>
        <xdr:cNvPr id="1304" name="AutoShape 12">
          <a:extLst>
            <a:ext uri="{FF2B5EF4-FFF2-40B4-BE49-F238E27FC236}">
              <a16:creationId xmlns:a16="http://schemas.microsoft.com/office/drawing/2014/main" id="{C7F220B3-1F41-451D-8BF2-999B09061ED9}"/>
            </a:ext>
          </a:extLst>
        </xdr:cNvPr>
        <xdr:cNvSpPr>
          <a:spLocks noChangeAspect="1" noChangeArrowheads="1"/>
        </xdr:cNvSpPr>
      </xdr:nvSpPr>
      <xdr:spPr bwMode="auto">
        <a:xfrm>
          <a:off x="3803650" y="1007300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340</xdr:row>
      <xdr:rowOff>0</xdr:rowOff>
    </xdr:from>
    <xdr:ext cx="304800" cy="304094"/>
    <xdr:sp macro="" textlink="">
      <xdr:nvSpPr>
        <xdr:cNvPr id="1305" name="AutoShape 12">
          <a:extLst>
            <a:ext uri="{FF2B5EF4-FFF2-40B4-BE49-F238E27FC236}">
              <a16:creationId xmlns:a16="http://schemas.microsoft.com/office/drawing/2014/main" id="{28A17CD2-4127-479B-8DE2-A8C5C5920838}"/>
            </a:ext>
          </a:extLst>
        </xdr:cNvPr>
        <xdr:cNvSpPr>
          <a:spLocks noChangeAspect="1" noChangeArrowheads="1"/>
        </xdr:cNvSpPr>
      </xdr:nvSpPr>
      <xdr:spPr bwMode="auto">
        <a:xfrm>
          <a:off x="3803650" y="1009142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329</xdr:row>
      <xdr:rowOff>0</xdr:rowOff>
    </xdr:from>
    <xdr:ext cx="304800" cy="304094"/>
    <xdr:sp macro="" textlink="">
      <xdr:nvSpPr>
        <xdr:cNvPr id="1306" name="AutoShape 12">
          <a:extLst>
            <a:ext uri="{FF2B5EF4-FFF2-40B4-BE49-F238E27FC236}">
              <a16:creationId xmlns:a16="http://schemas.microsoft.com/office/drawing/2014/main" id="{A73FE2E9-D62D-47D4-8402-2FAA9CF47FAC}"/>
            </a:ext>
          </a:extLst>
        </xdr:cNvPr>
        <xdr:cNvSpPr>
          <a:spLocks noChangeAspect="1" noChangeArrowheads="1"/>
        </xdr:cNvSpPr>
      </xdr:nvSpPr>
      <xdr:spPr bwMode="auto">
        <a:xfrm>
          <a:off x="3803650" y="988885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330</xdr:row>
      <xdr:rowOff>0</xdr:rowOff>
    </xdr:from>
    <xdr:ext cx="304800" cy="304094"/>
    <xdr:sp macro="" textlink="">
      <xdr:nvSpPr>
        <xdr:cNvPr id="1307" name="AutoShape 12">
          <a:extLst>
            <a:ext uri="{FF2B5EF4-FFF2-40B4-BE49-F238E27FC236}">
              <a16:creationId xmlns:a16="http://schemas.microsoft.com/office/drawing/2014/main" id="{19812ABD-4CC6-40DE-A02D-C27D437F9419}"/>
            </a:ext>
          </a:extLst>
        </xdr:cNvPr>
        <xdr:cNvSpPr>
          <a:spLocks noChangeAspect="1" noChangeArrowheads="1"/>
        </xdr:cNvSpPr>
      </xdr:nvSpPr>
      <xdr:spPr bwMode="auto">
        <a:xfrm>
          <a:off x="3803650" y="990727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340</xdr:row>
      <xdr:rowOff>0</xdr:rowOff>
    </xdr:from>
    <xdr:ext cx="304800" cy="304094"/>
    <xdr:sp macro="" textlink="">
      <xdr:nvSpPr>
        <xdr:cNvPr id="1308" name="AutoShape 12">
          <a:extLst>
            <a:ext uri="{FF2B5EF4-FFF2-40B4-BE49-F238E27FC236}">
              <a16:creationId xmlns:a16="http://schemas.microsoft.com/office/drawing/2014/main" id="{BF459AF4-FB5C-48B6-A572-E5C38EA166E2}"/>
            </a:ext>
          </a:extLst>
        </xdr:cNvPr>
        <xdr:cNvSpPr>
          <a:spLocks noChangeAspect="1" noChangeArrowheads="1"/>
        </xdr:cNvSpPr>
      </xdr:nvSpPr>
      <xdr:spPr bwMode="auto">
        <a:xfrm>
          <a:off x="3803650" y="1009142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330</xdr:row>
      <xdr:rowOff>0</xdr:rowOff>
    </xdr:from>
    <xdr:ext cx="304800" cy="304094"/>
    <xdr:sp macro="" textlink="">
      <xdr:nvSpPr>
        <xdr:cNvPr id="1309" name="AutoShape 12">
          <a:extLst>
            <a:ext uri="{FF2B5EF4-FFF2-40B4-BE49-F238E27FC236}">
              <a16:creationId xmlns:a16="http://schemas.microsoft.com/office/drawing/2014/main" id="{619C8E39-8BBA-4A0D-B47D-E7D16C68CC84}"/>
            </a:ext>
          </a:extLst>
        </xdr:cNvPr>
        <xdr:cNvSpPr>
          <a:spLocks noChangeAspect="1" noChangeArrowheads="1"/>
        </xdr:cNvSpPr>
      </xdr:nvSpPr>
      <xdr:spPr bwMode="auto">
        <a:xfrm>
          <a:off x="3803650" y="990727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331</xdr:row>
      <xdr:rowOff>0</xdr:rowOff>
    </xdr:from>
    <xdr:ext cx="304800" cy="304094"/>
    <xdr:sp macro="" textlink="">
      <xdr:nvSpPr>
        <xdr:cNvPr id="1310" name="AutoShape 12">
          <a:extLst>
            <a:ext uri="{FF2B5EF4-FFF2-40B4-BE49-F238E27FC236}">
              <a16:creationId xmlns:a16="http://schemas.microsoft.com/office/drawing/2014/main" id="{65505D94-62C1-4944-86CF-2CC2BB07F663}"/>
            </a:ext>
          </a:extLst>
        </xdr:cNvPr>
        <xdr:cNvSpPr>
          <a:spLocks noChangeAspect="1" noChangeArrowheads="1"/>
        </xdr:cNvSpPr>
      </xdr:nvSpPr>
      <xdr:spPr bwMode="auto">
        <a:xfrm>
          <a:off x="3803650" y="992568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331</xdr:row>
      <xdr:rowOff>0</xdr:rowOff>
    </xdr:from>
    <xdr:ext cx="304800" cy="304094"/>
    <xdr:sp macro="" textlink="">
      <xdr:nvSpPr>
        <xdr:cNvPr id="1311" name="AutoShape 12">
          <a:extLst>
            <a:ext uri="{FF2B5EF4-FFF2-40B4-BE49-F238E27FC236}">
              <a16:creationId xmlns:a16="http://schemas.microsoft.com/office/drawing/2014/main" id="{C3E66152-FCB9-485C-A044-8773B548DDD5}"/>
            </a:ext>
          </a:extLst>
        </xdr:cNvPr>
        <xdr:cNvSpPr>
          <a:spLocks noChangeAspect="1" noChangeArrowheads="1"/>
        </xdr:cNvSpPr>
      </xdr:nvSpPr>
      <xdr:spPr bwMode="auto">
        <a:xfrm>
          <a:off x="3803650" y="992568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332</xdr:row>
      <xdr:rowOff>0</xdr:rowOff>
    </xdr:from>
    <xdr:ext cx="304800" cy="304094"/>
    <xdr:sp macro="" textlink="">
      <xdr:nvSpPr>
        <xdr:cNvPr id="1312" name="AutoShape 12">
          <a:extLst>
            <a:ext uri="{FF2B5EF4-FFF2-40B4-BE49-F238E27FC236}">
              <a16:creationId xmlns:a16="http://schemas.microsoft.com/office/drawing/2014/main" id="{3AE093E6-8207-413F-992E-ADB5481C569D}"/>
            </a:ext>
          </a:extLst>
        </xdr:cNvPr>
        <xdr:cNvSpPr>
          <a:spLocks noChangeAspect="1" noChangeArrowheads="1"/>
        </xdr:cNvSpPr>
      </xdr:nvSpPr>
      <xdr:spPr bwMode="auto">
        <a:xfrm>
          <a:off x="3803650" y="994410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331</xdr:row>
      <xdr:rowOff>0</xdr:rowOff>
    </xdr:from>
    <xdr:ext cx="304800" cy="304094"/>
    <xdr:sp macro="" textlink="">
      <xdr:nvSpPr>
        <xdr:cNvPr id="1313" name="AutoShape 12">
          <a:extLst>
            <a:ext uri="{FF2B5EF4-FFF2-40B4-BE49-F238E27FC236}">
              <a16:creationId xmlns:a16="http://schemas.microsoft.com/office/drawing/2014/main" id="{3241916F-0ED0-4A91-BDE5-5B579ECBBEA7}"/>
            </a:ext>
          </a:extLst>
        </xdr:cNvPr>
        <xdr:cNvSpPr>
          <a:spLocks noChangeAspect="1" noChangeArrowheads="1"/>
        </xdr:cNvSpPr>
      </xdr:nvSpPr>
      <xdr:spPr bwMode="auto">
        <a:xfrm>
          <a:off x="3803650" y="992568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332</xdr:row>
      <xdr:rowOff>0</xdr:rowOff>
    </xdr:from>
    <xdr:ext cx="304800" cy="304094"/>
    <xdr:sp macro="" textlink="">
      <xdr:nvSpPr>
        <xdr:cNvPr id="1314" name="AutoShape 12">
          <a:extLst>
            <a:ext uri="{FF2B5EF4-FFF2-40B4-BE49-F238E27FC236}">
              <a16:creationId xmlns:a16="http://schemas.microsoft.com/office/drawing/2014/main" id="{1876AB25-D592-4E56-B482-41C06587AE64}"/>
            </a:ext>
          </a:extLst>
        </xdr:cNvPr>
        <xdr:cNvSpPr>
          <a:spLocks noChangeAspect="1" noChangeArrowheads="1"/>
        </xdr:cNvSpPr>
      </xdr:nvSpPr>
      <xdr:spPr bwMode="auto">
        <a:xfrm>
          <a:off x="3803650" y="994410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332</xdr:row>
      <xdr:rowOff>0</xdr:rowOff>
    </xdr:from>
    <xdr:ext cx="304800" cy="304094"/>
    <xdr:sp macro="" textlink="">
      <xdr:nvSpPr>
        <xdr:cNvPr id="1315" name="AutoShape 12">
          <a:extLst>
            <a:ext uri="{FF2B5EF4-FFF2-40B4-BE49-F238E27FC236}">
              <a16:creationId xmlns:a16="http://schemas.microsoft.com/office/drawing/2014/main" id="{D97B7FE6-8BD9-44F2-A009-93A69AA9524C}"/>
            </a:ext>
          </a:extLst>
        </xdr:cNvPr>
        <xdr:cNvSpPr>
          <a:spLocks noChangeAspect="1" noChangeArrowheads="1"/>
        </xdr:cNvSpPr>
      </xdr:nvSpPr>
      <xdr:spPr bwMode="auto">
        <a:xfrm>
          <a:off x="3803650" y="994410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333</xdr:row>
      <xdr:rowOff>0</xdr:rowOff>
    </xdr:from>
    <xdr:ext cx="304800" cy="304094"/>
    <xdr:sp macro="" textlink="">
      <xdr:nvSpPr>
        <xdr:cNvPr id="1316" name="AutoShape 12">
          <a:extLst>
            <a:ext uri="{FF2B5EF4-FFF2-40B4-BE49-F238E27FC236}">
              <a16:creationId xmlns:a16="http://schemas.microsoft.com/office/drawing/2014/main" id="{CEB82CBC-0D8C-45C9-A429-FC8C04CBAE33}"/>
            </a:ext>
          </a:extLst>
        </xdr:cNvPr>
        <xdr:cNvSpPr>
          <a:spLocks noChangeAspect="1" noChangeArrowheads="1"/>
        </xdr:cNvSpPr>
      </xdr:nvSpPr>
      <xdr:spPr bwMode="auto">
        <a:xfrm>
          <a:off x="3803650" y="99625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282</xdr:row>
      <xdr:rowOff>0</xdr:rowOff>
    </xdr:from>
    <xdr:ext cx="304800" cy="304094"/>
    <xdr:sp macro="" textlink="">
      <xdr:nvSpPr>
        <xdr:cNvPr id="1317" name="AutoShape 12">
          <a:extLst>
            <a:ext uri="{FF2B5EF4-FFF2-40B4-BE49-F238E27FC236}">
              <a16:creationId xmlns:a16="http://schemas.microsoft.com/office/drawing/2014/main" id="{9886DEC1-2836-499F-9687-A156E85ADBA2}"/>
            </a:ext>
          </a:extLst>
        </xdr:cNvPr>
        <xdr:cNvSpPr>
          <a:spLocks noChangeAspect="1" noChangeArrowheads="1"/>
        </xdr:cNvSpPr>
      </xdr:nvSpPr>
      <xdr:spPr bwMode="auto">
        <a:xfrm>
          <a:off x="3803650" y="902335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283</xdr:row>
      <xdr:rowOff>0</xdr:rowOff>
    </xdr:from>
    <xdr:ext cx="304800" cy="304094"/>
    <xdr:sp macro="" textlink="">
      <xdr:nvSpPr>
        <xdr:cNvPr id="1318" name="AutoShape 12">
          <a:extLst>
            <a:ext uri="{FF2B5EF4-FFF2-40B4-BE49-F238E27FC236}">
              <a16:creationId xmlns:a16="http://schemas.microsoft.com/office/drawing/2014/main" id="{F7C2C9E4-42B1-432C-ACA9-BD982C438D59}"/>
            </a:ext>
          </a:extLst>
        </xdr:cNvPr>
        <xdr:cNvSpPr>
          <a:spLocks noChangeAspect="1" noChangeArrowheads="1"/>
        </xdr:cNvSpPr>
      </xdr:nvSpPr>
      <xdr:spPr bwMode="auto">
        <a:xfrm>
          <a:off x="3803650" y="904176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293</xdr:row>
      <xdr:rowOff>0</xdr:rowOff>
    </xdr:from>
    <xdr:ext cx="304800" cy="304094"/>
    <xdr:sp macro="" textlink="">
      <xdr:nvSpPr>
        <xdr:cNvPr id="1319" name="AutoShape 12">
          <a:extLst>
            <a:ext uri="{FF2B5EF4-FFF2-40B4-BE49-F238E27FC236}">
              <a16:creationId xmlns:a16="http://schemas.microsoft.com/office/drawing/2014/main" id="{51AE9607-AC81-4805-8C02-D133B61EEA1C}"/>
            </a:ext>
          </a:extLst>
        </xdr:cNvPr>
        <xdr:cNvSpPr>
          <a:spLocks noChangeAspect="1" noChangeArrowheads="1"/>
        </xdr:cNvSpPr>
      </xdr:nvSpPr>
      <xdr:spPr bwMode="auto">
        <a:xfrm>
          <a:off x="3803650" y="92259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294</xdr:row>
      <xdr:rowOff>0</xdr:rowOff>
    </xdr:from>
    <xdr:ext cx="304800" cy="304094"/>
    <xdr:sp macro="" textlink="">
      <xdr:nvSpPr>
        <xdr:cNvPr id="1320" name="AutoShape 12">
          <a:extLst>
            <a:ext uri="{FF2B5EF4-FFF2-40B4-BE49-F238E27FC236}">
              <a16:creationId xmlns:a16="http://schemas.microsoft.com/office/drawing/2014/main" id="{C12CDE01-A957-4422-8BE1-A4C456721550}"/>
            </a:ext>
          </a:extLst>
        </xdr:cNvPr>
        <xdr:cNvSpPr>
          <a:spLocks noChangeAspect="1" noChangeArrowheads="1"/>
        </xdr:cNvSpPr>
      </xdr:nvSpPr>
      <xdr:spPr bwMode="auto">
        <a:xfrm>
          <a:off x="3803650" y="924433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283</xdr:row>
      <xdr:rowOff>0</xdr:rowOff>
    </xdr:from>
    <xdr:ext cx="304800" cy="304094"/>
    <xdr:sp macro="" textlink="">
      <xdr:nvSpPr>
        <xdr:cNvPr id="1321" name="AutoShape 12">
          <a:extLst>
            <a:ext uri="{FF2B5EF4-FFF2-40B4-BE49-F238E27FC236}">
              <a16:creationId xmlns:a16="http://schemas.microsoft.com/office/drawing/2014/main" id="{3427C3A2-0C22-40C1-9B79-9C7815D4525B}"/>
            </a:ext>
          </a:extLst>
        </xdr:cNvPr>
        <xdr:cNvSpPr>
          <a:spLocks noChangeAspect="1" noChangeArrowheads="1"/>
        </xdr:cNvSpPr>
      </xdr:nvSpPr>
      <xdr:spPr bwMode="auto">
        <a:xfrm>
          <a:off x="3803650" y="904176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284</xdr:row>
      <xdr:rowOff>0</xdr:rowOff>
    </xdr:from>
    <xdr:ext cx="304800" cy="304094"/>
    <xdr:sp macro="" textlink="">
      <xdr:nvSpPr>
        <xdr:cNvPr id="1322" name="AutoShape 12">
          <a:extLst>
            <a:ext uri="{FF2B5EF4-FFF2-40B4-BE49-F238E27FC236}">
              <a16:creationId xmlns:a16="http://schemas.microsoft.com/office/drawing/2014/main" id="{F5C7551A-E602-4539-9A10-013B9E5ADF95}"/>
            </a:ext>
          </a:extLst>
        </xdr:cNvPr>
        <xdr:cNvSpPr>
          <a:spLocks noChangeAspect="1" noChangeArrowheads="1"/>
        </xdr:cNvSpPr>
      </xdr:nvSpPr>
      <xdr:spPr bwMode="auto">
        <a:xfrm>
          <a:off x="3803650" y="906018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294</xdr:row>
      <xdr:rowOff>0</xdr:rowOff>
    </xdr:from>
    <xdr:ext cx="304800" cy="304094"/>
    <xdr:sp macro="" textlink="">
      <xdr:nvSpPr>
        <xdr:cNvPr id="1323" name="AutoShape 12">
          <a:extLst>
            <a:ext uri="{FF2B5EF4-FFF2-40B4-BE49-F238E27FC236}">
              <a16:creationId xmlns:a16="http://schemas.microsoft.com/office/drawing/2014/main" id="{E6B7BAEE-9D6E-4489-869C-4713E54B8CBF}"/>
            </a:ext>
          </a:extLst>
        </xdr:cNvPr>
        <xdr:cNvSpPr>
          <a:spLocks noChangeAspect="1" noChangeArrowheads="1"/>
        </xdr:cNvSpPr>
      </xdr:nvSpPr>
      <xdr:spPr bwMode="auto">
        <a:xfrm>
          <a:off x="3803650" y="924433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295</xdr:row>
      <xdr:rowOff>0</xdr:rowOff>
    </xdr:from>
    <xdr:ext cx="304800" cy="304094"/>
    <xdr:sp macro="" textlink="">
      <xdr:nvSpPr>
        <xdr:cNvPr id="1324" name="AutoShape 12">
          <a:extLst>
            <a:ext uri="{FF2B5EF4-FFF2-40B4-BE49-F238E27FC236}">
              <a16:creationId xmlns:a16="http://schemas.microsoft.com/office/drawing/2014/main" id="{D77B9140-39D0-4B50-B74E-03E304932F67}"/>
            </a:ext>
          </a:extLst>
        </xdr:cNvPr>
        <xdr:cNvSpPr>
          <a:spLocks noChangeAspect="1" noChangeArrowheads="1"/>
        </xdr:cNvSpPr>
      </xdr:nvSpPr>
      <xdr:spPr bwMode="auto">
        <a:xfrm>
          <a:off x="3803650" y="926274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351</xdr:row>
      <xdr:rowOff>0</xdr:rowOff>
    </xdr:from>
    <xdr:ext cx="304800" cy="304094"/>
    <xdr:sp macro="" textlink="">
      <xdr:nvSpPr>
        <xdr:cNvPr id="1325" name="AutoShape 12">
          <a:extLst>
            <a:ext uri="{FF2B5EF4-FFF2-40B4-BE49-F238E27FC236}">
              <a16:creationId xmlns:a16="http://schemas.microsoft.com/office/drawing/2014/main" id="{C455FAB0-FD42-4299-929B-A9855C59FD05}"/>
            </a:ext>
          </a:extLst>
        </xdr:cNvPr>
        <xdr:cNvSpPr>
          <a:spLocks noChangeAspect="1" noChangeArrowheads="1"/>
        </xdr:cNvSpPr>
      </xdr:nvSpPr>
      <xdr:spPr bwMode="auto">
        <a:xfrm>
          <a:off x="3803650" y="1029398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352</xdr:row>
      <xdr:rowOff>0</xdr:rowOff>
    </xdr:from>
    <xdr:ext cx="304800" cy="304094"/>
    <xdr:sp macro="" textlink="">
      <xdr:nvSpPr>
        <xdr:cNvPr id="1326" name="AutoShape 12">
          <a:extLst>
            <a:ext uri="{FF2B5EF4-FFF2-40B4-BE49-F238E27FC236}">
              <a16:creationId xmlns:a16="http://schemas.microsoft.com/office/drawing/2014/main" id="{9AEEB492-BAF1-4CBF-AA45-17616CCD439F}"/>
            </a:ext>
          </a:extLst>
        </xdr:cNvPr>
        <xdr:cNvSpPr>
          <a:spLocks noChangeAspect="1" noChangeArrowheads="1"/>
        </xdr:cNvSpPr>
      </xdr:nvSpPr>
      <xdr:spPr bwMode="auto">
        <a:xfrm>
          <a:off x="3803650" y="1031240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352</xdr:row>
      <xdr:rowOff>0</xdr:rowOff>
    </xdr:from>
    <xdr:ext cx="304800" cy="304094"/>
    <xdr:sp macro="" textlink="">
      <xdr:nvSpPr>
        <xdr:cNvPr id="1327" name="AutoShape 12">
          <a:extLst>
            <a:ext uri="{FF2B5EF4-FFF2-40B4-BE49-F238E27FC236}">
              <a16:creationId xmlns:a16="http://schemas.microsoft.com/office/drawing/2014/main" id="{76D5B061-B204-49C6-8E97-3446A55B15D7}"/>
            </a:ext>
          </a:extLst>
        </xdr:cNvPr>
        <xdr:cNvSpPr>
          <a:spLocks noChangeAspect="1" noChangeArrowheads="1"/>
        </xdr:cNvSpPr>
      </xdr:nvSpPr>
      <xdr:spPr bwMode="auto">
        <a:xfrm>
          <a:off x="3803650" y="1031240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353</xdr:row>
      <xdr:rowOff>0</xdr:rowOff>
    </xdr:from>
    <xdr:ext cx="304800" cy="304094"/>
    <xdr:sp macro="" textlink="">
      <xdr:nvSpPr>
        <xdr:cNvPr id="1328" name="AutoShape 12">
          <a:extLst>
            <a:ext uri="{FF2B5EF4-FFF2-40B4-BE49-F238E27FC236}">
              <a16:creationId xmlns:a16="http://schemas.microsoft.com/office/drawing/2014/main" id="{4F360028-6B20-4EC9-B330-E2EB72851FFA}"/>
            </a:ext>
          </a:extLst>
        </xdr:cNvPr>
        <xdr:cNvSpPr>
          <a:spLocks noChangeAspect="1" noChangeArrowheads="1"/>
        </xdr:cNvSpPr>
      </xdr:nvSpPr>
      <xdr:spPr bwMode="auto">
        <a:xfrm>
          <a:off x="3803650" y="103308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283</xdr:row>
      <xdr:rowOff>0</xdr:rowOff>
    </xdr:from>
    <xdr:ext cx="304800" cy="304094"/>
    <xdr:sp macro="" textlink="">
      <xdr:nvSpPr>
        <xdr:cNvPr id="1329" name="AutoShape 12">
          <a:extLst>
            <a:ext uri="{FF2B5EF4-FFF2-40B4-BE49-F238E27FC236}">
              <a16:creationId xmlns:a16="http://schemas.microsoft.com/office/drawing/2014/main" id="{E9349CDD-B6C8-4001-9736-8AA9A29A65FC}"/>
            </a:ext>
          </a:extLst>
        </xdr:cNvPr>
        <xdr:cNvSpPr>
          <a:spLocks noChangeAspect="1" noChangeArrowheads="1"/>
        </xdr:cNvSpPr>
      </xdr:nvSpPr>
      <xdr:spPr bwMode="auto">
        <a:xfrm>
          <a:off x="3803650" y="904176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284</xdr:row>
      <xdr:rowOff>0</xdr:rowOff>
    </xdr:from>
    <xdr:ext cx="304800" cy="304094"/>
    <xdr:sp macro="" textlink="">
      <xdr:nvSpPr>
        <xdr:cNvPr id="1330" name="AutoShape 12">
          <a:extLst>
            <a:ext uri="{FF2B5EF4-FFF2-40B4-BE49-F238E27FC236}">
              <a16:creationId xmlns:a16="http://schemas.microsoft.com/office/drawing/2014/main" id="{52C69712-4C1B-4580-BE59-E6B2D7E46233}"/>
            </a:ext>
          </a:extLst>
        </xdr:cNvPr>
        <xdr:cNvSpPr>
          <a:spLocks noChangeAspect="1" noChangeArrowheads="1"/>
        </xdr:cNvSpPr>
      </xdr:nvSpPr>
      <xdr:spPr bwMode="auto">
        <a:xfrm>
          <a:off x="3803650" y="906018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294</xdr:row>
      <xdr:rowOff>0</xdr:rowOff>
    </xdr:from>
    <xdr:ext cx="304800" cy="304094"/>
    <xdr:sp macro="" textlink="">
      <xdr:nvSpPr>
        <xdr:cNvPr id="1331" name="AutoShape 12">
          <a:extLst>
            <a:ext uri="{FF2B5EF4-FFF2-40B4-BE49-F238E27FC236}">
              <a16:creationId xmlns:a16="http://schemas.microsoft.com/office/drawing/2014/main" id="{C241AAF6-86D6-4CD0-8720-01B89903BE64}"/>
            </a:ext>
          </a:extLst>
        </xdr:cNvPr>
        <xdr:cNvSpPr>
          <a:spLocks noChangeAspect="1" noChangeArrowheads="1"/>
        </xdr:cNvSpPr>
      </xdr:nvSpPr>
      <xdr:spPr bwMode="auto">
        <a:xfrm>
          <a:off x="3803650" y="924433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295</xdr:row>
      <xdr:rowOff>0</xdr:rowOff>
    </xdr:from>
    <xdr:ext cx="304800" cy="304094"/>
    <xdr:sp macro="" textlink="">
      <xdr:nvSpPr>
        <xdr:cNvPr id="1332" name="AutoShape 12">
          <a:extLst>
            <a:ext uri="{FF2B5EF4-FFF2-40B4-BE49-F238E27FC236}">
              <a16:creationId xmlns:a16="http://schemas.microsoft.com/office/drawing/2014/main" id="{654D0889-EE06-44BB-9E9D-D76545013F3D}"/>
            </a:ext>
          </a:extLst>
        </xdr:cNvPr>
        <xdr:cNvSpPr>
          <a:spLocks noChangeAspect="1" noChangeArrowheads="1"/>
        </xdr:cNvSpPr>
      </xdr:nvSpPr>
      <xdr:spPr bwMode="auto">
        <a:xfrm>
          <a:off x="3803650" y="926274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284</xdr:row>
      <xdr:rowOff>0</xdr:rowOff>
    </xdr:from>
    <xdr:ext cx="304800" cy="304094"/>
    <xdr:sp macro="" textlink="">
      <xdr:nvSpPr>
        <xdr:cNvPr id="1333" name="AutoShape 12">
          <a:extLst>
            <a:ext uri="{FF2B5EF4-FFF2-40B4-BE49-F238E27FC236}">
              <a16:creationId xmlns:a16="http://schemas.microsoft.com/office/drawing/2014/main" id="{92EC3884-4E15-473B-9F57-816BD78ED010}"/>
            </a:ext>
          </a:extLst>
        </xdr:cNvPr>
        <xdr:cNvSpPr>
          <a:spLocks noChangeAspect="1" noChangeArrowheads="1"/>
        </xdr:cNvSpPr>
      </xdr:nvSpPr>
      <xdr:spPr bwMode="auto">
        <a:xfrm>
          <a:off x="3803650" y="906018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285</xdr:row>
      <xdr:rowOff>0</xdr:rowOff>
    </xdr:from>
    <xdr:ext cx="304800" cy="304094"/>
    <xdr:sp macro="" textlink="">
      <xdr:nvSpPr>
        <xdr:cNvPr id="1334" name="AutoShape 12">
          <a:extLst>
            <a:ext uri="{FF2B5EF4-FFF2-40B4-BE49-F238E27FC236}">
              <a16:creationId xmlns:a16="http://schemas.microsoft.com/office/drawing/2014/main" id="{B6D6D90E-2F26-44E0-95F3-D972144F3511}"/>
            </a:ext>
          </a:extLst>
        </xdr:cNvPr>
        <xdr:cNvSpPr>
          <a:spLocks noChangeAspect="1" noChangeArrowheads="1"/>
        </xdr:cNvSpPr>
      </xdr:nvSpPr>
      <xdr:spPr bwMode="auto">
        <a:xfrm>
          <a:off x="3803650" y="907859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295</xdr:row>
      <xdr:rowOff>0</xdr:rowOff>
    </xdr:from>
    <xdr:ext cx="304800" cy="304094"/>
    <xdr:sp macro="" textlink="">
      <xdr:nvSpPr>
        <xdr:cNvPr id="1335" name="AutoShape 12">
          <a:extLst>
            <a:ext uri="{FF2B5EF4-FFF2-40B4-BE49-F238E27FC236}">
              <a16:creationId xmlns:a16="http://schemas.microsoft.com/office/drawing/2014/main" id="{A20CDD40-7681-4D57-A30C-3054C1A93558}"/>
            </a:ext>
          </a:extLst>
        </xdr:cNvPr>
        <xdr:cNvSpPr>
          <a:spLocks noChangeAspect="1" noChangeArrowheads="1"/>
        </xdr:cNvSpPr>
      </xdr:nvSpPr>
      <xdr:spPr bwMode="auto">
        <a:xfrm>
          <a:off x="3803650" y="926274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296</xdr:row>
      <xdr:rowOff>0</xdr:rowOff>
    </xdr:from>
    <xdr:ext cx="304800" cy="304094"/>
    <xdr:sp macro="" textlink="">
      <xdr:nvSpPr>
        <xdr:cNvPr id="1336" name="AutoShape 12">
          <a:extLst>
            <a:ext uri="{FF2B5EF4-FFF2-40B4-BE49-F238E27FC236}">
              <a16:creationId xmlns:a16="http://schemas.microsoft.com/office/drawing/2014/main" id="{809079D1-07DB-4E6B-BDAD-29235D5C7DB6}"/>
            </a:ext>
          </a:extLst>
        </xdr:cNvPr>
        <xdr:cNvSpPr>
          <a:spLocks noChangeAspect="1" noChangeArrowheads="1"/>
        </xdr:cNvSpPr>
      </xdr:nvSpPr>
      <xdr:spPr bwMode="auto">
        <a:xfrm>
          <a:off x="3803650" y="928116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352</xdr:row>
      <xdr:rowOff>0</xdr:rowOff>
    </xdr:from>
    <xdr:ext cx="304800" cy="304094"/>
    <xdr:sp macro="" textlink="">
      <xdr:nvSpPr>
        <xdr:cNvPr id="1337" name="AutoShape 12">
          <a:extLst>
            <a:ext uri="{FF2B5EF4-FFF2-40B4-BE49-F238E27FC236}">
              <a16:creationId xmlns:a16="http://schemas.microsoft.com/office/drawing/2014/main" id="{DAB4E89B-3038-4204-B656-23AB1A31C9D6}"/>
            </a:ext>
          </a:extLst>
        </xdr:cNvPr>
        <xdr:cNvSpPr>
          <a:spLocks noChangeAspect="1" noChangeArrowheads="1"/>
        </xdr:cNvSpPr>
      </xdr:nvSpPr>
      <xdr:spPr bwMode="auto">
        <a:xfrm>
          <a:off x="3803650" y="1031240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353</xdr:row>
      <xdr:rowOff>0</xdr:rowOff>
    </xdr:from>
    <xdr:ext cx="304800" cy="304094"/>
    <xdr:sp macro="" textlink="">
      <xdr:nvSpPr>
        <xdr:cNvPr id="1338" name="AutoShape 12">
          <a:extLst>
            <a:ext uri="{FF2B5EF4-FFF2-40B4-BE49-F238E27FC236}">
              <a16:creationId xmlns:a16="http://schemas.microsoft.com/office/drawing/2014/main" id="{60DFD52F-D299-4555-BE49-B08D09149F86}"/>
            </a:ext>
          </a:extLst>
        </xdr:cNvPr>
        <xdr:cNvSpPr>
          <a:spLocks noChangeAspect="1" noChangeArrowheads="1"/>
        </xdr:cNvSpPr>
      </xdr:nvSpPr>
      <xdr:spPr bwMode="auto">
        <a:xfrm>
          <a:off x="3803650" y="103308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353</xdr:row>
      <xdr:rowOff>0</xdr:rowOff>
    </xdr:from>
    <xdr:ext cx="304800" cy="304094"/>
    <xdr:sp macro="" textlink="">
      <xdr:nvSpPr>
        <xdr:cNvPr id="1339" name="AutoShape 12">
          <a:extLst>
            <a:ext uri="{FF2B5EF4-FFF2-40B4-BE49-F238E27FC236}">
              <a16:creationId xmlns:a16="http://schemas.microsoft.com/office/drawing/2014/main" id="{46B34CD2-2E3F-49A6-9116-A33C6FB495EC}"/>
            </a:ext>
          </a:extLst>
        </xdr:cNvPr>
        <xdr:cNvSpPr>
          <a:spLocks noChangeAspect="1" noChangeArrowheads="1"/>
        </xdr:cNvSpPr>
      </xdr:nvSpPr>
      <xdr:spPr bwMode="auto">
        <a:xfrm>
          <a:off x="3803650" y="103308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354</xdr:row>
      <xdr:rowOff>0</xdr:rowOff>
    </xdr:from>
    <xdr:ext cx="304800" cy="304094"/>
    <xdr:sp macro="" textlink="">
      <xdr:nvSpPr>
        <xdr:cNvPr id="1340" name="AutoShape 12">
          <a:extLst>
            <a:ext uri="{FF2B5EF4-FFF2-40B4-BE49-F238E27FC236}">
              <a16:creationId xmlns:a16="http://schemas.microsoft.com/office/drawing/2014/main" id="{8A48EA5D-9D5D-463D-A0AF-2A70904443C5}"/>
            </a:ext>
          </a:extLst>
        </xdr:cNvPr>
        <xdr:cNvSpPr>
          <a:spLocks noChangeAspect="1" noChangeArrowheads="1"/>
        </xdr:cNvSpPr>
      </xdr:nvSpPr>
      <xdr:spPr bwMode="auto">
        <a:xfrm>
          <a:off x="3803650" y="1034923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326</xdr:row>
      <xdr:rowOff>0</xdr:rowOff>
    </xdr:from>
    <xdr:ext cx="304800" cy="304094"/>
    <xdr:sp macro="" textlink="">
      <xdr:nvSpPr>
        <xdr:cNvPr id="1341" name="AutoShape 12">
          <a:extLst>
            <a:ext uri="{FF2B5EF4-FFF2-40B4-BE49-F238E27FC236}">
              <a16:creationId xmlns:a16="http://schemas.microsoft.com/office/drawing/2014/main" id="{85132ADD-8DA4-481F-BF93-821FA7D24DB0}"/>
            </a:ext>
          </a:extLst>
        </xdr:cNvPr>
        <xdr:cNvSpPr>
          <a:spLocks noChangeAspect="1" noChangeArrowheads="1"/>
        </xdr:cNvSpPr>
      </xdr:nvSpPr>
      <xdr:spPr bwMode="auto">
        <a:xfrm>
          <a:off x="3803650" y="983361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327</xdr:row>
      <xdr:rowOff>0</xdr:rowOff>
    </xdr:from>
    <xdr:ext cx="304800" cy="304094"/>
    <xdr:sp macro="" textlink="">
      <xdr:nvSpPr>
        <xdr:cNvPr id="1342" name="AutoShape 12">
          <a:extLst>
            <a:ext uri="{FF2B5EF4-FFF2-40B4-BE49-F238E27FC236}">
              <a16:creationId xmlns:a16="http://schemas.microsoft.com/office/drawing/2014/main" id="{315499D2-AD6E-45C6-9656-6F86E2984447}"/>
            </a:ext>
          </a:extLst>
        </xdr:cNvPr>
        <xdr:cNvSpPr>
          <a:spLocks noChangeAspect="1" noChangeArrowheads="1"/>
        </xdr:cNvSpPr>
      </xdr:nvSpPr>
      <xdr:spPr bwMode="auto">
        <a:xfrm>
          <a:off x="3803650" y="985202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337</xdr:row>
      <xdr:rowOff>0</xdr:rowOff>
    </xdr:from>
    <xdr:ext cx="304800" cy="304094"/>
    <xdr:sp macro="" textlink="">
      <xdr:nvSpPr>
        <xdr:cNvPr id="1343" name="AutoShape 12">
          <a:extLst>
            <a:ext uri="{FF2B5EF4-FFF2-40B4-BE49-F238E27FC236}">
              <a16:creationId xmlns:a16="http://schemas.microsoft.com/office/drawing/2014/main" id="{D8B8F296-F1D0-4FB0-A169-F266A4BD8AB6}"/>
            </a:ext>
          </a:extLst>
        </xdr:cNvPr>
        <xdr:cNvSpPr>
          <a:spLocks noChangeAspect="1" noChangeArrowheads="1"/>
        </xdr:cNvSpPr>
      </xdr:nvSpPr>
      <xdr:spPr bwMode="auto">
        <a:xfrm>
          <a:off x="3803650" y="100361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338</xdr:row>
      <xdr:rowOff>0</xdr:rowOff>
    </xdr:from>
    <xdr:ext cx="304800" cy="304094"/>
    <xdr:sp macro="" textlink="">
      <xdr:nvSpPr>
        <xdr:cNvPr id="1344" name="AutoShape 12">
          <a:extLst>
            <a:ext uri="{FF2B5EF4-FFF2-40B4-BE49-F238E27FC236}">
              <a16:creationId xmlns:a16="http://schemas.microsoft.com/office/drawing/2014/main" id="{0BA71706-CD0B-4A75-8C98-C10D302374A5}"/>
            </a:ext>
          </a:extLst>
        </xdr:cNvPr>
        <xdr:cNvSpPr>
          <a:spLocks noChangeAspect="1" noChangeArrowheads="1"/>
        </xdr:cNvSpPr>
      </xdr:nvSpPr>
      <xdr:spPr bwMode="auto">
        <a:xfrm>
          <a:off x="3803650" y="1005459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327</xdr:row>
      <xdr:rowOff>0</xdr:rowOff>
    </xdr:from>
    <xdr:ext cx="304800" cy="304094"/>
    <xdr:sp macro="" textlink="">
      <xdr:nvSpPr>
        <xdr:cNvPr id="1345" name="AutoShape 12">
          <a:extLst>
            <a:ext uri="{FF2B5EF4-FFF2-40B4-BE49-F238E27FC236}">
              <a16:creationId xmlns:a16="http://schemas.microsoft.com/office/drawing/2014/main" id="{F75382C1-D701-4795-B363-B068DEB0B943}"/>
            </a:ext>
          </a:extLst>
        </xdr:cNvPr>
        <xdr:cNvSpPr>
          <a:spLocks noChangeAspect="1" noChangeArrowheads="1"/>
        </xdr:cNvSpPr>
      </xdr:nvSpPr>
      <xdr:spPr bwMode="auto">
        <a:xfrm>
          <a:off x="3803650" y="985202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328</xdr:row>
      <xdr:rowOff>0</xdr:rowOff>
    </xdr:from>
    <xdr:ext cx="304800" cy="304094"/>
    <xdr:sp macro="" textlink="">
      <xdr:nvSpPr>
        <xdr:cNvPr id="1346" name="AutoShape 12">
          <a:extLst>
            <a:ext uri="{FF2B5EF4-FFF2-40B4-BE49-F238E27FC236}">
              <a16:creationId xmlns:a16="http://schemas.microsoft.com/office/drawing/2014/main" id="{D247A144-5A24-41F7-8480-B3B2BBAF8D7F}"/>
            </a:ext>
          </a:extLst>
        </xdr:cNvPr>
        <xdr:cNvSpPr>
          <a:spLocks noChangeAspect="1" noChangeArrowheads="1"/>
        </xdr:cNvSpPr>
      </xdr:nvSpPr>
      <xdr:spPr bwMode="auto">
        <a:xfrm>
          <a:off x="3803650" y="987044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338</xdr:row>
      <xdr:rowOff>0</xdr:rowOff>
    </xdr:from>
    <xdr:ext cx="304800" cy="304094"/>
    <xdr:sp macro="" textlink="">
      <xdr:nvSpPr>
        <xdr:cNvPr id="1347" name="AutoShape 12">
          <a:extLst>
            <a:ext uri="{FF2B5EF4-FFF2-40B4-BE49-F238E27FC236}">
              <a16:creationId xmlns:a16="http://schemas.microsoft.com/office/drawing/2014/main" id="{F364E592-DFEA-4B92-B49A-B14E08E9A497}"/>
            </a:ext>
          </a:extLst>
        </xdr:cNvPr>
        <xdr:cNvSpPr>
          <a:spLocks noChangeAspect="1" noChangeArrowheads="1"/>
        </xdr:cNvSpPr>
      </xdr:nvSpPr>
      <xdr:spPr bwMode="auto">
        <a:xfrm>
          <a:off x="3803650" y="1005459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339</xdr:row>
      <xdr:rowOff>0</xdr:rowOff>
    </xdr:from>
    <xdr:ext cx="304800" cy="304094"/>
    <xdr:sp macro="" textlink="">
      <xdr:nvSpPr>
        <xdr:cNvPr id="1348" name="AutoShape 12">
          <a:extLst>
            <a:ext uri="{FF2B5EF4-FFF2-40B4-BE49-F238E27FC236}">
              <a16:creationId xmlns:a16="http://schemas.microsoft.com/office/drawing/2014/main" id="{044FB6F2-CFC8-48A5-AC12-E3DE6071D5AC}"/>
            </a:ext>
          </a:extLst>
        </xdr:cNvPr>
        <xdr:cNvSpPr>
          <a:spLocks noChangeAspect="1" noChangeArrowheads="1"/>
        </xdr:cNvSpPr>
      </xdr:nvSpPr>
      <xdr:spPr bwMode="auto">
        <a:xfrm>
          <a:off x="3803650" y="1007300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327</xdr:row>
      <xdr:rowOff>0</xdr:rowOff>
    </xdr:from>
    <xdr:ext cx="304800" cy="304094"/>
    <xdr:sp macro="" textlink="">
      <xdr:nvSpPr>
        <xdr:cNvPr id="1349" name="AutoShape 12">
          <a:extLst>
            <a:ext uri="{FF2B5EF4-FFF2-40B4-BE49-F238E27FC236}">
              <a16:creationId xmlns:a16="http://schemas.microsoft.com/office/drawing/2014/main" id="{783FF2CC-30F6-4903-A4C0-A235965B43D5}"/>
            </a:ext>
          </a:extLst>
        </xdr:cNvPr>
        <xdr:cNvSpPr>
          <a:spLocks noChangeAspect="1" noChangeArrowheads="1"/>
        </xdr:cNvSpPr>
      </xdr:nvSpPr>
      <xdr:spPr bwMode="auto">
        <a:xfrm>
          <a:off x="3803650" y="985202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328</xdr:row>
      <xdr:rowOff>0</xdr:rowOff>
    </xdr:from>
    <xdr:ext cx="304800" cy="304094"/>
    <xdr:sp macro="" textlink="">
      <xdr:nvSpPr>
        <xdr:cNvPr id="1350" name="AutoShape 12">
          <a:extLst>
            <a:ext uri="{FF2B5EF4-FFF2-40B4-BE49-F238E27FC236}">
              <a16:creationId xmlns:a16="http://schemas.microsoft.com/office/drawing/2014/main" id="{3802E618-B911-48A8-8595-203F51CB272C}"/>
            </a:ext>
          </a:extLst>
        </xdr:cNvPr>
        <xdr:cNvSpPr>
          <a:spLocks noChangeAspect="1" noChangeArrowheads="1"/>
        </xdr:cNvSpPr>
      </xdr:nvSpPr>
      <xdr:spPr bwMode="auto">
        <a:xfrm>
          <a:off x="3803650" y="987044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338</xdr:row>
      <xdr:rowOff>0</xdr:rowOff>
    </xdr:from>
    <xdr:ext cx="304800" cy="304094"/>
    <xdr:sp macro="" textlink="">
      <xdr:nvSpPr>
        <xdr:cNvPr id="1351" name="AutoShape 12">
          <a:extLst>
            <a:ext uri="{FF2B5EF4-FFF2-40B4-BE49-F238E27FC236}">
              <a16:creationId xmlns:a16="http://schemas.microsoft.com/office/drawing/2014/main" id="{C2368149-7422-4608-B102-14392B28705D}"/>
            </a:ext>
          </a:extLst>
        </xdr:cNvPr>
        <xdr:cNvSpPr>
          <a:spLocks noChangeAspect="1" noChangeArrowheads="1"/>
        </xdr:cNvSpPr>
      </xdr:nvSpPr>
      <xdr:spPr bwMode="auto">
        <a:xfrm>
          <a:off x="3803650" y="1005459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339</xdr:row>
      <xdr:rowOff>0</xdr:rowOff>
    </xdr:from>
    <xdr:ext cx="304800" cy="304094"/>
    <xdr:sp macro="" textlink="">
      <xdr:nvSpPr>
        <xdr:cNvPr id="1352" name="AutoShape 12">
          <a:extLst>
            <a:ext uri="{FF2B5EF4-FFF2-40B4-BE49-F238E27FC236}">
              <a16:creationId xmlns:a16="http://schemas.microsoft.com/office/drawing/2014/main" id="{292C881E-679F-49C8-A826-57E7282FDC70}"/>
            </a:ext>
          </a:extLst>
        </xdr:cNvPr>
        <xdr:cNvSpPr>
          <a:spLocks noChangeAspect="1" noChangeArrowheads="1"/>
        </xdr:cNvSpPr>
      </xdr:nvSpPr>
      <xdr:spPr bwMode="auto">
        <a:xfrm>
          <a:off x="3803650" y="1007300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328</xdr:row>
      <xdr:rowOff>0</xdr:rowOff>
    </xdr:from>
    <xdr:ext cx="304800" cy="304094"/>
    <xdr:sp macro="" textlink="">
      <xdr:nvSpPr>
        <xdr:cNvPr id="1353" name="AutoShape 12">
          <a:extLst>
            <a:ext uri="{FF2B5EF4-FFF2-40B4-BE49-F238E27FC236}">
              <a16:creationId xmlns:a16="http://schemas.microsoft.com/office/drawing/2014/main" id="{30B80986-D964-4E98-97A5-39BF7CA0DCD6}"/>
            </a:ext>
          </a:extLst>
        </xdr:cNvPr>
        <xdr:cNvSpPr>
          <a:spLocks noChangeAspect="1" noChangeArrowheads="1"/>
        </xdr:cNvSpPr>
      </xdr:nvSpPr>
      <xdr:spPr bwMode="auto">
        <a:xfrm>
          <a:off x="3803650" y="987044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329</xdr:row>
      <xdr:rowOff>0</xdr:rowOff>
    </xdr:from>
    <xdr:ext cx="304800" cy="304094"/>
    <xdr:sp macro="" textlink="">
      <xdr:nvSpPr>
        <xdr:cNvPr id="1354" name="AutoShape 12">
          <a:extLst>
            <a:ext uri="{FF2B5EF4-FFF2-40B4-BE49-F238E27FC236}">
              <a16:creationId xmlns:a16="http://schemas.microsoft.com/office/drawing/2014/main" id="{B6B565AC-20D3-42D2-8764-214A8070871F}"/>
            </a:ext>
          </a:extLst>
        </xdr:cNvPr>
        <xdr:cNvSpPr>
          <a:spLocks noChangeAspect="1" noChangeArrowheads="1"/>
        </xdr:cNvSpPr>
      </xdr:nvSpPr>
      <xdr:spPr bwMode="auto">
        <a:xfrm>
          <a:off x="3803650" y="988885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339</xdr:row>
      <xdr:rowOff>0</xdr:rowOff>
    </xdr:from>
    <xdr:ext cx="304800" cy="304094"/>
    <xdr:sp macro="" textlink="">
      <xdr:nvSpPr>
        <xdr:cNvPr id="1355" name="AutoShape 12">
          <a:extLst>
            <a:ext uri="{FF2B5EF4-FFF2-40B4-BE49-F238E27FC236}">
              <a16:creationId xmlns:a16="http://schemas.microsoft.com/office/drawing/2014/main" id="{ECD0A1E6-B019-4815-8390-B4A384A7A565}"/>
            </a:ext>
          </a:extLst>
        </xdr:cNvPr>
        <xdr:cNvSpPr>
          <a:spLocks noChangeAspect="1" noChangeArrowheads="1"/>
        </xdr:cNvSpPr>
      </xdr:nvSpPr>
      <xdr:spPr bwMode="auto">
        <a:xfrm>
          <a:off x="3803650" y="1007300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340</xdr:row>
      <xdr:rowOff>0</xdr:rowOff>
    </xdr:from>
    <xdr:ext cx="304800" cy="304094"/>
    <xdr:sp macro="" textlink="">
      <xdr:nvSpPr>
        <xdr:cNvPr id="1356" name="AutoShape 12">
          <a:extLst>
            <a:ext uri="{FF2B5EF4-FFF2-40B4-BE49-F238E27FC236}">
              <a16:creationId xmlns:a16="http://schemas.microsoft.com/office/drawing/2014/main" id="{83D04B4C-BCC1-4220-B68C-26C4492B8EBB}"/>
            </a:ext>
          </a:extLst>
        </xdr:cNvPr>
        <xdr:cNvSpPr>
          <a:spLocks noChangeAspect="1" noChangeArrowheads="1"/>
        </xdr:cNvSpPr>
      </xdr:nvSpPr>
      <xdr:spPr bwMode="auto">
        <a:xfrm>
          <a:off x="3803650" y="1009142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331</xdr:row>
      <xdr:rowOff>0</xdr:rowOff>
    </xdr:from>
    <xdr:ext cx="304800" cy="304094"/>
    <xdr:sp macro="" textlink="">
      <xdr:nvSpPr>
        <xdr:cNvPr id="1357" name="AutoShape 12">
          <a:extLst>
            <a:ext uri="{FF2B5EF4-FFF2-40B4-BE49-F238E27FC236}">
              <a16:creationId xmlns:a16="http://schemas.microsoft.com/office/drawing/2014/main" id="{685FFAA3-7881-4841-8E24-0B275739E91B}"/>
            </a:ext>
          </a:extLst>
        </xdr:cNvPr>
        <xdr:cNvSpPr>
          <a:spLocks noChangeAspect="1" noChangeArrowheads="1"/>
        </xdr:cNvSpPr>
      </xdr:nvSpPr>
      <xdr:spPr bwMode="auto">
        <a:xfrm>
          <a:off x="3803650" y="992568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332</xdr:row>
      <xdr:rowOff>0</xdr:rowOff>
    </xdr:from>
    <xdr:ext cx="304800" cy="304094"/>
    <xdr:sp macro="" textlink="">
      <xdr:nvSpPr>
        <xdr:cNvPr id="1358" name="AutoShape 12">
          <a:extLst>
            <a:ext uri="{FF2B5EF4-FFF2-40B4-BE49-F238E27FC236}">
              <a16:creationId xmlns:a16="http://schemas.microsoft.com/office/drawing/2014/main" id="{B918BB14-D901-4D06-A03F-7B8A6E25C6F8}"/>
            </a:ext>
          </a:extLst>
        </xdr:cNvPr>
        <xdr:cNvSpPr>
          <a:spLocks noChangeAspect="1" noChangeArrowheads="1"/>
        </xdr:cNvSpPr>
      </xdr:nvSpPr>
      <xdr:spPr bwMode="auto">
        <a:xfrm>
          <a:off x="3803650" y="994410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342</xdr:row>
      <xdr:rowOff>0</xdr:rowOff>
    </xdr:from>
    <xdr:ext cx="304800" cy="304094"/>
    <xdr:sp macro="" textlink="">
      <xdr:nvSpPr>
        <xdr:cNvPr id="1359" name="AutoShape 12">
          <a:extLst>
            <a:ext uri="{FF2B5EF4-FFF2-40B4-BE49-F238E27FC236}">
              <a16:creationId xmlns:a16="http://schemas.microsoft.com/office/drawing/2014/main" id="{19175E30-33DA-4621-8BB4-B6910A666910}"/>
            </a:ext>
          </a:extLst>
        </xdr:cNvPr>
        <xdr:cNvSpPr>
          <a:spLocks noChangeAspect="1" noChangeArrowheads="1"/>
        </xdr:cNvSpPr>
      </xdr:nvSpPr>
      <xdr:spPr bwMode="auto">
        <a:xfrm>
          <a:off x="3803650" y="1012825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343</xdr:row>
      <xdr:rowOff>0</xdr:rowOff>
    </xdr:from>
    <xdr:ext cx="304800" cy="304094"/>
    <xdr:sp macro="" textlink="">
      <xdr:nvSpPr>
        <xdr:cNvPr id="1360" name="AutoShape 12">
          <a:extLst>
            <a:ext uri="{FF2B5EF4-FFF2-40B4-BE49-F238E27FC236}">
              <a16:creationId xmlns:a16="http://schemas.microsoft.com/office/drawing/2014/main" id="{BB0CC6F7-65C9-4327-83CD-807AF952509B}"/>
            </a:ext>
          </a:extLst>
        </xdr:cNvPr>
        <xdr:cNvSpPr>
          <a:spLocks noChangeAspect="1" noChangeArrowheads="1"/>
        </xdr:cNvSpPr>
      </xdr:nvSpPr>
      <xdr:spPr bwMode="auto">
        <a:xfrm>
          <a:off x="3803650" y="1014666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332</xdr:row>
      <xdr:rowOff>0</xdr:rowOff>
    </xdr:from>
    <xdr:ext cx="304800" cy="304094"/>
    <xdr:sp macro="" textlink="">
      <xdr:nvSpPr>
        <xdr:cNvPr id="1361" name="AutoShape 12">
          <a:extLst>
            <a:ext uri="{FF2B5EF4-FFF2-40B4-BE49-F238E27FC236}">
              <a16:creationId xmlns:a16="http://schemas.microsoft.com/office/drawing/2014/main" id="{61C6ABE4-DFBA-4F43-9CC7-DE35FA4BFB4F}"/>
            </a:ext>
          </a:extLst>
        </xdr:cNvPr>
        <xdr:cNvSpPr>
          <a:spLocks noChangeAspect="1" noChangeArrowheads="1"/>
        </xdr:cNvSpPr>
      </xdr:nvSpPr>
      <xdr:spPr bwMode="auto">
        <a:xfrm>
          <a:off x="3803650" y="994410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333</xdr:row>
      <xdr:rowOff>0</xdr:rowOff>
    </xdr:from>
    <xdr:ext cx="304800" cy="304094"/>
    <xdr:sp macro="" textlink="">
      <xdr:nvSpPr>
        <xdr:cNvPr id="1362" name="AutoShape 12">
          <a:extLst>
            <a:ext uri="{FF2B5EF4-FFF2-40B4-BE49-F238E27FC236}">
              <a16:creationId xmlns:a16="http://schemas.microsoft.com/office/drawing/2014/main" id="{B1405F61-65D1-450C-8502-E23F449C5091}"/>
            </a:ext>
          </a:extLst>
        </xdr:cNvPr>
        <xdr:cNvSpPr>
          <a:spLocks noChangeAspect="1" noChangeArrowheads="1"/>
        </xdr:cNvSpPr>
      </xdr:nvSpPr>
      <xdr:spPr bwMode="auto">
        <a:xfrm>
          <a:off x="3803650" y="99625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343</xdr:row>
      <xdr:rowOff>0</xdr:rowOff>
    </xdr:from>
    <xdr:ext cx="304800" cy="304094"/>
    <xdr:sp macro="" textlink="">
      <xdr:nvSpPr>
        <xdr:cNvPr id="1363" name="AutoShape 12">
          <a:extLst>
            <a:ext uri="{FF2B5EF4-FFF2-40B4-BE49-F238E27FC236}">
              <a16:creationId xmlns:a16="http://schemas.microsoft.com/office/drawing/2014/main" id="{01F72CC0-E622-41A1-8A98-21B7388823FC}"/>
            </a:ext>
          </a:extLst>
        </xdr:cNvPr>
        <xdr:cNvSpPr>
          <a:spLocks noChangeAspect="1" noChangeArrowheads="1"/>
        </xdr:cNvSpPr>
      </xdr:nvSpPr>
      <xdr:spPr bwMode="auto">
        <a:xfrm>
          <a:off x="3803650" y="1014666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344</xdr:row>
      <xdr:rowOff>0</xdr:rowOff>
    </xdr:from>
    <xdr:ext cx="304800" cy="304094"/>
    <xdr:sp macro="" textlink="">
      <xdr:nvSpPr>
        <xdr:cNvPr id="1364" name="AutoShape 12">
          <a:extLst>
            <a:ext uri="{FF2B5EF4-FFF2-40B4-BE49-F238E27FC236}">
              <a16:creationId xmlns:a16="http://schemas.microsoft.com/office/drawing/2014/main" id="{3E372FC7-24E3-4089-9B77-994B06A35F3C}"/>
            </a:ext>
          </a:extLst>
        </xdr:cNvPr>
        <xdr:cNvSpPr>
          <a:spLocks noChangeAspect="1" noChangeArrowheads="1"/>
        </xdr:cNvSpPr>
      </xdr:nvSpPr>
      <xdr:spPr bwMode="auto">
        <a:xfrm>
          <a:off x="3803650" y="1016508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332</xdr:row>
      <xdr:rowOff>0</xdr:rowOff>
    </xdr:from>
    <xdr:ext cx="304800" cy="304094"/>
    <xdr:sp macro="" textlink="">
      <xdr:nvSpPr>
        <xdr:cNvPr id="1365" name="AutoShape 12">
          <a:extLst>
            <a:ext uri="{FF2B5EF4-FFF2-40B4-BE49-F238E27FC236}">
              <a16:creationId xmlns:a16="http://schemas.microsoft.com/office/drawing/2014/main" id="{1ACE9BC4-56BD-40B5-BD95-73B147F47B9D}"/>
            </a:ext>
          </a:extLst>
        </xdr:cNvPr>
        <xdr:cNvSpPr>
          <a:spLocks noChangeAspect="1" noChangeArrowheads="1"/>
        </xdr:cNvSpPr>
      </xdr:nvSpPr>
      <xdr:spPr bwMode="auto">
        <a:xfrm>
          <a:off x="3803650" y="994410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333</xdr:row>
      <xdr:rowOff>0</xdr:rowOff>
    </xdr:from>
    <xdr:ext cx="304800" cy="304094"/>
    <xdr:sp macro="" textlink="">
      <xdr:nvSpPr>
        <xdr:cNvPr id="1366" name="AutoShape 12">
          <a:extLst>
            <a:ext uri="{FF2B5EF4-FFF2-40B4-BE49-F238E27FC236}">
              <a16:creationId xmlns:a16="http://schemas.microsoft.com/office/drawing/2014/main" id="{8107DEE5-AB6D-44C1-B236-332F2AA48428}"/>
            </a:ext>
          </a:extLst>
        </xdr:cNvPr>
        <xdr:cNvSpPr>
          <a:spLocks noChangeAspect="1" noChangeArrowheads="1"/>
        </xdr:cNvSpPr>
      </xdr:nvSpPr>
      <xdr:spPr bwMode="auto">
        <a:xfrm>
          <a:off x="3803650" y="99625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343</xdr:row>
      <xdr:rowOff>0</xdr:rowOff>
    </xdr:from>
    <xdr:ext cx="304800" cy="304094"/>
    <xdr:sp macro="" textlink="">
      <xdr:nvSpPr>
        <xdr:cNvPr id="1367" name="AutoShape 12">
          <a:extLst>
            <a:ext uri="{FF2B5EF4-FFF2-40B4-BE49-F238E27FC236}">
              <a16:creationId xmlns:a16="http://schemas.microsoft.com/office/drawing/2014/main" id="{8C71F1D1-2F52-4AAC-9A9F-9E99DDDE99BF}"/>
            </a:ext>
          </a:extLst>
        </xdr:cNvPr>
        <xdr:cNvSpPr>
          <a:spLocks noChangeAspect="1" noChangeArrowheads="1"/>
        </xdr:cNvSpPr>
      </xdr:nvSpPr>
      <xdr:spPr bwMode="auto">
        <a:xfrm>
          <a:off x="3803650" y="1014666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344</xdr:row>
      <xdr:rowOff>0</xdr:rowOff>
    </xdr:from>
    <xdr:ext cx="304800" cy="304094"/>
    <xdr:sp macro="" textlink="">
      <xdr:nvSpPr>
        <xdr:cNvPr id="1368" name="AutoShape 12">
          <a:extLst>
            <a:ext uri="{FF2B5EF4-FFF2-40B4-BE49-F238E27FC236}">
              <a16:creationId xmlns:a16="http://schemas.microsoft.com/office/drawing/2014/main" id="{7AA58B10-C778-4775-90B7-6D844346D8D6}"/>
            </a:ext>
          </a:extLst>
        </xdr:cNvPr>
        <xdr:cNvSpPr>
          <a:spLocks noChangeAspect="1" noChangeArrowheads="1"/>
        </xdr:cNvSpPr>
      </xdr:nvSpPr>
      <xdr:spPr bwMode="auto">
        <a:xfrm>
          <a:off x="3803650" y="1016508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333</xdr:row>
      <xdr:rowOff>0</xdr:rowOff>
    </xdr:from>
    <xdr:ext cx="304800" cy="304094"/>
    <xdr:sp macro="" textlink="">
      <xdr:nvSpPr>
        <xdr:cNvPr id="1369" name="AutoShape 12">
          <a:extLst>
            <a:ext uri="{FF2B5EF4-FFF2-40B4-BE49-F238E27FC236}">
              <a16:creationId xmlns:a16="http://schemas.microsoft.com/office/drawing/2014/main" id="{BEF38FF9-4AD6-46BF-B53E-18F13BFBC696}"/>
            </a:ext>
          </a:extLst>
        </xdr:cNvPr>
        <xdr:cNvSpPr>
          <a:spLocks noChangeAspect="1" noChangeArrowheads="1"/>
        </xdr:cNvSpPr>
      </xdr:nvSpPr>
      <xdr:spPr bwMode="auto">
        <a:xfrm>
          <a:off x="3803650" y="99625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334</xdr:row>
      <xdr:rowOff>0</xdr:rowOff>
    </xdr:from>
    <xdr:ext cx="304800" cy="304094"/>
    <xdr:sp macro="" textlink="">
      <xdr:nvSpPr>
        <xdr:cNvPr id="1370" name="AutoShape 12">
          <a:extLst>
            <a:ext uri="{FF2B5EF4-FFF2-40B4-BE49-F238E27FC236}">
              <a16:creationId xmlns:a16="http://schemas.microsoft.com/office/drawing/2014/main" id="{C57F97A6-6692-4A2B-8ECA-0A26784ACB5B}"/>
            </a:ext>
          </a:extLst>
        </xdr:cNvPr>
        <xdr:cNvSpPr>
          <a:spLocks noChangeAspect="1" noChangeArrowheads="1"/>
        </xdr:cNvSpPr>
      </xdr:nvSpPr>
      <xdr:spPr bwMode="auto">
        <a:xfrm>
          <a:off x="3803650" y="998093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344</xdr:row>
      <xdr:rowOff>0</xdr:rowOff>
    </xdr:from>
    <xdr:ext cx="304800" cy="304094"/>
    <xdr:sp macro="" textlink="">
      <xdr:nvSpPr>
        <xdr:cNvPr id="1371" name="AutoShape 12">
          <a:extLst>
            <a:ext uri="{FF2B5EF4-FFF2-40B4-BE49-F238E27FC236}">
              <a16:creationId xmlns:a16="http://schemas.microsoft.com/office/drawing/2014/main" id="{1D0CDDD5-D6B7-4888-9305-EDCF41BCFBA7}"/>
            </a:ext>
          </a:extLst>
        </xdr:cNvPr>
        <xdr:cNvSpPr>
          <a:spLocks noChangeAspect="1" noChangeArrowheads="1"/>
        </xdr:cNvSpPr>
      </xdr:nvSpPr>
      <xdr:spPr bwMode="auto">
        <a:xfrm>
          <a:off x="3803650" y="1016508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345</xdr:row>
      <xdr:rowOff>0</xdr:rowOff>
    </xdr:from>
    <xdr:ext cx="304800" cy="304094"/>
    <xdr:sp macro="" textlink="">
      <xdr:nvSpPr>
        <xdr:cNvPr id="1372" name="AutoShape 12">
          <a:extLst>
            <a:ext uri="{FF2B5EF4-FFF2-40B4-BE49-F238E27FC236}">
              <a16:creationId xmlns:a16="http://schemas.microsoft.com/office/drawing/2014/main" id="{8FB2FD60-8C4B-4CBC-84D9-C2994DF86962}"/>
            </a:ext>
          </a:extLst>
        </xdr:cNvPr>
        <xdr:cNvSpPr>
          <a:spLocks noChangeAspect="1" noChangeArrowheads="1"/>
        </xdr:cNvSpPr>
      </xdr:nvSpPr>
      <xdr:spPr bwMode="auto">
        <a:xfrm>
          <a:off x="3803650" y="1018349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299</xdr:row>
      <xdr:rowOff>0</xdr:rowOff>
    </xdr:from>
    <xdr:ext cx="304800" cy="304094"/>
    <xdr:sp macro="" textlink="">
      <xdr:nvSpPr>
        <xdr:cNvPr id="1373" name="AutoShape 12">
          <a:extLst>
            <a:ext uri="{FF2B5EF4-FFF2-40B4-BE49-F238E27FC236}">
              <a16:creationId xmlns:a16="http://schemas.microsoft.com/office/drawing/2014/main" id="{44AC9ABD-2F22-4EA8-909D-EC28A2AB93C5}"/>
            </a:ext>
          </a:extLst>
        </xdr:cNvPr>
        <xdr:cNvSpPr>
          <a:spLocks noChangeAspect="1" noChangeArrowheads="1"/>
        </xdr:cNvSpPr>
      </xdr:nvSpPr>
      <xdr:spPr bwMode="auto">
        <a:xfrm>
          <a:off x="3803650" y="933640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300</xdr:row>
      <xdr:rowOff>0</xdr:rowOff>
    </xdr:from>
    <xdr:ext cx="304800" cy="304094"/>
    <xdr:sp macro="" textlink="">
      <xdr:nvSpPr>
        <xdr:cNvPr id="1374" name="AutoShape 12">
          <a:extLst>
            <a:ext uri="{FF2B5EF4-FFF2-40B4-BE49-F238E27FC236}">
              <a16:creationId xmlns:a16="http://schemas.microsoft.com/office/drawing/2014/main" id="{EF8726FA-37F8-4B0E-9D6C-54C663001C9B}"/>
            </a:ext>
          </a:extLst>
        </xdr:cNvPr>
        <xdr:cNvSpPr>
          <a:spLocks noChangeAspect="1" noChangeArrowheads="1"/>
        </xdr:cNvSpPr>
      </xdr:nvSpPr>
      <xdr:spPr bwMode="auto">
        <a:xfrm>
          <a:off x="3803650" y="935482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310</xdr:row>
      <xdr:rowOff>0</xdr:rowOff>
    </xdr:from>
    <xdr:ext cx="304800" cy="304094"/>
    <xdr:sp macro="" textlink="">
      <xdr:nvSpPr>
        <xdr:cNvPr id="1375" name="AutoShape 12">
          <a:extLst>
            <a:ext uri="{FF2B5EF4-FFF2-40B4-BE49-F238E27FC236}">
              <a16:creationId xmlns:a16="http://schemas.microsoft.com/office/drawing/2014/main" id="{3E1F1AA3-C5B7-444D-9B90-68B82E61E8E6}"/>
            </a:ext>
          </a:extLst>
        </xdr:cNvPr>
        <xdr:cNvSpPr>
          <a:spLocks noChangeAspect="1" noChangeArrowheads="1"/>
        </xdr:cNvSpPr>
      </xdr:nvSpPr>
      <xdr:spPr bwMode="auto">
        <a:xfrm>
          <a:off x="3803650" y="953897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311</xdr:row>
      <xdr:rowOff>0</xdr:rowOff>
    </xdr:from>
    <xdr:ext cx="304800" cy="304094"/>
    <xdr:sp macro="" textlink="">
      <xdr:nvSpPr>
        <xdr:cNvPr id="1376" name="AutoShape 12">
          <a:extLst>
            <a:ext uri="{FF2B5EF4-FFF2-40B4-BE49-F238E27FC236}">
              <a16:creationId xmlns:a16="http://schemas.microsoft.com/office/drawing/2014/main" id="{252C591C-DAC9-4FD8-9EC0-EDDB97F97B8E}"/>
            </a:ext>
          </a:extLst>
        </xdr:cNvPr>
        <xdr:cNvSpPr>
          <a:spLocks noChangeAspect="1" noChangeArrowheads="1"/>
        </xdr:cNvSpPr>
      </xdr:nvSpPr>
      <xdr:spPr bwMode="auto">
        <a:xfrm>
          <a:off x="3803650" y="955738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300</xdr:row>
      <xdr:rowOff>0</xdr:rowOff>
    </xdr:from>
    <xdr:ext cx="304800" cy="304094"/>
    <xdr:sp macro="" textlink="">
      <xdr:nvSpPr>
        <xdr:cNvPr id="1377" name="AutoShape 12">
          <a:extLst>
            <a:ext uri="{FF2B5EF4-FFF2-40B4-BE49-F238E27FC236}">
              <a16:creationId xmlns:a16="http://schemas.microsoft.com/office/drawing/2014/main" id="{5663D3D0-0AE6-4000-8927-ECFA5A924A97}"/>
            </a:ext>
          </a:extLst>
        </xdr:cNvPr>
        <xdr:cNvSpPr>
          <a:spLocks noChangeAspect="1" noChangeArrowheads="1"/>
        </xdr:cNvSpPr>
      </xdr:nvSpPr>
      <xdr:spPr bwMode="auto">
        <a:xfrm>
          <a:off x="3803650" y="935482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301</xdr:row>
      <xdr:rowOff>0</xdr:rowOff>
    </xdr:from>
    <xdr:ext cx="304800" cy="304094"/>
    <xdr:sp macro="" textlink="">
      <xdr:nvSpPr>
        <xdr:cNvPr id="1378" name="AutoShape 12">
          <a:extLst>
            <a:ext uri="{FF2B5EF4-FFF2-40B4-BE49-F238E27FC236}">
              <a16:creationId xmlns:a16="http://schemas.microsoft.com/office/drawing/2014/main" id="{2B23856F-D697-4B82-B994-46ED9DEE84D6}"/>
            </a:ext>
          </a:extLst>
        </xdr:cNvPr>
        <xdr:cNvSpPr>
          <a:spLocks noChangeAspect="1" noChangeArrowheads="1"/>
        </xdr:cNvSpPr>
      </xdr:nvSpPr>
      <xdr:spPr bwMode="auto">
        <a:xfrm>
          <a:off x="3803650" y="937323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311</xdr:row>
      <xdr:rowOff>0</xdr:rowOff>
    </xdr:from>
    <xdr:ext cx="304800" cy="304094"/>
    <xdr:sp macro="" textlink="">
      <xdr:nvSpPr>
        <xdr:cNvPr id="1379" name="AutoShape 12">
          <a:extLst>
            <a:ext uri="{FF2B5EF4-FFF2-40B4-BE49-F238E27FC236}">
              <a16:creationId xmlns:a16="http://schemas.microsoft.com/office/drawing/2014/main" id="{F7DC86E0-994F-4AC8-98CC-0C1E1525DB04}"/>
            </a:ext>
          </a:extLst>
        </xdr:cNvPr>
        <xdr:cNvSpPr>
          <a:spLocks noChangeAspect="1" noChangeArrowheads="1"/>
        </xdr:cNvSpPr>
      </xdr:nvSpPr>
      <xdr:spPr bwMode="auto">
        <a:xfrm>
          <a:off x="3803650" y="955738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312</xdr:row>
      <xdr:rowOff>0</xdr:rowOff>
    </xdr:from>
    <xdr:ext cx="304800" cy="304094"/>
    <xdr:sp macro="" textlink="">
      <xdr:nvSpPr>
        <xdr:cNvPr id="1380" name="AutoShape 12">
          <a:extLst>
            <a:ext uri="{FF2B5EF4-FFF2-40B4-BE49-F238E27FC236}">
              <a16:creationId xmlns:a16="http://schemas.microsoft.com/office/drawing/2014/main" id="{06B96263-CD82-45C8-9CF3-A0A1BF4D8A10}"/>
            </a:ext>
          </a:extLst>
        </xdr:cNvPr>
        <xdr:cNvSpPr>
          <a:spLocks noChangeAspect="1" noChangeArrowheads="1"/>
        </xdr:cNvSpPr>
      </xdr:nvSpPr>
      <xdr:spPr bwMode="auto">
        <a:xfrm>
          <a:off x="3803650" y="957580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300</xdr:row>
      <xdr:rowOff>0</xdr:rowOff>
    </xdr:from>
    <xdr:ext cx="304800" cy="304094"/>
    <xdr:sp macro="" textlink="">
      <xdr:nvSpPr>
        <xdr:cNvPr id="1381" name="AutoShape 12">
          <a:extLst>
            <a:ext uri="{FF2B5EF4-FFF2-40B4-BE49-F238E27FC236}">
              <a16:creationId xmlns:a16="http://schemas.microsoft.com/office/drawing/2014/main" id="{07AB6398-ABCF-40FE-A928-7A50DE537FE4}"/>
            </a:ext>
          </a:extLst>
        </xdr:cNvPr>
        <xdr:cNvSpPr>
          <a:spLocks noChangeAspect="1" noChangeArrowheads="1"/>
        </xdr:cNvSpPr>
      </xdr:nvSpPr>
      <xdr:spPr bwMode="auto">
        <a:xfrm>
          <a:off x="3803650" y="935482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301</xdr:row>
      <xdr:rowOff>0</xdr:rowOff>
    </xdr:from>
    <xdr:ext cx="304800" cy="304094"/>
    <xdr:sp macro="" textlink="">
      <xdr:nvSpPr>
        <xdr:cNvPr id="1382" name="AutoShape 12">
          <a:extLst>
            <a:ext uri="{FF2B5EF4-FFF2-40B4-BE49-F238E27FC236}">
              <a16:creationId xmlns:a16="http://schemas.microsoft.com/office/drawing/2014/main" id="{A1E4E84B-893B-4522-A2B4-886FA4CE647D}"/>
            </a:ext>
          </a:extLst>
        </xdr:cNvPr>
        <xdr:cNvSpPr>
          <a:spLocks noChangeAspect="1" noChangeArrowheads="1"/>
        </xdr:cNvSpPr>
      </xdr:nvSpPr>
      <xdr:spPr bwMode="auto">
        <a:xfrm>
          <a:off x="3803650" y="937323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311</xdr:row>
      <xdr:rowOff>0</xdr:rowOff>
    </xdr:from>
    <xdr:ext cx="304800" cy="304094"/>
    <xdr:sp macro="" textlink="">
      <xdr:nvSpPr>
        <xdr:cNvPr id="1383" name="AutoShape 12">
          <a:extLst>
            <a:ext uri="{FF2B5EF4-FFF2-40B4-BE49-F238E27FC236}">
              <a16:creationId xmlns:a16="http://schemas.microsoft.com/office/drawing/2014/main" id="{44568E68-287F-4955-8DEC-7B65CA665D8B}"/>
            </a:ext>
          </a:extLst>
        </xdr:cNvPr>
        <xdr:cNvSpPr>
          <a:spLocks noChangeAspect="1" noChangeArrowheads="1"/>
        </xdr:cNvSpPr>
      </xdr:nvSpPr>
      <xdr:spPr bwMode="auto">
        <a:xfrm>
          <a:off x="3803650" y="955738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312</xdr:row>
      <xdr:rowOff>0</xdr:rowOff>
    </xdr:from>
    <xdr:ext cx="304800" cy="304094"/>
    <xdr:sp macro="" textlink="">
      <xdr:nvSpPr>
        <xdr:cNvPr id="1384" name="AutoShape 12">
          <a:extLst>
            <a:ext uri="{FF2B5EF4-FFF2-40B4-BE49-F238E27FC236}">
              <a16:creationId xmlns:a16="http://schemas.microsoft.com/office/drawing/2014/main" id="{084B2595-D0CA-41D7-9B8C-EC55436019E7}"/>
            </a:ext>
          </a:extLst>
        </xdr:cNvPr>
        <xdr:cNvSpPr>
          <a:spLocks noChangeAspect="1" noChangeArrowheads="1"/>
        </xdr:cNvSpPr>
      </xdr:nvSpPr>
      <xdr:spPr bwMode="auto">
        <a:xfrm>
          <a:off x="3803650" y="957580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301</xdr:row>
      <xdr:rowOff>0</xdr:rowOff>
    </xdr:from>
    <xdr:ext cx="304800" cy="304094"/>
    <xdr:sp macro="" textlink="">
      <xdr:nvSpPr>
        <xdr:cNvPr id="1385" name="AutoShape 12">
          <a:extLst>
            <a:ext uri="{FF2B5EF4-FFF2-40B4-BE49-F238E27FC236}">
              <a16:creationId xmlns:a16="http://schemas.microsoft.com/office/drawing/2014/main" id="{D5C8967D-3A6A-4621-897E-4120214C31B1}"/>
            </a:ext>
          </a:extLst>
        </xdr:cNvPr>
        <xdr:cNvSpPr>
          <a:spLocks noChangeAspect="1" noChangeArrowheads="1"/>
        </xdr:cNvSpPr>
      </xdr:nvSpPr>
      <xdr:spPr bwMode="auto">
        <a:xfrm>
          <a:off x="3803650" y="937323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302</xdr:row>
      <xdr:rowOff>0</xdr:rowOff>
    </xdr:from>
    <xdr:ext cx="304800" cy="304094"/>
    <xdr:sp macro="" textlink="">
      <xdr:nvSpPr>
        <xdr:cNvPr id="1386" name="AutoShape 12">
          <a:extLst>
            <a:ext uri="{FF2B5EF4-FFF2-40B4-BE49-F238E27FC236}">
              <a16:creationId xmlns:a16="http://schemas.microsoft.com/office/drawing/2014/main" id="{8F02E10C-9064-49C4-AE48-FB78597717AC}"/>
            </a:ext>
          </a:extLst>
        </xdr:cNvPr>
        <xdr:cNvSpPr>
          <a:spLocks noChangeAspect="1" noChangeArrowheads="1"/>
        </xdr:cNvSpPr>
      </xdr:nvSpPr>
      <xdr:spPr bwMode="auto">
        <a:xfrm>
          <a:off x="3803650" y="939165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312</xdr:row>
      <xdr:rowOff>0</xdr:rowOff>
    </xdr:from>
    <xdr:ext cx="304800" cy="304094"/>
    <xdr:sp macro="" textlink="">
      <xdr:nvSpPr>
        <xdr:cNvPr id="1387" name="AutoShape 12">
          <a:extLst>
            <a:ext uri="{FF2B5EF4-FFF2-40B4-BE49-F238E27FC236}">
              <a16:creationId xmlns:a16="http://schemas.microsoft.com/office/drawing/2014/main" id="{061717CF-B19E-4C09-A684-118257A8CD63}"/>
            </a:ext>
          </a:extLst>
        </xdr:cNvPr>
        <xdr:cNvSpPr>
          <a:spLocks noChangeAspect="1" noChangeArrowheads="1"/>
        </xdr:cNvSpPr>
      </xdr:nvSpPr>
      <xdr:spPr bwMode="auto">
        <a:xfrm>
          <a:off x="3803650" y="957580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313</xdr:row>
      <xdr:rowOff>0</xdr:rowOff>
    </xdr:from>
    <xdr:ext cx="304800" cy="304094"/>
    <xdr:sp macro="" textlink="">
      <xdr:nvSpPr>
        <xdr:cNvPr id="1388" name="AutoShape 12">
          <a:extLst>
            <a:ext uri="{FF2B5EF4-FFF2-40B4-BE49-F238E27FC236}">
              <a16:creationId xmlns:a16="http://schemas.microsoft.com/office/drawing/2014/main" id="{DB76C0F9-6E39-4C8D-A008-875CCF1138D5}"/>
            </a:ext>
          </a:extLst>
        </xdr:cNvPr>
        <xdr:cNvSpPr>
          <a:spLocks noChangeAspect="1" noChangeArrowheads="1"/>
        </xdr:cNvSpPr>
      </xdr:nvSpPr>
      <xdr:spPr bwMode="auto">
        <a:xfrm>
          <a:off x="3803650" y="95942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343</xdr:row>
      <xdr:rowOff>0</xdr:rowOff>
    </xdr:from>
    <xdr:ext cx="304800" cy="304094"/>
    <xdr:sp macro="" textlink="">
      <xdr:nvSpPr>
        <xdr:cNvPr id="1389" name="AutoShape 12">
          <a:extLst>
            <a:ext uri="{FF2B5EF4-FFF2-40B4-BE49-F238E27FC236}">
              <a16:creationId xmlns:a16="http://schemas.microsoft.com/office/drawing/2014/main" id="{CD382BAF-FEF5-45E6-9A05-5F59B076415A}"/>
            </a:ext>
          </a:extLst>
        </xdr:cNvPr>
        <xdr:cNvSpPr>
          <a:spLocks noChangeAspect="1" noChangeArrowheads="1"/>
        </xdr:cNvSpPr>
      </xdr:nvSpPr>
      <xdr:spPr bwMode="auto">
        <a:xfrm>
          <a:off x="3803650" y="1014666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344</xdr:row>
      <xdr:rowOff>0</xdr:rowOff>
    </xdr:from>
    <xdr:ext cx="304800" cy="304094"/>
    <xdr:sp macro="" textlink="">
      <xdr:nvSpPr>
        <xdr:cNvPr id="1390" name="AutoShape 12">
          <a:extLst>
            <a:ext uri="{FF2B5EF4-FFF2-40B4-BE49-F238E27FC236}">
              <a16:creationId xmlns:a16="http://schemas.microsoft.com/office/drawing/2014/main" id="{5D1293B6-F398-47DA-AA80-679982C08D70}"/>
            </a:ext>
          </a:extLst>
        </xdr:cNvPr>
        <xdr:cNvSpPr>
          <a:spLocks noChangeAspect="1" noChangeArrowheads="1"/>
        </xdr:cNvSpPr>
      </xdr:nvSpPr>
      <xdr:spPr bwMode="auto">
        <a:xfrm>
          <a:off x="3803650" y="1016508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354</xdr:row>
      <xdr:rowOff>0</xdr:rowOff>
    </xdr:from>
    <xdr:ext cx="304800" cy="304094"/>
    <xdr:sp macro="" textlink="">
      <xdr:nvSpPr>
        <xdr:cNvPr id="1391" name="AutoShape 12">
          <a:extLst>
            <a:ext uri="{FF2B5EF4-FFF2-40B4-BE49-F238E27FC236}">
              <a16:creationId xmlns:a16="http://schemas.microsoft.com/office/drawing/2014/main" id="{45DE2B78-46E4-4BEB-ACA8-909D8C604C13}"/>
            </a:ext>
          </a:extLst>
        </xdr:cNvPr>
        <xdr:cNvSpPr>
          <a:spLocks noChangeAspect="1" noChangeArrowheads="1"/>
        </xdr:cNvSpPr>
      </xdr:nvSpPr>
      <xdr:spPr bwMode="auto">
        <a:xfrm>
          <a:off x="3803650" y="1034923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355</xdr:row>
      <xdr:rowOff>0</xdr:rowOff>
    </xdr:from>
    <xdr:ext cx="304800" cy="304094"/>
    <xdr:sp macro="" textlink="">
      <xdr:nvSpPr>
        <xdr:cNvPr id="1392" name="AutoShape 12">
          <a:extLst>
            <a:ext uri="{FF2B5EF4-FFF2-40B4-BE49-F238E27FC236}">
              <a16:creationId xmlns:a16="http://schemas.microsoft.com/office/drawing/2014/main" id="{FFEF7BA0-BB32-4CD0-8D4D-6038916BDA32}"/>
            </a:ext>
          </a:extLst>
        </xdr:cNvPr>
        <xdr:cNvSpPr>
          <a:spLocks noChangeAspect="1" noChangeArrowheads="1"/>
        </xdr:cNvSpPr>
      </xdr:nvSpPr>
      <xdr:spPr bwMode="auto">
        <a:xfrm>
          <a:off x="3803650" y="1036764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344</xdr:row>
      <xdr:rowOff>0</xdr:rowOff>
    </xdr:from>
    <xdr:ext cx="304800" cy="304094"/>
    <xdr:sp macro="" textlink="">
      <xdr:nvSpPr>
        <xdr:cNvPr id="1393" name="AutoShape 12">
          <a:extLst>
            <a:ext uri="{FF2B5EF4-FFF2-40B4-BE49-F238E27FC236}">
              <a16:creationId xmlns:a16="http://schemas.microsoft.com/office/drawing/2014/main" id="{A2CD218C-D50B-49B6-A758-531268DEC5CD}"/>
            </a:ext>
          </a:extLst>
        </xdr:cNvPr>
        <xdr:cNvSpPr>
          <a:spLocks noChangeAspect="1" noChangeArrowheads="1"/>
        </xdr:cNvSpPr>
      </xdr:nvSpPr>
      <xdr:spPr bwMode="auto">
        <a:xfrm>
          <a:off x="3803650" y="1016508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345</xdr:row>
      <xdr:rowOff>0</xdr:rowOff>
    </xdr:from>
    <xdr:ext cx="304800" cy="304094"/>
    <xdr:sp macro="" textlink="">
      <xdr:nvSpPr>
        <xdr:cNvPr id="1394" name="AutoShape 12">
          <a:extLst>
            <a:ext uri="{FF2B5EF4-FFF2-40B4-BE49-F238E27FC236}">
              <a16:creationId xmlns:a16="http://schemas.microsoft.com/office/drawing/2014/main" id="{536442DB-1798-421F-BE76-56DA175AE781}"/>
            </a:ext>
          </a:extLst>
        </xdr:cNvPr>
        <xdr:cNvSpPr>
          <a:spLocks noChangeAspect="1" noChangeArrowheads="1"/>
        </xdr:cNvSpPr>
      </xdr:nvSpPr>
      <xdr:spPr bwMode="auto">
        <a:xfrm>
          <a:off x="3803650" y="1018349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355</xdr:row>
      <xdr:rowOff>0</xdr:rowOff>
    </xdr:from>
    <xdr:ext cx="304800" cy="304094"/>
    <xdr:sp macro="" textlink="">
      <xdr:nvSpPr>
        <xdr:cNvPr id="1395" name="AutoShape 12">
          <a:extLst>
            <a:ext uri="{FF2B5EF4-FFF2-40B4-BE49-F238E27FC236}">
              <a16:creationId xmlns:a16="http://schemas.microsoft.com/office/drawing/2014/main" id="{CAD37AFE-8367-41AC-860E-DAA906AA1E53}"/>
            </a:ext>
          </a:extLst>
        </xdr:cNvPr>
        <xdr:cNvSpPr>
          <a:spLocks noChangeAspect="1" noChangeArrowheads="1"/>
        </xdr:cNvSpPr>
      </xdr:nvSpPr>
      <xdr:spPr bwMode="auto">
        <a:xfrm>
          <a:off x="3803650" y="1036764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356</xdr:row>
      <xdr:rowOff>0</xdr:rowOff>
    </xdr:from>
    <xdr:ext cx="304800" cy="304094"/>
    <xdr:sp macro="" textlink="">
      <xdr:nvSpPr>
        <xdr:cNvPr id="1396" name="AutoShape 12">
          <a:extLst>
            <a:ext uri="{FF2B5EF4-FFF2-40B4-BE49-F238E27FC236}">
              <a16:creationId xmlns:a16="http://schemas.microsoft.com/office/drawing/2014/main" id="{9151F20B-17CE-4232-9DF0-9DD18305F7E0}"/>
            </a:ext>
          </a:extLst>
        </xdr:cNvPr>
        <xdr:cNvSpPr>
          <a:spLocks noChangeAspect="1" noChangeArrowheads="1"/>
        </xdr:cNvSpPr>
      </xdr:nvSpPr>
      <xdr:spPr bwMode="auto">
        <a:xfrm>
          <a:off x="3803650" y="1038606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344</xdr:row>
      <xdr:rowOff>0</xdr:rowOff>
    </xdr:from>
    <xdr:ext cx="304800" cy="304094"/>
    <xdr:sp macro="" textlink="">
      <xdr:nvSpPr>
        <xdr:cNvPr id="1397" name="AutoShape 12">
          <a:extLst>
            <a:ext uri="{FF2B5EF4-FFF2-40B4-BE49-F238E27FC236}">
              <a16:creationId xmlns:a16="http://schemas.microsoft.com/office/drawing/2014/main" id="{C97DE8FD-6351-482C-A192-7AE7B28B966D}"/>
            </a:ext>
          </a:extLst>
        </xdr:cNvPr>
        <xdr:cNvSpPr>
          <a:spLocks noChangeAspect="1" noChangeArrowheads="1"/>
        </xdr:cNvSpPr>
      </xdr:nvSpPr>
      <xdr:spPr bwMode="auto">
        <a:xfrm>
          <a:off x="3803650" y="1016508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345</xdr:row>
      <xdr:rowOff>0</xdr:rowOff>
    </xdr:from>
    <xdr:ext cx="304800" cy="304094"/>
    <xdr:sp macro="" textlink="">
      <xdr:nvSpPr>
        <xdr:cNvPr id="1398" name="AutoShape 12">
          <a:extLst>
            <a:ext uri="{FF2B5EF4-FFF2-40B4-BE49-F238E27FC236}">
              <a16:creationId xmlns:a16="http://schemas.microsoft.com/office/drawing/2014/main" id="{6DE6EB02-FF60-4D89-9794-5ED482D749E7}"/>
            </a:ext>
          </a:extLst>
        </xdr:cNvPr>
        <xdr:cNvSpPr>
          <a:spLocks noChangeAspect="1" noChangeArrowheads="1"/>
        </xdr:cNvSpPr>
      </xdr:nvSpPr>
      <xdr:spPr bwMode="auto">
        <a:xfrm>
          <a:off x="3803650" y="1018349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355</xdr:row>
      <xdr:rowOff>0</xdr:rowOff>
    </xdr:from>
    <xdr:ext cx="304800" cy="304094"/>
    <xdr:sp macro="" textlink="">
      <xdr:nvSpPr>
        <xdr:cNvPr id="1399" name="AutoShape 12">
          <a:extLst>
            <a:ext uri="{FF2B5EF4-FFF2-40B4-BE49-F238E27FC236}">
              <a16:creationId xmlns:a16="http://schemas.microsoft.com/office/drawing/2014/main" id="{AF4E27A6-D9D3-46C3-AB28-45FC320F1485}"/>
            </a:ext>
          </a:extLst>
        </xdr:cNvPr>
        <xdr:cNvSpPr>
          <a:spLocks noChangeAspect="1" noChangeArrowheads="1"/>
        </xdr:cNvSpPr>
      </xdr:nvSpPr>
      <xdr:spPr bwMode="auto">
        <a:xfrm>
          <a:off x="3803650" y="1036764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356</xdr:row>
      <xdr:rowOff>0</xdr:rowOff>
    </xdr:from>
    <xdr:ext cx="304800" cy="304094"/>
    <xdr:sp macro="" textlink="">
      <xdr:nvSpPr>
        <xdr:cNvPr id="1400" name="AutoShape 12">
          <a:extLst>
            <a:ext uri="{FF2B5EF4-FFF2-40B4-BE49-F238E27FC236}">
              <a16:creationId xmlns:a16="http://schemas.microsoft.com/office/drawing/2014/main" id="{BEDC361B-533F-4F9B-A82C-F8674C09BB44}"/>
            </a:ext>
          </a:extLst>
        </xdr:cNvPr>
        <xdr:cNvSpPr>
          <a:spLocks noChangeAspect="1" noChangeArrowheads="1"/>
        </xdr:cNvSpPr>
      </xdr:nvSpPr>
      <xdr:spPr bwMode="auto">
        <a:xfrm>
          <a:off x="3803650" y="1038606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345</xdr:row>
      <xdr:rowOff>0</xdr:rowOff>
    </xdr:from>
    <xdr:ext cx="304800" cy="304094"/>
    <xdr:sp macro="" textlink="">
      <xdr:nvSpPr>
        <xdr:cNvPr id="1401" name="AutoShape 12">
          <a:extLst>
            <a:ext uri="{FF2B5EF4-FFF2-40B4-BE49-F238E27FC236}">
              <a16:creationId xmlns:a16="http://schemas.microsoft.com/office/drawing/2014/main" id="{66037EE8-191A-41C1-B7ED-4A903434CC24}"/>
            </a:ext>
          </a:extLst>
        </xdr:cNvPr>
        <xdr:cNvSpPr>
          <a:spLocks noChangeAspect="1" noChangeArrowheads="1"/>
        </xdr:cNvSpPr>
      </xdr:nvSpPr>
      <xdr:spPr bwMode="auto">
        <a:xfrm>
          <a:off x="3803650" y="1018349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346</xdr:row>
      <xdr:rowOff>0</xdr:rowOff>
    </xdr:from>
    <xdr:ext cx="304800" cy="304094"/>
    <xdr:sp macro="" textlink="">
      <xdr:nvSpPr>
        <xdr:cNvPr id="1402" name="AutoShape 12">
          <a:extLst>
            <a:ext uri="{FF2B5EF4-FFF2-40B4-BE49-F238E27FC236}">
              <a16:creationId xmlns:a16="http://schemas.microsoft.com/office/drawing/2014/main" id="{56DDB98E-60A6-4031-B9C7-7F41470176C7}"/>
            </a:ext>
          </a:extLst>
        </xdr:cNvPr>
        <xdr:cNvSpPr>
          <a:spLocks noChangeAspect="1" noChangeArrowheads="1"/>
        </xdr:cNvSpPr>
      </xdr:nvSpPr>
      <xdr:spPr bwMode="auto">
        <a:xfrm>
          <a:off x="3803650" y="1020191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356</xdr:row>
      <xdr:rowOff>0</xdr:rowOff>
    </xdr:from>
    <xdr:ext cx="304800" cy="304094"/>
    <xdr:sp macro="" textlink="">
      <xdr:nvSpPr>
        <xdr:cNvPr id="1403" name="AutoShape 12">
          <a:extLst>
            <a:ext uri="{FF2B5EF4-FFF2-40B4-BE49-F238E27FC236}">
              <a16:creationId xmlns:a16="http://schemas.microsoft.com/office/drawing/2014/main" id="{9AEBA9EE-23D7-44E1-BD3C-6D6660A75CD9}"/>
            </a:ext>
          </a:extLst>
        </xdr:cNvPr>
        <xdr:cNvSpPr>
          <a:spLocks noChangeAspect="1" noChangeArrowheads="1"/>
        </xdr:cNvSpPr>
      </xdr:nvSpPr>
      <xdr:spPr bwMode="auto">
        <a:xfrm>
          <a:off x="3803650" y="1038606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357</xdr:row>
      <xdr:rowOff>0</xdr:rowOff>
    </xdr:from>
    <xdr:ext cx="304800" cy="304094"/>
    <xdr:sp macro="" textlink="">
      <xdr:nvSpPr>
        <xdr:cNvPr id="1404" name="AutoShape 12">
          <a:extLst>
            <a:ext uri="{FF2B5EF4-FFF2-40B4-BE49-F238E27FC236}">
              <a16:creationId xmlns:a16="http://schemas.microsoft.com/office/drawing/2014/main" id="{CE34FDD9-EB44-47F1-A4C2-D977A6EF602F}"/>
            </a:ext>
          </a:extLst>
        </xdr:cNvPr>
        <xdr:cNvSpPr>
          <a:spLocks noChangeAspect="1" noChangeArrowheads="1"/>
        </xdr:cNvSpPr>
      </xdr:nvSpPr>
      <xdr:spPr bwMode="auto">
        <a:xfrm>
          <a:off x="3803650" y="104044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348</xdr:row>
      <xdr:rowOff>0</xdr:rowOff>
    </xdr:from>
    <xdr:ext cx="304800" cy="304094"/>
    <xdr:sp macro="" textlink="">
      <xdr:nvSpPr>
        <xdr:cNvPr id="1405" name="AutoShape 12">
          <a:extLst>
            <a:ext uri="{FF2B5EF4-FFF2-40B4-BE49-F238E27FC236}">
              <a16:creationId xmlns:a16="http://schemas.microsoft.com/office/drawing/2014/main" id="{EDCAC40B-31FE-4851-B35A-14081E840F35}"/>
            </a:ext>
          </a:extLst>
        </xdr:cNvPr>
        <xdr:cNvSpPr>
          <a:spLocks noChangeAspect="1" noChangeArrowheads="1"/>
        </xdr:cNvSpPr>
      </xdr:nvSpPr>
      <xdr:spPr bwMode="auto">
        <a:xfrm>
          <a:off x="3803650" y="1023874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349</xdr:row>
      <xdr:rowOff>0</xdr:rowOff>
    </xdr:from>
    <xdr:ext cx="304800" cy="304094"/>
    <xdr:sp macro="" textlink="">
      <xdr:nvSpPr>
        <xdr:cNvPr id="1406" name="AutoShape 12">
          <a:extLst>
            <a:ext uri="{FF2B5EF4-FFF2-40B4-BE49-F238E27FC236}">
              <a16:creationId xmlns:a16="http://schemas.microsoft.com/office/drawing/2014/main" id="{EDF77BA1-A5E0-456B-B2A4-903FB165417C}"/>
            </a:ext>
          </a:extLst>
        </xdr:cNvPr>
        <xdr:cNvSpPr>
          <a:spLocks noChangeAspect="1" noChangeArrowheads="1"/>
        </xdr:cNvSpPr>
      </xdr:nvSpPr>
      <xdr:spPr bwMode="auto">
        <a:xfrm>
          <a:off x="3803650" y="1025715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349</xdr:row>
      <xdr:rowOff>0</xdr:rowOff>
    </xdr:from>
    <xdr:ext cx="304800" cy="304094"/>
    <xdr:sp macro="" textlink="">
      <xdr:nvSpPr>
        <xdr:cNvPr id="1407" name="AutoShape 12">
          <a:extLst>
            <a:ext uri="{FF2B5EF4-FFF2-40B4-BE49-F238E27FC236}">
              <a16:creationId xmlns:a16="http://schemas.microsoft.com/office/drawing/2014/main" id="{76249B38-383D-49D9-907C-1579D6E296DF}"/>
            </a:ext>
          </a:extLst>
        </xdr:cNvPr>
        <xdr:cNvSpPr>
          <a:spLocks noChangeAspect="1" noChangeArrowheads="1"/>
        </xdr:cNvSpPr>
      </xdr:nvSpPr>
      <xdr:spPr bwMode="auto">
        <a:xfrm>
          <a:off x="3803650" y="1025715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350</xdr:row>
      <xdr:rowOff>0</xdr:rowOff>
    </xdr:from>
    <xdr:ext cx="304800" cy="304094"/>
    <xdr:sp macro="" textlink="">
      <xdr:nvSpPr>
        <xdr:cNvPr id="1408" name="AutoShape 12">
          <a:extLst>
            <a:ext uri="{FF2B5EF4-FFF2-40B4-BE49-F238E27FC236}">
              <a16:creationId xmlns:a16="http://schemas.microsoft.com/office/drawing/2014/main" id="{2D43AB04-0906-439B-AE34-C748F24E6F3D}"/>
            </a:ext>
          </a:extLst>
        </xdr:cNvPr>
        <xdr:cNvSpPr>
          <a:spLocks noChangeAspect="1" noChangeArrowheads="1"/>
        </xdr:cNvSpPr>
      </xdr:nvSpPr>
      <xdr:spPr bwMode="auto">
        <a:xfrm>
          <a:off x="3803650" y="1027557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349</xdr:row>
      <xdr:rowOff>0</xdr:rowOff>
    </xdr:from>
    <xdr:ext cx="304800" cy="304094"/>
    <xdr:sp macro="" textlink="">
      <xdr:nvSpPr>
        <xdr:cNvPr id="1409" name="AutoShape 12">
          <a:extLst>
            <a:ext uri="{FF2B5EF4-FFF2-40B4-BE49-F238E27FC236}">
              <a16:creationId xmlns:a16="http://schemas.microsoft.com/office/drawing/2014/main" id="{45C117B5-8F39-4562-BCA9-ECB25ADCAB4F}"/>
            </a:ext>
          </a:extLst>
        </xdr:cNvPr>
        <xdr:cNvSpPr>
          <a:spLocks noChangeAspect="1" noChangeArrowheads="1"/>
        </xdr:cNvSpPr>
      </xdr:nvSpPr>
      <xdr:spPr bwMode="auto">
        <a:xfrm>
          <a:off x="3803650" y="1025715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350</xdr:row>
      <xdr:rowOff>0</xdr:rowOff>
    </xdr:from>
    <xdr:ext cx="304800" cy="304094"/>
    <xdr:sp macro="" textlink="">
      <xdr:nvSpPr>
        <xdr:cNvPr id="1410" name="AutoShape 12">
          <a:extLst>
            <a:ext uri="{FF2B5EF4-FFF2-40B4-BE49-F238E27FC236}">
              <a16:creationId xmlns:a16="http://schemas.microsoft.com/office/drawing/2014/main" id="{BFD7DC04-586D-4D08-8DD9-0405583F5316}"/>
            </a:ext>
          </a:extLst>
        </xdr:cNvPr>
        <xdr:cNvSpPr>
          <a:spLocks noChangeAspect="1" noChangeArrowheads="1"/>
        </xdr:cNvSpPr>
      </xdr:nvSpPr>
      <xdr:spPr bwMode="auto">
        <a:xfrm>
          <a:off x="3803650" y="1027557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350</xdr:row>
      <xdr:rowOff>0</xdr:rowOff>
    </xdr:from>
    <xdr:ext cx="304800" cy="304094"/>
    <xdr:sp macro="" textlink="">
      <xdr:nvSpPr>
        <xdr:cNvPr id="1411" name="AutoShape 12">
          <a:extLst>
            <a:ext uri="{FF2B5EF4-FFF2-40B4-BE49-F238E27FC236}">
              <a16:creationId xmlns:a16="http://schemas.microsoft.com/office/drawing/2014/main" id="{BF3924BF-3855-4C5A-9D79-ED495A6F907B}"/>
            </a:ext>
          </a:extLst>
        </xdr:cNvPr>
        <xdr:cNvSpPr>
          <a:spLocks noChangeAspect="1" noChangeArrowheads="1"/>
        </xdr:cNvSpPr>
      </xdr:nvSpPr>
      <xdr:spPr bwMode="auto">
        <a:xfrm>
          <a:off x="3803650" y="1027557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351</xdr:row>
      <xdr:rowOff>0</xdr:rowOff>
    </xdr:from>
    <xdr:ext cx="304800" cy="304094"/>
    <xdr:sp macro="" textlink="">
      <xdr:nvSpPr>
        <xdr:cNvPr id="1412" name="AutoShape 12">
          <a:extLst>
            <a:ext uri="{FF2B5EF4-FFF2-40B4-BE49-F238E27FC236}">
              <a16:creationId xmlns:a16="http://schemas.microsoft.com/office/drawing/2014/main" id="{5F2C44BA-9528-4BA1-B609-C192C9D114BB}"/>
            </a:ext>
          </a:extLst>
        </xdr:cNvPr>
        <xdr:cNvSpPr>
          <a:spLocks noChangeAspect="1" noChangeArrowheads="1"/>
        </xdr:cNvSpPr>
      </xdr:nvSpPr>
      <xdr:spPr bwMode="auto">
        <a:xfrm>
          <a:off x="3803650" y="1029398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375</xdr:row>
      <xdr:rowOff>0</xdr:rowOff>
    </xdr:from>
    <xdr:ext cx="304800" cy="304094"/>
    <xdr:sp macro="" textlink="">
      <xdr:nvSpPr>
        <xdr:cNvPr id="1413" name="AutoShape 12">
          <a:extLst>
            <a:ext uri="{FF2B5EF4-FFF2-40B4-BE49-F238E27FC236}">
              <a16:creationId xmlns:a16="http://schemas.microsoft.com/office/drawing/2014/main" id="{AAFCAA71-D482-4AE6-8496-A26FC99095C8}"/>
            </a:ext>
          </a:extLst>
        </xdr:cNvPr>
        <xdr:cNvSpPr>
          <a:spLocks noChangeAspect="1" noChangeArrowheads="1"/>
        </xdr:cNvSpPr>
      </xdr:nvSpPr>
      <xdr:spPr bwMode="auto">
        <a:xfrm>
          <a:off x="3803650" y="1073594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717</xdr:row>
      <xdr:rowOff>0</xdr:rowOff>
    </xdr:from>
    <xdr:ext cx="304800" cy="304094"/>
    <xdr:sp macro="" textlink="">
      <xdr:nvSpPr>
        <xdr:cNvPr id="1414" name="AutoShape 12">
          <a:extLst>
            <a:ext uri="{FF2B5EF4-FFF2-40B4-BE49-F238E27FC236}">
              <a16:creationId xmlns:a16="http://schemas.microsoft.com/office/drawing/2014/main" id="{C1C75986-1CBB-419F-92F5-F63969AE44E7}"/>
            </a:ext>
          </a:extLst>
        </xdr:cNvPr>
        <xdr:cNvSpPr>
          <a:spLocks noChangeAspect="1" noChangeArrowheads="1"/>
        </xdr:cNvSpPr>
      </xdr:nvSpPr>
      <xdr:spPr bwMode="auto">
        <a:xfrm>
          <a:off x="490855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717</xdr:row>
      <xdr:rowOff>0</xdr:rowOff>
    </xdr:from>
    <xdr:ext cx="304800" cy="304094"/>
    <xdr:sp macro="" textlink="">
      <xdr:nvSpPr>
        <xdr:cNvPr id="1415" name="AutoShape 12">
          <a:extLst>
            <a:ext uri="{FF2B5EF4-FFF2-40B4-BE49-F238E27FC236}">
              <a16:creationId xmlns:a16="http://schemas.microsoft.com/office/drawing/2014/main" id="{F3977A62-E5BE-4B4F-AD4F-77F0C93B4FBC}"/>
            </a:ext>
          </a:extLst>
        </xdr:cNvPr>
        <xdr:cNvSpPr>
          <a:spLocks noChangeAspect="1" noChangeArrowheads="1"/>
        </xdr:cNvSpPr>
      </xdr:nvSpPr>
      <xdr:spPr bwMode="auto">
        <a:xfrm>
          <a:off x="490855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5</xdr:col>
      <xdr:colOff>0</xdr:colOff>
      <xdr:row>950</xdr:row>
      <xdr:rowOff>0</xdr:rowOff>
    </xdr:from>
    <xdr:to>
      <xdr:col>5</xdr:col>
      <xdr:colOff>304800</xdr:colOff>
      <xdr:row>951</xdr:row>
      <xdr:rowOff>120650</xdr:rowOff>
    </xdr:to>
    <xdr:sp macro="" textlink="">
      <xdr:nvSpPr>
        <xdr:cNvPr id="1416" name="AutoShape 12">
          <a:extLst>
            <a:ext uri="{FF2B5EF4-FFF2-40B4-BE49-F238E27FC236}">
              <a16:creationId xmlns:a16="http://schemas.microsoft.com/office/drawing/2014/main" id="{33D7452C-7D63-4BAD-B33B-346BC5FBF1AB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950</xdr:row>
      <xdr:rowOff>0</xdr:rowOff>
    </xdr:from>
    <xdr:to>
      <xdr:col>5</xdr:col>
      <xdr:colOff>304800</xdr:colOff>
      <xdr:row>951</xdr:row>
      <xdr:rowOff>120650</xdr:rowOff>
    </xdr:to>
    <xdr:sp macro="" textlink="">
      <xdr:nvSpPr>
        <xdr:cNvPr id="1417" name="AutoShape 12">
          <a:extLst>
            <a:ext uri="{FF2B5EF4-FFF2-40B4-BE49-F238E27FC236}">
              <a16:creationId xmlns:a16="http://schemas.microsoft.com/office/drawing/2014/main" id="{3185FCC6-D8E3-46E4-B468-E0DF1A4D7835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5</xdr:col>
      <xdr:colOff>0</xdr:colOff>
      <xdr:row>949</xdr:row>
      <xdr:rowOff>0</xdr:rowOff>
    </xdr:from>
    <xdr:ext cx="304800" cy="304094"/>
    <xdr:sp macro="" textlink="">
      <xdr:nvSpPr>
        <xdr:cNvPr id="1418" name="AutoShape 12">
          <a:extLst>
            <a:ext uri="{FF2B5EF4-FFF2-40B4-BE49-F238E27FC236}">
              <a16:creationId xmlns:a16="http://schemas.microsoft.com/office/drawing/2014/main" id="{90BCE029-AA91-4674-BF9A-D8629DCF40BC}"/>
            </a:ext>
          </a:extLst>
        </xdr:cNvPr>
        <xdr:cNvSpPr>
          <a:spLocks noChangeAspect="1" noChangeArrowheads="1"/>
        </xdr:cNvSpPr>
      </xdr:nvSpPr>
      <xdr:spPr bwMode="auto">
        <a:xfrm>
          <a:off x="44450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419" name="AutoShape 12">
          <a:extLst>
            <a:ext uri="{FF2B5EF4-FFF2-40B4-BE49-F238E27FC236}">
              <a16:creationId xmlns:a16="http://schemas.microsoft.com/office/drawing/2014/main" id="{AEBB8DD6-E233-4C47-B6F3-D2316A41919C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420" name="AutoShape 12">
          <a:extLst>
            <a:ext uri="{FF2B5EF4-FFF2-40B4-BE49-F238E27FC236}">
              <a16:creationId xmlns:a16="http://schemas.microsoft.com/office/drawing/2014/main" id="{48F42F79-CAB7-4978-900C-770BE1AFA7F2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421" name="AutoShape 12">
          <a:extLst>
            <a:ext uri="{FF2B5EF4-FFF2-40B4-BE49-F238E27FC236}">
              <a16:creationId xmlns:a16="http://schemas.microsoft.com/office/drawing/2014/main" id="{92DF3328-7D9C-4D1A-A32D-33A71B3CCEC4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422" name="AutoShape 12">
          <a:extLst>
            <a:ext uri="{FF2B5EF4-FFF2-40B4-BE49-F238E27FC236}">
              <a16:creationId xmlns:a16="http://schemas.microsoft.com/office/drawing/2014/main" id="{1FDBF956-105B-4631-9544-CEDD88DDEC20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423" name="AutoShape 12">
          <a:extLst>
            <a:ext uri="{FF2B5EF4-FFF2-40B4-BE49-F238E27FC236}">
              <a16:creationId xmlns:a16="http://schemas.microsoft.com/office/drawing/2014/main" id="{1C0DB98B-D9AE-4CAC-AED7-ECFE7B4EF160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424" name="AutoShape 12">
          <a:extLst>
            <a:ext uri="{FF2B5EF4-FFF2-40B4-BE49-F238E27FC236}">
              <a16:creationId xmlns:a16="http://schemas.microsoft.com/office/drawing/2014/main" id="{C4990E35-4CD1-4F8B-98D8-7BCECD2D36ED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425" name="AutoShape 12">
          <a:extLst>
            <a:ext uri="{FF2B5EF4-FFF2-40B4-BE49-F238E27FC236}">
              <a16:creationId xmlns:a16="http://schemas.microsoft.com/office/drawing/2014/main" id="{222B453F-3577-41B4-9C84-1B4A6C4CE0C1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426" name="AutoShape 12">
          <a:extLst>
            <a:ext uri="{FF2B5EF4-FFF2-40B4-BE49-F238E27FC236}">
              <a16:creationId xmlns:a16="http://schemas.microsoft.com/office/drawing/2014/main" id="{ACB58A0D-D7DB-4A19-9FC4-4CE8D04DDFD1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949</xdr:row>
      <xdr:rowOff>0</xdr:rowOff>
    </xdr:from>
    <xdr:ext cx="304800" cy="304094"/>
    <xdr:sp macro="" textlink="">
      <xdr:nvSpPr>
        <xdr:cNvPr id="1427" name="AutoShape 12">
          <a:extLst>
            <a:ext uri="{FF2B5EF4-FFF2-40B4-BE49-F238E27FC236}">
              <a16:creationId xmlns:a16="http://schemas.microsoft.com/office/drawing/2014/main" id="{5E906DB2-2793-48D8-99C3-B583EC2C1AF8}"/>
            </a:ext>
          </a:extLst>
        </xdr:cNvPr>
        <xdr:cNvSpPr>
          <a:spLocks noChangeAspect="1" noChangeArrowheads="1"/>
        </xdr:cNvSpPr>
      </xdr:nvSpPr>
      <xdr:spPr bwMode="auto">
        <a:xfrm>
          <a:off x="44450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428" name="AutoShape 12">
          <a:extLst>
            <a:ext uri="{FF2B5EF4-FFF2-40B4-BE49-F238E27FC236}">
              <a16:creationId xmlns:a16="http://schemas.microsoft.com/office/drawing/2014/main" id="{6700F884-C67C-4FDA-A164-06598883D9F3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429" name="AutoShape 12">
          <a:extLst>
            <a:ext uri="{FF2B5EF4-FFF2-40B4-BE49-F238E27FC236}">
              <a16:creationId xmlns:a16="http://schemas.microsoft.com/office/drawing/2014/main" id="{902FA755-21FB-4682-9616-13C7BCB7B0AE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430" name="AutoShape 12">
          <a:extLst>
            <a:ext uri="{FF2B5EF4-FFF2-40B4-BE49-F238E27FC236}">
              <a16:creationId xmlns:a16="http://schemas.microsoft.com/office/drawing/2014/main" id="{D89819D8-351F-46D8-B150-B6A1AD6CFD8A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431" name="AutoShape 12">
          <a:extLst>
            <a:ext uri="{FF2B5EF4-FFF2-40B4-BE49-F238E27FC236}">
              <a16:creationId xmlns:a16="http://schemas.microsoft.com/office/drawing/2014/main" id="{6596F56A-4CD2-413E-9501-0A63C6EA7A8B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432" name="AutoShape 12">
          <a:extLst>
            <a:ext uri="{FF2B5EF4-FFF2-40B4-BE49-F238E27FC236}">
              <a16:creationId xmlns:a16="http://schemas.microsoft.com/office/drawing/2014/main" id="{93446F01-DAA6-4064-A2FE-E98DC5CBEC44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433" name="AutoShape 12">
          <a:extLst>
            <a:ext uri="{FF2B5EF4-FFF2-40B4-BE49-F238E27FC236}">
              <a16:creationId xmlns:a16="http://schemas.microsoft.com/office/drawing/2014/main" id="{8A99F6E9-D2F4-4EB8-B924-45F848E54CD5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434" name="AutoShape 12">
          <a:extLst>
            <a:ext uri="{FF2B5EF4-FFF2-40B4-BE49-F238E27FC236}">
              <a16:creationId xmlns:a16="http://schemas.microsoft.com/office/drawing/2014/main" id="{64DDF89B-786B-4261-BB14-B34533C0240E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435" name="AutoShape 12">
          <a:extLst>
            <a:ext uri="{FF2B5EF4-FFF2-40B4-BE49-F238E27FC236}">
              <a16:creationId xmlns:a16="http://schemas.microsoft.com/office/drawing/2014/main" id="{55932718-3744-43BB-B641-EF11CE7C25AE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436" name="AutoShape 12">
          <a:extLst>
            <a:ext uri="{FF2B5EF4-FFF2-40B4-BE49-F238E27FC236}">
              <a16:creationId xmlns:a16="http://schemas.microsoft.com/office/drawing/2014/main" id="{0A068B0E-846A-4D91-BC72-3083E6A12F2F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437" name="AutoShape 12">
          <a:extLst>
            <a:ext uri="{FF2B5EF4-FFF2-40B4-BE49-F238E27FC236}">
              <a16:creationId xmlns:a16="http://schemas.microsoft.com/office/drawing/2014/main" id="{BA0CDE61-6637-4536-AE2D-522B26F38E7F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438" name="AutoShape 12">
          <a:extLst>
            <a:ext uri="{FF2B5EF4-FFF2-40B4-BE49-F238E27FC236}">
              <a16:creationId xmlns:a16="http://schemas.microsoft.com/office/drawing/2014/main" id="{55E2297E-79FB-48DC-9148-E9965B52808F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439" name="AutoShape 12">
          <a:extLst>
            <a:ext uri="{FF2B5EF4-FFF2-40B4-BE49-F238E27FC236}">
              <a16:creationId xmlns:a16="http://schemas.microsoft.com/office/drawing/2014/main" id="{03E99B46-FF69-4F6F-8944-08BE4C82E9DF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440" name="AutoShape 12">
          <a:extLst>
            <a:ext uri="{FF2B5EF4-FFF2-40B4-BE49-F238E27FC236}">
              <a16:creationId xmlns:a16="http://schemas.microsoft.com/office/drawing/2014/main" id="{B1231844-9D88-49B7-928C-7B8F63A0D113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441" name="AutoShape 12">
          <a:extLst>
            <a:ext uri="{FF2B5EF4-FFF2-40B4-BE49-F238E27FC236}">
              <a16:creationId xmlns:a16="http://schemas.microsoft.com/office/drawing/2014/main" id="{702413D1-7038-4AEC-83D4-B25F28A206B2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442" name="AutoShape 12">
          <a:extLst>
            <a:ext uri="{FF2B5EF4-FFF2-40B4-BE49-F238E27FC236}">
              <a16:creationId xmlns:a16="http://schemas.microsoft.com/office/drawing/2014/main" id="{4B7FBAA4-CB78-43D7-9EF1-2573745FD07A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443" name="AutoShape 12">
          <a:extLst>
            <a:ext uri="{FF2B5EF4-FFF2-40B4-BE49-F238E27FC236}">
              <a16:creationId xmlns:a16="http://schemas.microsoft.com/office/drawing/2014/main" id="{85E113E3-69DB-45FF-A109-176298C9266C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444" name="AutoShape 12">
          <a:extLst>
            <a:ext uri="{FF2B5EF4-FFF2-40B4-BE49-F238E27FC236}">
              <a16:creationId xmlns:a16="http://schemas.microsoft.com/office/drawing/2014/main" id="{87E0854A-D8A0-472F-847F-F29E8D861C6E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445" name="AutoShape 12">
          <a:extLst>
            <a:ext uri="{FF2B5EF4-FFF2-40B4-BE49-F238E27FC236}">
              <a16:creationId xmlns:a16="http://schemas.microsoft.com/office/drawing/2014/main" id="{742182E6-30E6-4591-80AD-E1B3AC9281F9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446" name="AutoShape 12">
          <a:extLst>
            <a:ext uri="{FF2B5EF4-FFF2-40B4-BE49-F238E27FC236}">
              <a16:creationId xmlns:a16="http://schemas.microsoft.com/office/drawing/2014/main" id="{CB79E71F-3A16-44A5-A582-BFCB57D5CFDF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447" name="AutoShape 12">
          <a:extLst>
            <a:ext uri="{FF2B5EF4-FFF2-40B4-BE49-F238E27FC236}">
              <a16:creationId xmlns:a16="http://schemas.microsoft.com/office/drawing/2014/main" id="{534BF09C-677B-409F-9F7F-DBCFBF09E105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448" name="AutoShape 12">
          <a:extLst>
            <a:ext uri="{FF2B5EF4-FFF2-40B4-BE49-F238E27FC236}">
              <a16:creationId xmlns:a16="http://schemas.microsoft.com/office/drawing/2014/main" id="{0067F08C-DE06-467D-B2DA-A24A7010C0D0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449" name="AutoShape 12">
          <a:extLst>
            <a:ext uri="{FF2B5EF4-FFF2-40B4-BE49-F238E27FC236}">
              <a16:creationId xmlns:a16="http://schemas.microsoft.com/office/drawing/2014/main" id="{41CA9E6C-C48D-46B3-8926-E486C2854AB0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450" name="AutoShape 12">
          <a:extLst>
            <a:ext uri="{FF2B5EF4-FFF2-40B4-BE49-F238E27FC236}">
              <a16:creationId xmlns:a16="http://schemas.microsoft.com/office/drawing/2014/main" id="{1244B66E-1796-4961-AC29-6A90416253C1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451" name="AutoShape 12">
          <a:extLst>
            <a:ext uri="{FF2B5EF4-FFF2-40B4-BE49-F238E27FC236}">
              <a16:creationId xmlns:a16="http://schemas.microsoft.com/office/drawing/2014/main" id="{9273A838-37F2-4050-A3C8-109D539DB1FC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452" name="AutoShape 12">
          <a:extLst>
            <a:ext uri="{FF2B5EF4-FFF2-40B4-BE49-F238E27FC236}">
              <a16:creationId xmlns:a16="http://schemas.microsoft.com/office/drawing/2014/main" id="{026E7711-023B-4616-8B9E-216030419555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453" name="AutoShape 12">
          <a:extLst>
            <a:ext uri="{FF2B5EF4-FFF2-40B4-BE49-F238E27FC236}">
              <a16:creationId xmlns:a16="http://schemas.microsoft.com/office/drawing/2014/main" id="{C3D41D8F-BFB5-4FBD-99EA-D0B6F5B737DC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454" name="AutoShape 12">
          <a:extLst>
            <a:ext uri="{FF2B5EF4-FFF2-40B4-BE49-F238E27FC236}">
              <a16:creationId xmlns:a16="http://schemas.microsoft.com/office/drawing/2014/main" id="{D84DB9C2-8726-4154-9CB2-AAC7309544F5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455" name="AutoShape 12">
          <a:extLst>
            <a:ext uri="{FF2B5EF4-FFF2-40B4-BE49-F238E27FC236}">
              <a16:creationId xmlns:a16="http://schemas.microsoft.com/office/drawing/2014/main" id="{7E64DFDC-180B-4D50-9236-23F6B1A89B73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456" name="AutoShape 12">
          <a:extLst>
            <a:ext uri="{FF2B5EF4-FFF2-40B4-BE49-F238E27FC236}">
              <a16:creationId xmlns:a16="http://schemas.microsoft.com/office/drawing/2014/main" id="{E2F8573F-8D0E-4BFC-9967-55AE3E216305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457" name="AutoShape 12">
          <a:extLst>
            <a:ext uri="{FF2B5EF4-FFF2-40B4-BE49-F238E27FC236}">
              <a16:creationId xmlns:a16="http://schemas.microsoft.com/office/drawing/2014/main" id="{6B194C6D-3B32-46CD-853F-8C4B7F619407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458" name="AutoShape 12">
          <a:extLst>
            <a:ext uri="{FF2B5EF4-FFF2-40B4-BE49-F238E27FC236}">
              <a16:creationId xmlns:a16="http://schemas.microsoft.com/office/drawing/2014/main" id="{68D8C67F-115A-43B1-94E6-120068F890D6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459" name="AutoShape 12">
          <a:extLst>
            <a:ext uri="{FF2B5EF4-FFF2-40B4-BE49-F238E27FC236}">
              <a16:creationId xmlns:a16="http://schemas.microsoft.com/office/drawing/2014/main" id="{BA738B91-C6ED-4B19-A147-738500909346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460" name="AutoShape 12">
          <a:extLst>
            <a:ext uri="{FF2B5EF4-FFF2-40B4-BE49-F238E27FC236}">
              <a16:creationId xmlns:a16="http://schemas.microsoft.com/office/drawing/2014/main" id="{49CA088E-9454-4157-AF28-0291DAC1B63E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461" name="AutoShape 12">
          <a:extLst>
            <a:ext uri="{FF2B5EF4-FFF2-40B4-BE49-F238E27FC236}">
              <a16:creationId xmlns:a16="http://schemas.microsoft.com/office/drawing/2014/main" id="{A7AFB759-F1A0-4A65-B28F-AEFA84305E09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462" name="AutoShape 12">
          <a:extLst>
            <a:ext uri="{FF2B5EF4-FFF2-40B4-BE49-F238E27FC236}">
              <a16:creationId xmlns:a16="http://schemas.microsoft.com/office/drawing/2014/main" id="{D15BCE01-7CB4-4AAB-B80C-57A5265DE205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463" name="AutoShape 12">
          <a:extLst>
            <a:ext uri="{FF2B5EF4-FFF2-40B4-BE49-F238E27FC236}">
              <a16:creationId xmlns:a16="http://schemas.microsoft.com/office/drawing/2014/main" id="{DBD5AB16-E3FC-4013-88AD-5A572E36EE35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464" name="AutoShape 12">
          <a:extLst>
            <a:ext uri="{FF2B5EF4-FFF2-40B4-BE49-F238E27FC236}">
              <a16:creationId xmlns:a16="http://schemas.microsoft.com/office/drawing/2014/main" id="{C4B6B395-696B-4DD9-81F7-6BF7F0F98326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465" name="AutoShape 12">
          <a:extLst>
            <a:ext uri="{FF2B5EF4-FFF2-40B4-BE49-F238E27FC236}">
              <a16:creationId xmlns:a16="http://schemas.microsoft.com/office/drawing/2014/main" id="{CC3405BB-FC52-4B29-8C91-F6E2F0847359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466" name="AutoShape 12">
          <a:extLst>
            <a:ext uri="{FF2B5EF4-FFF2-40B4-BE49-F238E27FC236}">
              <a16:creationId xmlns:a16="http://schemas.microsoft.com/office/drawing/2014/main" id="{4CAB8AE6-DE9B-49D7-B645-DE104202F670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467" name="AutoShape 12">
          <a:extLst>
            <a:ext uri="{FF2B5EF4-FFF2-40B4-BE49-F238E27FC236}">
              <a16:creationId xmlns:a16="http://schemas.microsoft.com/office/drawing/2014/main" id="{B63DF8DD-2A72-4053-906E-B3947BDA1048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468" name="AutoShape 12">
          <a:extLst>
            <a:ext uri="{FF2B5EF4-FFF2-40B4-BE49-F238E27FC236}">
              <a16:creationId xmlns:a16="http://schemas.microsoft.com/office/drawing/2014/main" id="{E84DC6B2-7997-42BE-8EE6-5CDCF4FA0519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469" name="AutoShape 12">
          <a:extLst>
            <a:ext uri="{FF2B5EF4-FFF2-40B4-BE49-F238E27FC236}">
              <a16:creationId xmlns:a16="http://schemas.microsoft.com/office/drawing/2014/main" id="{86CE6B99-4C1B-4AC1-B80D-7B60644BCDD7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470" name="AutoShape 12">
          <a:extLst>
            <a:ext uri="{FF2B5EF4-FFF2-40B4-BE49-F238E27FC236}">
              <a16:creationId xmlns:a16="http://schemas.microsoft.com/office/drawing/2014/main" id="{210321C4-5B8A-4E0B-9796-E2758ABEBC0D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471" name="AutoShape 12">
          <a:extLst>
            <a:ext uri="{FF2B5EF4-FFF2-40B4-BE49-F238E27FC236}">
              <a16:creationId xmlns:a16="http://schemas.microsoft.com/office/drawing/2014/main" id="{1513D2C6-5FDE-46EB-8A7E-28551C3EC19D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472" name="AutoShape 12">
          <a:extLst>
            <a:ext uri="{FF2B5EF4-FFF2-40B4-BE49-F238E27FC236}">
              <a16:creationId xmlns:a16="http://schemas.microsoft.com/office/drawing/2014/main" id="{11D314B5-BF83-4408-965B-427110AEAA8F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473" name="AutoShape 12">
          <a:extLst>
            <a:ext uri="{FF2B5EF4-FFF2-40B4-BE49-F238E27FC236}">
              <a16:creationId xmlns:a16="http://schemas.microsoft.com/office/drawing/2014/main" id="{876DC10A-AD35-49D1-A7E7-CF6881E91E21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474" name="AutoShape 12">
          <a:extLst>
            <a:ext uri="{FF2B5EF4-FFF2-40B4-BE49-F238E27FC236}">
              <a16:creationId xmlns:a16="http://schemas.microsoft.com/office/drawing/2014/main" id="{838B355A-D93C-4FD5-91C7-EE6797879A8B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475" name="AutoShape 12">
          <a:extLst>
            <a:ext uri="{FF2B5EF4-FFF2-40B4-BE49-F238E27FC236}">
              <a16:creationId xmlns:a16="http://schemas.microsoft.com/office/drawing/2014/main" id="{3FAFDA59-BABA-45CA-B46F-E82540A59743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476" name="AutoShape 12">
          <a:extLst>
            <a:ext uri="{FF2B5EF4-FFF2-40B4-BE49-F238E27FC236}">
              <a16:creationId xmlns:a16="http://schemas.microsoft.com/office/drawing/2014/main" id="{B289B392-6635-42B2-89CF-64DD9753CA4F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477" name="AutoShape 12">
          <a:extLst>
            <a:ext uri="{FF2B5EF4-FFF2-40B4-BE49-F238E27FC236}">
              <a16:creationId xmlns:a16="http://schemas.microsoft.com/office/drawing/2014/main" id="{8630CBB6-0FDD-469A-9E3D-C8BA2EBF3095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478" name="AutoShape 12">
          <a:extLst>
            <a:ext uri="{FF2B5EF4-FFF2-40B4-BE49-F238E27FC236}">
              <a16:creationId xmlns:a16="http://schemas.microsoft.com/office/drawing/2014/main" id="{630F74B9-4740-494E-8499-8C19C3188D38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479" name="AutoShape 12">
          <a:extLst>
            <a:ext uri="{FF2B5EF4-FFF2-40B4-BE49-F238E27FC236}">
              <a16:creationId xmlns:a16="http://schemas.microsoft.com/office/drawing/2014/main" id="{B8B8AC62-D482-4E44-B320-B4C23F2CFD05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480" name="AutoShape 12">
          <a:extLst>
            <a:ext uri="{FF2B5EF4-FFF2-40B4-BE49-F238E27FC236}">
              <a16:creationId xmlns:a16="http://schemas.microsoft.com/office/drawing/2014/main" id="{4DB6ABFE-8BD6-4D33-8740-816230FBE524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481" name="AutoShape 12">
          <a:extLst>
            <a:ext uri="{FF2B5EF4-FFF2-40B4-BE49-F238E27FC236}">
              <a16:creationId xmlns:a16="http://schemas.microsoft.com/office/drawing/2014/main" id="{83899EBB-1738-4C70-8BFD-C5B9227C2698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482" name="AutoShape 12">
          <a:extLst>
            <a:ext uri="{FF2B5EF4-FFF2-40B4-BE49-F238E27FC236}">
              <a16:creationId xmlns:a16="http://schemas.microsoft.com/office/drawing/2014/main" id="{45B8BACB-F465-497F-9F04-76651BF088D6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483" name="AutoShape 12">
          <a:extLst>
            <a:ext uri="{FF2B5EF4-FFF2-40B4-BE49-F238E27FC236}">
              <a16:creationId xmlns:a16="http://schemas.microsoft.com/office/drawing/2014/main" id="{9491DFF2-17EE-4D22-879D-87B0D98FDC5A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484" name="AutoShape 12">
          <a:extLst>
            <a:ext uri="{FF2B5EF4-FFF2-40B4-BE49-F238E27FC236}">
              <a16:creationId xmlns:a16="http://schemas.microsoft.com/office/drawing/2014/main" id="{5D379468-FB92-4617-8D72-DCC19DFD2939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485" name="AutoShape 12">
          <a:extLst>
            <a:ext uri="{FF2B5EF4-FFF2-40B4-BE49-F238E27FC236}">
              <a16:creationId xmlns:a16="http://schemas.microsoft.com/office/drawing/2014/main" id="{69A48CE5-0DC7-42DA-AC98-13FF729DAB00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486" name="AutoShape 12">
          <a:extLst>
            <a:ext uri="{FF2B5EF4-FFF2-40B4-BE49-F238E27FC236}">
              <a16:creationId xmlns:a16="http://schemas.microsoft.com/office/drawing/2014/main" id="{03D8BDD1-4F50-4F4C-A873-33485B7825B8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487" name="AutoShape 12">
          <a:extLst>
            <a:ext uri="{FF2B5EF4-FFF2-40B4-BE49-F238E27FC236}">
              <a16:creationId xmlns:a16="http://schemas.microsoft.com/office/drawing/2014/main" id="{93E6FD23-9B1A-4181-900B-56285F93EF05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488" name="AutoShape 12">
          <a:extLst>
            <a:ext uri="{FF2B5EF4-FFF2-40B4-BE49-F238E27FC236}">
              <a16:creationId xmlns:a16="http://schemas.microsoft.com/office/drawing/2014/main" id="{30D2E737-97DB-4BA4-AC54-0C15D034F1F5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489" name="AutoShape 12">
          <a:extLst>
            <a:ext uri="{FF2B5EF4-FFF2-40B4-BE49-F238E27FC236}">
              <a16:creationId xmlns:a16="http://schemas.microsoft.com/office/drawing/2014/main" id="{EF963FA8-B39A-48E1-957F-C9CF1E64104F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490" name="AutoShape 12">
          <a:extLst>
            <a:ext uri="{FF2B5EF4-FFF2-40B4-BE49-F238E27FC236}">
              <a16:creationId xmlns:a16="http://schemas.microsoft.com/office/drawing/2014/main" id="{622BF284-2C13-4873-8B3D-26316729565D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491" name="AutoShape 12">
          <a:extLst>
            <a:ext uri="{FF2B5EF4-FFF2-40B4-BE49-F238E27FC236}">
              <a16:creationId xmlns:a16="http://schemas.microsoft.com/office/drawing/2014/main" id="{42FAB780-5B5A-4F7E-904F-3421C6382A9A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492" name="AutoShape 12">
          <a:extLst>
            <a:ext uri="{FF2B5EF4-FFF2-40B4-BE49-F238E27FC236}">
              <a16:creationId xmlns:a16="http://schemas.microsoft.com/office/drawing/2014/main" id="{33DE2635-7F9F-41DC-BE68-7518C4D7E5E1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493" name="AutoShape 12">
          <a:extLst>
            <a:ext uri="{FF2B5EF4-FFF2-40B4-BE49-F238E27FC236}">
              <a16:creationId xmlns:a16="http://schemas.microsoft.com/office/drawing/2014/main" id="{85EA8D57-4643-40B4-B059-0986F9AE5C1A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494" name="AutoShape 12">
          <a:extLst>
            <a:ext uri="{FF2B5EF4-FFF2-40B4-BE49-F238E27FC236}">
              <a16:creationId xmlns:a16="http://schemas.microsoft.com/office/drawing/2014/main" id="{AFF0686B-058B-4261-82A4-B9D5191AD030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495" name="AutoShape 12">
          <a:extLst>
            <a:ext uri="{FF2B5EF4-FFF2-40B4-BE49-F238E27FC236}">
              <a16:creationId xmlns:a16="http://schemas.microsoft.com/office/drawing/2014/main" id="{039F4DA7-ABA2-4ADE-A852-F233EA2DC9F7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496" name="AutoShape 12">
          <a:extLst>
            <a:ext uri="{FF2B5EF4-FFF2-40B4-BE49-F238E27FC236}">
              <a16:creationId xmlns:a16="http://schemas.microsoft.com/office/drawing/2014/main" id="{DC379E34-A0B4-4328-88E3-B85A137D9162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497" name="AutoShape 12">
          <a:extLst>
            <a:ext uri="{FF2B5EF4-FFF2-40B4-BE49-F238E27FC236}">
              <a16:creationId xmlns:a16="http://schemas.microsoft.com/office/drawing/2014/main" id="{05E53725-0780-4661-A3A7-4242854DCC82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498" name="AutoShape 12">
          <a:extLst>
            <a:ext uri="{FF2B5EF4-FFF2-40B4-BE49-F238E27FC236}">
              <a16:creationId xmlns:a16="http://schemas.microsoft.com/office/drawing/2014/main" id="{B8BA4B63-26CF-4BBF-8B13-41F96F6EECD3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499" name="AutoShape 12">
          <a:extLst>
            <a:ext uri="{FF2B5EF4-FFF2-40B4-BE49-F238E27FC236}">
              <a16:creationId xmlns:a16="http://schemas.microsoft.com/office/drawing/2014/main" id="{C479DF22-CAB6-46C8-8A9A-17AF4B34231C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500" name="AutoShape 12">
          <a:extLst>
            <a:ext uri="{FF2B5EF4-FFF2-40B4-BE49-F238E27FC236}">
              <a16:creationId xmlns:a16="http://schemas.microsoft.com/office/drawing/2014/main" id="{CF30FF2E-04D9-4991-B9ED-309C8481410F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501" name="AutoShape 12">
          <a:extLst>
            <a:ext uri="{FF2B5EF4-FFF2-40B4-BE49-F238E27FC236}">
              <a16:creationId xmlns:a16="http://schemas.microsoft.com/office/drawing/2014/main" id="{453A6A38-CACA-41CE-AE74-1A5E7E3B21E3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502" name="AutoShape 12">
          <a:extLst>
            <a:ext uri="{FF2B5EF4-FFF2-40B4-BE49-F238E27FC236}">
              <a16:creationId xmlns:a16="http://schemas.microsoft.com/office/drawing/2014/main" id="{766C019F-80FD-4275-ABC8-97A54B84957E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503" name="AutoShape 12">
          <a:extLst>
            <a:ext uri="{FF2B5EF4-FFF2-40B4-BE49-F238E27FC236}">
              <a16:creationId xmlns:a16="http://schemas.microsoft.com/office/drawing/2014/main" id="{28E5AD13-8477-4B59-940C-D86AAD25D1D9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504" name="AutoShape 12">
          <a:extLst>
            <a:ext uri="{FF2B5EF4-FFF2-40B4-BE49-F238E27FC236}">
              <a16:creationId xmlns:a16="http://schemas.microsoft.com/office/drawing/2014/main" id="{77B65C2C-6409-4977-87B7-D6BF8140CDE3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505" name="AutoShape 12">
          <a:extLst>
            <a:ext uri="{FF2B5EF4-FFF2-40B4-BE49-F238E27FC236}">
              <a16:creationId xmlns:a16="http://schemas.microsoft.com/office/drawing/2014/main" id="{A0B4F384-FD42-44B0-8CF1-4F70E3B6BA9C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506" name="AutoShape 12">
          <a:extLst>
            <a:ext uri="{FF2B5EF4-FFF2-40B4-BE49-F238E27FC236}">
              <a16:creationId xmlns:a16="http://schemas.microsoft.com/office/drawing/2014/main" id="{8DFC2313-CA53-4E5E-BAC0-1A07C5BAD99D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507" name="AutoShape 12">
          <a:extLst>
            <a:ext uri="{FF2B5EF4-FFF2-40B4-BE49-F238E27FC236}">
              <a16:creationId xmlns:a16="http://schemas.microsoft.com/office/drawing/2014/main" id="{B30A7679-932A-41A4-9BE7-E3AFC5FD44A7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508" name="AutoShape 12">
          <a:extLst>
            <a:ext uri="{FF2B5EF4-FFF2-40B4-BE49-F238E27FC236}">
              <a16:creationId xmlns:a16="http://schemas.microsoft.com/office/drawing/2014/main" id="{2F984E90-4752-4412-966E-04B28E148176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509" name="AutoShape 12">
          <a:extLst>
            <a:ext uri="{FF2B5EF4-FFF2-40B4-BE49-F238E27FC236}">
              <a16:creationId xmlns:a16="http://schemas.microsoft.com/office/drawing/2014/main" id="{373A2250-9169-4A29-84E8-C316564D5322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510" name="AutoShape 12">
          <a:extLst>
            <a:ext uri="{FF2B5EF4-FFF2-40B4-BE49-F238E27FC236}">
              <a16:creationId xmlns:a16="http://schemas.microsoft.com/office/drawing/2014/main" id="{C6FC48BA-BC8C-49D5-905A-7B2D3530CA86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511" name="AutoShape 12">
          <a:extLst>
            <a:ext uri="{FF2B5EF4-FFF2-40B4-BE49-F238E27FC236}">
              <a16:creationId xmlns:a16="http://schemas.microsoft.com/office/drawing/2014/main" id="{6ACC3AA7-31F5-4F94-83D6-50EE679712D0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512" name="AutoShape 12">
          <a:extLst>
            <a:ext uri="{FF2B5EF4-FFF2-40B4-BE49-F238E27FC236}">
              <a16:creationId xmlns:a16="http://schemas.microsoft.com/office/drawing/2014/main" id="{EF0E6B3C-DFDF-493B-8BA1-9BCB9E0FDE78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513" name="AutoShape 12">
          <a:extLst>
            <a:ext uri="{FF2B5EF4-FFF2-40B4-BE49-F238E27FC236}">
              <a16:creationId xmlns:a16="http://schemas.microsoft.com/office/drawing/2014/main" id="{A599E9A7-7D46-4E76-B552-FA223C380AB5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514" name="AutoShape 12">
          <a:extLst>
            <a:ext uri="{FF2B5EF4-FFF2-40B4-BE49-F238E27FC236}">
              <a16:creationId xmlns:a16="http://schemas.microsoft.com/office/drawing/2014/main" id="{A8592CE8-F5EF-45D9-B56A-D3BAEFF8A2B8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515" name="AutoShape 12">
          <a:extLst>
            <a:ext uri="{FF2B5EF4-FFF2-40B4-BE49-F238E27FC236}">
              <a16:creationId xmlns:a16="http://schemas.microsoft.com/office/drawing/2014/main" id="{05E0BE26-1E3D-4ABB-BC57-EAAD62C5CB55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516" name="AutoShape 12">
          <a:extLst>
            <a:ext uri="{FF2B5EF4-FFF2-40B4-BE49-F238E27FC236}">
              <a16:creationId xmlns:a16="http://schemas.microsoft.com/office/drawing/2014/main" id="{30513ED8-608D-4C08-9DB1-52F4513654BC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517" name="AutoShape 12">
          <a:extLst>
            <a:ext uri="{FF2B5EF4-FFF2-40B4-BE49-F238E27FC236}">
              <a16:creationId xmlns:a16="http://schemas.microsoft.com/office/drawing/2014/main" id="{B4610958-F145-4113-8295-8A0C59B15860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518" name="AutoShape 12">
          <a:extLst>
            <a:ext uri="{FF2B5EF4-FFF2-40B4-BE49-F238E27FC236}">
              <a16:creationId xmlns:a16="http://schemas.microsoft.com/office/drawing/2014/main" id="{AD2EF337-E7E6-4139-A890-2D2C3DD44D68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519" name="AutoShape 12">
          <a:extLst>
            <a:ext uri="{FF2B5EF4-FFF2-40B4-BE49-F238E27FC236}">
              <a16:creationId xmlns:a16="http://schemas.microsoft.com/office/drawing/2014/main" id="{42885FB6-1457-4BEF-9B2D-02572072F456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520" name="AutoShape 12">
          <a:extLst>
            <a:ext uri="{FF2B5EF4-FFF2-40B4-BE49-F238E27FC236}">
              <a16:creationId xmlns:a16="http://schemas.microsoft.com/office/drawing/2014/main" id="{DF085721-4E1D-4778-B7B5-15695DC155CC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521" name="AutoShape 12">
          <a:extLst>
            <a:ext uri="{FF2B5EF4-FFF2-40B4-BE49-F238E27FC236}">
              <a16:creationId xmlns:a16="http://schemas.microsoft.com/office/drawing/2014/main" id="{CFD6DFE4-31E0-4D43-B2DF-DF57BBCA163F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522" name="AutoShape 12">
          <a:extLst>
            <a:ext uri="{FF2B5EF4-FFF2-40B4-BE49-F238E27FC236}">
              <a16:creationId xmlns:a16="http://schemas.microsoft.com/office/drawing/2014/main" id="{4AF8AC07-C9DE-4D47-9BE2-0328FD8B492E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523" name="AutoShape 12">
          <a:extLst>
            <a:ext uri="{FF2B5EF4-FFF2-40B4-BE49-F238E27FC236}">
              <a16:creationId xmlns:a16="http://schemas.microsoft.com/office/drawing/2014/main" id="{00AAFEB9-B722-415B-85C9-FAF9EEE37C51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524" name="AutoShape 12">
          <a:extLst>
            <a:ext uri="{FF2B5EF4-FFF2-40B4-BE49-F238E27FC236}">
              <a16:creationId xmlns:a16="http://schemas.microsoft.com/office/drawing/2014/main" id="{FD1141D1-7A14-4C81-84D3-E7465223A721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525" name="AutoShape 12">
          <a:extLst>
            <a:ext uri="{FF2B5EF4-FFF2-40B4-BE49-F238E27FC236}">
              <a16:creationId xmlns:a16="http://schemas.microsoft.com/office/drawing/2014/main" id="{C02B8C29-A15D-45AF-901E-2D7B3CF6602E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526" name="AutoShape 12">
          <a:extLst>
            <a:ext uri="{FF2B5EF4-FFF2-40B4-BE49-F238E27FC236}">
              <a16:creationId xmlns:a16="http://schemas.microsoft.com/office/drawing/2014/main" id="{AC2CF15A-2343-432E-ABAC-B95338507775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527" name="AutoShape 12">
          <a:extLst>
            <a:ext uri="{FF2B5EF4-FFF2-40B4-BE49-F238E27FC236}">
              <a16:creationId xmlns:a16="http://schemas.microsoft.com/office/drawing/2014/main" id="{7780CCB6-66F8-4728-9986-76B5E6AB278B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528" name="AutoShape 12">
          <a:extLst>
            <a:ext uri="{FF2B5EF4-FFF2-40B4-BE49-F238E27FC236}">
              <a16:creationId xmlns:a16="http://schemas.microsoft.com/office/drawing/2014/main" id="{B266C08B-5A27-4F47-B131-778940E351D2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529" name="AutoShape 12">
          <a:extLst>
            <a:ext uri="{FF2B5EF4-FFF2-40B4-BE49-F238E27FC236}">
              <a16:creationId xmlns:a16="http://schemas.microsoft.com/office/drawing/2014/main" id="{5C6059A8-80D0-4223-80EA-DC8C46056D6A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530" name="AutoShape 12">
          <a:extLst>
            <a:ext uri="{FF2B5EF4-FFF2-40B4-BE49-F238E27FC236}">
              <a16:creationId xmlns:a16="http://schemas.microsoft.com/office/drawing/2014/main" id="{239001FF-4BFA-44FB-88E3-6A85FCBC542F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531" name="AutoShape 12">
          <a:extLst>
            <a:ext uri="{FF2B5EF4-FFF2-40B4-BE49-F238E27FC236}">
              <a16:creationId xmlns:a16="http://schemas.microsoft.com/office/drawing/2014/main" id="{B133BE51-B816-4BBA-81D5-D942EE1EAC16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532" name="AutoShape 12">
          <a:extLst>
            <a:ext uri="{FF2B5EF4-FFF2-40B4-BE49-F238E27FC236}">
              <a16:creationId xmlns:a16="http://schemas.microsoft.com/office/drawing/2014/main" id="{A53F3F6A-126B-4C6E-B940-979F9C3B1047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533" name="AutoShape 12">
          <a:extLst>
            <a:ext uri="{FF2B5EF4-FFF2-40B4-BE49-F238E27FC236}">
              <a16:creationId xmlns:a16="http://schemas.microsoft.com/office/drawing/2014/main" id="{B507D58A-54E1-47E7-A51C-15CB53F6A8AB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534" name="AutoShape 12">
          <a:extLst>
            <a:ext uri="{FF2B5EF4-FFF2-40B4-BE49-F238E27FC236}">
              <a16:creationId xmlns:a16="http://schemas.microsoft.com/office/drawing/2014/main" id="{E6DDBDCE-CA73-43B9-81DF-088E4AC240BC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535" name="AutoShape 12">
          <a:extLst>
            <a:ext uri="{FF2B5EF4-FFF2-40B4-BE49-F238E27FC236}">
              <a16:creationId xmlns:a16="http://schemas.microsoft.com/office/drawing/2014/main" id="{684F7668-0E50-41ED-B373-FBBA7E614C89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536" name="AutoShape 12">
          <a:extLst>
            <a:ext uri="{FF2B5EF4-FFF2-40B4-BE49-F238E27FC236}">
              <a16:creationId xmlns:a16="http://schemas.microsoft.com/office/drawing/2014/main" id="{CB0C3F4F-AB77-4268-9842-343F949445CB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537" name="AutoShape 12">
          <a:extLst>
            <a:ext uri="{FF2B5EF4-FFF2-40B4-BE49-F238E27FC236}">
              <a16:creationId xmlns:a16="http://schemas.microsoft.com/office/drawing/2014/main" id="{8E447E60-AAEE-4F58-A9B9-2DB8312B49FD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538" name="AutoShape 12">
          <a:extLst>
            <a:ext uri="{FF2B5EF4-FFF2-40B4-BE49-F238E27FC236}">
              <a16:creationId xmlns:a16="http://schemas.microsoft.com/office/drawing/2014/main" id="{1D4AF56B-A34D-4828-A8B4-86E7AA799860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539" name="AutoShape 12">
          <a:extLst>
            <a:ext uri="{FF2B5EF4-FFF2-40B4-BE49-F238E27FC236}">
              <a16:creationId xmlns:a16="http://schemas.microsoft.com/office/drawing/2014/main" id="{119777AD-BBBE-4712-B5A2-B0690F7D49B9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540" name="AutoShape 12">
          <a:extLst>
            <a:ext uri="{FF2B5EF4-FFF2-40B4-BE49-F238E27FC236}">
              <a16:creationId xmlns:a16="http://schemas.microsoft.com/office/drawing/2014/main" id="{F2A3061F-C584-4C48-9508-43B907F297F6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541" name="AutoShape 12">
          <a:extLst>
            <a:ext uri="{FF2B5EF4-FFF2-40B4-BE49-F238E27FC236}">
              <a16:creationId xmlns:a16="http://schemas.microsoft.com/office/drawing/2014/main" id="{5C951F9A-DD2C-4B28-81B8-3D66042C74B9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542" name="AutoShape 12">
          <a:extLst>
            <a:ext uri="{FF2B5EF4-FFF2-40B4-BE49-F238E27FC236}">
              <a16:creationId xmlns:a16="http://schemas.microsoft.com/office/drawing/2014/main" id="{89D596EA-F432-4D01-BA1C-AC3453BDFC03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543" name="AutoShape 12">
          <a:extLst>
            <a:ext uri="{FF2B5EF4-FFF2-40B4-BE49-F238E27FC236}">
              <a16:creationId xmlns:a16="http://schemas.microsoft.com/office/drawing/2014/main" id="{5AA86DAC-DBC8-49E7-9833-5E10E688F2E8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544" name="AutoShape 12">
          <a:extLst>
            <a:ext uri="{FF2B5EF4-FFF2-40B4-BE49-F238E27FC236}">
              <a16:creationId xmlns:a16="http://schemas.microsoft.com/office/drawing/2014/main" id="{DB5BDCE5-16D8-4685-890F-0E8B75A05731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545" name="AutoShape 12">
          <a:extLst>
            <a:ext uri="{FF2B5EF4-FFF2-40B4-BE49-F238E27FC236}">
              <a16:creationId xmlns:a16="http://schemas.microsoft.com/office/drawing/2014/main" id="{429FD023-9F82-4A24-B237-6969A4CAE258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546" name="AutoShape 12">
          <a:extLst>
            <a:ext uri="{FF2B5EF4-FFF2-40B4-BE49-F238E27FC236}">
              <a16:creationId xmlns:a16="http://schemas.microsoft.com/office/drawing/2014/main" id="{753302DA-4F20-48D2-B373-EB7157D93FA6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547" name="AutoShape 12">
          <a:extLst>
            <a:ext uri="{FF2B5EF4-FFF2-40B4-BE49-F238E27FC236}">
              <a16:creationId xmlns:a16="http://schemas.microsoft.com/office/drawing/2014/main" id="{CEE6CD08-C7B3-4B0F-B0D2-54138BA50633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548" name="AutoShape 12">
          <a:extLst>
            <a:ext uri="{FF2B5EF4-FFF2-40B4-BE49-F238E27FC236}">
              <a16:creationId xmlns:a16="http://schemas.microsoft.com/office/drawing/2014/main" id="{12E615BD-E8A5-4930-8C14-07FE7B63F0E7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549" name="AutoShape 12">
          <a:extLst>
            <a:ext uri="{FF2B5EF4-FFF2-40B4-BE49-F238E27FC236}">
              <a16:creationId xmlns:a16="http://schemas.microsoft.com/office/drawing/2014/main" id="{84717191-2A8F-4932-97F9-2618A8AF03C1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550" name="AutoShape 12">
          <a:extLst>
            <a:ext uri="{FF2B5EF4-FFF2-40B4-BE49-F238E27FC236}">
              <a16:creationId xmlns:a16="http://schemas.microsoft.com/office/drawing/2014/main" id="{8C9AFFE5-68EC-4B52-AFD9-2A761A20F5DF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551" name="AutoShape 12">
          <a:extLst>
            <a:ext uri="{FF2B5EF4-FFF2-40B4-BE49-F238E27FC236}">
              <a16:creationId xmlns:a16="http://schemas.microsoft.com/office/drawing/2014/main" id="{836F56D6-6192-475D-982E-6EB720E4BDA7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552" name="AutoShape 12">
          <a:extLst>
            <a:ext uri="{FF2B5EF4-FFF2-40B4-BE49-F238E27FC236}">
              <a16:creationId xmlns:a16="http://schemas.microsoft.com/office/drawing/2014/main" id="{39196535-8606-4143-A961-C7CEFFE080C2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553" name="AutoShape 12">
          <a:extLst>
            <a:ext uri="{FF2B5EF4-FFF2-40B4-BE49-F238E27FC236}">
              <a16:creationId xmlns:a16="http://schemas.microsoft.com/office/drawing/2014/main" id="{BC514476-F269-4A6F-8E59-07B6F6F868E3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554" name="AutoShape 12">
          <a:extLst>
            <a:ext uri="{FF2B5EF4-FFF2-40B4-BE49-F238E27FC236}">
              <a16:creationId xmlns:a16="http://schemas.microsoft.com/office/drawing/2014/main" id="{B3FA9913-60BB-4C9E-BD1A-7E31635D482E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555" name="AutoShape 12">
          <a:extLst>
            <a:ext uri="{FF2B5EF4-FFF2-40B4-BE49-F238E27FC236}">
              <a16:creationId xmlns:a16="http://schemas.microsoft.com/office/drawing/2014/main" id="{FE60571A-5D48-454D-8499-0C0966A4F1FE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556" name="AutoShape 12">
          <a:extLst>
            <a:ext uri="{FF2B5EF4-FFF2-40B4-BE49-F238E27FC236}">
              <a16:creationId xmlns:a16="http://schemas.microsoft.com/office/drawing/2014/main" id="{ECA728D9-C30A-494B-B5A7-A3E4537DF419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557" name="AutoShape 12">
          <a:extLst>
            <a:ext uri="{FF2B5EF4-FFF2-40B4-BE49-F238E27FC236}">
              <a16:creationId xmlns:a16="http://schemas.microsoft.com/office/drawing/2014/main" id="{66CDF262-CEAA-45A6-A024-35B58A43032C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558" name="AutoShape 12">
          <a:extLst>
            <a:ext uri="{FF2B5EF4-FFF2-40B4-BE49-F238E27FC236}">
              <a16:creationId xmlns:a16="http://schemas.microsoft.com/office/drawing/2014/main" id="{94EB700C-ED56-4358-892E-C0CBCD539C6A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559" name="AutoShape 12">
          <a:extLst>
            <a:ext uri="{FF2B5EF4-FFF2-40B4-BE49-F238E27FC236}">
              <a16:creationId xmlns:a16="http://schemas.microsoft.com/office/drawing/2014/main" id="{0FD00B88-1EEF-4B88-929F-FF1D7AF51B65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560" name="AutoShape 12">
          <a:extLst>
            <a:ext uri="{FF2B5EF4-FFF2-40B4-BE49-F238E27FC236}">
              <a16:creationId xmlns:a16="http://schemas.microsoft.com/office/drawing/2014/main" id="{97C90FC7-0B0B-4FFD-9871-5E3C02746819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561" name="AutoShape 12">
          <a:extLst>
            <a:ext uri="{FF2B5EF4-FFF2-40B4-BE49-F238E27FC236}">
              <a16:creationId xmlns:a16="http://schemas.microsoft.com/office/drawing/2014/main" id="{0E19EF66-5A68-4700-8738-A3EB1B68945D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562" name="AutoShape 12">
          <a:extLst>
            <a:ext uri="{FF2B5EF4-FFF2-40B4-BE49-F238E27FC236}">
              <a16:creationId xmlns:a16="http://schemas.microsoft.com/office/drawing/2014/main" id="{33CAEF35-1038-41D5-913E-F756A383DDEA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563" name="AutoShape 12">
          <a:extLst>
            <a:ext uri="{FF2B5EF4-FFF2-40B4-BE49-F238E27FC236}">
              <a16:creationId xmlns:a16="http://schemas.microsoft.com/office/drawing/2014/main" id="{44C77AF7-C6FD-41E6-80F1-CED08C4BDAD8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564" name="AutoShape 12">
          <a:extLst>
            <a:ext uri="{FF2B5EF4-FFF2-40B4-BE49-F238E27FC236}">
              <a16:creationId xmlns:a16="http://schemas.microsoft.com/office/drawing/2014/main" id="{9CDDE379-B61E-4655-92CD-FD13714ECB7E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565" name="AutoShape 12">
          <a:extLst>
            <a:ext uri="{FF2B5EF4-FFF2-40B4-BE49-F238E27FC236}">
              <a16:creationId xmlns:a16="http://schemas.microsoft.com/office/drawing/2014/main" id="{CC4B59EF-2DCA-48BD-854D-D3DF6DFC2DB7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566" name="AutoShape 12">
          <a:extLst>
            <a:ext uri="{FF2B5EF4-FFF2-40B4-BE49-F238E27FC236}">
              <a16:creationId xmlns:a16="http://schemas.microsoft.com/office/drawing/2014/main" id="{28EC3B21-E397-4B8C-8789-AAB4DA413933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567" name="AutoShape 12">
          <a:extLst>
            <a:ext uri="{FF2B5EF4-FFF2-40B4-BE49-F238E27FC236}">
              <a16:creationId xmlns:a16="http://schemas.microsoft.com/office/drawing/2014/main" id="{72C6E1D1-776C-4237-9D37-56B28609C70E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568" name="AutoShape 12">
          <a:extLst>
            <a:ext uri="{FF2B5EF4-FFF2-40B4-BE49-F238E27FC236}">
              <a16:creationId xmlns:a16="http://schemas.microsoft.com/office/drawing/2014/main" id="{26CB5B49-F94A-4C5F-85CE-EA40F0ECEED7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569" name="AutoShape 12">
          <a:extLst>
            <a:ext uri="{FF2B5EF4-FFF2-40B4-BE49-F238E27FC236}">
              <a16:creationId xmlns:a16="http://schemas.microsoft.com/office/drawing/2014/main" id="{29F83621-B8E5-4D43-826A-B521C4BB08B3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570" name="AutoShape 12">
          <a:extLst>
            <a:ext uri="{FF2B5EF4-FFF2-40B4-BE49-F238E27FC236}">
              <a16:creationId xmlns:a16="http://schemas.microsoft.com/office/drawing/2014/main" id="{B1861AC5-AD49-45B9-9604-A9DA74C2E9BC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571" name="AutoShape 12">
          <a:extLst>
            <a:ext uri="{FF2B5EF4-FFF2-40B4-BE49-F238E27FC236}">
              <a16:creationId xmlns:a16="http://schemas.microsoft.com/office/drawing/2014/main" id="{550E6161-DA26-40B9-BAE2-EE5CAA057F56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572" name="AutoShape 12">
          <a:extLst>
            <a:ext uri="{FF2B5EF4-FFF2-40B4-BE49-F238E27FC236}">
              <a16:creationId xmlns:a16="http://schemas.microsoft.com/office/drawing/2014/main" id="{D8A3C8AC-246B-464E-AB0B-762573A60FD8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573" name="AutoShape 12">
          <a:extLst>
            <a:ext uri="{FF2B5EF4-FFF2-40B4-BE49-F238E27FC236}">
              <a16:creationId xmlns:a16="http://schemas.microsoft.com/office/drawing/2014/main" id="{BAF99F8A-1F59-40E4-A988-74A799C44E5A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574" name="AutoShape 12">
          <a:extLst>
            <a:ext uri="{FF2B5EF4-FFF2-40B4-BE49-F238E27FC236}">
              <a16:creationId xmlns:a16="http://schemas.microsoft.com/office/drawing/2014/main" id="{FA76D514-D210-4524-90CC-984B7CE83376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575" name="AutoShape 12">
          <a:extLst>
            <a:ext uri="{FF2B5EF4-FFF2-40B4-BE49-F238E27FC236}">
              <a16:creationId xmlns:a16="http://schemas.microsoft.com/office/drawing/2014/main" id="{446DDE05-AB8C-4913-881F-2510A0B0F8A1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576" name="AutoShape 12">
          <a:extLst>
            <a:ext uri="{FF2B5EF4-FFF2-40B4-BE49-F238E27FC236}">
              <a16:creationId xmlns:a16="http://schemas.microsoft.com/office/drawing/2014/main" id="{6136632D-94C5-4B4B-A3C5-B8325A929A6D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577" name="AutoShape 12">
          <a:extLst>
            <a:ext uri="{FF2B5EF4-FFF2-40B4-BE49-F238E27FC236}">
              <a16:creationId xmlns:a16="http://schemas.microsoft.com/office/drawing/2014/main" id="{F35B916A-9C18-4651-9931-D04AEFD73534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578" name="AutoShape 12">
          <a:extLst>
            <a:ext uri="{FF2B5EF4-FFF2-40B4-BE49-F238E27FC236}">
              <a16:creationId xmlns:a16="http://schemas.microsoft.com/office/drawing/2014/main" id="{1EABF4EE-31C7-4927-BB3A-6F4028FF4440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579" name="AutoShape 12">
          <a:extLst>
            <a:ext uri="{FF2B5EF4-FFF2-40B4-BE49-F238E27FC236}">
              <a16:creationId xmlns:a16="http://schemas.microsoft.com/office/drawing/2014/main" id="{7543EB6C-9FEA-4C3F-B31B-615BF5C31173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580" name="AutoShape 12">
          <a:extLst>
            <a:ext uri="{FF2B5EF4-FFF2-40B4-BE49-F238E27FC236}">
              <a16:creationId xmlns:a16="http://schemas.microsoft.com/office/drawing/2014/main" id="{1757180C-6F6C-454E-BBB1-F883A3760869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581" name="AutoShape 12">
          <a:extLst>
            <a:ext uri="{FF2B5EF4-FFF2-40B4-BE49-F238E27FC236}">
              <a16:creationId xmlns:a16="http://schemas.microsoft.com/office/drawing/2014/main" id="{518F3A5A-C1CB-41E8-B9C9-89DE958A8ED7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582" name="AutoShape 12">
          <a:extLst>
            <a:ext uri="{FF2B5EF4-FFF2-40B4-BE49-F238E27FC236}">
              <a16:creationId xmlns:a16="http://schemas.microsoft.com/office/drawing/2014/main" id="{7CE7F7C9-2465-4CFB-A1B9-34464760AE20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583" name="AutoShape 12">
          <a:extLst>
            <a:ext uri="{FF2B5EF4-FFF2-40B4-BE49-F238E27FC236}">
              <a16:creationId xmlns:a16="http://schemas.microsoft.com/office/drawing/2014/main" id="{1C85731B-5043-4DAE-AE6A-51EB09500A51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584" name="AutoShape 12">
          <a:extLst>
            <a:ext uri="{FF2B5EF4-FFF2-40B4-BE49-F238E27FC236}">
              <a16:creationId xmlns:a16="http://schemas.microsoft.com/office/drawing/2014/main" id="{7542188B-589D-452A-AD95-5D1A684B262A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585" name="AutoShape 12">
          <a:extLst>
            <a:ext uri="{FF2B5EF4-FFF2-40B4-BE49-F238E27FC236}">
              <a16:creationId xmlns:a16="http://schemas.microsoft.com/office/drawing/2014/main" id="{AC721067-F18C-479E-9CD3-D9ED8A04A7DE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586" name="AutoShape 12">
          <a:extLst>
            <a:ext uri="{FF2B5EF4-FFF2-40B4-BE49-F238E27FC236}">
              <a16:creationId xmlns:a16="http://schemas.microsoft.com/office/drawing/2014/main" id="{F6ADEB45-7CA5-4606-A6EF-FB9FA0DE5A94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587" name="AutoShape 12">
          <a:extLst>
            <a:ext uri="{FF2B5EF4-FFF2-40B4-BE49-F238E27FC236}">
              <a16:creationId xmlns:a16="http://schemas.microsoft.com/office/drawing/2014/main" id="{47E411CF-244F-4F03-AA88-476C13AD4717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588" name="AutoShape 12">
          <a:extLst>
            <a:ext uri="{FF2B5EF4-FFF2-40B4-BE49-F238E27FC236}">
              <a16:creationId xmlns:a16="http://schemas.microsoft.com/office/drawing/2014/main" id="{403F2260-83ED-44D4-BEA6-B8F328802433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589" name="AutoShape 12">
          <a:extLst>
            <a:ext uri="{FF2B5EF4-FFF2-40B4-BE49-F238E27FC236}">
              <a16:creationId xmlns:a16="http://schemas.microsoft.com/office/drawing/2014/main" id="{9FD5ECAC-CCF6-4913-AC47-F50C89C2C8B6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590" name="AutoShape 12">
          <a:extLst>
            <a:ext uri="{FF2B5EF4-FFF2-40B4-BE49-F238E27FC236}">
              <a16:creationId xmlns:a16="http://schemas.microsoft.com/office/drawing/2014/main" id="{BF6F82B1-9983-49C1-8CFF-D8437F9B5BA0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591" name="AutoShape 12">
          <a:extLst>
            <a:ext uri="{FF2B5EF4-FFF2-40B4-BE49-F238E27FC236}">
              <a16:creationId xmlns:a16="http://schemas.microsoft.com/office/drawing/2014/main" id="{33AE96D9-AC35-4822-82B5-FA5C0E409A58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592" name="AutoShape 12">
          <a:extLst>
            <a:ext uri="{FF2B5EF4-FFF2-40B4-BE49-F238E27FC236}">
              <a16:creationId xmlns:a16="http://schemas.microsoft.com/office/drawing/2014/main" id="{45830EAA-1612-4C55-BA30-EC083DA4879B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593" name="AutoShape 12">
          <a:extLst>
            <a:ext uri="{FF2B5EF4-FFF2-40B4-BE49-F238E27FC236}">
              <a16:creationId xmlns:a16="http://schemas.microsoft.com/office/drawing/2014/main" id="{8D6EF9A0-95F0-4DC8-92FF-3C28279FDFBB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594" name="AutoShape 12">
          <a:extLst>
            <a:ext uri="{FF2B5EF4-FFF2-40B4-BE49-F238E27FC236}">
              <a16:creationId xmlns:a16="http://schemas.microsoft.com/office/drawing/2014/main" id="{2A0022E2-5695-4655-9EB1-8ED1CD54638A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595" name="AutoShape 12">
          <a:extLst>
            <a:ext uri="{FF2B5EF4-FFF2-40B4-BE49-F238E27FC236}">
              <a16:creationId xmlns:a16="http://schemas.microsoft.com/office/drawing/2014/main" id="{8048E029-7106-41B5-8692-3558AF53505B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596" name="AutoShape 12">
          <a:extLst>
            <a:ext uri="{FF2B5EF4-FFF2-40B4-BE49-F238E27FC236}">
              <a16:creationId xmlns:a16="http://schemas.microsoft.com/office/drawing/2014/main" id="{BABF2DE3-8B60-4722-A9A5-110C2AECE087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597" name="AutoShape 12">
          <a:extLst>
            <a:ext uri="{FF2B5EF4-FFF2-40B4-BE49-F238E27FC236}">
              <a16:creationId xmlns:a16="http://schemas.microsoft.com/office/drawing/2014/main" id="{744356A5-0EBD-48E6-AC3D-FAC2AD52E626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598" name="AutoShape 12">
          <a:extLst>
            <a:ext uri="{FF2B5EF4-FFF2-40B4-BE49-F238E27FC236}">
              <a16:creationId xmlns:a16="http://schemas.microsoft.com/office/drawing/2014/main" id="{379DC374-45BC-4E39-AF21-A2DBE5810622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599" name="AutoShape 12">
          <a:extLst>
            <a:ext uri="{FF2B5EF4-FFF2-40B4-BE49-F238E27FC236}">
              <a16:creationId xmlns:a16="http://schemas.microsoft.com/office/drawing/2014/main" id="{CCF244E2-5320-4966-8681-EC43C6C99CCF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600" name="AutoShape 12">
          <a:extLst>
            <a:ext uri="{FF2B5EF4-FFF2-40B4-BE49-F238E27FC236}">
              <a16:creationId xmlns:a16="http://schemas.microsoft.com/office/drawing/2014/main" id="{DF6DB768-6AF2-4A7C-B451-ADB58241BB00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601" name="AutoShape 12">
          <a:extLst>
            <a:ext uri="{FF2B5EF4-FFF2-40B4-BE49-F238E27FC236}">
              <a16:creationId xmlns:a16="http://schemas.microsoft.com/office/drawing/2014/main" id="{9573400D-CE62-4B34-9C4F-AFD350E4EA04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602" name="AutoShape 12">
          <a:extLst>
            <a:ext uri="{FF2B5EF4-FFF2-40B4-BE49-F238E27FC236}">
              <a16:creationId xmlns:a16="http://schemas.microsoft.com/office/drawing/2014/main" id="{6586BEE3-7DCF-4AD9-8A95-4CA3832EFB07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603" name="AutoShape 12">
          <a:extLst>
            <a:ext uri="{FF2B5EF4-FFF2-40B4-BE49-F238E27FC236}">
              <a16:creationId xmlns:a16="http://schemas.microsoft.com/office/drawing/2014/main" id="{4650C376-156E-4E79-BCF0-DCBD3FE6280F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604" name="AutoShape 12">
          <a:extLst>
            <a:ext uri="{FF2B5EF4-FFF2-40B4-BE49-F238E27FC236}">
              <a16:creationId xmlns:a16="http://schemas.microsoft.com/office/drawing/2014/main" id="{209FF8D9-A3B4-4BC6-A573-D9A7ED195F7D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605" name="AutoShape 12">
          <a:extLst>
            <a:ext uri="{FF2B5EF4-FFF2-40B4-BE49-F238E27FC236}">
              <a16:creationId xmlns:a16="http://schemas.microsoft.com/office/drawing/2014/main" id="{21CFB417-DE28-44C3-A3D4-76AAE2E640D2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606" name="AutoShape 12">
          <a:extLst>
            <a:ext uri="{FF2B5EF4-FFF2-40B4-BE49-F238E27FC236}">
              <a16:creationId xmlns:a16="http://schemas.microsoft.com/office/drawing/2014/main" id="{63A296B9-AB9D-4515-B1A7-6FCC39722F57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607" name="AutoShape 12">
          <a:extLst>
            <a:ext uri="{FF2B5EF4-FFF2-40B4-BE49-F238E27FC236}">
              <a16:creationId xmlns:a16="http://schemas.microsoft.com/office/drawing/2014/main" id="{EB8C0741-21F7-465E-8CD8-99C4B69AC8AE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608" name="AutoShape 12">
          <a:extLst>
            <a:ext uri="{FF2B5EF4-FFF2-40B4-BE49-F238E27FC236}">
              <a16:creationId xmlns:a16="http://schemas.microsoft.com/office/drawing/2014/main" id="{68351C3C-F431-4007-B86F-4F6B9B783A5D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609" name="AutoShape 12">
          <a:extLst>
            <a:ext uri="{FF2B5EF4-FFF2-40B4-BE49-F238E27FC236}">
              <a16:creationId xmlns:a16="http://schemas.microsoft.com/office/drawing/2014/main" id="{D572B0D6-E67E-4517-99B5-043DCE5B8458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610" name="AutoShape 12">
          <a:extLst>
            <a:ext uri="{FF2B5EF4-FFF2-40B4-BE49-F238E27FC236}">
              <a16:creationId xmlns:a16="http://schemas.microsoft.com/office/drawing/2014/main" id="{321B69BA-77E8-41F1-B774-447E45016F20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611" name="AutoShape 12">
          <a:extLst>
            <a:ext uri="{FF2B5EF4-FFF2-40B4-BE49-F238E27FC236}">
              <a16:creationId xmlns:a16="http://schemas.microsoft.com/office/drawing/2014/main" id="{9730ED08-C0D4-4CC7-A40B-3D61FB484E6A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612" name="AutoShape 12">
          <a:extLst>
            <a:ext uri="{FF2B5EF4-FFF2-40B4-BE49-F238E27FC236}">
              <a16:creationId xmlns:a16="http://schemas.microsoft.com/office/drawing/2014/main" id="{1EA4F117-8C54-4AA6-9C0B-7EA64398D8EA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613" name="AutoShape 12">
          <a:extLst>
            <a:ext uri="{FF2B5EF4-FFF2-40B4-BE49-F238E27FC236}">
              <a16:creationId xmlns:a16="http://schemas.microsoft.com/office/drawing/2014/main" id="{D4D12C75-80F8-43CE-988D-E737B6CE2177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614" name="AutoShape 12">
          <a:extLst>
            <a:ext uri="{FF2B5EF4-FFF2-40B4-BE49-F238E27FC236}">
              <a16:creationId xmlns:a16="http://schemas.microsoft.com/office/drawing/2014/main" id="{C99F06B9-BF9F-4007-B0EA-D851B0B3D6A3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615" name="AutoShape 12">
          <a:extLst>
            <a:ext uri="{FF2B5EF4-FFF2-40B4-BE49-F238E27FC236}">
              <a16:creationId xmlns:a16="http://schemas.microsoft.com/office/drawing/2014/main" id="{FE8D6923-E8D9-497A-918D-CD342BF2C87B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616" name="AutoShape 12">
          <a:extLst>
            <a:ext uri="{FF2B5EF4-FFF2-40B4-BE49-F238E27FC236}">
              <a16:creationId xmlns:a16="http://schemas.microsoft.com/office/drawing/2014/main" id="{9C20442C-E7DB-4997-BCC9-B42592AC4E7D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617" name="AutoShape 12">
          <a:extLst>
            <a:ext uri="{FF2B5EF4-FFF2-40B4-BE49-F238E27FC236}">
              <a16:creationId xmlns:a16="http://schemas.microsoft.com/office/drawing/2014/main" id="{22533971-181E-42CA-BBFA-DAE004B8D978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618" name="AutoShape 12">
          <a:extLst>
            <a:ext uri="{FF2B5EF4-FFF2-40B4-BE49-F238E27FC236}">
              <a16:creationId xmlns:a16="http://schemas.microsoft.com/office/drawing/2014/main" id="{7A50AC0C-317E-45A8-BF6D-CCE10F0C85D2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619" name="AutoShape 12">
          <a:extLst>
            <a:ext uri="{FF2B5EF4-FFF2-40B4-BE49-F238E27FC236}">
              <a16:creationId xmlns:a16="http://schemas.microsoft.com/office/drawing/2014/main" id="{CE7971BB-B5DC-4A04-9FE9-A154278FFD26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620" name="AutoShape 12">
          <a:extLst>
            <a:ext uri="{FF2B5EF4-FFF2-40B4-BE49-F238E27FC236}">
              <a16:creationId xmlns:a16="http://schemas.microsoft.com/office/drawing/2014/main" id="{18820EB4-6BF1-4454-90E5-2983DE82F1DB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621" name="AutoShape 12">
          <a:extLst>
            <a:ext uri="{FF2B5EF4-FFF2-40B4-BE49-F238E27FC236}">
              <a16:creationId xmlns:a16="http://schemas.microsoft.com/office/drawing/2014/main" id="{914EC89F-F32C-4915-9503-82F9902B71CB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622" name="AutoShape 12">
          <a:extLst>
            <a:ext uri="{FF2B5EF4-FFF2-40B4-BE49-F238E27FC236}">
              <a16:creationId xmlns:a16="http://schemas.microsoft.com/office/drawing/2014/main" id="{15C6CBBB-60E8-4281-B3F2-9FDDB0B11FCA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623" name="AutoShape 12">
          <a:extLst>
            <a:ext uri="{FF2B5EF4-FFF2-40B4-BE49-F238E27FC236}">
              <a16:creationId xmlns:a16="http://schemas.microsoft.com/office/drawing/2014/main" id="{25A04C29-357E-4A22-98DA-BD0B523A0DD6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624" name="AutoShape 12">
          <a:extLst>
            <a:ext uri="{FF2B5EF4-FFF2-40B4-BE49-F238E27FC236}">
              <a16:creationId xmlns:a16="http://schemas.microsoft.com/office/drawing/2014/main" id="{4E3BDCE2-6267-4F3D-84D5-186A683BF85A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625" name="AutoShape 12">
          <a:extLst>
            <a:ext uri="{FF2B5EF4-FFF2-40B4-BE49-F238E27FC236}">
              <a16:creationId xmlns:a16="http://schemas.microsoft.com/office/drawing/2014/main" id="{4BEBCC0F-FC6C-41D8-B6D4-7F21E1737D09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626" name="AutoShape 12">
          <a:extLst>
            <a:ext uri="{FF2B5EF4-FFF2-40B4-BE49-F238E27FC236}">
              <a16:creationId xmlns:a16="http://schemas.microsoft.com/office/drawing/2014/main" id="{04BC56E6-6C0B-4DE0-88DA-74A13EF6CA14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627" name="AutoShape 12">
          <a:extLst>
            <a:ext uri="{FF2B5EF4-FFF2-40B4-BE49-F238E27FC236}">
              <a16:creationId xmlns:a16="http://schemas.microsoft.com/office/drawing/2014/main" id="{BDCBF85D-04FB-4883-8CA0-D63B25DFCCE4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628" name="AutoShape 12">
          <a:extLst>
            <a:ext uri="{FF2B5EF4-FFF2-40B4-BE49-F238E27FC236}">
              <a16:creationId xmlns:a16="http://schemas.microsoft.com/office/drawing/2014/main" id="{D3A15D6B-71F1-445A-90D0-7A9EE9D22851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629" name="AutoShape 12">
          <a:extLst>
            <a:ext uri="{FF2B5EF4-FFF2-40B4-BE49-F238E27FC236}">
              <a16:creationId xmlns:a16="http://schemas.microsoft.com/office/drawing/2014/main" id="{896DF71E-D767-415A-972D-F24D7D89CB20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630" name="AutoShape 12">
          <a:extLst>
            <a:ext uri="{FF2B5EF4-FFF2-40B4-BE49-F238E27FC236}">
              <a16:creationId xmlns:a16="http://schemas.microsoft.com/office/drawing/2014/main" id="{9E6EACA3-B185-40FE-AF98-B1E5B815B985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631" name="AutoShape 12">
          <a:extLst>
            <a:ext uri="{FF2B5EF4-FFF2-40B4-BE49-F238E27FC236}">
              <a16:creationId xmlns:a16="http://schemas.microsoft.com/office/drawing/2014/main" id="{C2DD795A-2ACD-4F4B-987D-1713A806ABF0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632" name="AutoShape 12">
          <a:extLst>
            <a:ext uri="{FF2B5EF4-FFF2-40B4-BE49-F238E27FC236}">
              <a16:creationId xmlns:a16="http://schemas.microsoft.com/office/drawing/2014/main" id="{0173117D-70D8-4071-8025-4C041D00E9AB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633" name="AutoShape 12">
          <a:extLst>
            <a:ext uri="{FF2B5EF4-FFF2-40B4-BE49-F238E27FC236}">
              <a16:creationId xmlns:a16="http://schemas.microsoft.com/office/drawing/2014/main" id="{36B63787-5DF0-4262-ABEB-3784B5F2D7F0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634" name="AutoShape 12">
          <a:extLst>
            <a:ext uri="{FF2B5EF4-FFF2-40B4-BE49-F238E27FC236}">
              <a16:creationId xmlns:a16="http://schemas.microsoft.com/office/drawing/2014/main" id="{55202BB6-51B2-4B7D-97EE-88A20385D582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635" name="AutoShape 12">
          <a:extLst>
            <a:ext uri="{FF2B5EF4-FFF2-40B4-BE49-F238E27FC236}">
              <a16:creationId xmlns:a16="http://schemas.microsoft.com/office/drawing/2014/main" id="{49CF070D-1FAB-4D22-BC3F-6BBC6E468848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636" name="AutoShape 12">
          <a:extLst>
            <a:ext uri="{FF2B5EF4-FFF2-40B4-BE49-F238E27FC236}">
              <a16:creationId xmlns:a16="http://schemas.microsoft.com/office/drawing/2014/main" id="{D91F9C90-E2DA-4614-8BAA-6A92C7D848BD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637" name="AutoShape 12">
          <a:extLst>
            <a:ext uri="{FF2B5EF4-FFF2-40B4-BE49-F238E27FC236}">
              <a16:creationId xmlns:a16="http://schemas.microsoft.com/office/drawing/2014/main" id="{70731C0E-8FBB-43E4-A640-C91AE72D3E7B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638" name="AutoShape 12">
          <a:extLst>
            <a:ext uri="{FF2B5EF4-FFF2-40B4-BE49-F238E27FC236}">
              <a16:creationId xmlns:a16="http://schemas.microsoft.com/office/drawing/2014/main" id="{B38EA459-3009-4597-8658-D34F4AC61A2D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639" name="AutoShape 12">
          <a:extLst>
            <a:ext uri="{FF2B5EF4-FFF2-40B4-BE49-F238E27FC236}">
              <a16:creationId xmlns:a16="http://schemas.microsoft.com/office/drawing/2014/main" id="{0C0287AB-F6F4-4BF9-90C0-ECD25E534068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640" name="AutoShape 12">
          <a:extLst>
            <a:ext uri="{FF2B5EF4-FFF2-40B4-BE49-F238E27FC236}">
              <a16:creationId xmlns:a16="http://schemas.microsoft.com/office/drawing/2014/main" id="{E3F8D3FB-812A-42C7-8C6F-FD008A2C5DC2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641" name="AutoShape 12">
          <a:extLst>
            <a:ext uri="{FF2B5EF4-FFF2-40B4-BE49-F238E27FC236}">
              <a16:creationId xmlns:a16="http://schemas.microsoft.com/office/drawing/2014/main" id="{63032C4F-CF8A-408F-A252-4475FF587AAF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642" name="AutoShape 12">
          <a:extLst>
            <a:ext uri="{FF2B5EF4-FFF2-40B4-BE49-F238E27FC236}">
              <a16:creationId xmlns:a16="http://schemas.microsoft.com/office/drawing/2014/main" id="{DF72700A-8BE7-4B55-8BED-8FA71BEF5FEA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643" name="AutoShape 12">
          <a:extLst>
            <a:ext uri="{FF2B5EF4-FFF2-40B4-BE49-F238E27FC236}">
              <a16:creationId xmlns:a16="http://schemas.microsoft.com/office/drawing/2014/main" id="{EAEB7964-FFEA-4BDD-B706-BB803B3E6734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644" name="AutoShape 12">
          <a:extLst>
            <a:ext uri="{FF2B5EF4-FFF2-40B4-BE49-F238E27FC236}">
              <a16:creationId xmlns:a16="http://schemas.microsoft.com/office/drawing/2014/main" id="{8DB55641-37CC-4D18-8A07-EA55F6CA92C1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645" name="AutoShape 12">
          <a:extLst>
            <a:ext uri="{FF2B5EF4-FFF2-40B4-BE49-F238E27FC236}">
              <a16:creationId xmlns:a16="http://schemas.microsoft.com/office/drawing/2014/main" id="{684F8455-4331-4869-88F7-8B73B2F5DED8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646" name="AutoShape 12">
          <a:extLst>
            <a:ext uri="{FF2B5EF4-FFF2-40B4-BE49-F238E27FC236}">
              <a16:creationId xmlns:a16="http://schemas.microsoft.com/office/drawing/2014/main" id="{3F20C68B-8935-4033-B6F8-1EBC9F8CB284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647" name="AutoShape 12">
          <a:extLst>
            <a:ext uri="{FF2B5EF4-FFF2-40B4-BE49-F238E27FC236}">
              <a16:creationId xmlns:a16="http://schemas.microsoft.com/office/drawing/2014/main" id="{EAD25A32-E709-463E-8325-BD8D816A7FAD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648" name="AutoShape 12">
          <a:extLst>
            <a:ext uri="{FF2B5EF4-FFF2-40B4-BE49-F238E27FC236}">
              <a16:creationId xmlns:a16="http://schemas.microsoft.com/office/drawing/2014/main" id="{3BB651D0-04D4-42C4-86A7-4CBF8A9C3CC6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649" name="AutoShape 12">
          <a:extLst>
            <a:ext uri="{FF2B5EF4-FFF2-40B4-BE49-F238E27FC236}">
              <a16:creationId xmlns:a16="http://schemas.microsoft.com/office/drawing/2014/main" id="{9C4C60AA-6A4F-4567-B4DE-68F69CA68639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650" name="AutoShape 12">
          <a:extLst>
            <a:ext uri="{FF2B5EF4-FFF2-40B4-BE49-F238E27FC236}">
              <a16:creationId xmlns:a16="http://schemas.microsoft.com/office/drawing/2014/main" id="{5D20116E-AD32-487B-8EBC-FCCB19CF29DB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651" name="AutoShape 12">
          <a:extLst>
            <a:ext uri="{FF2B5EF4-FFF2-40B4-BE49-F238E27FC236}">
              <a16:creationId xmlns:a16="http://schemas.microsoft.com/office/drawing/2014/main" id="{F0B11B78-D3FF-4351-BDE5-FE30CCCBF97A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652" name="AutoShape 12">
          <a:extLst>
            <a:ext uri="{FF2B5EF4-FFF2-40B4-BE49-F238E27FC236}">
              <a16:creationId xmlns:a16="http://schemas.microsoft.com/office/drawing/2014/main" id="{1C16BDD9-28F7-467C-B59D-C4273538CB80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653" name="AutoShape 12">
          <a:extLst>
            <a:ext uri="{FF2B5EF4-FFF2-40B4-BE49-F238E27FC236}">
              <a16:creationId xmlns:a16="http://schemas.microsoft.com/office/drawing/2014/main" id="{4840FC5C-FA0A-405A-B567-7A46A6D30302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654" name="AutoShape 12">
          <a:extLst>
            <a:ext uri="{FF2B5EF4-FFF2-40B4-BE49-F238E27FC236}">
              <a16:creationId xmlns:a16="http://schemas.microsoft.com/office/drawing/2014/main" id="{D2214389-3119-4584-A9BE-0FC109C720B8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655" name="AutoShape 12">
          <a:extLst>
            <a:ext uri="{FF2B5EF4-FFF2-40B4-BE49-F238E27FC236}">
              <a16:creationId xmlns:a16="http://schemas.microsoft.com/office/drawing/2014/main" id="{F0062213-80F0-4E02-9844-C3BC4EB254DF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656" name="AutoShape 12">
          <a:extLst>
            <a:ext uri="{FF2B5EF4-FFF2-40B4-BE49-F238E27FC236}">
              <a16:creationId xmlns:a16="http://schemas.microsoft.com/office/drawing/2014/main" id="{5B97ECBA-09E1-45EE-BDBA-A983C9378826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657" name="AutoShape 12">
          <a:extLst>
            <a:ext uri="{FF2B5EF4-FFF2-40B4-BE49-F238E27FC236}">
              <a16:creationId xmlns:a16="http://schemas.microsoft.com/office/drawing/2014/main" id="{ACF35E05-10C4-4728-A869-AACD4A033000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658" name="AutoShape 12">
          <a:extLst>
            <a:ext uri="{FF2B5EF4-FFF2-40B4-BE49-F238E27FC236}">
              <a16:creationId xmlns:a16="http://schemas.microsoft.com/office/drawing/2014/main" id="{99D3332E-C00A-4C69-942C-5A206CC64EC2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659" name="AutoShape 12">
          <a:extLst>
            <a:ext uri="{FF2B5EF4-FFF2-40B4-BE49-F238E27FC236}">
              <a16:creationId xmlns:a16="http://schemas.microsoft.com/office/drawing/2014/main" id="{87ADDBB2-C8C3-45BC-9D95-0747D360FF6C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660" name="AutoShape 12">
          <a:extLst>
            <a:ext uri="{FF2B5EF4-FFF2-40B4-BE49-F238E27FC236}">
              <a16:creationId xmlns:a16="http://schemas.microsoft.com/office/drawing/2014/main" id="{51AB97AC-7F91-4C88-93CD-589FC1F2C381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661" name="AutoShape 12">
          <a:extLst>
            <a:ext uri="{FF2B5EF4-FFF2-40B4-BE49-F238E27FC236}">
              <a16:creationId xmlns:a16="http://schemas.microsoft.com/office/drawing/2014/main" id="{FA03E51E-BA4A-4E8F-8AF8-DA2EEB879C56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662" name="AutoShape 12">
          <a:extLst>
            <a:ext uri="{FF2B5EF4-FFF2-40B4-BE49-F238E27FC236}">
              <a16:creationId xmlns:a16="http://schemas.microsoft.com/office/drawing/2014/main" id="{7D524E2A-F0E3-4458-A615-9C3F32DA1F16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663" name="AutoShape 12">
          <a:extLst>
            <a:ext uri="{FF2B5EF4-FFF2-40B4-BE49-F238E27FC236}">
              <a16:creationId xmlns:a16="http://schemas.microsoft.com/office/drawing/2014/main" id="{8A2346CF-32F4-4409-95F3-1C23D2D9C9F5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664" name="AutoShape 12">
          <a:extLst>
            <a:ext uri="{FF2B5EF4-FFF2-40B4-BE49-F238E27FC236}">
              <a16:creationId xmlns:a16="http://schemas.microsoft.com/office/drawing/2014/main" id="{969E4C3D-6DFA-415B-AB7C-BA5A8178DF7E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665" name="AutoShape 12">
          <a:extLst>
            <a:ext uri="{FF2B5EF4-FFF2-40B4-BE49-F238E27FC236}">
              <a16:creationId xmlns:a16="http://schemas.microsoft.com/office/drawing/2014/main" id="{FA71FCB1-B935-45D2-A04D-27B89E3D44E6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666" name="AutoShape 12">
          <a:extLst>
            <a:ext uri="{FF2B5EF4-FFF2-40B4-BE49-F238E27FC236}">
              <a16:creationId xmlns:a16="http://schemas.microsoft.com/office/drawing/2014/main" id="{A5911A25-006F-4AD0-BD3E-BA014716BA26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667" name="AutoShape 12">
          <a:extLst>
            <a:ext uri="{FF2B5EF4-FFF2-40B4-BE49-F238E27FC236}">
              <a16:creationId xmlns:a16="http://schemas.microsoft.com/office/drawing/2014/main" id="{95D6C31F-349B-4816-8313-E035E6082F94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668" name="AutoShape 12">
          <a:extLst>
            <a:ext uri="{FF2B5EF4-FFF2-40B4-BE49-F238E27FC236}">
              <a16:creationId xmlns:a16="http://schemas.microsoft.com/office/drawing/2014/main" id="{3C9429B4-9E3A-4DF3-8F28-BE76285285C8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669" name="AutoShape 12">
          <a:extLst>
            <a:ext uri="{FF2B5EF4-FFF2-40B4-BE49-F238E27FC236}">
              <a16:creationId xmlns:a16="http://schemas.microsoft.com/office/drawing/2014/main" id="{2CF39B2A-D096-4DBE-ACA6-598387852E35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670" name="AutoShape 12">
          <a:extLst>
            <a:ext uri="{FF2B5EF4-FFF2-40B4-BE49-F238E27FC236}">
              <a16:creationId xmlns:a16="http://schemas.microsoft.com/office/drawing/2014/main" id="{F0198720-A8F3-4FD6-B6F6-9F2A79FB4095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671" name="AutoShape 12">
          <a:extLst>
            <a:ext uri="{FF2B5EF4-FFF2-40B4-BE49-F238E27FC236}">
              <a16:creationId xmlns:a16="http://schemas.microsoft.com/office/drawing/2014/main" id="{135C8D8E-5EFE-428F-AF10-8F45CE1AFB85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672" name="AutoShape 12">
          <a:extLst>
            <a:ext uri="{FF2B5EF4-FFF2-40B4-BE49-F238E27FC236}">
              <a16:creationId xmlns:a16="http://schemas.microsoft.com/office/drawing/2014/main" id="{C73B47AC-0990-463F-ADF8-10080E5534C1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673" name="AutoShape 12">
          <a:extLst>
            <a:ext uri="{FF2B5EF4-FFF2-40B4-BE49-F238E27FC236}">
              <a16:creationId xmlns:a16="http://schemas.microsoft.com/office/drawing/2014/main" id="{BB3BFAC2-45FC-4E0D-930A-6F5B0967C8D1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674" name="AutoShape 12">
          <a:extLst>
            <a:ext uri="{FF2B5EF4-FFF2-40B4-BE49-F238E27FC236}">
              <a16:creationId xmlns:a16="http://schemas.microsoft.com/office/drawing/2014/main" id="{C04EC264-BDCF-4EBA-8276-354EAD304A84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675" name="AutoShape 12">
          <a:extLst>
            <a:ext uri="{FF2B5EF4-FFF2-40B4-BE49-F238E27FC236}">
              <a16:creationId xmlns:a16="http://schemas.microsoft.com/office/drawing/2014/main" id="{ADD611B3-1A39-42BA-B5B2-F0674C5F926D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676" name="AutoShape 12">
          <a:extLst>
            <a:ext uri="{FF2B5EF4-FFF2-40B4-BE49-F238E27FC236}">
              <a16:creationId xmlns:a16="http://schemas.microsoft.com/office/drawing/2014/main" id="{67D634C0-E931-44DB-9645-E394190B4ADE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677" name="AutoShape 12">
          <a:extLst>
            <a:ext uri="{FF2B5EF4-FFF2-40B4-BE49-F238E27FC236}">
              <a16:creationId xmlns:a16="http://schemas.microsoft.com/office/drawing/2014/main" id="{2A9A9835-9284-44B1-9B0F-10F7CA19EB10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678" name="AutoShape 12">
          <a:extLst>
            <a:ext uri="{FF2B5EF4-FFF2-40B4-BE49-F238E27FC236}">
              <a16:creationId xmlns:a16="http://schemas.microsoft.com/office/drawing/2014/main" id="{19BAD1BE-8DFD-4A76-979C-6B27A83A7B06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679" name="AutoShape 12">
          <a:extLst>
            <a:ext uri="{FF2B5EF4-FFF2-40B4-BE49-F238E27FC236}">
              <a16:creationId xmlns:a16="http://schemas.microsoft.com/office/drawing/2014/main" id="{6E765757-DA85-4EF3-88A6-BADF40CAB042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680" name="AutoShape 12">
          <a:extLst>
            <a:ext uri="{FF2B5EF4-FFF2-40B4-BE49-F238E27FC236}">
              <a16:creationId xmlns:a16="http://schemas.microsoft.com/office/drawing/2014/main" id="{4ED09FD0-30E6-413D-82C3-65E5560A50EC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681" name="AutoShape 12">
          <a:extLst>
            <a:ext uri="{FF2B5EF4-FFF2-40B4-BE49-F238E27FC236}">
              <a16:creationId xmlns:a16="http://schemas.microsoft.com/office/drawing/2014/main" id="{1DCE7052-16A6-4F69-9A5F-770A350C8973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682" name="AutoShape 12">
          <a:extLst>
            <a:ext uri="{FF2B5EF4-FFF2-40B4-BE49-F238E27FC236}">
              <a16:creationId xmlns:a16="http://schemas.microsoft.com/office/drawing/2014/main" id="{E529AED4-8B2C-4ED9-A2D7-388F94C43A41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683" name="AutoShape 12">
          <a:extLst>
            <a:ext uri="{FF2B5EF4-FFF2-40B4-BE49-F238E27FC236}">
              <a16:creationId xmlns:a16="http://schemas.microsoft.com/office/drawing/2014/main" id="{B8BB0B56-A785-46D8-8C22-F45C2C7378BD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684" name="AutoShape 12">
          <a:extLst>
            <a:ext uri="{FF2B5EF4-FFF2-40B4-BE49-F238E27FC236}">
              <a16:creationId xmlns:a16="http://schemas.microsoft.com/office/drawing/2014/main" id="{258442F6-0E7F-4064-9078-EEE042614952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685" name="AutoShape 12">
          <a:extLst>
            <a:ext uri="{FF2B5EF4-FFF2-40B4-BE49-F238E27FC236}">
              <a16:creationId xmlns:a16="http://schemas.microsoft.com/office/drawing/2014/main" id="{F1D0D593-78F0-4DFC-BCA9-E05A9C72BF08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686" name="AutoShape 12">
          <a:extLst>
            <a:ext uri="{FF2B5EF4-FFF2-40B4-BE49-F238E27FC236}">
              <a16:creationId xmlns:a16="http://schemas.microsoft.com/office/drawing/2014/main" id="{4D2D664E-855E-46B5-9311-9285264D85D1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687" name="AutoShape 12">
          <a:extLst>
            <a:ext uri="{FF2B5EF4-FFF2-40B4-BE49-F238E27FC236}">
              <a16:creationId xmlns:a16="http://schemas.microsoft.com/office/drawing/2014/main" id="{D0AD1417-1FFF-457F-9317-CE1CCEE24CDD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688" name="AutoShape 12">
          <a:extLst>
            <a:ext uri="{FF2B5EF4-FFF2-40B4-BE49-F238E27FC236}">
              <a16:creationId xmlns:a16="http://schemas.microsoft.com/office/drawing/2014/main" id="{11EE58E3-B24F-47F6-9254-93CF7E008E10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689" name="AutoShape 12">
          <a:extLst>
            <a:ext uri="{FF2B5EF4-FFF2-40B4-BE49-F238E27FC236}">
              <a16:creationId xmlns:a16="http://schemas.microsoft.com/office/drawing/2014/main" id="{E35A453B-5053-4C67-A07E-5EE7098E7E8D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690" name="AutoShape 12">
          <a:extLst>
            <a:ext uri="{FF2B5EF4-FFF2-40B4-BE49-F238E27FC236}">
              <a16:creationId xmlns:a16="http://schemas.microsoft.com/office/drawing/2014/main" id="{C4AAC385-C780-4E27-A9D2-FB19055CC1BB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691" name="AutoShape 12">
          <a:extLst>
            <a:ext uri="{FF2B5EF4-FFF2-40B4-BE49-F238E27FC236}">
              <a16:creationId xmlns:a16="http://schemas.microsoft.com/office/drawing/2014/main" id="{B4C34183-14EA-4E55-B138-ED47855C3437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692" name="AutoShape 12">
          <a:extLst>
            <a:ext uri="{FF2B5EF4-FFF2-40B4-BE49-F238E27FC236}">
              <a16:creationId xmlns:a16="http://schemas.microsoft.com/office/drawing/2014/main" id="{EDAEF777-40C4-4122-AFD3-1C4CCDB20467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693" name="AutoShape 12">
          <a:extLst>
            <a:ext uri="{FF2B5EF4-FFF2-40B4-BE49-F238E27FC236}">
              <a16:creationId xmlns:a16="http://schemas.microsoft.com/office/drawing/2014/main" id="{4FF2D493-938E-4475-B1CD-FF3A6E8A5482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694" name="AutoShape 12">
          <a:extLst>
            <a:ext uri="{FF2B5EF4-FFF2-40B4-BE49-F238E27FC236}">
              <a16:creationId xmlns:a16="http://schemas.microsoft.com/office/drawing/2014/main" id="{32F15E8A-07C3-44B8-8CF0-DDE3627C8BCA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695" name="AutoShape 12">
          <a:extLst>
            <a:ext uri="{FF2B5EF4-FFF2-40B4-BE49-F238E27FC236}">
              <a16:creationId xmlns:a16="http://schemas.microsoft.com/office/drawing/2014/main" id="{416FFBEF-DB05-4C0D-8AD4-8A8F1FC5627B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696" name="AutoShape 12">
          <a:extLst>
            <a:ext uri="{FF2B5EF4-FFF2-40B4-BE49-F238E27FC236}">
              <a16:creationId xmlns:a16="http://schemas.microsoft.com/office/drawing/2014/main" id="{8BA5B867-E6B2-444D-B2F2-87ED14170D36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697" name="AutoShape 12">
          <a:extLst>
            <a:ext uri="{FF2B5EF4-FFF2-40B4-BE49-F238E27FC236}">
              <a16:creationId xmlns:a16="http://schemas.microsoft.com/office/drawing/2014/main" id="{32DA8912-AE04-4BE5-A28A-D7EBE946373F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698" name="AutoShape 12">
          <a:extLst>
            <a:ext uri="{FF2B5EF4-FFF2-40B4-BE49-F238E27FC236}">
              <a16:creationId xmlns:a16="http://schemas.microsoft.com/office/drawing/2014/main" id="{0DBDFE8E-7E34-42D3-848A-0F976609AF8B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699" name="AutoShape 12">
          <a:extLst>
            <a:ext uri="{FF2B5EF4-FFF2-40B4-BE49-F238E27FC236}">
              <a16:creationId xmlns:a16="http://schemas.microsoft.com/office/drawing/2014/main" id="{B80D5858-37CA-403D-8EB6-109AED962B8B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700" name="AutoShape 12">
          <a:extLst>
            <a:ext uri="{FF2B5EF4-FFF2-40B4-BE49-F238E27FC236}">
              <a16:creationId xmlns:a16="http://schemas.microsoft.com/office/drawing/2014/main" id="{772B0E7C-81F1-4E82-A25C-166CA028CB4F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701" name="AutoShape 12">
          <a:extLst>
            <a:ext uri="{FF2B5EF4-FFF2-40B4-BE49-F238E27FC236}">
              <a16:creationId xmlns:a16="http://schemas.microsoft.com/office/drawing/2014/main" id="{438FE33E-9741-4838-8834-BC7C0544B0F8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702" name="AutoShape 12">
          <a:extLst>
            <a:ext uri="{FF2B5EF4-FFF2-40B4-BE49-F238E27FC236}">
              <a16:creationId xmlns:a16="http://schemas.microsoft.com/office/drawing/2014/main" id="{262D69F5-7EFF-4280-A19C-AB4578BF54C3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703" name="AutoShape 12">
          <a:extLst>
            <a:ext uri="{FF2B5EF4-FFF2-40B4-BE49-F238E27FC236}">
              <a16:creationId xmlns:a16="http://schemas.microsoft.com/office/drawing/2014/main" id="{31C19513-0F82-4E08-8112-106E0588C624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704" name="AutoShape 12">
          <a:extLst>
            <a:ext uri="{FF2B5EF4-FFF2-40B4-BE49-F238E27FC236}">
              <a16:creationId xmlns:a16="http://schemas.microsoft.com/office/drawing/2014/main" id="{C179E106-AFA8-467E-9950-8425D7C81A47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705" name="AutoShape 12">
          <a:extLst>
            <a:ext uri="{FF2B5EF4-FFF2-40B4-BE49-F238E27FC236}">
              <a16:creationId xmlns:a16="http://schemas.microsoft.com/office/drawing/2014/main" id="{31602D34-9F6E-43EA-A1E4-D2F3503E9938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706" name="AutoShape 12">
          <a:extLst>
            <a:ext uri="{FF2B5EF4-FFF2-40B4-BE49-F238E27FC236}">
              <a16:creationId xmlns:a16="http://schemas.microsoft.com/office/drawing/2014/main" id="{003193E4-612F-45B2-9CC4-5B7CA8E22ADA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707" name="AutoShape 12">
          <a:extLst>
            <a:ext uri="{FF2B5EF4-FFF2-40B4-BE49-F238E27FC236}">
              <a16:creationId xmlns:a16="http://schemas.microsoft.com/office/drawing/2014/main" id="{6A1947FA-37A9-4E75-AEC7-D2AEA079F314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708" name="AutoShape 12">
          <a:extLst>
            <a:ext uri="{FF2B5EF4-FFF2-40B4-BE49-F238E27FC236}">
              <a16:creationId xmlns:a16="http://schemas.microsoft.com/office/drawing/2014/main" id="{C317DB80-692E-4B7D-890C-8335937D62D9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709" name="AutoShape 12">
          <a:extLst>
            <a:ext uri="{FF2B5EF4-FFF2-40B4-BE49-F238E27FC236}">
              <a16:creationId xmlns:a16="http://schemas.microsoft.com/office/drawing/2014/main" id="{1AACBF7A-7A07-4967-A33F-8726A32F3490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710" name="AutoShape 12">
          <a:extLst>
            <a:ext uri="{FF2B5EF4-FFF2-40B4-BE49-F238E27FC236}">
              <a16:creationId xmlns:a16="http://schemas.microsoft.com/office/drawing/2014/main" id="{55AE8EB1-C694-440C-9706-EDFC38DD58F2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711" name="AutoShape 12">
          <a:extLst>
            <a:ext uri="{FF2B5EF4-FFF2-40B4-BE49-F238E27FC236}">
              <a16:creationId xmlns:a16="http://schemas.microsoft.com/office/drawing/2014/main" id="{0E8E86A6-7F69-4061-8F54-B44C9D8EC592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712" name="AutoShape 12">
          <a:extLst>
            <a:ext uri="{FF2B5EF4-FFF2-40B4-BE49-F238E27FC236}">
              <a16:creationId xmlns:a16="http://schemas.microsoft.com/office/drawing/2014/main" id="{95C61DDA-9B22-4CFA-9E44-AD25DD803554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713" name="AutoShape 12">
          <a:extLst>
            <a:ext uri="{FF2B5EF4-FFF2-40B4-BE49-F238E27FC236}">
              <a16:creationId xmlns:a16="http://schemas.microsoft.com/office/drawing/2014/main" id="{15493CDE-0BD4-424E-88F3-3E1E3ED9C7F3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714" name="AutoShape 12">
          <a:extLst>
            <a:ext uri="{FF2B5EF4-FFF2-40B4-BE49-F238E27FC236}">
              <a16:creationId xmlns:a16="http://schemas.microsoft.com/office/drawing/2014/main" id="{68C07375-0757-4BCD-8B20-7DC06533CC03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715" name="AutoShape 12">
          <a:extLst>
            <a:ext uri="{FF2B5EF4-FFF2-40B4-BE49-F238E27FC236}">
              <a16:creationId xmlns:a16="http://schemas.microsoft.com/office/drawing/2014/main" id="{4F83177A-EED9-4355-B64D-33641FD25A68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716" name="AutoShape 12">
          <a:extLst>
            <a:ext uri="{FF2B5EF4-FFF2-40B4-BE49-F238E27FC236}">
              <a16:creationId xmlns:a16="http://schemas.microsoft.com/office/drawing/2014/main" id="{804B8A8C-929A-4A38-9BAF-B6F694CDA555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717" name="AutoShape 12">
          <a:extLst>
            <a:ext uri="{FF2B5EF4-FFF2-40B4-BE49-F238E27FC236}">
              <a16:creationId xmlns:a16="http://schemas.microsoft.com/office/drawing/2014/main" id="{1AE57B75-31EA-452A-AEEE-C8945FE93E02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718" name="AutoShape 12">
          <a:extLst>
            <a:ext uri="{FF2B5EF4-FFF2-40B4-BE49-F238E27FC236}">
              <a16:creationId xmlns:a16="http://schemas.microsoft.com/office/drawing/2014/main" id="{7CCCC405-7C9E-4C6F-9067-1F198E9BBA65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719" name="AutoShape 12">
          <a:extLst>
            <a:ext uri="{FF2B5EF4-FFF2-40B4-BE49-F238E27FC236}">
              <a16:creationId xmlns:a16="http://schemas.microsoft.com/office/drawing/2014/main" id="{26672914-E00A-458A-AF20-4A81427CA62A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720" name="AutoShape 12">
          <a:extLst>
            <a:ext uri="{FF2B5EF4-FFF2-40B4-BE49-F238E27FC236}">
              <a16:creationId xmlns:a16="http://schemas.microsoft.com/office/drawing/2014/main" id="{649A2B4E-CB8F-4136-BE03-1C9B31AACE4A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721" name="AutoShape 12">
          <a:extLst>
            <a:ext uri="{FF2B5EF4-FFF2-40B4-BE49-F238E27FC236}">
              <a16:creationId xmlns:a16="http://schemas.microsoft.com/office/drawing/2014/main" id="{74A870D9-425D-4EFB-9961-465A75B041B4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722" name="AutoShape 12">
          <a:extLst>
            <a:ext uri="{FF2B5EF4-FFF2-40B4-BE49-F238E27FC236}">
              <a16:creationId xmlns:a16="http://schemas.microsoft.com/office/drawing/2014/main" id="{70530237-44F2-4323-90C4-A7238E60DAF4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723" name="AutoShape 12">
          <a:extLst>
            <a:ext uri="{FF2B5EF4-FFF2-40B4-BE49-F238E27FC236}">
              <a16:creationId xmlns:a16="http://schemas.microsoft.com/office/drawing/2014/main" id="{F7678EB0-1D1C-4DF1-B0F5-14A6BCA172F6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724" name="AutoShape 12">
          <a:extLst>
            <a:ext uri="{FF2B5EF4-FFF2-40B4-BE49-F238E27FC236}">
              <a16:creationId xmlns:a16="http://schemas.microsoft.com/office/drawing/2014/main" id="{67F95CB8-D2E2-4E93-8D25-5DADB43B43FE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725" name="AutoShape 12">
          <a:extLst>
            <a:ext uri="{FF2B5EF4-FFF2-40B4-BE49-F238E27FC236}">
              <a16:creationId xmlns:a16="http://schemas.microsoft.com/office/drawing/2014/main" id="{03AF5AE5-E76D-4CD4-A61E-E2B3EA669EB6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726" name="AutoShape 12">
          <a:extLst>
            <a:ext uri="{FF2B5EF4-FFF2-40B4-BE49-F238E27FC236}">
              <a16:creationId xmlns:a16="http://schemas.microsoft.com/office/drawing/2014/main" id="{DBE5E538-9B85-4A0B-A6DB-5EBD24F5A44F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727" name="AutoShape 12">
          <a:extLst>
            <a:ext uri="{FF2B5EF4-FFF2-40B4-BE49-F238E27FC236}">
              <a16:creationId xmlns:a16="http://schemas.microsoft.com/office/drawing/2014/main" id="{73BE652F-DB6E-4593-927F-0566A1071768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728" name="AutoShape 12">
          <a:extLst>
            <a:ext uri="{FF2B5EF4-FFF2-40B4-BE49-F238E27FC236}">
              <a16:creationId xmlns:a16="http://schemas.microsoft.com/office/drawing/2014/main" id="{049D0058-C280-42F5-B002-A2D0D6835AC9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729" name="AutoShape 12">
          <a:extLst>
            <a:ext uri="{FF2B5EF4-FFF2-40B4-BE49-F238E27FC236}">
              <a16:creationId xmlns:a16="http://schemas.microsoft.com/office/drawing/2014/main" id="{D1020CBC-5926-45D3-91EC-39EE537E0203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730" name="AutoShape 12">
          <a:extLst>
            <a:ext uri="{FF2B5EF4-FFF2-40B4-BE49-F238E27FC236}">
              <a16:creationId xmlns:a16="http://schemas.microsoft.com/office/drawing/2014/main" id="{0D1606A3-0835-44D2-9B77-FA459A534B87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731" name="AutoShape 12">
          <a:extLst>
            <a:ext uri="{FF2B5EF4-FFF2-40B4-BE49-F238E27FC236}">
              <a16:creationId xmlns:a16="http://schemas.microsoft.com/office/drawing/2014/main" id="{EAEEC32F-B06A-4C1E-87D7-797F34B976CE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732" name="AutoShape 12">
          <a:extLst>
            <a:ext uri="{FF2B5EF4-FFF2-40B4-BE49-F238E27FC236}">
              <a16:creationId xmlns:a16="http://schemas.microsoft.com/office/drawing/2014/main" id="{43D869F3-877D-4053-A0C4-4AE6950055AC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733" name="AutoShape 12">
          <a:extLst>
            <a:ext uri="{FF2B5EF4-FFF2-40B4-BE49-F238E27FC236}">
              <a16:creationId xmlns:a16="http://schemas.microsoft.com/office/drawing/2014/main" id="{10462797-11CF-4EDB-B0A6-D9734A3C1C38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734" name="AutoShape 12">
          <a:extLst>
            <a:ext uri="{FF2B5EF4-FFF2-40B4-BE49-F238E27FC236}">
              <a16:creationId xmlns:a16="http://schemas.microsoft.com/office/drawing/2014/main" id="{082D660B-5DBD-4092-BB7A-EBE26A76C073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735" name="AutoShape 12">
          <a:extLst>
            <a:ext uri="{FF2B5EF4-FFF2-40B4-BE49-F238E27FC236}">
              <a16:creationId xmlns:a16="http://schemas.microsoft.com/office/drawing/2014/main" id="{BBC7E3E5-1ED0-423B-967F-38647498DC62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736" name="AutoShape 12">
          <a:extLst>
            <a:ext uri="{FF2B5EF4-FFF2-40B4-BE49-F238E27FC236}">
              <a16:creationId xmlns:a16="http://schemas.microsoft.com/office/drawing/2014/main" id="{8FAF0196-B91E-4BEB-8BF9-8091933D09F0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737" name="AutoShape 12">
          <a:extLst>
            <a:ext uri="{FF2B5EF4-FFF2-40B4-BE49-F238E27FC236}">
              <a16:creationId xmlns:a16="http://schemas.microsoft.com/office/drawing/2014/main" id="{6B065F46-243C-4D47-BDD4-B9BA3E272E10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738" name="AutoShape 12">
          <a:extLst>
            <a:ext uri="{FF2B5EF4-FFF2-40B4-BE49-F238E27FC236}">
              <a16:creationId xmlns:a16="http://schemas.microsoft.com/office/drawing/2014/main" id="{63C260B7-254B-4D6B-864F-89AB67DC62F3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739" name="AutoShape 12">
          <a:extLst>
            <a:ext uri="{FF2B5EF4-FFF2-40B4-BE49-F238E27FC236}">
              <a16:creationId xmlns:a16="http://schemas.microsoft.com/office/drawing/2014/main" id="{069E0A20-7206-4F1C-8FAD-340D7BB20B45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740" name="AutoShape 12">
          <a:extLst>
            <a:ext uri="{FF2B5EF4-FFF2-40B4-BE49-F238E27FC236}">
              <a16:creationId xmlns:a16="http://schemas.microsoft.com/office/drawing/2014/main" id="{E8F34378-D2EC-4412-A44C-555EEC74AD1C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741" name="AutoShape 12">
          <a:extLst>
            <a:ext uri="{FF2B5EF4-FFF2-40B4-BE49-F238E27FC236}">
              <a16:creationId xmlns:a16="http://schemas.microsoft.com/office/drawing/2014/main" id="{94FADEA9-DECE-47D9-8BCD-9F956DD4FD9A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742" name="AutoShape 12">
          <a:extLst>
            <a:ext uri="{FF2B5EF4-FFF2-40B4-BE49-F238E27FC236}">
              <a16:creationId xmlns:a16="http://schemas.microsoft.com/office/drawing/2014/main" id="{11DF1C75-7A91-4434-BBD3-A7537130FA32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743" name="AutoShape 12">
          <a:extLst>
            <a:ext uri="{FF2B5EF4-FFF2-40B4-BE49-F238E27FC236}">
              <a16:creationId xmlns:a16="http://schemas.microsoft.com/office/drawing/2014/main" id="{0C68BFED-8F91-4ACA-A2CB-134DF290EDC0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744" name="AutoShape 12">
          <a:extLst>
            <a:ext uri="{FF2B5EF4-FFF2-40B4-BE49-F238E27FC236}">
              <a16:creationId xmlns:a16="http://schemas.microsoft.com/office/drawing/2014/main" id="{C6F44484-D3D6-435E-890F-0907BDBD8D5B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745" name="AutoShape 12">
          <a:extLst>
            <a:ext uri="{FF2B5EF4-FFF2-40B4-BE49-F238E27FC236}">
              <a16:creationId xmlns:a16="http://schemas.microsoft.com/office/drawing/2014/main" id="{24083A11-23FD-42FA-A80B-70E68017C823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746" name="AutoShape 12">
          <a:extLst>
            <a:ext uri="{FF2B5EF4-FFF2-40B4-BE49-F238E27FC236}">
              <a16:creationId xmlns:a16="http://schemas.microsoft.com/office/drawing/2014/main" id="{661B32FD-3F42-4A5D-8926-802EE8E9FA7D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747" name="AutoShape 12">
          <a:extLst>
            <a:ext uri="{FF2B5EF4-FFF2-40B4-BE49-F238E27FC236}">
              <a16:creationId xmlns:a16="http://schemas.microsoft.com/office/drawing/2014/main" id="{F8372920-B635-4DDA-88AF-D0F4820A4D4B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748" name="AutoShape 12">
          <a:extLst>
            <a:ext uri="{FF2B5EF4-FFF2-40B4-BE49-F238E27FC236}">
              <a16:creationId xmlns:a16="http://schemas.microsoft.com/office/drawing/2014/main" id="{1A5BE980-2A6D-4E6D-A750-B56BA344F996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749" name="AutoShape 12">
          <a:extLst>
            <a:ext uri="{FF2B5EF4-FFF2-40B4-BE49-F238E27FC236}">
              <a16:creationId xmlns:a16="http://schemas.microsoft.com/office/drawing/2014/main" id="{C4E741A4-8241-4BEB-BF4C-6D66B1AD2681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750" name="AutoShape 12">
          <a:extLst>
            <a:ext uri="{FF2B5EF4-FFF2-40B4-BE49-F238E27FC236}">
              <a16:creationId xmlns:a16="http://schemas.microsoft.com/office/drawing/2014/main" id="{D122F8CF-4504-48B7-9ADF-DACEE837A17A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751" name="AutoShape 12">
          <a:extLst>
            <a:ext uri="{FF2B5EF4-FFF2-40B4-BE49-F238E27FC236}">
              <a16:creationId xmlns:a16="http://schemas.microsoft.com/office/drawing/2014/main" id="{0E9143A2-D5C6-463F-AC23-60B57FEA32E7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752" name="AutoShape 12">
          <a:extLst>
            <a:ext uri="{FF2B5EF4-FFF2-40B4-BE49-F238E27FC236}">
              <a16:creationId xmlns:a16="http://schemas.microsoft.com/office/drawing/2014/main" id="{E3B51AFB-D20F-494F-8CDA-3D333091D49E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753" name="AutoShape 12">
          <a:extLst>
            <a:ext uri="{FF2B5EF4-FFF2-40B4-BE49-F238E27FC236}">
              <a16:creationId xmlns:a16="http://schemas.microsoft.com/office/drawing/2014/main" id="{FA4919BC-3D82-4E93-9D7E-4552F82246D0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754" name="AutoShape 12">
          <a:extLst>
            <a:ext uri="{FF2B5EF4-FFF2-40B4-BE49-F238E27FC236}">
              <a16:creationId xmlns:a16="http://schemas.microsoft.com/office/drawing/2014/main" id="{09C0B13F-6C06-4D76-BDEC-3247D1B2F2D0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755" name="AutoShape 12">
          <a:extLst>
            <a:ext uri="{FF2B5EF4-FFF2-40B4-BE49-F238E27FC236}">
              <a16:creationId xmlns:a16="http://schemas.microsoft.com/office/drawing/2014/main" id="{44AA5BA3-974C-495E-8A52-2039B6070A2A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756" name="AutoShape 12">
          <a:extLst>
            <a:ext uri="{FF2B5EF4-FFF2-40B4-BE49-F238E27FC236}">
              <a16:creationId xmlns:a16="http://schemas.microsoft.com/office/drawing/2014/main" id="{06E0C924-5C20-456F-B1C8-04E1CAFF0D27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757" name="AutoShape 12">
          <a:extLst>
            <a:ext uri="{FF2B5EF4-FFF2-40B4-BE49-F238E27FC236}">
              <a16:creationId xmlns:a16="http://schemas.microsoft.com/office/drawing/2014/main" id="{E2941C4C-F7AF-4A9D-B1D6-2E4C986232AF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758" name="AutoShape 12">
          <a:extLst>
            <a:ext uri="{FF2B5EF4-FFF2-40B4-BE49-F238E27FC236}">
              <a16:creationId xmlns:a16="http://schemas.microsoft.com/office/drawing/2014/main" id="{3B7C640E-6883-47A1-876D-2A4625B47E9D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759" name="AutoShape 12">
          <a:extLst>
            <a:ext uri="{FF2B5EF4-FFF2-40B4-BE49-F238E27FC236}">
              <a16:creationId xmlns:a16="http://schemas.microsoft.com/office/drawing/2014/main" id="{2C31DC4C-2281-4647-AC2A-30843A5FE0DE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760" name="AutoShape 12">
          <a:extLst>
            <a:ext uri="{FF2B5EF4-FFF2-40B4-BE49-F238E27FC236}">
              <a16:creationId xmlns:a16="http://schemas.microsoft.com/office/drawing/2014/main" id="{2EE4128F-6A2D-4AE2-85BD-FC9F7A5AD91C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761" name="AutoShape 12">
          <a:extLst>
            <a:ext uri="{FF2B5EF4-FFF2-40B4-BE49-F238E27FC236}">
              <a16:creationId xmlns:a16="http://schemas.microsoft.com/office/drawing/2014/main" id="{020CD3C2-0B8E-492E-8A52-B5E615B9777A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762" name="AutoShape 12">
          <a:extLst>
            <a:ext uri="{FF2B5EF4-FFF2-40B4-BE49-F238E27FC236}">
              <a16:creationId xmlns:a16="http://schemas.microsoft.com/office/drawing/2014/main" id="{FF904255-5C05-4453-8239-556FC6695018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763" name="AutoShape 12">
          <a:extLst>
            <a:ext uri="{FF2B5EF4-FFF2-40B4-BE49-F238E27FC236}">
              <a16:creationId xmlns:a16="http://schemas.microsoft.com/office/drawing/2014/main" id="{4D1B0E30-5675-40DB-80AF-57554125D4DB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764" name="AutoShape 12">
          <a:extLst>
            <a:ext uri="{FF2B5EF4-FFF2-40B4-BE49-F238E27FC236}">
              <a16:creationId xmlns:a16="http://schemas.microsoft.com/office/drawing/2014/main" id="{3629E7D6-4653-4495-B31E-81BA8CB6DF52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765" name="AutoShape 12">
          <a:extLst>
            <a:ext uri="{FF2B5EF4-FFF2-40B4-BE49-F238E27FC236}">
              <a16:creationId xmlns:a16="http://schemas.microsoft.com/office/drawing/2014/main" id="{E07469BF-752F-4BB6-AF00-C345E8B52199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766" name="AutoShape 12">
          <a:extLst>
            <a:ext uri="{FF2B5EF4-FFF2-40B4-BE49-F238E27FC236}">
              <a16:creationId xmlns:a16="http://schemas.microsoft.com/office/drawing/2014/main" id="{83CAE974-F80C-46FE-BD18-59A4D067147B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767" name="AutoShape 12">
          <a:extLst>
            <a:ext uri="{FF2B5EF4-FFF2-40B4-BE49-F238E27FC236}">
              <a16:creationId xmlns:a16="http://schemas.microsoft.com/office/drawing/2014/main" id="{3ED2A9EC-10BB-4901-9F9A-D4A6C9C28676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768" name="AutoShape 12">
          <a:extLst>
            <a:ext uri="{FF2B5EF4-FFF2-40B4-BE49-F238E27FC236}">
              <a16:creationId xmlns:a16="http://schemas.microsoft.com/office/drawing/2014/main" id="{413E0A90-8103-47E8-996D-8A27E1FBB820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769" name="AutoShape 12">
          <a:extLst>
            <a:ext uri="{FF2B5EF4-FFF2-40B4-BE49-F238E27FC236}">
              <a16:creationId xmlns:a16="http://schemas.microsoft.com/office/drawing/2014/main" id="{CD57D228-2064-433E-970D-0DD313E6647F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770" name="AutoShape 12">
          <a:extLst>
            <a:ext uri="{FF2B5EF4-FFF2-40B4-BE49-F238E27FC236}">
              <a16:creationId xmlns:a16="http://schemas.microsoft.com/office/drawing/2014/main" id="{E94385B2-29AB-490F-BCC2-4F1281718044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771" name="AutoShape 12">
          <a:extLst>
            <a:ext uri="{FF2B5EF4-FFF2-40B4-BE49-F238E27FC236}">
              <a16:creationId xmlns:a16="http://schemas.microsoft.com/office/drawing/2014/main" id="{E802DA7A-3735-4EAD-A7DC-842C28940A5B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772" name="AutoShape 12">
          <a:extLst>
            <a:ext uri="{FF2B5EF4-FFF2-40B4-BE49-F238E27FC236}">
              <a16:creationId xmlns:a16="http://schemas.microsoft.com/office/drawing/2014/main" id="{6BBF6FD4-94A6-4BF4-A816-33E3800A9801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773" name="AutoShape 12">
          <a:extLst>
            <a:ext uri="{FF2B5EF4-FFF2-40B4-BE49-F238E27FC236}">
              <a16:creationId xmlns:a16="http://schemas.microsoft.com/office/drawing/2014/main" id="{8C4962D2-B08D-44D2-AB30-6C78D8F94A40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774" name="AutoShape 12">
          <a:extLst>
            <a:ext uri="{FF2B5EF4-FFF2-40B4-BE49-F238E27FC236}">
              <a16:creationId xmlns:a16="http://schemas.microsoft.com/office/drawing/2014/main" id="{359AAC04-5B1F-4892-819B-639137AD293F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775" name="AutoShape 12">
          <a:extLst>
            <a:ext uri="{FF2B5EF4-FFF2-40B4-BE49-F238E27FC236}">
              <a16:creationId xmlns:a16="http://schemas.microsoft.com/office/drawing/2014/main" id="{D98C92B2-0F90-45F8-9EFF-160947781F57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776" name="AutoShape 12">
          <a:extLst>
            <a:ext uri="{FF2B5EF4-FFF2-40B4-BE49-F238E27FC236}">
              <a16:creationId xmlns:a16="http://schemas.microsoft.com/office/drawing/2014/main" id="{FAD9D50D-88F9-4289-A1E3-919A63876B0E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777" name="AutoShape 12">
          <a:extLst>
            <a:ext uri="{FF2B5EF4-FFF2-40B4-BE49-F238E27FC236}">
              <a16:creationId xmlns:a16="http://schemas.microsoft.com/office/drawing/2014/main" id="{F2FC6937-525B-44C7-A9FB-6B4DA588A898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778" name="AutoShape 12">
          <a:extLst>
            <a:ext uri="{FF2B5EF4-FFF2-40B4-BE49-F238E27FC236}">
              <a16:creationId xmlns:a16="http://schemas.microsoft.com/office/drawing/2014/main" id="{7498FA1A-AB86-463A-AAA8-67E0E51CC5C7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779" name="AutoShape 12">
          <a:extLst>
            <a:ext uri="{FF2B5EF4-FFF2-40B4-BE49-F238E27FC236}">
              <a16:creationId xmlns:a16="http://schemas.microsoft.com/office/drawing/2014/main" id="{1B700A11-7968-4E23-8D6E-E2CAC8B1B908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780" name="AutoShape 12">
          <a:extLst>
            <a:ext uri="{FF2B5EF4-FFF2-40B4-BE49-F238E27FC236}">
              <a16:creationId xmlns:a16="http://schemas.microsoft.com/office/drawing/2014/main" id="{B024BD8F-F9AE-4B8B-BEA2-04C63C51FFB3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781" name="AutoShape 12">
          <a:extLst>
            <a:ext uri="{FF2B5EF4-FFF2-40B4-BE49-F238E27FC236}">
              <a16:creationId xmlns:a16="http://schemas.microsoft.com/office/drawing/2014/main" id="{BA3B7473-F4DE-4297-BE66-65703F3A4879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782" name="AutoShape 12">
          <a:extLst>
            <a:ext uri="{FF2B5EF4-FFF2-40B4-BE49-F238E27FC236}">
              <a16:creationId xmlns:a16="http://schemas.microsoft.com/office/drawing/2014/main" id="{4463FC04-1C79-4E99-AEDA-01B686827EDB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783" name="AutoShape 12">
          <a:extLst>
            <a:ext uri="{FF2B5EF4-FFF2-40B4-BE49-F238E27FC236}">
              <a16:creationId xmlns:a16="http://schemas.microsoft.com/office/drawing/2014/main" id="{394B40AA-81FF-4E18-A6B2-1EF2A1F8D3E8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784" name="AutoShape 12">
          <a:extLst>
            <a:ext uri="{FF2B5EF4-FFF2-40B4-BE49-F238E27FC236}">
              <a16:creationId xmlns:a16="http://schemas.microsoft.com/office/drawing/2014/main" id="{0A73387B-2642-4D5E-AD9C-3C73F2E60100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785" name="AutoShape 12">
          <a:extLst>
            <a:ext uri="{FF2B5EF4-FFF2-40B4-BE49-F238E27FC236}">
              <a16:creationId xmlns:a16="http://schemas.microsoft.com/office/drawing/2014/main" id="{3FC05A6D-70BE-4ECA-B60B-3C8983856051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786" name="AutoShape 12">
          <a:extLst>
            <a:ext uri="{FF2B5EF4-FFF2-40B4-BE49-F238E27FC236}">
              <a16:creationId xmlns:a16="http://schemas.microsoft.com/office/drawing/2014/main" id="{21E60933-1BF7-4AC2-9023-3C62712CBF3D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787" name="AutoShape 12">
          <a:extLst>
            <a:ext uri="{FF2B5EF4-FFF2-40B4-BE49-F238E27FC236}">
              <a16:creationId xmlns:a16="http://schemas.microsoft.com/office/drawing/2014/main" id="{B34D6099-478A-4C2B-A695-4BD067D232F8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788" name="AutoShape 12">
          <a:extLst>
            <a:ext uri="{FF2B5EF4-FFF2-40B4-BE49-F238E27FC236}">
              <a16:creationId xmlns:a16="http://schemas.microsoft.com/office/drawing/2014/main" id="{CDC7273C-D43C-4CD2-9CDA-A70D7792046A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789" name="AutoShape 12">
          <a:extLst>
            <a:ext uri="{FF2B5EF4-FFF2-40B4-BE49-F238E27FC236}">
              <a16:creationId xmlns:a16="http://schemas.microsoft.com/office/drawing/2014/main" id="{77F45F80-007F-4BC7-AB05-00CE2E806FF3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790" name="AutoShape 12">
          <a:extLst>
            <a:ext uri="{FF2B5EF4-FFF2-40B4-BE49-F238E27FC236}">
              <a16:creationId xmlns:a16="http://schemas.microsoft.com/office/drawing/2014/main" id="{80168C5D-E38D-47CB-80C0-DA5697CEA16A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791" name="AutoShape 12">
          <a:extLst>
            <a:ext uri="{FF2B5EF4-FFF2-40B4-BE49-F238E27FC236}">
              <a16:creationId xmlns:a16="http://schemas.microsoft.com/office/drawing/2014/main" id="{0C187212-8F70-4C6F-B649-3745C0A941FD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792" name="AutoShape 12">
          <a:extLst>
            <a:ext uri="{FF2B5EF4-FFF2-40B4-BE49-F238E27FC236}">
              <a16:creationId xmlns:a16="http://schemas.microsoft.com/office/drawing/2014/main" id="{4230DE54-F1E4-49EE-9287-EBD1988C4EB1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793" name="AutoShape 12">
          <a:extLst>
            <a:ext uri="{FF2B5EF4-FFF2-40B4-BE49-F238E27FC236}">
              <a16:creationId xmlns:a16="http://schemas.microsoft.com/office/drawing/2014/main" id="{646F4F40-FC6D-4EF6-9A59-38E495B26DEA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794" name="AutoShape 12">
          <a:extLst>
            <a:ext uri="{FF2B5EF4-FFF2-40B4-BE49-F238E27FC236}">
              <a16:creationId xmlns:a16="http://schemas.microsoft.com/office/drawing/2014/main" id="{C4140796-6CF9-4A07-A029-51655C5BCBD2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795" name="AutoShape 12">
          <a:extLst>
            <a:ext uri="{FF2B5EF4-FFF2-40B4-BE49-F238E27FC236}">
              <a16:creationId xmlns:a16="http://schemas.microsoft.com/office/drawing/2014/main" id="{89E22409-F592-443B-B9CA-42AF8B1BC40F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796" name="AutoShape 12">
          <a:extLst>
            <a:ext uri="{FF2B5EF4-FFF2-40B4-BE49-F238E27FC236}">
              <a16:creationId xmlns:a16="http://schemas.microsoft.com/office/drawing/2014/main" id="{7034ADEF-E5C0-4B26-8FCD-EE0A3523DB30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797" name="AutoShape 12">
          <a:extLst>
            <a:ext uri="{FF2B5EF4-FFF2-40B4-BE49-F238E27FC236}">
              <a16:creationId xmlns:a16="http://schemas.microsoft.com/office/drawing/2014/main" id="{89FBB8A6-7914-4221-BAAE-79E69598BCF2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798" name="AutoShape 12">
          <a:extLst>
            <a:ext uri="{FF2B5EF4-FFF2-40B4-BE49-F238E27FC236}">
              <a16:creationId xmlns:a16="http://schemas.microsoft.com/office/drawing/2014/main" id="{0D8D7318-09BE-4C88-8834-3E65EE3B11E7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799" name="AutoShape 12">
          <a:extLst>
            <a:ext uri="{FF2B5EF4-FFF2-40B4-BE49-F238E27FC236}">
              <a16:creationId xmlns:a16="http://schemas.microsoft.com/office/drawing/2014/main" id="{4D1C8BBB-D4C6-463D-B91C-7B327BC0C060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800" name="AutoShape 12">
          <a:extLst>
            <a:ext uri="{FF2B5EF4-FFF2-40B4-BE49-F238E27FC236}">
              <a16:creationId xmlns:a16="http://schemas.microsoft.com/office/drawing/2014/main" id="{43A56635-52D4-46BE-B2B2-A7E7669B3C52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801" name="AutoShape 12">
          <a:extLst>
            <a:ext uri="{FF2B5EF4-FFF2-40B4-BE49-F238E27FC236}">
              <a16:creationId xmlns:a16="http://schemas.microsoft.com/office/drawing/2014/main" id="{0E74C3F2-2402-432C-9B08-9028B473BC38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802" name="AutoShape 12">
          <a:extLst>
            <a:ext uri="{FF2B5EF4-FFF2-40B4-BE49-F238E27FC236}">
              <a16:creationId xmlns:a16="http://schemas.microsoft.com/office/drawing/2014/main" id="{45EC19E6-C0BD-411D-A99C-60B04030AD17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803" name="AutoShape 12">
          <a:extLst>
            <a:ext uri="{FF2B5EF4-FFF2-40B4-BE49-F238E27FC236}">
              <a16:creationId xmlns:a16="http://schemas.microsoft.com/office/drawing/2014/main" id="{1DA98333-4F00-42B7-AD6A-EF59A052FCED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804" name="AutoShape 12">
          <a:extLst>
            <a:ext uri="{FF2B5EF4-FFF2-40B4-BE49-F238E27FC236}">
              <a16:creationId xmlns:a16="http://schemas.microsoft.com/office/drawing/2014/main" id="{A4028F50-3B2B-40E6-9B9C-FAB6062CE36F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805" name="AutoShape 12">
          <a:extLst>
            <a:ext uri="{FF2B5EF4-FFF2-40B4-BE49-F238E27FC236}">
              <a16:creationId xmlns:a16="http://schemas.microsoft.com/office/drawing/2014/main" id="{25F0F60E-FC0F-4E4E-8B96-FE02ED60CAAF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806" name="AutoShape 12">
          <a:extLst>
            <a:ext uri="{FF2B5EF4-FFF2-40B4-BE49-F238E27FC236}">
              <a16:creationId xmlns:a16="http://schemas.microsoft.com/office/drawing/2014/main" id="{F88FF927-7078-4EC8-B7F4-4890384BFF8F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807" name="AutoShape 12">
          <a:extLst>
            <a:ext uri="{FF2B5EF4-FFF2-40B4-BE49-F238E27FC236}">
              <a16:creationId xmlns:a16="http://schemas.microsoft.com/office/drawing/2014/main" id="{385570E4-10D7-49B8-8CA5-AD5A69969A3B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808" name="AutoShape 12">
          <a:extLst>
            <a:ext uri="{FF2B5EF4-FFF2-40B4-BE49-F238E27FC236}">
              <a16:creationId xmlns:a16="http://schemas.microsoft.com/office/drawing/2014/main" id="{899EC939-16D7-4E2C-8207-663CE4F98574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809" name="AutoShape 12">
          <a:extLst>
            <a:ext uri="{FF2B5EF4-FFF2-40B4-BE49-F238E27FC236}">
              <a16:creationId xmlns:a16="http://schemas.microsoft.com/office/drawing/2014/main" id="{380DB2B7-D784-48C8-9694-7AACE7B5CE10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810" name="AutoShape 12">
          <a:extLst>
            <a:ext uri="{FF2B5EF4-FFF2-40B4-BE49-F238E27FC236}">
              <a16:creationId xmlns:a16="http://schemas.microsoft.com/office/drawing/2014/main" id="{A3728801-52A6-4C60-B320-C6A2DA357D2A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811" name="AutoShape 12">
          <a:extLst>
            <a:ext uri="{FF2B5EF4-FFF2-40B4-BE49-F238E27FC236}">
              <a16:creationId xmlns:a16="http://schemas.microsoft.com/office/drawing/2014/main" id="{8D130F0B-AC33-45AC-B408-191A339DF2D6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812" name="AutoShape 12">
          <a:extLst>
            <a:ext uri="{FF2B5EF4-FFF2-40B4-BE49-F238E27FC236}">
              <a16:creationId xmlns:a16="http://schemas.microsoft.com/office/drawing/2014/main" id="{B7F242DD-551C-482E-BB5B-1D9A8E98A160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813" name="AutoShape 12">
          <a:extLst>
            <a:ext uri="{FF2B5EF4-FFF2-40B4-BE49-F238E27FC236}">
              <a16:creationId xmlns:a16="http://schemas.microsoft.com/office/drawing/2014/main" id="{EA301FEA-2EAF-44EC-A611-8FA31DCE9CD6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814" name="AutoShape 12">
          <a:extLst>
            <a:ext uri="{FF2B5EF4-FFF2-40B4-BE49-F238E27FC236}">
              <a16:creationId xmlns:a16="http://schemas.microsoft.com/office/drawing/2014/main" id="{EC1BFB3B-F88F-42BC-848D-5BA72C5C55D9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815" name="AutoShape 12">
          <a:extLst>
            <a:ext uri="{FF2B5EF4-FFF2-40B4-BE49-F238E27FC236}">
              <a16:creationId xmlns:a16="http://schemas.microsoft.com/office/drawing/2014/main" id="{93F52DAF-DE36-49F6-8913-B55ED0C80F63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816" name="AutoShape 12">
          <a:extLst>
            <a:ext uri="{FF2B5EF4-FFF2-40B4-BE49-F238E27FC236}">
              <a16:creationId xmlns:a16="http://schemas.microsoft.com/office/drawing/2014/main" id="{0B1AF3C8-05C7-4B89-94D5-566995B16E91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817" name="AutoShape 12">
          <a:extLst>
            <a:ext uri="{FF2B5EF4-FFF2-40B4-BE49-F238E27FC236}">
              <a16:creationId xmlns:a16="http://schemas.microsoft.com/office/drawing/2014/main" id="{71AA49E3-AE6A-4173-8142-70BC078D7261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818" name="AutoShape 12">
          <a:extLst>
            <a:ext uri="{FF2B5EF4-FFF2-40B4-BE49-F238E27FC236}">
              <a16:creationId xmlns:a16="http://schemas.microsoft.com/office/drawing/2014/main" id="{8FC5BFE0-B3BA-4587-AFD2-D99777F11C19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819" name="AutoShape 12">
          <a:extLst>
            <a:ext uri="{FF2B5EF4-FFF2-40B4-BE49-F238E27FC236}">
              <a16:creationId xmlns:a16="http://schemas.microsoft.com/office/drawing/2014/main" id="{E37A6C5E-4D76-41F8-BCC1-06F034B70363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820" name="AutoShape 12">
          <a:extLst>
            <a:ext uri="{FF2B5EF4-FFF2-40B4-BE49-F238E27FC236}">
              <a16:creationId xmlns:a16="http://schemas.microsoft.com/office/drawing/2014/main" id="{EE846CD2-5712-4A65-8B99-2E44F77FF11E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821" name="AutoShape 12">
          <a:extLst>
            <a:ext uri="{FF2B5EF4-FFF2-40B4-BE49-F238E27FC236}">
              <a16:creationId xmlns:a16="http://schemas.microsoft.com/office/drawing/2014/main" id="{E4ADFC29-BB66-4920-8BA7-72B33F181A98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822" name="AutoShape 12">
          <a:extLst>
            <a:ext uri="{FF2B5EF4-FFF2-40B4-BE49-F238E27FC236}">
              <a16:creationId xmlns:a16="http://schemas.microsoft.com/office/drawing/2014/main" id="{A70773AB-6287-49E7-95F6-98FF0ADA796A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823" name="AutoShape 12">
          <a:extLst>
            <a:ext uri="{FF2B5EF4-FFF2-40B4-BE49-F238E27FC236}">
              <a16:creationId xmlns:a16="http://schemas.microsoft.com/office/drawing/2014/main" id="{908ECB70-22E7-40C7-B28D-4B7B06A31514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824" name="AutoShape 12">
          <a:extLst>
            <a:ext uri="{FF2B5EF4-FFF2-40B4-BE49-F238E27FC236}">
              <a16:creationId xmlns:a16="http://schemas.microsoft.com/office/drawing/2014/main" id="{F6C07B7B-69D8-49C9-8DE3-8FACBD95E3C2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825" name="AutoShape 12">
          <a:extLst>
            <a:ext uri="{FF2B5EF4-FFF2-40B4-BE49-F238E27FC236}">
              <a16:creationId xmlns:a16="http://schemas.microsoft.com/office/drawing/2014/main" id="{418887F7-16F1-45AB-8BB0-06979FB8FDAA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826" name="AutoShape 12">
          <a:extLst>
            <a:ext uri="{FF2B5EF4-FFF2-40B4-BE49-F238E27FC236}">
              <a16:creationId xmlns:a16="http://schemas.microsoft.com/office/drawing/2014/main" id="{5AF4ED7C-26C8-4C7F-8410-020E42D66423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827" name="AutoShape 12">
          <a:extLst>
            <a:ext uri="{FF2B5EF4-FFF2-40B4-BE49-F238E27FC236}">
              <a16:creationId xmlns:a16="http://schemas.microsoft.com/office/drawing/2014/main" id="{7E3ABDD8-3788-4E39-86E0-095F85197A1E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828" name="AutoShape 12">
          <a:extLst>
            <a:ext uri="{FF2B5EF4-FFF2-40B4-BE49-F238E27FC236}">
              <a16:creationId xmlns:a16="http://schemas.microsoft.com/office/drawing/2014/main" id="{7213A98D-2201-43EB-837A-0CF79EE825E0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829" name="AutoShape 12">
          <a:extLst>
            <a:ext uri="{FF2B5EF4-FFF2-40B4-BE49-F238E27FC236}">
              <a16:creationId xmlns:a16="http://schemas.microsoft.com/office/drawing/2014/main" id="{28110E23-F7E0-4FBB-A7D8-BF034A308DA3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830" name="AutoShape 12">
          <a:extLst>
            <a:ext uri="{FF2B5EF4-FFF2-40B4-BE49-F238E27FC236}">
              <a16:creationId xmlns:a16="http://schemas.microsoft.com/office/drawing/2014/main" id="{B15D0B68-B502-4A2E-AF16-0207C199C573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831" name="AutoShape 12">
          <a:extLst>
            <a:ext uri="{FF2B5EF4-FFF2-40B4-BE49-F238E27FC236}">
              <a16:creationId xmlns:a16="http://schemas.microsoft.com/office/drawing/2014/main" id="{5B0B3702-5506-410A-A953-B6202B3B13C6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832" name="AutoShape 12">
          <a:extLst>
            <a:ext uri="{FF2B5EF4-FFF2-40B4-BE49-F238E27FC236}">
              <a16:creationId xmlns:a16="http://schemas.microsoft.com/office/drawing/2014/main" id="{8F9C625B-074C-4F4A-9DC1-8AF6F24A9505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833" name="AutoShape 12">
          <a:extLst>
            <a:ext uri="{FF2B5EF4-FFF2-40B4-BE49-F238E27FC236}">
              <a16:creationId xmlns:a16="http://schemas.microsoft.com/office/drawing/2014/main" id="{22AB82DE-52D0-43D0-BDAA-A4B5C0E105F7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834" name="AutoShape 12">
          <a:extLst>
            <a:ext uri="{FF2B5EF4-FFF2-40B4-BE49-F238E27FC236}">
              <a16:creationId xmlns:a16="http://schemas.microsoft.com/office/drawing/2014/main" id="{B0EDA7F0-96BB-4AE1-BC55-C573B80057D2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835" name="AutoShape 12">
          <a:extLst>
            <a:ext uri="{FF2B5EF4-FFF2-40B4-BE49-F238E27FC236}">
              <a16:creationId xmlns:a16="http://schemas.microsoft.com/office/drawing/2014/main" id="{6AF93977-6BBE-42A3-97D8-1996E08F2EB0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836" name="AutoShape 12">
          <a:extLst>
            <a:ext uri="{FF2B5EF4-FFF2-40B4-BE49-F238E27FC236}">
              <a16:creationId xmlns:a16="http://schemas.microsoft.com/office/drawing/2014/main" id="{C883FA0A-F233-49EE-AFEB-F9B4C7313553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837" name="AutoShape 12">
          <a:extLst>
            <a:ext uri="{FF2B5EF4-FFF2-40B4-BE49-F238E27FC236}">
              <a16:creationId xmlns:a16="http://schemas.microsoft.com/office/drawing/2014/main" id="{0DA12B43-FB68-492B-8E1A-9002068B24D0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838" name="AutoShape 12">
          <a:extLst>
            <a:ext uri="{FF2B5EF4-FFF2-40B4-BE49-F238E27FC236}">
              <a16:creationId xmlns:a16="http://schemas.microsoft.com/office/drawing/2014/main" id="{F2A9D923-0184-4D34-9B0B-B0B5C40AAAAE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839" name="AutoShape 12">
          <a:extLst>
            <a:ext uri="{FF2B5EF4-FFF2-40B4-BE49-F238E27FC236}">
              <a16:creationId xmlns:a16="http://schemas.microsoft.com/office/drawing/2014/main" id="{18DD0F11-8E33-42E0-AA7F-5F1BE8AA350A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840" name="AutoShape 12">
          <a:extLst>
            <a:ext uri="{FF2B5EF4-FFF2-40B4-BE49-F238E27FC236}">
              <a16:creationId xmlns:a16="http://schemas.microsoft.com/office/drawing/2014/main" id="{45E31EEE-3E60-46D2-B33E-C719C45CB209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841" name="AutoShape 12">
          <a:extLst>
            <a:ext uri="{FF2B5EF4-FFF2-40B4-BE49-F238E27FC236}">
              <a16:creationId xmlns:a16="http://schemas.microsoft.com/office/drawing/2014/main" id="{53F1A732-23C9-4726-A7D8-2CF14115DD07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842" name="AutoShape 12">
          <a:extLst>
            <a:ext uri="{FF2B5EF4-FFF2-40B4-BE49-F238E27FC236}">
              <a16:creationId xmlns:a16="http://schemas.microsoft.com/office/drawing/2014/main" id="{82606675-0F02-4372-BE60-DC6B0B8A57E9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843" name="AutoShape 12">
          <a:extLst>
            <a:ext uri="{FF2B5EF4-FFF2-40B4-BE49-F238E27FC236}">
              <a16:creationId xmlns:a16="http://schemas.microsoft.com/office/drawing/2014/main" id="{7228B163-546C-4D34-AE2A-450D4D70C253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844" name="AutoShape 12">
          <a:extLst>
            <a:ext uri="{FF2B5EF4-FFF2-40B4-BE49-F238E27FC236}">
              <a16:creationId xmlns:a16="http://schemas.microsoft.com/office/drawing/2014/main" id="{52339899-8FF2-4347-B08A-60AE87F80A63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845" name="AutoShape 12">
          <a:extLst>
            <a:ext uri="{FF2B5EF4-FFF2-40B4-BE49-F238E27FC236}">
              <a16:creationId xmlns:a16="http://schemas.microsoft.com/office/drawing/2014/main" id="{A05F2E2E-0D9A-4CC7-9351-B83019508750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846" name="AutoShape 12">
          <a:extLst>
            <a:ext uri="{FF2B5EF4-FFF2-40B4-BE49-F238E27FC236}">
              <a16:creationId xmlns:a16="http://schemas.microsoft.com/office/drawing/2014/main" id="{400097BC-2D75-479A-8083-B91C388D940B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847" name="AutoShape 12">
          <a:extLst>
            <a:ext uri="{FF2B5EF4-FFF2-40B4-BE49-F238E27FC236}">
              <a16:creationId xmlns:a16="http://schemas.microsoft.com/office/drawing/2014/main" id="{FD5D68DF-D244-4E55-A1D6-398BDB380FC6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848" name="AutoShape 12">
          <a:extLst>
            <a:ext uri="{FF2B5EF4-FFF2-40B4-BE49-F238E27FC236}">
              <a16:creationId xmlns:a16="http://schemas.microsoft.com/office/drawing/2014/main" id="{5FE7C9EE-5BE8-42AB-9089-907C03E330BB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849" name="AutoShape 12">
          <a:extLst>
            <a:ext uri="{FF2B5EF4-FFF2-40B4-BE49-F238E27FC236}">
              <a16:creationId xmlns:a16="http://schemas.microsoft.com/office/drawing/2014/main" id="{5387F2EF-3E10-451D-BDEF-6E5277DF3F8A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850" name="AutoShape 12">
          <a:extLst>
            <a:ext uri="{FF2B5EF4-FFF2-40B4-BE49-F238E27FC236}">
              <a16:creationId xmlns:a16="http://schemas.microsoft.com/office/drawing/2014/main" id="{76A506F1-218A-4471-94C0-40DD14ECE3D1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851" name="AutoShape 12">
          <a:extLst>
            <a:ext uri="{FF2B5EF4-FFF2-40B4-BE49-F238E27FC236}">
              <a16:creationId xmlns:a16="http://schemas.microsoft.com/office/drawing/2014/main" id="{0D0C32BE-AF54-4629-BC5A-DDC41BD6275D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852" name="AutoShape 12">
          <a:extLst>
            <a:ext uri="{FF2B5EF4-FFF2-40B4-BE49-F238E27FC236}">
              <a16:creationId xmlns:a16="http://schemas.microsoft.com/office/drawing/2014/main" id="{F23E319C-D2BE-4443-8478-0BC45890D704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853" name="AutoShape 12">
          <a:extLst>
            <a:ext uri="{FF2B5EF4-FFF2-40B4-BE49-F238E27FC236}">
              <a16:creationId xmlns:a16="http://schemas.microsoft.com/office/drawing/2014/main" id="{76705881-0DCC-47A1-8984-31E1AC4EFF24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854" name="AutoShape 12">
          <a:extLst>
            <a:ext uri="{FF2B5EF4-FFF2-40B4-BE49-F238E27FC236}">
              <a16:creationId xmlns:a16="http://schemas.microsoft.com/office/drawing/2014/main" id="{E645B99A-CAF0-49FE-8326-7D7B970ABC95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855" name="AutoShape 12">
          <a:extLst>
            <a:ext uri="{FF2B5EF4-FFF2-40B4-BE49-F238E27FC236}">
              <a16:creationId xmlns:a16="http://schemas.microsoft.com/office/drawing/2014/main" id="{DBD2CD9D-FFB3-41A0-88BC-7F845B7395FF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856" name="AutoShape 12">
          <a:extLst>
            <a:ext uri="{FF2B5EF4-FFF2-40B4-BE49-F238E27FC236}">
              <a16:creationId xmlns:a16="http://schemas.microsoft.com/office/drawing/2014/main" id="{5B599085-8AC5-4BA7-BA86-9AA47B7AC057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857" name="AutoShape 12">
          <a:extLst>
            <a:ext uri="{FF2B5EF4-FFF2-40B4-BE49-F238E27FC236}">
              <a16:creationId xmlns:a16="http://schemas.microsoft.com/office/drawing/2014/main" id="{35E48D35-74E8-47F9-A212-A8835C58D48E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858" name="AutoShape 12">
          <a:extLst>
            <a:ext uri="{FF2B5EF4-FFF2-40B4-BE49-F238E27FC236}">
              <a16:creationId xmlns:a16="http://schemas.microsoft.com/office/drawing/2014/main" id="{44E84089-8424-40AC-8727-C68639DFBE68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859" name="AutoShape 12">
          <a:extLst>
            <a:ext uri="{FF2B5EF4-FFF2-40B4-BE49-F238E27FC236}">
              <a16:creationId xmlns:a16="http://schemas.microsoft.com/office/drawing/2014/main" id="{FF7C153E-1940-449E-991D-A6815C8C82AB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860" name="AutoShape 12">
          <a:extLst>
            <a:ext uri="{FF2B5EF4-FFF2-40B4-BE49-F238E27FC236}">
              <a16:creationId xmlns:a16="http://schemas.microsoft.com/office/drawing/2014/main" id="{C473887E-5305-4680-A41E-449C0655E403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861" name="AutoShape 12">
          <a:extLst>
            <a:ext uri="{FF2B5EF4-FFF2-40B4-BE49-F238E27FC236}">
              <a16:creationId xmlns:a16="http://schemas.microsoft.com/office/drawing/2014/main" id="{603DE385-66E9-4F85-B7A9-932142CC541A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862" name="AutoShape 12">
          <a:extLst>
            <a:ext uri="{FF2B5EF4-FFF2-40B4-BE49-F238E27FC236}">
              <a16:creationId xmlns:a16="http://schemas.microsoft.com/office/drawing/2014/main" id="{EEEC303A-B5C1-4183-B83C-9EDF0B027445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863" name="AutoShape 12">
          <a:extLst>
            <a:ext uri="{FF2B5EF4-FFF2-40B4-BE49-F238E27FC236}">
              <a16:creationId xmlns:a16="http://schemas.microsoft.com/office/drawing/2014/main" id="{84995FF6-922A-4B0F-AD10-9E6C7A91DB02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864" name="AutoShape 12">
          <a:extLst>
            <a:ext uri="{FF2B5EF4-FFF2-40B4-BE49-F238E27FC236}">
              <a16:creationId xmlns:a16="http://schemas.microsoft.com/office/drawing/2014/main" id="{34D925A6-E0CC-4025-A1EC-DE977E5F24AC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865" name="AutoShape 12">
          <a:extLst>
            <a:ext uri="{FF2B5EF4-FFF2-40B4-BE49-F238E27FC236}">
              <a16:creationId xmlns:a16="http://schemas.microsoft.com/office/drawing/2014/main" id="{74664B90-DA3A-4A34-8F70-765D55758DAB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866" name="AutoShape 12">
          <a:extLst>
            <a:ext uri="{FF2B5EF4-FFF2-40B4-BE49-F238E27FC236}">
              <a16:creationId xmlns:a16="http://schemas.microsoft.com/office/drawing/2014/main" id="{E67D892C-A036-4E3C-AF8A-4B919F75CA5F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867" name="AutoShape 12">
          <a:extLst>
            <a:ext uri="{FF2B5EF4-FFF2-40B4-BE49-F238E27FC236}">
              <a16:creationId xmlns:a16="http://schemas.microsoft.com/office/drawing/2014/main" id="{45DD60F3-78D1-4B82-BA76-75B4EA326804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868" name="AutoShape 12">
          <a:extLst>
            <a:ext uri="{FF2B5EF4-FFF2-40B4-BE49-F238E27FC236}">
              <a16:creationId xmlns:a16="http://schemas.microsoft.com/office/drawing/2014/main" id="{3A2E7BD4-9A9F-46C6-9C8D-93C98FE2F7F8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869" name="AutoShape 12">
          <a:extLst>
            <a:ext uri="{FF2B5EF4-FFF2-40B4-BE49-F238E27FC236}">
              <a16:creationId xmlns:a16="http://schemas.microsoft.com/office/drawing/2014/main" id="{94852919-ED4D-41D8-8729-6B06F96DCCB4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870" name="AutoShape 12">
          <a:extLst>
            <a:ext uri="{FF2B5EF4-FFF2-40B4-BE49-F238E27FC236}">
              <a16:creationId xmlns:a16="http://schemas.microsoft.com/office/drawing/2014/main" id="{9EB21A63-AF22-44BA-A2FA-CFF3EA635BB3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871" name="AutoShape 12">
          <a:extLst>
            <a:ext uri="{FF2B5EF4-FFF2-40B4-BE49-F238E27FC236}">
              <a16:creationId xmlns:a16="http://schemas.microsoft.com/office/drawing/2014/main" id="{C04F0B60-42A6-426D-A479-195B523755A3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872" name="AutoShape 12">
          <a:extLst>
            <a:ext uri="{FF2B5EF4-FFF2-40B4-BE49-F238E27FC236}">
              <a16:creationId xmlns:a16="http://schemas.microsoft.com/office/drawing/2014/main" id="{3E1DD2B8-C91F-4E0C-99DA-CC7AA9A1B7DB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873" name="AutoShape 12">
          <a:extLst>
            <a:ext uri="{FF2B5EF4-FFF2-40B4-BE49-F238E27FC236}">
              <a16:creationId xmlns:a16="http://schemas.microsoft.com/office/drawing/2014/main" id="{B6F0E7F3-2F9E-4105-900E-8C19620B292F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874" name="AutoShape 12">
          <a:extLst>
            <a:ext uri="{FF2B5EF4-FFF2-40B4-BE49-F238E27FC236}">
              <a16:creationId xmlns:a16="http://schemas.microsoft.com/office/drawing/2014/main" id="{25669381-B4BB-4CD7-A64F-F8F4F97EA55E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875" name="AutoShape 12">
          <a:extLst>
            <a:ext uri="{FF2B5EF4-FFF2-40B4-BE49-F238E27FC236}">
              <a16:creationId xmlns:a16="http://schemas.microsoft.com/office/drawing/2014/main" id="{F9247C25-5C92-4138-BC1A-40ACAD8E7586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876" name="AutoShape 12">
          <a:extLst>
            <a:ext uri="{FF2B5EF4-FFF2-40B4-BE49-F238E27FC236}">
              <a16:creationId xmlns:a16="http://schemas.microsoft.com/office/drawing/2014/main" id="{4D8A3C1F-22DC-4D21-9803-23CEAA87CADE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877" name="AutoShape 12">
          <a:extLst>
            <a:ext uri="{FF2B5EF4-FFF2-40B4-BE49-F238E27FC236}">
              <a16:creationId xmlns:a16="http://schemas.microsoft.com/office/drawing/2014/main" id="{DCB746EC-846A-4AB9-BD20-49534F9E6329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878" name="AutoShape 12">
          <a:extLst>
            <a:ext uri="{FF2B5EF4-FFF2-40B4-BE49-F238E27FC236}">
              <a16:creationId xmlns:a16="http://schemas.microsoft.com/office/drawing/2014/main" id="{4C0D788E-A9D8-4535-B2C2-4246DE0EEC56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879" name="AutoShape 12">
          <a:extLst>
            <a:ext uri="{FF2B5EF4-FFF2-40B4-BE49-F238E27FC236}">
              <a16:creationId xmlns:a16="http://schemas.microsoft.com/office/drawing/2014/main" id="{8BEFF041-C7AF-4DCF-B320-6904CDAE9359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880" name="AutoShape 12">
          <a:extLst>
            <a:ext uri="{FF2B5EF4-FFF2-40B4-BE49-F238E27FC236}">
              <a16:creationId xmlns:a16="http://schemas.microsoft.com/office/drawing/2014/main" id="{EC6B26CC-D9F0-49A9-9625-6E7368B3F4EF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881" name="AutoShape 12">
          <a:extLst>
            <a:ext uri="{FF2B5EF4-FFF2-40B4-BE49-F238E27FC236}">
              <a16:creationId xmlns:a16="http://schemas.microsoft.com/office/drawing/2014/main" id="{9E96005B-3AB8-4AA4-82D2-702928873859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882" name="AutoShape 12">
          <a:extLst>
            <a:ext uri="{FF2B5EF4-FFF2-40B4-BE49-F238E27FC236}">
              <a16:creationId xmlns:a16="http://schemas.microsoft.com/office/drawing/2014/main" id="{71EE29E1-FB28-4EDA-B4AB-4B9907482865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883" name="AutoShape 12">
          <a:extLst>
            <a:ext uri="{FF2B5EF4-FFF2-40B4-BE49-F238E27FC236}">
              <a16:creationId xmlns:a16="http://schemas.microsoft.com/office/drawing/2014/main" id="{F04503DD-AF57-4508-BA26-3954667E5D6A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884" name="AutoShape 12">
          <a:extLst>
            <a:ext uri="{FF2B5EF4-FFF2-40B4-BE49-F238E27FC236}">
              <a16:creationId xmlns:a16="http://schemas.microsoft.com/office/drawing/2014/main" id="{7BCF777E-1DD8-466B-949D-DDB36158C0CA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885" name="AutoShape 12">
          <a:extLst>
            <a:ext uri="{FF2B5EF4-FFF2-40B4-BE49-F238E27FC236}">
              <a16:creationId xmlns:a16="http://schemas.microsoft.com/office/drawing/2014/main" id="{995DD504-2C3C-46BC-B79B-B962A22990C3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886" name="AutoShape 12">
          <a:extLst>
            <a:ext uri="{FF2B5EF4-FFF2-40B4-BE49-F238E27FC236}">
              <a16:creationId xmlns:a16="http://schemas.microsoft.com/office/drawing/2014/main" id="{640FB35F-2E5C-4AEC-AA03-80F98A4A8CBD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887" name="AutoShape 12">
          <a:extLst>
            <a:ext uri="{FF2B5EF4-FFF2-40B4-BE49-F238E27FC236}">
              <a16:creationId xmlns:a16="http://schemas.microsoft.com/office/drawing/2014/main" id="{B48C6D95-252E-4E14-8635-956DDFA1685F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888" name="AutoShape 12">
          <a:extLst>
            <a:ext uri="{FF2B5EF4-FFF2-40B4-BE49-F238E27FC236}">
              <a16:creationId xmlns:a16="http://schemas.microsoft.com/office/drawing/2014/main" id="{7A6B3221-73A5-4808-B8FB-0777240080D2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889" name="AutoShape 12">
          <a:extLst>
            <a:ext uri="{FF2B5EF4-FFF2-40B4-BE49-F238E27FC236}">
              <a16:creationId xmlns:a16="http://schemas.microsoft.com/office/drawing/2014/main" id="{35765617-605E-4878-924C-E33CE8E7DEA0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890" name="AutoShape 12">
          <a:extLst>
            <a:ext uri="{FF2B5EF4-FFF2-40B4-BE49-F238E27FC236}">
              <a16:creationId xmlns:a16="http://schemas.microsoft.com/office/drawing/2014/main" id="{CEB37B3D-C9EB-49F8-99D1-65823EAF7F5B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891" name="AutoShape 12">
          <a:extLst>
            <a:ext uri="{FF2B5EF4-FFF2-40B4-BE49-F238E27FC236}">
              <a16:creationId xmlns:a16="http://schemas.microsoft.com/office/drawing/2014/main" id="{DBAF52D5-F116-4F2D-99A1-2824227EF41E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892" name="AutoShape 12">
          <a:extLst>
            <a:ext uri="{FF2B5EF4-FFF2-40B4-BE49-F238E27FC236}">
              <a16:creationId xmlns:a16="http://schemas.microsoft.com/office/drawing/2014/main" id="{9EC72FB4-0BE7-4033-9D11-BB39C3139746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893" name="AutoShape 12">
          <a:extLst>
            <a:ext uri="{FF2B5EF4-FFF2-40B4-BE49-F238E27FC236}">
              <a16:creationId xmlns:a16="http://schemas.microsoft.com/office/drawing/2014/main" id="{E3FAFCC6-F46B-48AB-86BC-CB49B86C85A6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894" name="AutoShape 12">
          <a:extLst>
            <a:ext uri="{FF2B5EF4-FFF2-40B4-BE49-F238E27FC236}">
              <a16:creationId xmlns:a16="http://schemas.microsoft.com/office/drawing/2014/main" id="{684BB072-44DF-4564-9A90-A65404BCD144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895" name="AutoShape 12">
          <a:extLst>
            <a:ext uri="{FF2B5EF4-FFF2-40B4-BE49-F238E27FC236}">
              <a16:creationId xmlns:a16="http://schemas.microsoft.com/office/drawing/2014/main" id="{9067C9B9-24B5-4CE2-A481-8862449D857D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896" name="AutoShape 12">
          <a:extLst>
            <a:ext uri="{FF2B5EF4-FFF2-40B4-BE49-F238E27FC236}">
              <a16:creationId xmlns:a16="http://schemas.microsoft.com/office/drawing/2014/main" id="{F25EE89A-B8C8-4677-9293-D59BAFA76A24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897" name="AutoShape 12">
          <a:extLst>
            <a:ext uri="{FF2B5EF4-FFF2-40B4-BE49-F238E27FC236}">
              <a16:creationId xmlns:a16="http://schemas.microsoft.com/office/drawing/2014/main" id="{5EA67027-2BA7-4A3A-ACF8-04D684B6C7EF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898" name="AutoShape 12">
          <a:extLst>
            <a:ext uri="{FF2B5EF4-FFF2-40B4-BE49-F238E27FC236}">
              <a16:creationId xmlns:a16="http://schemas.microsoft.com/office/drawing/2014/main" id="{13765767-01BB-4833-AD9C-AC86DD7F238C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899" name="AutoShape 12">
          <a:extLst>
            <a:ext uri="{FF2B5EF4-FFF2-40B4-BE49-F238E27FC236}">
              <a16:creationId xmlns:a16="http://schemas.microsoft.com/office/drawing/2014/main" id="{0F7D0D93-7F82-47E8-A8EF-84E957F0AF91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900" name="AutoShape 12">
          <a:extLst>
            <a:ext uri="{FF2B5EF4-FFF2-40B4-BE49-F238E27FC236}">
              <a16:creationId xmlns:a16="http://schemas.microsoft.com/office/drawing/2014/main" id="{FAE231B5-AB17-4E74-9746-B77BE243E71D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901" name="AutoShape 12">
          <a:extLst>
            <a:ext uri="{FF2B5EF4-FFF2-40B4-BE49-F238E27FC236}">
              <a16:creationId xmlns:a16="http://schemas.microsoft.com/office/drawing/2014/main" id="{4E6F7290-4AB3-4995-BE8C-343C46436FF7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902" name="AutoShape 12">
          <a:extLst>
            <a:ext uri="{FF2B5EF4-FFF2-40B4-BE49-F238E27FC236}">
              <a16:creationId xmlns:a16="http://schemas.microsoft.com/office/drawing/2014/main" id="{20EB8672-44FE-4E7C-B76E-3FCDB672B371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903" name="AutoShape 12">
          <a:extLst>
            <a:ext uri="{FF2B5EF4-FFF2-40B4-BE49-F238E27FC236}">
              <a16:creationId xmlns:a16="http://schemas.microsoft.com/office/drawing/2014/main" id="{8F227C55-ACD5-4FFE-BDA0-03AA7D843189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904" name="AutoShape 12">
          <a:extLst>
            <a:ext uri="{FF2B5EF4-FFF2-40B4-BE49-F238E27FC236}">
              <a16:creationId xmlns:a16="http://schemas.microsoft.com/office/drawing/2014/main" id="{F455BCA2-A071-401F-A6A6-8E0862636850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905" name="AutoShape 12">
          <a:extLst>
            <a:ext uri="{FF2B5EF4-FFF2-40B4-BE49-F238E27FC236}">
              <a16:creationId xmlns:a16="http://schemas.microsoft.com/office/drawing/2014/main" id="{518BC03B-1407-4B4A-86C3-F0A44BF934E2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906" name="AutoShape 12">
          <a:extLst>
            <a:ext uri="{FF2B5EF4-FFF2-40B4-BE49-F238E27FC236}">
              <a16:creationId xmlns:a16="http://schemas.microsoft.com/office/drawing/2014/main" id="{458107B2-90C9-47D0-811B-4F0EBF07449C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907" name="AutoShape 12">
          <a:extLst>
            <a:ext uri="{FF2B5EF4-FFF2-40B4-BE49-F238E27FC236}">
              <a16:creationId xmlns:a16="http://schemas.microsoft.com/office/drawing/2014/main" id="{782392D9-6EC5-478B-8ABA-63E3972C5E5E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908" name="AutoShape 12">
          <a:extLst>
            <a:ext uri="{FF2B5EF4-FFF2-40B4-BE49-F238E27FC236}">
              <a16:creationId xmlns:a16="http://schemas.microsoft.com/office/drawing/2014/main" id="{C6235A36-6408-4C6E-9A0D-E78C002A5A31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909" name="AutoShape 12">
          <a:extLst>
            <a:ext uri="{FF2B5EF4-FFF2-40B4-BE49-F238E27FC236}">
              <a16:creationId xmlns:a16="http://schemas.microsoft.com/office/drawing/2014/main" id="{105303F3-1131-4628-9BD1-3D53D1FF5A49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910" name="AutoShape 12">
          <a:extLst>
            <a:ext uri="{FF2B5EF4-FFF2-40B4-BE49-F238E27FC236}">
              <a16:creationId xmlns:a16="http://schemas.microsoft.com/office/drawing/2014/main" id="{7A4334AF-65D5-4552-9361-9CEF3961F89E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911" name="AutoShape 12">
          <a:extLst>
            <a:ext uri="{FF2B5EF4-FFF2-40B4-BE49-F238E27FC236}">
              <a16:creationId xmlns:a16="http://schemas.microsoft.com/office/drawing/2014/main" id="{0EEDEBD1-2BF3-45DD-A9E4-E0DE8D4D7B1E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912" name="AutoShape 12">
          <a:extLst>
            <a:ext uri="{FF2B5EF4-FFF2-40B4-BE49-F238E27FC236}">
              <a16:creationId xmlns:a16="http://schemas.microsoft.com/office/drawing/2014/main" id="{050BC2C1-19C7-4092-8227-DC7FBFA2F652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913" name="AutoShape 12">
          <a:extLst>
            <a:ext uri="{FF2B5EF4-FFF2-40B4-BE49-F238E27FC236}">
              <a16:creationId xmlns:a16="http://schemas.microsoft.com/office/drawing/2014/main" id="{6A87735C-9157-45A3-A904-D53EFBFE647C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914" name="AutoShape 12">
          <a:extLst>
            <a:ext uri="{FF2B5EF4-FFF2-40B4-BE49-F238E27FC236}">
              <a16:creationId xmlns:a16="http://schemas.microsoft.com/office/drawing/2014/main" id="{23BFBC50-0A72-43FE-AFFB-3B754CE71771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915" name="AutoShape 12">
          <a:extLst>
            <a:ext uri="{FF2B5EF4-FFF2-40B4-BE49-F238E27FC236}">
              <a16:creationId xmlns:a16="http://schemas.microsoft.com/office/drawing/2014/main" id="{9C9A66E3-FACD-4FDB-9D48-4EF208B0E83C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916" name="AutoShape 12">
          <a:extLst>
            <a:ext uri="{FF2B5EF4-FFF2-40B4-BE49-F238E27FC236}">
              <a16:creationId xmlns:a16="http://schemas.microsoft.com/office/drawing/2014/main" id="{6125B699-4A1D-44E0-9EEA-4E24F256C038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917" name="AutoShape 12">
          <a:extLst>
            <a:ext uri="{FF2B5EF4-FFF2-40B4-BE49-F238E27FC236}">
              <a16:creationId xmlns:a16="http://schemas.microsoft.com/office/drawing/2014/main" id="{EAF1CD75-E1E3-4179-AC2F-8C649DCD9E25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918" name="AutoShape 12">
          <a:extLst>
            <a:ext uri="{FF2B5EF4-FFF2-40B4-BE49-F238E27FC236}">
              <a16:creationId xmlns:a16="http://schemas.microsoft.com/office/drawing/2014/main" id="{4FA7542F-437C-488C-A995-91DC638202C1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919" name="AutoShape 12">
          <a:extLst>
            <a:ext uri="{FF2B5EF4-FFF2-40B4-BE49-F238E27FC236}">
              <a16:creationId xmlns:a16="http://schemas.microsoft.com/office/drawing/2014/main" id="{27E85782-D8E6-4E9C-A621-0DE822DBCC51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920" name="AutoShape 12">
          <a:extLst>
            <a:ext uri="{FF2B5EF4-FFF2-40B4-BE49-F238E27FC236}">
              <a16:creationId xmlns:a16="http://schemas.microsoft.com/office/drawing/2014/main" id="{61CD22FB-74E3-44A1-AEE2-8166773358C7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921" name="AutoShape 12">
          <a:extLst>
            <a:ext uri="{FF2B5EF4-FFF2-40B4-BE49-F238E27FC236}">
              <a16:creationId xmlns:a16="http://schemas.microsoft.com/office/drawing/2014/main" id="{96B413F7-7FF7-40FF-9573-B456D4F791FD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922" name="AutoShape 12">
          <a:extLst>
            <a:ext uri="{FF2B5EF4-FFF2-40B4-BE49-F238E27FC236}">
              <a16:creationId xmlns:a16="http://schemas.microsoft.com/office/drawing/2014/main" id="{F9318D39-8B12-44AB-A7A6-16B2A8926463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923" name="AutoShape 12">
          <a:extLst>
            <a:ext uri="{FF2B5EF4-FFF2-40B4-BE49-F238E27FC236}">
              <a16:creationId xmlns:a16="http://schemas.microsoft.com/office/drawing/2014/main" id="{9C0E9C60-355C-4DA7-BF5C-131817134FC9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924" name="AutoShape 12">
          <a:extLst>
            <a:ext uri="{FF2B5EF4-FFF2-40B4-BE49-F238E27FC236}">
              <a16:creationId xmlns:a16="http://schemas.microsoft.com/office/drawing/2014/main" id="{EB8C801C-FC97-447A-838C-A108E354DBD3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925" name="AutoShape 12">
          <a:extLst>
            <a:ext uri="{FF2B5EF4-FFF2-40B4-BE49-F238E27FC236}">
              <a16:creationId xmlns:a16="http://schemas.microsoft.com/office/drawing/2014/main" id="{58D23DC2-CC64-4C67-B060-B74327AE6657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926" name="AutoShape 12">
          <a:extLst>
            <a:ext uri="{FF2B5EF4-FFF2-40B4-BE49-F238E27FC236}">
              <a16:creationId xmlns:a16="http://schemas.microsoft.com/office/drawing/2014/main" id="{A144D822-104E-4B80-8647-0B108BF03A61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927" name="AutoShape 12">
          <a:extLst>
            <a:ext uri="{FF2B5EF4-FFF2-40B4-BE49-F238E27FC236}">
              <a16:creationId xmlns:a16="http://schemas.microsoft.com/office/drawing/2014/main" id="{978D2770-8C58-40B0-8181-A5A0C0D47975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928" name="AutoShape 12">
          <a:extLst>
            <a:ext uri="{FF2B5EF4-FFF2-40B4-BE49-F238E27FC236}">
              <a16:creationId xmlns:a16="http://schemas.microsoft.com/office/drawing/2014/main" id="{FC6A435F-31DA-4FBF-8C2D-5E3A7A76801C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929" name="AutoShape 12">
          <a:extLst>
            <a:ext uri="{FF2B5EF4-FFF2-40B4-BE49-F238E27FC236}">
              <a16:creationId xmlns:a16="http://schemas.microsoft.com/office/drawing/2014/main" id="{CD16B6B6-A05D-441C-9ED3-A881C48C9D09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930" name="AutoShape 12">
          <a:extLst>
            <a:ext uri="{FF2B5EF4-FFF2-40B4-BE49-F238E27FC236}">
              <a16:creationId xmlns:a16="http://schemas.microsoft.com/office/drawing/2014/main" id="{0A525810-1FD9-43FD-8DC6-74FADFC7AFEB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931" name="AutoShape 12">
          <a:extLst>
            <a:ext uri="{FF2B5EF4-FFF2-40B4-BE49-F238E27FC236}">
              <a16:creationId xmlns:a16="http://schemas.microsoft.com/office/drawing/2014/main" id="{EEB177C7-78D4-44D6-8BF7-A4715C9A6A64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932" name="AutoShape 12">
          <a:extLst>
            <a:ext uri="{FF2B5EF4-FFF2-40B4-BE49-F238E27FC236}">
              <a16:creationId xmlns:a16="http://schemas.microsoft.com/office/drawing/2014/main" id="{7BC87E8B-3A11-4451-894E-F5513F0DD7C2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933" name="AutoShape 12">
          <a:extLst>
            <a:ext uri="{FF2B5EF4-FFF2-40B4-BE49-F238E27FC236}">
              <a16:creationId xmlns:a16="http://schemas.microsoft.com/office/drawing/2014/main" id="{43384AAC-92E3-44D1-A9D8-33B07CAD52A0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934" name="AutoShape 12">
          <a:extLst>
            <a:ext uri="{FF2B5EF4-FFF2-40B4-BE49-F238E27FC236}">
              <a16:creationId xmlns:a16="http://schemas.microsoft.com/office/drawing/2014/main" id="{B03DB1B2-F80D-470A-8BD6-77CCE7BFC6D0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935" name="AutoShape 12">
          <a:extLst>
            <a:ext uri="{FF2B5EF4-FFF2-40B4-BE49-F238E27FC236}">
              <a16:creationId xmlns:a16="http://schemas.microsoft.com/office/drawing/2014/main" id="{1FED9CE6-0427-47B0-A676-BBD65DB954C8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936" name="AutoShape 12">
          <a:extLst>
            <a:ext uri="{FF2B5EF4-FFF2-40B4-BE49-F238E27FC236}">
              <a16:creationId xmlns:a16="http://schemas.microsoft.com/office/drawing/2014/main" id="{91498751-C258-45B9-97DF-F8A24CC804AE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937" name="AutoShape 12">
          <a:extLst>
            <a:ext uri="{FF2B5EF4-FFF2-40B4-BE49-F238E27FC236}">
              <a16:creationId xmlns:a16="http://schemas.microsoft.com/office/drawing/2014/main" id="{3B3D7AC5-EB0B-4EEB-9CF4-B70E47C26628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938" name="AutoShape 12">
          <a:extLst>
            <a:ext uri="{FF2B5EF4-FFF2-40B4-BE49-F238E27FC236}">
              <a16:creationId xmlns:a16="http://schemas.microsoft.com/office/drawing/2014/main" id="{3E14EBD2-5F18-4FA3-A37F-3B04F99A6D2F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939" name="AutoShape 12">
          <a:extLst>
            <a:ext uri="{FF2B5EF4-FFF2-40B4-BE49-F238E27FC236}">
              <a16:creationId xmlns:a16="http://schemas.microsoft.com/office/drawing/2014/main" id="{F2FBA7A2-D9C8-4C1D-9EF5-189EF89DC717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940" name="AutoShape 12">
          <a:extLst>
            <a:ext uri="{FF2B5EF4-FFF2-40B4-BE49-F238E27FC236}">
              <a16:creationId xmlns:a16="http://schemas.microsoft.com/office/drawing/2014/main" id="{AA6AF0ED-5B68-4B24-BC31-51202580D334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941" name="AutoShape 12">
          <a:extLst>
            <a:ext uri="{FF2B5EF4-FFF2-40B4-BE49-F238E27FC236}">
              <a16:creationId xmlns:a16="http://schemas.microsoft.com/office/drawing/2014/main" id="{35080515-753F-4125-B007-51820F6AA26D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942" name="AutoShape 12">
          <a:extLst>
            <a:ext uri="{FF2B5EF4-FFF2-40B4-BE49-F238E27FC236}">
              <a16:creationId xmlns:a16="http://schemas.microsoft.com/office/drawing/2014/main" id="{5F31244C-9152-4B98-B829-384BBED83AB7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943" name="AutoShape 12">
          <a:extLst>
            <a:ext uri="{FF2B5EF4-FFF2-40B4-BE49-F238E27FC236}">
              <a16:creationId xmlns:a16="http://schemas.microsoft.com/office/drawing/2014/main" id="{2BF23642-C5DE-4732-A722-24852E7583DC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944" name="AutoShape 12">
          <a:extLst>
            <a:ext uri="{FF2B5EF4-FFF2-40B4-BE49-F238E27FC236}">
              <a16:creationId xmlns:a16="http://schemas.microsoft.com/office/drawing/2014/main" id="{64B67C5E-8143-494D-9022-C3507AF08CBF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945" name="AutoShape 12">
          <a:extLst>
            <a:ext uri="{FF2B5EF4-FFF2-40B4-BE49-F238E27FC236}">
              <a16:creationId xmlns:a16="http://schemas.microsoft.com/office/drawing/2014/main" id="{03BFAFEB-5126-4C40-9ACD-E1BFE53F7BA7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946" name="AutoShape 12">
          <a:extLst>
            <a:ext uri="{FF2B5EF4-FFF2-40B4-BE49-F238E27FC236}">
              <a16:creationId xmlns:a16="http://schemas.microsoft.com/office/drawing/2014/main" id="{8C81BE3B-E3AA-4E12-881E-B3363AB65C4D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947" name="AutoShape 12">
          <a:extLst>
            <a:ext uri="{FF2B5EF4-FFF2-40B4-BE49-F238E27FC236}">
              <a16:creationId xmlns:a16="http://schemas.microsoft.com/office/drawing/2014/main" id="{A02DBDBD-9EC6-486C-ACF1-6D54B629D37C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948" name="AutoShape 12">
          <a:extLst>
            <a:ext uri="{FF2B5EF4-FFF2-40B4-BE49-F238E27FC236}">
              <a16:creationId xmlns:a16="http://schemas.microsoft.com/office/drawing/2014/main" id="{C03C774C-8D87-4020-9C73-68F53973D2B1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949" name="AutoShape 12">
          <a:extLst>
            <a:ext uri="{FF2B5EF4-FFF2-40B4-BE49-F238E27FC236}">
              <a16:creationId xmlns:a16="http://schemas.microsoft.com/office/drawing/2014/main" id="{09F41542-D633-4554-8EAB-D53566962926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950" name="AutoShape 12">
          <a:extLst>
            <a:ext uri="{FF2B5EF4-FFF2-40B4-BE49-F238E27FC236}">
              <a16:creationId xmlns:a16="http://schemas.microsoft.com/office/drawing/2014/main" id="{758B9BE8-68BE-4286-8CD2-B910826DB484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951" name="AutoShape 12">
          <a:extLst>
            <a:ext uri="{FF2B5EF4-FFF2-40B4-BE49-F238E27FC236}">
              <a16:creationId xmlns:a16="http://schemas.microsoft.com/office/drawing/2014/main" id="{DE57ABDB-C341-4CCA-B453-337B3A8E60AF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952" name="AutoShape 12">
          <a:extLst>
            <a:ext uri="{FF2B5EF4-FFF2-40B4-BE49-F238E27FC236}">
              <a16:creationId xmlns:a16="http://schemas.microsoft.com/office/drawing/2014/main" id="{BD3DEE3B-7A91-46A0-AF5C-312A37A95752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953" name="AutoShape 12">
          <a:extLst>
            <a:ext uri="{FF2B5EF4-FFF2-40B4-BE49-F238E27FC236}">
              <a16:creationId xmlns:a16="http://schemas.microsoft.com/office/drawing/2014/main" id="{04EFC710-E499-493A-B982-255DF60FA883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954" name="AutoShape 12">
          <a:extLst>
            <a:ext uri="{FF2B5EF4-FFF2-40B4-BE49-F238E27FC236}">
              <a16:creationId xmlns:a16="http://schemas.microsoft.com/office/drawing/2014/main" id="{EEE31917-DB40-4C59-9172-D056F0422F55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955" name="AutoShape 12">
          <a:extLst>
            <a:ext uri="{FF2B5EF4-FFF2-40B4-BE49-F238E27FC236}">
              <a16:creationId xmlns:a16="http://schemas.microsoft.com/office/drawing/2014/main" id="{1F9FC151-A298-474D-B523-0536E77DF852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956" name="AutoShape 12">
          <a:extLst>
            <a:ext uri="{FF2B5EF4-FFF2-40B4-BE49-F238E27FC236}">
              <a16:creationId xmlns:a16="http://schemas.microsoft.com/office/drawing/2014/main" id="{80A2FDDB-9140-4984-83A2-D7161F52B48B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957" name="AutoShape 12">
          <a:extLst>
            <a:ext uri="{FF2B5EF4-FFF2-40B4-BE49-F238E27FC236}">
              <a16:creationId xmlns:a16="http://schemas.microsoft.com/office/drawing/2014/main" id="{1607868C-5087-42ED-BB25-212FB36D026A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958" name="AutoShape 12">
          <a:extLst>
            <a:ext uri="{FF2B5EF4-FFF2-40B4-BE49-F238E27FC236}">
              <a16:creationId xmlns:a16="http://schemas.microsoft.com/office/drawing/2014/main" id="{AE8E70C1-FF4A-4BBC-ADAD-1DAC12CE1C69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959" name="AutoShape 12">
          <a:extLst>
            <a:ext uri="{FF2B5EF4-FFF2-40B4-BE49-F238E27FC236}">
              <a16:creationId xmlns:a16="http://schemas.microsoft.com/office/drawing/2014/main" id="{DFB15F86-028E-46C0-8265-5086618F4633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960" name="AutoShape 12">
          <a:extLst>
            <a:ext uri="{FF2B5EF4-FFF2-40B4-BE49-F238E27FC236}">
              <a16:creationId xmlns:a16="http://schemas.microsoft.com/office/drawing/2014/main" id="{0F55DBC7-31A0-4AE5-A22C-F3C1FB39768F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961" name="AutoShape 12">
          <a:extLst>
            <a:ext uri="{FF2B5EF4-FFF2-40B4-BE49-F238E27FC236}">
              <a16:creationId xmlns:a16="http://schemas.microsoft.com/office/drawing/2014/main" id="{D222F6EB-8C7F-4BA6-8EC3-BAE4437960E0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962" name="AutoShape 12">
          <a:extLst>
            <a:ext uri="{FF2B5EF4-FFF2-40B4-BE49-F238E27FC236}">
              <a16:creationId xmlns:a16="http://schemas.microsoft.com/office/drawing/2014/main" id="{7DEFAA6B-1F61-4ED8-BF1C-28925CA233D2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963" name="AutoShape 12">
          <a:extLst>
            <a:ext uri="{FF2B5EF4-FFF2-40B4-BE49-F238E27FC236}">
              <a16:creationId xmlns:a16="http://schemas.microsoft.com/office/drawing/2014/main" id="{3EC903A9-D4E8-4E9E-807E-8F489B3332D9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964" name="AutoShape 12">
          <a:extLst>
            <a:ext uri="{FF2B5EF4-FFF2-40B4-BE49-F238E27FC236}">
              <a16:creationId xmlns:a16="http://schemas.microsoft.com/office/drawing/2014/main" id="{7F69E145-CF02-40E2-882B-23AC289847AC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965" name="AutoShape 12">
          <a:extLst>
            <a:ext uri="{FF2B5EF4-FFF2-40B4-BE49-F238E27FC236}">
              <a16:creationId xmlns:a16="http://schemas.microsoft.com/office/drawing/2014/main" id="{18F13F8F-5C6F-49F9-8708-870374BA141F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966" name="AutoShape 12">
          <a:extLst>
            <a:ext uri="{FF2B5EF4-FFF2-40B4-BE49-F238E27FC236}">
              <a16:creationId xmlns:a16="http://schemas.microsoft.com/office/drawing/2014/main" id="{5A520D36-CA86-4BCD-BCA6-BA394F0372CA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967" name="AutoShape 12">
          <a:extLst>
            <a:ext uri="{FF2B5EF4-FFF2-40B4-BE49-F238E27FC236}">
              <a16:creationId xmlns:a16="http://schemas.microsoft.com/office/drawing/2014/main" id="{1338C198-96B5-46A2-86B9-39C965167102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968" name="AutoShape 12">
          <a:extLst>
            <a:ext uri="{FF2B5EF4-FFF2-40B4-BE49-F238E27FC236}">
              <a16:creationId xmlns:a16="http://schemas.microsoft.com/office/drawing/2014/main" id="{01F5BDDC-BD2A-4761-9B36-F3059336553A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969" name="AutoShape 12">
          <a:extLst>
            <a:ext uri="{FF2B5EF4-FFF2-40B4-BE49-F238E27FC236}">
              <a16:creationId xmlns:a16="http://schemas.microsoft.com/office/drawing/2014/main" id="{7CA7F7E4-9A3F-460D-A681-608559D44BA6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970" name="AutoShape 12">
          <a:extLst>
            <a:ext uri="{FF2B5EF4-FFF2-40B4-BE49-F238E27FC236}">
              <a16:creationId xmlns:a16="http://schemas.microsoft.com/office/drawing/2014/main" id="{D6BEF42D-E315-44D4-8314-C0CEEF0BF53A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971" name="AutoShape 12">
          <a:extLst>
            <a:ext uri="{FF2B5EF4-FFF2-40B4-BE49-F238E27FC236}">
              <a16:creationId xmlns:a16="http://schemas.microsoft.com/office/drawing/2014/main" id="{971EE466-87CC-4880-BD42-853B88A7C149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972" name="AutoShape 12">
          <a:extLst>
            <a:ext uri="{FF2B5EF4-FFF2-40B4-BE49-F238E27FC236}">
              <a16:creationId xmlns:a16="http://schemas.microsoft.com/office/drawing/2014/main" id="{3AE70CCA-9BF9-419E-9E15-37CF35F8AC04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973" name="AutoShape 12">
          <a:extLst>
            <a:ext uri="{FF2B5EF4-FFF2-40B4-BE49-F238E27FC236}">
              <a16:creationId xmlns:a16="http://schemas.microsoft.com/office/drawing/2014/main" id="{BB64760C-CA97-468B-9C47-90A96CEC7B4F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974" name="AutoShape 12">
          <a:extLst>
            <a:ext uri="{FF2B5EF4-FFF2-40B4-BE49-F238E27FC236}">
              <a16:creationId xmlns:a16="http://schemas.microsoft.com/office/drawing/2014/main" id="{8866FE29-1E02-4F7A-8FE7-D6E20CB314CA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975" name="AutoShape 12">
          <a:extLst>
            <a:ext uri="{FF2B5EF4-FFF2-40B4-BE49-F238E27FC236}">
              <a16:creationId xmlns:a16="http://schemas.microsoft.com/office/drawing/2014/main" id="{1425EC53-B4A8-4AB1-9716-0346CD567507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976" name="AutoShape 12">
          <a:extLst>
            <a:ext uri="{FF2B5EF4-FFF2-40B4-BE49-F238E27FC236}">
              <a16:creationId xmlns:a16="http://schemas.microsoft.com/office/drawing/2014/main" id="{6161D562-314B-40D4-B061-C8EAD8F9CD82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977" name="AutoShape 12">
          <a:extLst>
            <a:ext uri="{FF2B5EF4-FFF2-40B4-BE49-F238E27FC236}">
              <a16:creationId xmlns:a16="http://schemas.microsoft.com/office/drawing/2014/main" id="{EF250368-B0BC-404D-85FB-3AC32483821C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978" name="AutoShape 12">
          <a:extLst>
            <a:ext uri="{FF2B5EF4-FFF2-40B4-BE49-F238E27FC236}">
              <a16:creationId xmlns:a16="http://schemas.microsoft.com/office/drawing/2014/main" id="{5403680D-4F6C-4D75-A4DB-CF5A3DB08F81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979" name="AutoShape 12">
          <a:extLst>
            <a:ext uri="{FF2B5EF4-FFF2-40B4-BE49-F238E27FC236}">
              <a16:creationId xmlns:a16="http://schemas.microsoft.com/office/drawing/2014/main" id="{6C06C9AB-DD81-4A76-983C-6111073A1B42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980" name="AutoShape 12">
          <a:extLst>
            <a:ext uri="{FF2B5EF4-FFF2-40B4-BE49-F238E27FC236}">
              <a16:creationId xmlns:a16="http://schemas.microsoft.com/office/drawing/2014/main" id="{19A987BC-7E8D-440D-95E0-F36931F34F60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981" name="AutoShape 12">
          <a:extLst>
            <a:ext uri="{FF2B5EF4-FFF2-40B4-BE49-F238E27FC236}">
              <a16:creationId xmlns:a16="http://schemas.microsoft.com/office/drawing/2014/main" id="{B54BDA8D-C3D1-42E3-B106-6F358459FC90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982" name="AutoShape 12">
          <a:extLst>
            <a:ext uri="{FF2B5EF4-FFF2-40B4-BE49-F238E27FC236}">
              <a16:creationId xmlns:a16="http://schemas.microsoft.com/office/drawing/2014/main" id="{A69CE47B-A4D1-4AE1-9E06-7F5FC18CD8F4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983" name="AutoShape 12">
          <a:extLst>
            <a:ext uri="{FF2B5EF4-FFF2-40B4-BE49-F238E27FC236}">
              <a16:creationId xmlns:a16="http://schemas.microsoft.com/office/drawing/2014/main" id="{5D81CAC7-E278-455E-9CD0-CA3437A9AFA9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984" name="AutoShape 12">
          <a:extLst>
            <a:ext uri="{FF2B5EF4-FFF2-40B4-BE49-F238E27FC236}">
              <a16:creationId xmlns:a16="http://schemas.microsoft.com/office/drawing/2014/main" id="{6BCEFD65-CB0B-4E75-B626-6373A8BC00A3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985" name="AutoShape 12">
          <a:extLst>
            <a:ext uri="{FF2B5EF4-FFF2-40B4-BE49-F238E27FC236}">
              <a16:creationId xmlns:a16="http://schemas.microsoft.com/office/drawing/2014/main" id="{1B5F8EE2-547C-4AE4-8029-DE3D5F2E3BB7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986" name="AutoShape 12">
          <a:extLst>
            <a:ext uri="{FF2B5EF4-FFF2-40B4-BE49-F238E27FC236}">
              <a16:creationId xmlns:a16="http://schemas.microsoft.com/office/drawing/2014/main" id="{9656C323-E585-4651-A006-CBB2513926E6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987" name="AutoShape 12">
          <a:extLst>
            <a:ext uri="{FF2B5EF4-FFF2-40B4-BE49-F238E27FC236}">
              <a16:creationId xmlns:a16="http://schemas.microsoft.com/office/drawing/2014/main" id="{9A94D534-294C-4515-8D61-DBBB63E2A605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988" name="AutoShape 12">
          <a:extLst>
            <a:ext uri="{FF2B5EF4-FFF2-40B4-BE49-F238E27FC236}">
              <a16:creationId xmlns:a16="http://schemas.microsoft.com/office/drawing/2014/main" id="{36D99932-6628-47B2-8EDE-AF3B92DDDCAA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989" name="AutoShape 12">
          <a:extLst>
            <a:ext uri="{FF2B5EF4-FFF2-40B4-BE49-F238E27FC236}">
              <a16:creationId xmlns:a16="http://schemas.microsoft.com/office/drawing/2014/main" id="{90924029-646A-44A0-B48B-288AC9EB3262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990" name="AutoShape 12">
          <a:extLst>
            <a:ext uri="{FF2B5EF4-FFF2-40B4-BE49-F238E27FC236}">
              <a16:creationId xmlns:a16="http://schemas.microsoft.com/office/drawing/2014/main" id="{ABBB847E-BF83-46BF-90E7-4B702EAA9ABD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991" name="AutoShape 12">
          <a:extLst>
            <a:ext uri="{FF2B5EF4-FFF2-40B4-BE49-F238E27FC236}">
              <a16:creationId xmlns:a16="http://schemas.microsoft.com/office/drawing/2014/main" id="{06B84F33-40DB-4C08-A23C-5F756B80D72E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992" name="AutoShape 12">
          <a:extLst>
            <a:ext uri="{FF2B5EF4-FFF2-40B4-BE49-F238E27FC236}">
              <a16:creationId xmlns:a16="http://schemas.microsoft.com/office/drawing/2014/main" id="{995FF980-B91B-43DA-BC25-3E6D681D2FD2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993" name="AutoShape 12">
          <a:extLst>
            <a:ext uri="{FF2B5EF4-FFF2-40B4-BE49-F238E27FC236}">
              <a16:creationId xmlns:a16="http://schemas.microsoft.com/office/drawing/2014/main" id="{06CE62B0-BE6A-4052-B3D4-5D15DA0B3651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994" name="AutoShape 12">
          <a:extLst>
            <a:ext uri="{FF2B5EF4-FFF2-40B4-BE49-F238E27FC236}">
              <a16:creationId xmlns:a16="http://schemas.microsoft.com/office/drawing/2014/main" id="{F88C380D-2267-425D-BC51-B8DCDD4DB96F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995" name="AutoShape 12">
          <a:extLst>
            <a:ext uri="{FF2B5EF4-FFF2-40B4-BE49-F238E27FC236}">
              <a16:creationId xmlns:a16="http://schemas.microsoft.com/office/drawing/2014/main" id="{3035EEE3-3269-46E1-94FF-D25BCF462AE5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996" name="AutoShape 12">
          <a:extLst>
            <a:ext uri="{FF2B5EF4-FFF2-40B4-BE49-F238E27FC236}">
              <a16:creationId xmlns:a16="http://schemas.microsoft.com/office/drawing/2014/main" id="{86B1E255-CFC0-40E6-8F12-F1AE86197D13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997" name="AutoShape 12">
          <a:extLst>
            <a:ext uri="{FF2B5EF4-FFF2-40B4-BE49-F238E27FC236}">
              <a16:creationId xmlns:a16="http://schemas.microsoft.com/office/drawing/2014/main" id="{309962A3-369C-4634-979D-69F6F6ED5D73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998" name="AutoShape 12">
          <a:extLst>
            <a:ext uri="{FF2B5EF4-FFF2-40B4-BE49-F238E27FC236}">
              <a16:creationId xmlns:a16="http://schemas.microsoft.com/office/drawing/2014/main" id="{D06E6461-A696-421D-A355-385A34CF9796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1999" name="AutoShape 12">
          <a:extLst>
            <a:ext uri="{FF2B5EF4-FFF2-40B4-BE49-F238E27FC236}">
              <a16:creationId xmlns:a16="http://schemas.microsoft.com/office/drawing/2014/main" id="{1F31556D-8161-4C97-8EB3-C7DDA1AE0FED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000" name="AutoShape 12">
          <a:extLst>
            <a:ext uri="{FF2B5EF4-FFF2-40B4-BE49-F238E27FC236}">
              <a16:creationId xmlns:a16="http://schemas.microsoft.com/office/drawing/2014/main" id="{CBA96E43-E3DB-4FB6-8AB9-1D4949C528BB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001" name="AutoShape 12">
          <a:extLst>
            <a:ext uri="{FF2B5EF4-FFF2-40B4-BE49-F238E27FC236}">
              <a16:creationId xmlns:a16="http://schemas.microsoft.com/office/drawing/2014/main" id="{D037B18F-4A5B-4234-8CB3-C47794F4D878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002" name="AutoShape 12">
          <a:extLst>
            <a:ext uri="{FF2B5EF4-FFF2-40B4-BE49-F238E27FC236}">
              <a16:creationId xmlns:a16="http://schemas.microsoft.com/office/drawing/2014/main" id="{242E540F-BD71-4622-A270-8FC34B41E295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003" name="AutoShape 12">
          <a:extLst>
            <a:ext uri="{FF2B5EF4-FFF2-40B4-BE49-F238E27FC236}">
              <a16:creationId xmlns:a16="http://schemas.microsoft.com/office/drawing/2014/main" id="{78E930A6-DE5A-4C5B-A465-FCBCBB7E7530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004" name="AutoShape 12">
          <a:extLst>
            <a:ext uri="{FF2B5EF4-FFF2-40B4-BE49-F238E27FC236}">
              <a16:creationId xmlns:a16="http://schemas.microsoft.com/office/drawing/2014/main" id="{F38F9846-63AD-4D7B-AB8F-974ED51E3102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005" name="AutoShape 12">
          <a:extLst>
            <a:ext uri="{FF2B5EF4-FFF2-40B4-BE49-F238E27FC236}">
              <a16:creationId xmlns:a16="http://schemas.microsoft.com/office/drawing/2014/main" id="{C982A8DA-AB42-4044-A553-38706B6977F6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006" name="AutoShape 12">
          <a:extLst>
            <a:ext uri="{FF2B5EF4-FFF2-40B4-BE49-F238E27FC236}">
              <a16:creationId xmlns:a16="http://schemas.microsoft.com/office/drawing/2014/main" id="{EFC5CEBB-1D98-41F9-9D9D-AC71F87A2A26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007" name="AutoShape 12">
          <a:extLst>
            <a:ext uri="{FF2B5EF4-FFF2-40B4-BE49-F238E27FC236}">
              <a16:creationId xmlns:a16="http://schemas.microsoft.com/office/drawing/2014/main" id="{E78833E2-644F-4E14-B903-59E9D4ED5F42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008" name="AutoShape 12">
          <a:extLst>
            <a:ext uri="{FF2B5EF4-FFF2-40B4-BE49-F238E27FC236}">
              <a16:creationId xmlns:a16="http://schemas.microsoft.com/office/drawing/2014/main" id="{6F20D32F-871D-4C79-A8B9-AAF16845F852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009" name="AutoShape 12">
          <a:extLst>
            <a:ext uri="{FF2B5EF4-FFF2-40B4-BE49-F238E27FC236}">
              <a16:creationId xmlns:a16="http://schemas.microsoft.com/office/drawing/2014/main" id="{C719D643-6C83-47F0-8192-9A6498FC7325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010" name="AutoShape 12">
          <a:extLst>
            <a:ext uri="{FF2B5EF4-FFF2-40B4-BE49-F238E27FC236}">
              <a16:creationId xmlns:a16="http://schemas.microsoft.com/office/drawing/2014/main" id="{FF6AAC85-3E93-4462-AA2B-F99F46DB95F4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011" name="AutoShape 12">
          <a:extLst>
            <a:ext uri="{FF2B5EF4-FFF2-40B4-BE49-F238E27FC236}">
              <a16:creationId xmlns:a16="http://schemas.microsoft.com/office/drawing/2014/main" id="{5C53AD6C-7F7A-480B-AF89-2A76623C05BD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012" name="AutoShape 12">
          <a:extLst>
            <a:ext uri="{FF2B5EF4-FFF2-40B4-BE49-F238E27FC236}">
              <a16:creationId xmlns:a16="http://schemas.microsoft.com/office/drawing/2014/main" id="{C4FE8005-4C97-4AF2-BF55-1C590A3030DC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013" name="AutoShape 12">
          <a:extLst>
            <a:ext uri="{FF2B5EF4-FFF2-40B4-BE49-F238E27FC236}">
              <a16:creationId xmlns:a16="http://schemas.microsoft.com/office/drawing/2014/main" id="{91C40A02-81BF-4863-BD83-89A0D010C430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014" name="AutoShape 12">
          <a:extLst>
            <a:ext uri="{FF2B5EF4-FFF2-40B4-BE49-F238E27FC236}">
              <a16:creationId xmlns:a16="http://schemas.microsoft.com/office/drawing/2014/main" id="{4C4F12B8-BCC3-48BF-A345-AF4310A73175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015" name="AutoShape 12">
          <a:extLst>
            <a:ext uri="{FF2B5EF4-FFF2-40B4-BE49-F238E27FC236}">
              <a16:creationId xmlns:a16="http://schemas.microsoft.com/office/drawing/2014/main" id="{AD5EFC8C-D050-4857-9AAF-BD15EE5D2D93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016" name="AutoShape 12">
          <a:extLst>
            <a:ext uri="{FF2B5EF4-FFF2-40B4-BE49-F238E27FC236}">
              <a16:creationId xmlns:a16="http://schemas.microsoft.com/office/drawing/2014/main" id="{C4B6D4AD-BC78-4E49-B23F-97B4F91FA34E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017" name="AutoShape 12">
          <a:extLst>
            <a:ext uri="{FF2B5EF4-FFF2-40B4-BE49-F238E27FC236}">
              <a16:creationId xmlns:a16="http://schemas.microsoft.com/office/drawing/2014/main" id="{3C5E6C70-1DDD-4AA5-9E5E-BBE088366582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018" name="AutoShape 12">
          <a:extLst>
            <a:ext uri="{FF2B5EF4-FFF2-40B4-BE49-F238E27FC236}">
              <a16:creationId xmlns:a16="http://schemas.microsoft.com/office/drawing/2014/main" id="{AAB7046F-1F71-4389-A850-DF14B309532E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019" name="AutoShape 12">
          <a:extLst>
            <a:ext uri="{FF2B5EF4-FFF2-40B4-BE49-F238E27FC236}">
              <a16:creationId xmlns:a16="http://schemas.microsoft.com/office/drawing/2014/main" id="{64907891-066C-4A74-AC26-00D4121897D3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020" name="AutoShape 12">
          <a:extLst>
            <a:ext uri="{FF2B5EF4-FFF2-40B4-BE49-F238E27FC236}">
              <a16:creationId xmlns:a16="http://schemas.microsoft.com/office/drawing/2014/main" id="{B3E38B8D-AECC-461F-8C8A-BD017746921A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021" name="AutoShape 12">
          <a:extLst>
            <a:ext uri="{FF2B5EF4-FFF2-40B4-BE49-F238E27FC236}">
              <a16:creationId xmlns:a16="http://schemas.microsoft.com/office/drawing/2014/main" id="{7D1D9E0A-1EBC-4258-8EDE-26BEB89FA950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022" name="AutoShape 12">
          <a:extLst>
            <a:ext uri="{FF2B5EF4-FFF2-40B4-BE49-F238E27FC236}">
              <a16:creationId xmlns:a16="http://schemas.microsoft.com/office/drawing/2014/main" id="{FCE657C7-2418-4D79-9979-93DB27999E07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023" name="AutoShape 12">
          <a:extLst>
            <a:ext uri="{FF2B5EF4-FFF2-40B4-BE49-F238E27FC236}">
              <a16:creationId xmlns:a16="http://schemas.microsoft.com/office/drawing/2014/main" id="{150CC6BF-FC4B-4AAF-949E-850DB56490BA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024" name="AutoShape 12">
          <a:extLst>
            <a:ext uri="{FF2B5EF4-FFF2-40B4-BE49-F238E27FC236}">
              <a16:creationId xmlns:a16="http://schemas.microsoft.com/office/drawing/2014/main" id="{EEA82880-48CF-4E9E-AAAF-F1F6692F21A6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025" name="AutoShape 12">
          <a:extLst>
            <a:ext uri="{FF2B5EF4-FFF2-40B4-BE49-F238E27FC236}">
              <a16:creationId xmlns:a16="http://schemas.microsoft.com/office/drawing/2014/main" id="{F48F922D-FD3D-45D1-84B7-AD81CD8741C0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026" name="AutoShape 12">
          <a:extLst>
            <a:ext uri="{FF2B5EF4-FFF2-40B4-BE49-F238E27FC236}">
              <a16:creationId xmlns:a16="http://schemas.microsoft.com/office/drawing/2014/main" id="{3E879B8E-6B16-4BEF-8C1B-E5EBF162ECBF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027" name="AutoShape 12">
          <a:extLst>
            <a:ext uri="{FF2B5EF4-FFF2-40B4-BE49-F238E27FC236}">
              <a16:creationId xmlns:a16="http://schemas.microsoft.com/office/drawing/2014/main" id="{A132C3BC-0252-4B03-AB8B-77BBF70EF120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028" name="AutoShape 12">
          <a:extLst>
            <a:ext uri="{FF2B5EF4-FFF2-40B4-BE49-F238E27FC236}">
              <a16:creationId xmlns:a16="http://schemas.microsoft.com/office/drawing/2014/main" id="{792945F1-9353-4545-914E-ED6272594BB2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029" name="AutoShape 12">
          <a:extLst>
            <a:ext uri="{FF2B5EF4-FFF2-40B4-BE49-F238E27FC236}">
              <a16:creationId xmlns:a16="http://schemas.microsoft.com/office/drawing/2014/main" id="{47267D4A-6582-440F-8893-077F146DFC95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030" name="AutoShape 12">
          <a:extLst>
            <a:ext uri="{FF2B5EF4-FFF2-40B4-BE49-F238E27FC236}">
              <a16:creationId xmlns:a16="http://schemas.microsoft.com/office/drawing/2014/main" id="{CFE0E139-9C46-437A-90A0-39C5F9D38E25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031" name="AutoShape 12">
          <a:extLst>
            <a:ext uri="{FF2B5EF4-FFF2-40B4-BE49-F238E27FC236}">
              <a16:creationId xmlns:a16="http://schemas.microsoft.com/office/drawing/2014/main" id="{DF88A7E6-533E-4068-9171-F4D72957E490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032" name="AutoShape 12">
          <a:extLst>
            <a:ext uri="{FF2B5EF4-FFF2-40B4-BE49-F238E27FC236}">
              <a16:creationId xmlns:a16="http://schemas.microsoft.com/office/drawing/2014/main" id="{22C73016-5EA4-4B16-B6FB-E172E846307D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033" name="AutoShape 12">
          <a:extLst>
            <a:ext uri="{FF2B5EF4-FFF2-40B4-BE49-F238E27FC236}">
              <a16:creationId xmlns:a16="http://schemas.microsoft.com/office/drawing/2014/main" id="{266976F7-5613-4B2B-B904-B7D48F7C95FB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034" name="AutoShape 12">
          <a:extLst>
            <a:ext uri="{FF2B5EF4-FFF2-40B4-BE49-F238E27FC236}">
              <a16:creationId xmlns:a16="http://schemas.microsoft.com/office/drawing/2014/main" id="{6DB756B4-FD08-47F3-97E5-7FFFE5A8C9F1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035" name="AutoShape 12">
          <a:extLst>
            <a:ext uri="{FF2B5EF4-FFF2-40B4-BE49-F238E27FC236}">
              <a16:creationId xmlns:a16="http://schemas.microsoft.com/office/drawing/2014/main" id="{74A222C7-7266-460A-BDC0-E3EBF1C35528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036" name="AutoShape 12">
          <a:extLst>
            <a:ext uri="{FF2B5EF4-FFF2-40B4-BE49-F238E27FC236}">
              <a16:creationId xmlns:a16="http://schemas.microsoft.com/office/drawing/2014/main" id="{942B7019-838C-4A69-BE87-72F5A8C5EF72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037" name="AutoShape 12">
          <a:extLst>
            <a:ext uri="{FF2B5EF4-FFF2-40B4-BE49-F238E27FC236}">
              <a16:creationId xmlns:a16="http://schemas.microsoft.com/office/drawing/2014/main" id="{EFD1632A-6C3E-4D50-950D-D708BD9408B4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038" name="AutoShape 12">
          <a:extLst>
            <a:ext uri="{FF2B5EF4-FFF2-40B4-BE49-F238E27FC236}">
              <a16:creationId xmlns:a16="http://schemas.microsoft.com/office/drawing/2014/main" id="{355D7EB3-0D93-480F-A89D-0C16724E1D0F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039" name="AutoShape 12">
          <a:extLst>
            <a:ext uri="{FF2B5EF4-FFF2-40B4-BE49-F238E27FC236}">
              <a16:creationId xmlns:a16="http://schemas.microsoft.com/office/drawing/2014/main" id="{699BD458-8F90-4285-8B55-A9FE06141292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040" name="AutoShape 12">
          <a:extLst>
            <a:ext uri="{FF2B5EF4-FFF2-40B4-BE49-F238E27FC236}">
              <a16:creationId xmlns:a16="http://schemas.microsoft.com/office/drawing/2014/main" id="{7909AAB0-3854-4919-8C40-6071103EBDA8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041" name="AutoShape 12">
          <a:extLst>
            <a:ext uri="{FF2B5EF4-FFF2-40B4-BE49-F238E27FC236}">
              <a16:creationId xmlns:a16="http://schemas.microsoft.com/office/drawing/2014/main" id="{2D4C61CA-4B9F-4A02-9706-8E6E211538A7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042" name="AutoShape 12">
          <a:extLst>
            <a:ext uri="{FF2B5EF4-FFF2-40B4-BE49-F238E27FC236}">
              <a16:creationId xmlns:a16="http://schemas.microsoft.com/office/drawing/2014/main" id="{4648B21B-9DB6-4B90-957D-D61B529E693D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043" name="AutoShape 12">
          <a:extLst>
            <a:ext uri="{FF2B5EF4-FFF2-40B4-BE49-F238E27FC236}">
              <a16:creationId xmlns:a16="http://schemas.microsoft.com/office/drawing/2014/main" id="{188E9A4B-80C6-4B9D-8108-473723166AFA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044" name="AutoShape 12">
          <a:extLst>
            <a:ext uri="{FF2B5EF4-FFF2-40B4-BE49-F238E27FC236}">
              <a16:creationId xmlns:a16="http://schemas.microsoft.com/office/drawing/2014/main" id="{53DF880A-47CC-4E12-B998-5196EA8953B1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045" name="AutoShape 12">
          <a:extLst>
            <a:ext uri="{FF2B5EF4-FFF2-40B4-BE49-F238E27FC236}">
              <a16:creationId xmlns:a16="http://schemas.microsoft.com/office/drawing/2014/main" id="{59CC58E4-C24C-4345-947E-2361E3EAB820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046" name="AutoShape 12">
          <a:extLst>
            <a:ext uri="{FF2B5EF4-FFF2-40B4-BE49-F238E27FC236}">
              <a16:creationId xmlns:a16="http://schemas.microsoft.com/office/drawing/2014/main" id="{7233E204-6FF5-4AB8-B440-6CAB9302D697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047" name="AutoShape 12">
          <a:extLst>
            <a:ext uri="{FF2B5EF4-FFF2-40B4-BE49-F238E27FC236}">
              <a16:creationId xmlns:a16="http://schemas.microsoft.com/office/drawing/2014/main" id="{27178008-9EC4-4036-857D-5A6994D8F369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048" name="AutoShape 12">
          <a:extLst>
            <a:ext uri="{FF2B5EF4-FFF2-40B4-BE49-F238E27FC236}">
              <a16:creationId xmlns:a16="http://schemas.microsoft.com/office/drawing/2014/main" id="{952510DE-77BE-4AC0-9BF6-9AEF14F0FD41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049" name="AutoShape 12">
          <a:extLst>
            <a:ext uri="{FF2B5EF4-FFF2-40B4-BE49-F238E27FC236}">
              <a16:creationId xmlns:a16="http://schemas.microsoft.com/office/drawing/2014/main" id="{2118105D-483B-4B43-958B-0015F5CE78D2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050" name="AutoShape 12">
          <a:extLst>
            <a:ext uri="{FF2B5EF4-FFF2-40B4-BE49-F238E27FC236}">
              <a16:creationId xmlns:a16="http://schemas.microsoft.com/office/drawing/2014/main" id="{54FCF0C6-BC14-4A54-8887-0FE10436BFDF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051" name="AutoShape 12">
          <a:extLst>
            <a:ext uri="{FF2B5EF4-FFF2-40B4-BE49-F238E27FC236}">
              <a16:creationId xmlns:a16="http://schemas.microsoft.com/office/drawing/2014/main" id="{ACD0C9E2-597C-475A-8A28-D4EDAC9B74E3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052" name="AutoShape 12">
          <a:extLst>
            <a:ext uri="{FF2B5EF4-FFF2-40B4-BE49-F238E27FC236}">
              <a16:creationId xmlns:a16="http://schemas.microsoft.com/office/drawing/2014/main" id="{A0FB12EB-DEE4-43D3-AD47-B912E133168B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053" name="AutoShape 12">
          <a:extLst>
            <a:ext uri="{FF2B5EF4-FFF2-40B4-BE49-F238E27FC236}">
              <a16:creationId xmlns:a16="http://schemas.microsoft.com/office/drawing/2014/main" id="{33121E96-530D-461A-B2A7-3655C3B36341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054" name="AutoShape 12">
          <a:extLst>
            <a:ext uri="{FF2B5EF4-FFF2-40B4-BE49-F238E27FC236}">
              <a16:creationId xmlns:a16="http://schemas.microsoft.com/office/drawing/2014/main" id="{56F75582-36F7-4A22-9A78-37C1841D15F8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055" name="AutoShape 12">
          <a:extLst>
            <a:ext uri="{FF2B5EF4-FFF2-40B4-BE49-F238E27FC236}">
              <a16:creationId xmlns:a16="http://schemas.microsoft.com/office/drawing/2014/main" id="{EC8A6C81-8FBD-4008-A3F5-FB7BB3A80870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056" name="AutoShape 12">
          <a:extLst>
            <a:ext uri="{FF2B5EF4-FFF2-40B4-BE49-F238E27FC236}">
              <a16:creationId xmlns:a16="http://schemas.microsoft.com/office/drawing/2014/main" id="{9FCA25FC-CB47-45D8-B758-98D14B1E5ABF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057" name="AutoShape 12">
          <a:extLst>
            <a:ext uri="{FF2B5EF4-FFF2-40B4-BE49-F238E27FC236}">
              <a16:creationId xmlns:a16="http://schemas.microsoft.com/office/drawing/2014/main" id="{61DCCA26-731E-421E-ACE3-003D67AD7E94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058" name="AutoShape 12">
          <a:extLst>
            <a:ext uri="{FF2B5EF4-FFF2-40B4-BE49-F238E27FC236}">
              <a16:creationId xmlns:a16="http://schemas.microsoft.com/office/drawing/2014/main" id="{BCD5F5FD-68DA-4010-8054-3C46DC4D9F05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059" name="AutoShape 12">
          <a:extLst>
            <a:ext uri="{FF2B5EF4-FFF2-40B4-BE49-F238E27FC236}">
              <a16:creationId xmlns:a16="http://schemas.microsoft.com/office/drawing/2014/main" id="{8AE1CAA1-C188-4008-A7ED-7B5E0170B06E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060" name="AutoShape 12">
          <a:extLst>
            <a:ext uri="{FF2B5EF4-FFF2-40B4-BE49-F238E27FC236}">
              <a16:creationId xmlns:a16="http://schemas.microsoft.com/office/drawing/2014/main" id="{3AE74D12-C885-486E-AA8D-B03AEBA5DDA7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061" name="AutoShape 12">
          <a:extLst>
            <a:ext uri="{FF2B5EF4-FFF2-40B4-BE49-F238E27FC236}">
              <a16:creationId xmlns:a16="http://schemas.microsoft.com/office/drawing/2014/main" id="{983E8A74-3464-41CA-A163-7F9620929906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062" name="AutoShape 12">
          <a:extLst>
            <a:ext uri="{FF2B5EF4-FFF2-40B4-BE49-F238E27FC236}">
              <a16:creationId xmlns:a16="http://schemas.microsoft.com/office/drawing/2014/main" id="{CC350C1A-10B1-462E-8876-57C2781E1E36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063" name="AutoShape 12">
          <a:extLst>
            <a:ext uri="{FF2B5EF4-FFF2-40B4-BE49-F238E27FC236}">
              <a16:creationId xmlns:a16="http://schemas.microsoft.com/office/drawing/2014/main" id="{0AB642ED-A743-4F34-8B14-812FAAED9832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064" name="AutoShape 12">
          <a:extLst>
            <a:ext uri="{FF2B5EF4-FFF2-40B4-BE49-F238E27FC236}">
              <a16:creationId xmlns:a16="http://schemas.microsoft.com/office/drawing/2014/main" id="{8E158D4C-EBF0-4948-96B8-5990D3B14CC0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065" name="AutoShape 12">
          <a:extLst>
            <a:ext uri="{FF2B5EF4-FFF2-40B4-BE49-F238E27FC236}">
              <a16:creationId xmlns:a16="http://schemas.microsoft.com/office/drawing/2014/main" id="{18325AB2-C02A-48E4-B52A-06924CD49029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066" name="AutoShape 12">
          <a:extLst>
            <a:ext uri="{FF2B5EF4-FFF2-40B4-BE49-F238E27FC236}">
              <a16:creationId xmlns:a16="http://schemas.microsoft.com/office/drawing/2014/main" id="{044F38B6-8879-4658-8C0D-404CF6083D92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067" name="AutoShape 12">
          <a:extLst>
            <a:ext uri="{FF2B5EF4-FFF2-40B4-BE49-F238E27FC236}">
              <a16:creationId xmlns:a16="http://schemas.microsoft.com/office/drawing/2014/main" id="{AB0CACCC-1C8F-45D8-9798-A5EAF4C19EA0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068" name="AutoShape 12">
          <a:extLst>
            <a:ext uri="{FF2B5EF4-FFF2-40B4-BE49-F238E27FC236}">
              <a16:creationId xmlns:a16="http://schemas.microsoft.com/office/drawing/2014/main" id="{353E1DA6-B4F1-409E-B3D3-9ED92CF65749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069" name="AutoShape 12">
          <a:extLst>
            <a:ext uri="{FF2B5EF4-FFF2-40B4-BE49-F238E27FC236}">
              <a16:creationId xmlns:a16="http://schemas.microsoft.com/office/drawing/2014/main" id="{E2FCD737-E74B-4F80-A552-0D0DC3115CC5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070" name="AutoShape 12">
          <a:extLst>
            <a:ext uri="{FF2B5EF4-FFF2-40B4-BE49-F238E27FC236}">
              <a16:creationId xmlns:a16="http://schemas.microsoft.com/office/drawing/2014/main" id="{0608AF47-C45A-4D5C-AB37-D14F3D4796A1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071" name="AutoShape 12">
          <a:extLst>
            <a:ext uri="{FF2B5EF4-FFF2-40B4-BE49-F238E27FC236}">
              <a16:creationId xmlns:a16="http://schemas.microsoft.com/office/drawing/2014/main" id="{E52AF255-C683-4BF0-BAFC-56109AFC1634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072" name="AutoShape 12">
          <a:extLst>
            <a:ext uri="{FF2B5EF4-FFF2-40B4-BE49-F238E27FC236}">
              <a16:creationId xmlns:a16="http://schemas.microsoft.com/office/drawing/2014/main" id="{BE7E9064-FD8D-4063-BA65-655F50C26C25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073" name="AutoShape 12">
          <a:extLst>
            <a:ext uri="{FF2B5EF4-FFF2-40B4-BE49-F238E27FC236}">
              <a16:creationId xmlns:a16="http://schemas.microsoft.com/office/drawing/2014/main" id="{44C1C2B2-C998-42B6-8550-19869FA70316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074" name="AutoShape 12">
          <a:extLst>
            <a:ext uri="{FF2B5EF4-FFF2-40B4-BE49-F238E27FC236}">
              <a16:creationId xmlns:a16="http://schemas.microsoft.com/office/drawing/2014/main" id="{3F5A3FB1-F83E-44D2-89B0-92F28CCFEB39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075" name="AutoShape 12">
          <a:extLst>
            <a:ext uri="{FF2B5EF4-FFF2-40B4-BE49-F238E27FC236}">
              <a16:creationId xmlns:a16="http://schemas.microsoft.com/office/drawing/2014/main" id="{4BC36D53-63D8-402C-806A-2C0132406427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076" name="AutoShape 12">
          <a:extLst>
            <a:ext uri="{FF2B5EF4-FFF2-40B4-BE49-F238E27FC236}">
              <a16:creationId xmlns:a16="http://schemas.microsoft.com/office/drawing/2014/main" id="{D0566BAD-4D15-4B3B-85D6-44F544CF6D00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077" name="AutoShape 12">
          <a:extLst>
            <a:ext uri="{FF2B5EF4-FFF2-40B4-BE49-F238E27FC236}">
              <a16:creationId xmlns:a16="http://schemas.microsoft.com/office/drawing/2014/main" id="{CFABB4C4-36AB-48F2-A930-66378ADDFDA3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078" name="AutoShape 12">
          <a:extLst>
            <a:ext uri="{FF2B5EF4-FFF2-40B4-BE49-F238E27FC236}">
              <a16:creationId xmlns:a16="http://schemas.microsoft.com/office/drawing/2014/main" id="{EC090A3F-38EA-48A2-A072-B9E9A5812122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079" name="AutoShape 12">
          <a:extLst>
            <a:ext uri="{FF2B5EF4-FFF2-40B4-BE49-F238E27FC236}">
              <a16:creationId xmlns:a16="http://schemas.microsoft.com/office/drawing/2014/main" id="{46B9D5A9-AD7F-4E6C-A3F4-05F5AA20D112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080" name="AutoShape 12">
          <a:extLst>
            <a:ext uri="{FF2B5EF4-FFF2-40B4-BE49-F238E27FC236}">
              <a16:creationId xmlns:a16="http://schemas.microsoft.com/office/drawing/2014/main" id="{69A47099-53B5-455A-A76D-1351001526AF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081" name="AutoShape 12">
          <a:extLst>
            <a:ext uri="{FF2B5EF4-FFF2-40B4-BE49-F238E27FC236}">
              <a16:creationId xmlns:a16="http://schemas.microsoft.com/office/drawing/2014/main" id="{C7E0275C-51BB-4CD0-9432-9BB9EC9BFEA2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082" name="AutoShape 12">
          <a:extLst>
            <a:ext uri="{FF2B5EF4-FFF2-40B4-BE49-F238E27FC236}">
              <a16:creationId xmlns:a16="http://schemas.microsoft.com/office/drawing/2014/main" id="{F4CBC9BF-09DC-447F-AD6D-D1826418DA62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083" name="AutoShape 12">
          <a:extLst>
            <a:ext uri="{FF2B5EF4-FFF2-40B4-BE49-F238E27FC236}">
              <a16:creationId xmlns:a16="http://schemas.microsoft.com/office/drawing/2014/main" id="{B041ED5D-F760-4CD6-B6B3-A000D2E4F6CB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084" name="AutoShape 12">
          <a:extLst>
            <a:ext uri="{FF2B5EF4-FFF2-40B4-BE49-F238E27FC236}">
              <a16:creationId xmlns:a16="http://schemas.microsoft.com/office/drawing/2014/main" id="{AC6713BA-CFFA-4A01-9291-89DDD7AC5C18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085" name="AutoShape 12">
          <a:extLst>
            <a:ext uri="{FF2B5EF4-FFF2-40B4-BE49-F238E27FC236}">
              <a16:creationId xmlns:a16="http://schemas.microsoft.com/office/drawing/2014/main" id="{B7E8CB25-A2BC-45E2-83E7-DFFEE0565B45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086" name="AutoShape 12">
          <a:extLst>
            <a:ext uri="{FF2B5EF4-FFF2-40B4-BE49-F238E27FC236}">
              <a16:creationId xmlns:a16="http://schemas.microsoft.com/office/drawing/2014/main" id="{ACF01939-1213-4900-BD19-F86F4AE5A264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087" name="AutoShape 12">
          <a:extLst>
            <a:ext uri="{FF2B5EF4-FFF2-40B4-BE49-F238E27FC236}">
              <a16:creationId xmlns:a16="http://schemas.microsoft.com/office/drawing/2014/main" id="{7603F642-E0A5-4726-976F-6F08F23A8D74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088" name="AutoShape 12">
          <a:extLst>
            <a:ext uri="{FF2B5EF4-FFF2-40B4-BE49-F238E27FC236}">
              <a16:creationId xmlns:a16="http://schemas.microsoft.com/office/drawing/2014/main" id="{8A9B293A-0674-4C03-91E1-8E53C199698B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089" name="AutoShape 12">
          <a:extLst>
            <a:ext uri="{FF2B5EF4-FFF2-40B4-BE49-F238E27FC236}">
              <a16:creationId xmlns:a16="http://schemas.microsoft.com/office/drawing/2014/main" id="{3C9D5932-A172-418D-BBEB-A314B30C1D5D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090" name="AutoShape 12">
          <a:extLst>
            <a:ext uri="{FF2B5EF4-FFF2-40B4-BE49-F238E27FC236}">
              <a16:creationId xmlns:a16="http://schemas.microsoft.com/office/drawing/2014/main" id="{4E6EC79C-D23C-4161-B71C-B13A063C4EF9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091" name="AutoShape 12">
          <a:extLst>
            <a:ext uri="{FF2B5EF4-FFF2-40B4-BE49-F238E27FC236}">
              <a16:creationId xmlns:a16="http://schemas.microsoft.com/office/drawing/2014/main" id="{EE851B29-EAF9-42A6-A27A-316B63BB1488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092" name="AutoShape 12">
          <a:extLst>
            <a:ext uri="{FF2B5EF4-FFF2-40B4-BE49-F238E27FC236}">
              <a16:creationId xmlns:a16="http://schemas.microsoft.com/office/drawing/2014/main" id="{F3E19A4A-35CC-4363-9DFA-087C24F91CEF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093" name="AutoShape 12">
          <a:extLst>
            <a:ext uri="{FF2B5EF4-FFF2-40B4-BE49-F238E27FC236}">
              <a16:creationId xmlns:a16="http://schemas.microsoft.com/office/drawing/2014/main" id="{BC9F0C4D-116F-4C26-88A0-97C934E5175F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094" name="AutoShape 12">
          <a:extLst>
            <a:ext uri="{FF2B5EF4-FFF2-40B4-BE49-F238E27FC236}">
              <a16:creationId xmlns:a16="http://schemas.microsoft.com/office/drawing/2014/main" id="{C3476D12-3C64-478A-8375-B3DFBFE762DB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095" name="AutoShape 12">
          <a:extLst>
            <a:ext uri="{FF2B5EF4-FFF2-40B4-BE49-F238E27FC236}">
              <a16:creationId xmlns:a16="http://schemas.microsoft.com/office/drawing/2014/main" id="{407E2FF1-7AC7-404B-AE9D-5860512B6915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096" name="AutoShape 12">
          <a:extLst>
            <a:ext uri="{FF2B5EF4-FFF2-40B4-BE49-F238E27FC236}">
              <a16:creationId xmlns:a16="http://schemas.microsoft.com/office/drawing/2014/main" id="{379A57A7-23BB-4642-8BEC-3D0F95CB123C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097" name="AutoShape 12">
          <a:extLst>
            <a:ext uri="{FF2B5EF4-FFF2-40B4-BE49-F238E27FC236}">
              <a16:creationId xmlns:a16="http://schemas.microsoft.com/office/drawing/2014/main" id="{606D1DCA-1C8D-49D5-B2C6-C195E55009D0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098" name="AutoShape 12">
          <a:extLst>
            <a:ext uri="{FF2B5EF4-FFF2-40B4-BE49-F238E27FC236}">
              <a16:creationId xmlns:a16="http://schemas.microsoft.com/office/drawing/2014/main" id="{86A879A2-E559-49AD-B95D-D52779C1C6C9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099" name="AutoShape 12">
          <a:extLst>
            <a:ext uri="{FF2B5EF4-FFF2-40B4-BE49-F238E27FC236}">
              <a16:creationId xmlns:a16="http://schemas.microsoft.com/office/drawing/2014/main" id="{03A0BE87-E819-4983-A5EF-BA8706B1974E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100" name="AutoShape 12">
          <a:extLst>
            <a:ext uri="{FF2B5EF4-FFF2-40B4-BE49-F238E27FC236}">
              <a16:creationId xmlns:a16="http://schemas.microsoft.com/office/drawing/2014/main" id="{E3D3F960-CA9A-44A0-B897-6C86C9D61857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101" name="AutoShape 12">
          <a:extLst>
            <a:ext uri="{FF2B5EF4-FFF2-40B4-BE49-F238E27FC236}">
              <a16:creationId xmlns:a16="http://schemas.microsoft.com/office/drawing/2014/main" id="{3CFF664E-564D-4F12-8D0F-CBA585A31F4E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102" name="AutoShape 12">
          <a:extLst>
            <a:ext uri="{FF2B5EF4-FFF2-40B4-BE49-F238E27FC236}">
              <a16:creationId xmlns:a16="http://schemas.microsoft.com/office/drawing/2014/main" id="{2393BA3E-CFE0-494C-A6EA-CE57B9E4898E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103" name="AutoShape 12">
          <a:extLst>
            <a:ext uri="{FF2B5EF4-FFF2-40B4-BE49-F238E27FC236}">
              <a16:creationId xmlns:a16="http://schemas.microsoft.com/office/drawing/2014/main" id="{C19E4750-6DF5-4412-B42D-C0E471E6986D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104" name="AutoShape 12">
          <a:extLst>
            <a:ext uri="{FF2B5EF4-FFF2-40B4-BE49-F238E27FC236}">
              <a16:creationId xmlns:a16="http://schemas.microsoft.com/office/drawing/2014/main" id="{34680DFB-8F00-45C2-B0E4-6800EA3B34E2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105" name="AutoShape 12">
          <a:extLst>
            <a:ext uri="{FF2B5EF4-FFF2-40B4-BE49-F238E27FC236}">
              <a16:creationId xmlns:a16="http://schemas.microsoft.com/office/drawing/2014/main" id="{B528D951-C29C-4C3A-B742-2BCFEBD4B764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106" name="AutoShape 12">
          <a:extLst>
            <a:ext uri="{FF2B5EF4-FFF2-40B4-BE49-F238E27FC236}">
              <a16:creationId xmlns:a16="http://schemas.microsoft.com/office/drawing/2014/main" id="{7040D6D0-618C-41C2-912C-82042BB425DD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107" name="AutoShape 12">
          <a:extLst>
            <a:ext uri="{FF2B5EF4-FFF2-40B4-BE49-F238E27FC236}">
              <a16:creationId xmlns:a16="http://schemas.microsoft.com/office/drawing/2014/main" id="{655E2566-3F0C-4C04-A1C5-F3978678C682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108" name="AutoShape 12">
          <a:extLst>
            <a:ext uri="{FF2B5EF4-FFF2-40B4-BE49-F238E27FC236}">
              <a16:creationId xmlns:a16="http://schemas.microsoft.com/office/drawing/2014/main" id="{D7E76923-12D6-46ED-B7D9-AD897815A842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109" name="AutoShape 12">
          <a:extLst>
            <a:ext uri="{FF2B5EF4-FFF2-40B4-BE49-F238E27FC236}">
              <a16:creationId xmlns:a16="http://schemas.microsoft.com/office/drawing/2014/main" id="{725048DB-9CE9-4104-9066-1B8BA07B8684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110" name="AutoShape 12">
          <a:extLst>
            <a:ext uri="{FF2B5EF4-FFF2-40B4-BE49-F238E27FC236}">
              <a16:creationId xmlns:a16="http://schemas.microsoft.com/office/drawing/2014/main" id="{059832CE-50D9-4D14-9C81-39E16E7B4F1B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111" name="AutoShape 12">
          <a:extLst>
            <a:ext uri="{FF2B5EF4-FFF2-40B4-BE49-F238E27FC236}">
              <a16:creationId xmlns:a16="http://schemas.microsoft.com/office/drawing/2014/main" id="{089E84AD-299C-49CC-A135-A576A486DCEA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112" name="AutoShape 12">
          <a:extLst>
            <a:ext uri="{FF2B5EF4-FFF2-40B4-BE49-F238E27FC236}">
              <a16:creationId xmlns:a16="http://schemas.microsoft.com/office/drawing/2014/main" id="{C88E132D-CDC5-4150-9A38-65C1BAB65812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113" name="AutoShape 12">
          <a:extLst>
            <a:ext uri="{FF2B5EF4-FFF2-40B4-BE49-F238E27FC236}">
              <a16:creationId xmlns:a16="http://schemas.microsoft.com/office/drawing/2014/main" id="{90A3A46E-D01F-4BD2-80E6-DE0723D7FA34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114" name="AutoShape 12">
          <a:extLst>
            <a:ext uri="{FF2B5EF4-FFF2-40B4-BE49-F238E27FC236}">
              <a16:creationId xmlns:a16="http://schemas.microsoft.com/office/drawing/2014/main" id="{E1145E34-46F4-4BDB-AF8F-785157221B2E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115" name="AutoShape 12">
          <a:extLst>
            <a:ext uri="{FF2B5EF4-FFF2-40B4-BE49-F238E27FC236}">
              <a16:creationId xmlns:a16="http://schemas.microsoft.com/office/drawing/2014/main" id="{D9BDB4E6-1F7F-4723-9A7D-4568C52DDD5F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116" name="AutoShape 12">
          <a:extLst>
            <a:ext uri="{FF2B5EF4-FFF2-40B4-BE49-F238E27FC236}">
              <a16:creationId xmlns:a16="http://schemas.microsoft.com/office/drawing/2014/main" id="{D83C4B4B-5A12-4251-B7C6-2834BA9B2B29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117" name="AutoShape 12">
          <a:extLst>
            <a:ext uri="{FF2B5EF4-FFF2-40B4-BE49-F238E27FC236}">
              <a16:creationId xmlns:a16="http://schemas.microsoft.com/office/drawing/2014/main" id="{BE0D2725-F9D1-47BF-828E-83AE8A0B67A7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118" name="AutoShape 12">
          <a:extLst>
            <a:ext uri="{FF2B5EF4-FFF2-40B4-BE49-F238E27FC236}">
              <a16:creationId xmlns:a16="http://schemas.microsoft.com/office/drawing/2014/main" id="{99666852-3281-4782-B8D6-50BC2C8988D3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119" name="AutoShape 12">
          <a:extLst>
            <a:ext uri="{FF2B5EF4-FFF2-40B4-BE49-F238E27FC236}">
              <a16:creationId xmlns:a16="http://schemas.microsoft.com/office/drawing/2014/main" id="{F22705AD-B50C-49EE-A0A8-74E7ABF8B019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120" name="AutoShape 12">
          <a:extLst>
            <a:ext uri="{FF2B5EF4-FFF2-40B4-BE49-F238E27FC236}">
              <a16:creationId xmlns:a16="http://schemas.microsoft.com/office/drawing/2014/main" id="{D9DFFE75-187F-4CB9-B7F4-DCB81FEA4E6B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121" name="AutoShape 12">
          <a:extLst>
            <a:ext uri="{FF2B5EF4-FFF2-40B4-BE49-F238E27FC236}">
              <a16:creationId xmlns:a16="http://schemas.microsoft.com/office/drawing/2014/main" id="{4F751CAC-DC9A-45BA-AE21-734BEBDEE233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122" name="AutoShape 12">
          <a:extLst>
            <a:ext uri="{FF2B5EF4-FFF2-40B4-BE49-F238E27FC236}">
              <a16:creationId xmlns:a16="http://schemas.microsoft.com/office/drawing/2014/main" id="{C148E5D7-4679-47D2-A069-B9F5CD3ECFF8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123" name="AutoShape 12">
          <a:extLst>
            <a:ext uri="{FF2B5EF4-FFF2-40B4-BE49-F238E27FC236}">
              <a16:creationId xmlns:a16="http://schemas.microsoft.com/office/drawing/2014/main" id="{162622B6-8F75-445D-83FA-C336E75236E6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124" name="AutoShape 12">
          <a:extLst>
            <a:ext uri="{FF2B5EF4-FFF2-40B4-BE49-F238E27FC236}">
              <a16:creationId xmlns:a16="http://schemas.microsoft.com/office/drawing/2014/main" id="{D957CA90-2312-46E6-84C6-86FD84357412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125" name="AutoShape 12">
          <a:extLst>
            <a:ext uri="{FF2B5EF4-FFF2-40B4-BE49-F238E27FC236}">
              <a16:creationId xmlns:a16="http://schemas.microsoft.com/office/drawing/2014/main" id="{3B6E2283-37DF-4112-BF67-B7261D57586D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126" name="AutoShape 12">
          <a:extLst>
            <a:ext uri="{FF2B5EF4-FFF2-40B4-BE49-F238E27FC236}">
              <a16:creationId xmlns:a16="http://schemas.microsoft.com/office/drawing/2014/main" id="{276F2FC1-603D-4706-95DC-263F8B983FE0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127" name="AutoShape 12">
          <a:extLst>
            <a:ext uri="{FF2B5EF4-FFF2-40B4-BE49-F238E27FC236}">
              <a16:creationId xmlns:a16="http://schemas.microsoft.com/office/drawing/2014/main" id="{B21B0047-2540-4291-8625-2CBDD4EEF5F8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128" name="AutoShape 12">
          <a:extLst>
            <a:ext uri="{FF2B5EF4-FFF2-40B4-BE49-F238E27FC236}">
              <a16:creationId xmlns:a16="http://schemas.microsoft.com/office/drawing/2014/main" id="{E2862D8A-2091-49C8-B8E2-0C0272E76862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129" name="AutoShape 12">
          <a:extLst>
            <a:ext uri="{FF2B5EF4-FFF2-40B4-BE49-F238E27FC236}">
              <a16:creationId xmlns:a16="http://schemas.microsoft.com/office/drawing/2014/main" id="{27F63AD8-5D07-4C1F-B9AA-A81BC95B8319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130" name="AutoShape 12">
          <a:extLst>
            <a:ext uri="{FF2B5EF4-FFF2-40B4-BE49-F238E27FC236}">
              <a16:creationId xmlns:a16="http://schemas.microsoft.com/office/drawing/2014/main" id="{4894CEE1-2C71-4E7E-85D4-1DA0BB8986BA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131" name="AutoShape 12">
          <a:extLst>
            <a:ext uri="{FF2B5EF4-FFF2-40B4-BE49-F238E27FC236}">
              <a16:creationId xmlns:a16="http://schemas.microsoft.com/office/drawing/2014/main" id="{8183F781-F95F-472F-A1E6-3DF3AA198B41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132" name="AutoShape 12">
          <a:extLst>
            <a:ext uri="{FF2B5EF4-FFF2-40B4-BE49-F238E27FC236}">
              <a16:creationId xmlns:a16="http://schemas.microsoft.com/office/drawing/2014/main" id="{53C78CCD-9723-4C22-A08F-D26436F39250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133" name="AutoShape 12">
          <a:extLst>
            <a:ext uri="{FF2B5EF4-FFF2-40B4-BE49-F238E27FC236}">
              <a16:creationId xmlns:a16="http://schemas.microsoft.com/office/drawing/2014/main" id="{E20A89C0-84B1-4364-A0D3-6B317B964328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134" name="AutoShape 12">
          <a:extLst>
            <a:ext uri="{FF2B5EF4-FFF2-40B4-BE49-F238E27FC236}">
              <a16:creationId xmlns:a16="http://schemas.microsoft.com/office/drawing/2014/main" id="{D8A59234-313B-4195-A69E-1F7773CF5E64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135" name="AutoShape 12">
          <a:extLst>
            <a:ext uri="{FF2B5EF4-FFF2-40B4-BE49-F238E27FC236}">
              <a16:creationId xmlns:a16="http://schemas.microsoft.com/office/drawing/2014/main" id="{C654B8B5-4BF2-4495-A7CE-54808714F3CD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136" name="AutoShape 12">
          <a:extLst>
            <a:ext uri="{FF2B5EF4-FFF2-40B4-BE49-F238E27FC236}">
              <a16:creationId xmlns:a16="http://schemas.microsoft.com/office/drawing/2014/main" id="{7E85F3F0-F1E4-4123-8B58-36093CE36425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137" name="AutoShape 12">
          <a:extLst>
            <a:ext uri="{FF2B5EF4-FFF2-40B4-BE49-F238E27FC236}">
              <a16:creationId xmlns:a16="http://schemas.microsoft.com/office/drawing/2014/main" id="{90AD22CC-75AE-4FB8-9B4A-DE4256887BD8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138" name="AutoShape 12">
          <a:extLst>
            <a:ext uri="{FF2B5EF4-FFF2-40B4-BE49-F238E27FC236}">
              <a16:creationId xmlns:a16="http://schemas.microsoft.com/office/drawing/2014/main" id="{566A33FB-49C4-4406-8C18-1B2E4AA04F1D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139" name="AutoShape 12">
          <a:extLst>
            <a:ext uri="{FF2B5EF4-FFF2-40B4-BE49-F238E27FC236}">
              <a16:creationId xmlns:a16="http://schemas.microsoft.com/office/drawing/2014/main" id="{80244265-8B7A-4DCD-A197-56F3A92857F6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140" name="AutoShape 12">
          <a:extLst>
            <a:ext uri="{FF2B5EF4-FFF2-40B4-BE49-F238E27FC236}">
              <a16:creationId xmlns:a16="http://schemas.microsoft.com/office/drawing/2014/main" id="{AF53A21B-E176-46BC-84CD-C63737164C74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141" name="AutoShape 12">
          <a:extLst>
            <a:ext uri="{FF2B5EF4-FFF2-40B4-BE49-F238E27FC236}">
              <a16:creationId xmlns:a16="http://schemas.microsoft.com/office/drawing/2014/main" id="{24FE85BC-FF14-4123-86DF-4B8AC21187FC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142" name="AutoShape 12">
          <a:extLst>
            <a:ext uri="{FF2B5EF4-FFF2-40B4-BE49-F238E27FC236}">
              <a16:creationId xmlns:a16="http://schemas.microsoft.com/office/drawing/2014/main" id="{12CEF9A6-5FDA-4993-9649-D6D6B2A5CA32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143" name="AutoShape 12">
          <a:extLst>
            <a:ext uri="{FF2B5EF4-FFF2-40B4-BE49-F238E27FC236}">
              <a16:creationId xmlns:a16="http://schemas.microsoft.com/office/drawing/2014/main" id="{07A2DB52-6129-40D9-9C2E-4481A4BBBF83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144" name="AutoShape 12">
          <a:extLst>
            <a:ext uri="{FF2B5EF4-FFF2-40B4-BE49-F238E27FC236}">
              <a16:creationId xmlns:a16="http://schemas.microsoft.com/office/drawing/2014/main" id="{6F926F36-DDEB-4AE4-9AC1-D43AADA8F2CD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145" name="AutoShape 12">
          <a:extLst>
            <a:ext uri="{FF2B5EF4-FFF2-40B4-BE49-F238E27FC236}">
              <a16:creationId xmlns:a16="http://schemas.microsoft.com/office/drawing/2014/main" id="{A839D46C-195D-443F-8B7E-00AA834FFFFC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146" name="AutoShape 12">
          <a:extLst>
            <a:ext uri="{FF2B5EF4-FFF2-40B4-BE49-F238E27FC236}">
              <a16:creationId xmlns:a16="http://schemas.microsoft.com/office/drawing/2014/main" id="{B87F4B58-FCB1-4EE3-90C1-F666B06E89E5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147" name="AutoShape 12">
          <a:extLst>
            <a:ext uri="{FF2B5EF4-FFF2-40B4-BE49-F238E27FC236}">
              <a16:creationId xmlns:a16="http://schemas.microsoft.com/office/drawing/2014/main" id="{D2CC3DA5-C917-407C-BE09-7F816ABB3D9C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148" name="AutoShape 12">
          <a:extLst>
            <a:ext uri="{FF2B5EF4-FFF2-40B4-BE49-F238E27FC236}">
              <a16:creationId xmlns:a16="http://schemas.microsoft.com/office/drawing/2014/main" id="{CB7FEDBA-2169-4059-8C04-E284ADD52ACD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149" name="AutoShape 12">
          <a:extLst>
            <a:ext uri="{FF2B5EF4-FFF2-40B4-BE49-F238E27FC236}">
              <a16:creationId xmlns:a16="http://schemas.microsoft.com/office/drawing/2014/main" id="{527494FD-65CB-4AD2-A56E-C3554B3D44DB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150" name="AutoShape 12">
          <a:extLst>
            <a:ext uri="{FF2B5EF4-FFF2-40B4-BE49-F238E27FC236}">
              <a16:creationId xmlns:a16="http://schemas.microsoft.com/office/drawing/2014/main" id="{1057D1A9-F72F-429E-95BB-9F80096E5C67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151" name="AutoShape 12">
          <a:extLst>
            <a:ext uri="{FF2B5EF4-FFF2-40B4-BE49-F238E27FC236}">
              <a16:creationId xmlns:a16="http://schemas.microsoft.com/office/drawing/2014/main" id="{38D68748-2D1F-439B-99C5-5FCF1DEB7893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152" name="AutoShape 12">
          <a:extLst>
            <a:ext uri="{FF2B5EF4-FFF2-40B4-BE49-F238E27FC236}">
              <a16:creationId xmlns:a16="http://schemas.microsoft.com/office/drawing/2014/main" id="{76337A66-E364-4E78-9563-C7E87BA379C4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153" name="AutoShape 12">
          <a:extLst>
            <a:ext uri="{FF2B5EF4-FFF2-40B4-BE49-F238E27FC236}">
              <a16:creationId xmlns:a16="http://schemas.microsoft.com/office/drawing/2014/main" id="{480F55EE-7CA2-4F4C-A27A-3D95E2D709AF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154" name="AutoShape 12">
          <a:extLst>
            <a:ext uri="{FF2B5EF4-FFF2-40B4-BE49-F238E27FC236}">
              <a16:creationId xmlns:a16="http://schemas.microsoft.com/office/drawing/2014/main" id="{A4028258-1360-4B42-AA8E-71B2DD67D992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155" name="AutoShape 12">
          <a:extLst>
            <a:ext uri="{FF2B5EF4-FFF2-40B4-BE49-F238E27FC236}">
              <a16:creationId xmlns:a16="http://schemas.microsoft.com/office/drawing/2014/main" id="{EE10A584-A681-4F61-A632-182C0EC7C316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156" name="AutoShape 12">
          <a:extLst>
            <a:ext uri="{FF2B5EF4-FFF2-40B4-BE49-F238E27FC236}">
              <a16:creationId xmlns:a16="http://schemas.microsoft.com/office/drawing/2014/main" id="{B12EFA77-346A-476C-96A2-9C3CA124E51E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157" name="AutoShape 12">
          <a:extLst>
            <a:ext uri="{FF2B5EF4-FFF2-40B4-BE49-F238E27FC236}">
              <a16:creationId xmlns:a16="http://schemas.microsoft.com/office/drawing/2014/main" id="{9E69CBEC-E8BA-47B2-8253-5DDBDFDFE999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158" name="AutoShape 12">
          <a:extLst>
            <a:ext uri="{FF2B5EF4-FFF2-40B4-BE49-F238E27FC236}">
              <a16:creationId xmlns:a16="http://schemas.microsoft.com/office/drawing/2014/main" id="{A6192323-0948-4C0D-B3BF-B5EF994CEB9B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159" name="AutoShape 12">
          <a:extLst>
            <a:ext uri="{FF2B5EF4-FFF2-40B4-BE49-F238E27FC236}">
              <a16:creationId xmlns:a16="http://schemas.microsoft.com/office/drawing/2014/main" id="{69BBFCEE-DE35-4466-845F-51B8FA72F717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160" name="AutoShape 12">
          <a:extLst>
            <a:ext uri="{FF2B5EF4-FFF2-40B4-BE49-F238E27FC236}">
              <a16:creationId xmlns:a16="http://schemas.microsoft.com/office/drawing/2014/main" id="{52418C76-1B65-4D93-B9FF-A9449D220597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161" name="AutoShape 12">
          <a:extLst>
            <a:ext uri="{FF2B5EF4-FFF2-40B4-BE49-F238E27FC236}">
              <a16:creationId xmlns:a16="http://schemas.microsoft.com/office/drawing/2014/main" id="{47D6A949-9EBF-4CF5-8FFE-1BCEF9833DBF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162" name="AutoShape 12">
          <a:extLst>
            <a:ext uri="{FF2B5EF4-FFF2-40B4-BE49-F238E27FC236}">
              <a16:creationId xmlns:a16="http://schemas.microsoft.com/office/drawing/2014/main" id="{5B36B4DF-C746-4EFC-BB53-DFF318BF6A22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163" name="AutoShape 12">
          <a:extLst>
            <a:ext uri="{FF2B5EF4-FFF2-40B4-BE49-F238E27FC236}">
              <a16:creationId xmlns:a16="http://schemas.microsoft.com/office/drawing/2014/main" id="{3AAEABE6-3162-45FD-A312-42E0D7FA2344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164" name="AutoShape 12">
          <a:extLst>
            <a:ext uri="{FF2B5EF4-FFF2-40B4-BE49-F238E27FC236}">
              <a16:creationId xmlns:a16="http://schemas.microsoft.com/office/drawing/2014/main" id="{DF60BD45-47E9-4F69-91B6-88815E19EF2F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165" name="AutoShape 12">
          <a:extLst>
            <a:ext uri="{FF2B5EF4-FFF2-40B4-BE49-F238E27FC236}">
              <a16:creationId xmlns:a16="http://schemas.microsoft.com/office/drawing/2014/main" id="{9AF9E579-BFAC-45C7-9947-B73EB161CABB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166" name="AutoShape 12">
          <a:extLst>
            <a:ext uri="{FF2B5EF4-FFF2-40B4-BE49-F238E27FC236}">
              <a16:creationId xmlns:a16="http://schemas.microsoft.com/office/drawing/2014/main" id="{9EEA09A0-F695-44FC-B654-ED349CF3431B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167" name="AutoShape 12">
          <a:extLst>
            <a:ext uri="{FF2B5EF4-FFF2-40B4-BE49-F238E27FC236}">
              <a16:creationId xmlns:a16="http://schemas.microsoft.com/office/drawing/2014/main" id="{09BA4711-CA55-4F38-821F-7B363F776977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168" name="AutoShape 12">
          <a:extLst>
            <a:ext uri="{FF2B5EF4-FFF2-40B4-BE49-F238E27FC236}">
              <a16:creationId xmlns:a16="http://schemas.microsoft.com/office/drawing/2014/main" id="{4598EA21-9603-46A7-B734-D7CDD3C7FAB3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169" name="AutoShape 12">
          <a:extLst>
            <a:ext uri="{FF2B5EF4-FFF2-40B4-BE49-F238E27FC236}">
              <a16:creationId xmlns:a16="http://schemas.microsoft.com/office/drawing/2014/main" id="{60808D83-E310-4FBA-8E76-E34CA92BDB73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170" name="AutoShape 12">
          <a:extLst>
            <a:ext uri="{FF2B5EF4-FFF2-40B4-BE49-F238E27FC236}">
              <a16:creationId xmlns:a16="http://schemas.microsoft.com/office/drawing/2014/main" id="{409393A0-B2C2-4A15-B488-7C977A7B6BF8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171" name="AutoShape 12">
          <a:extLst>
            <a:ext uri="{FF2B5EF4-FFF2-40B4-BE49-F238E27FC236}">
              <a16:creationId xmlns:a16="http://schemas.microsoft.com/office/drawing/2014/main" id="{E1797303-8D36-4690-976C-090764FA9E2A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172" name="AutoShape 12">
          <a:extLst>
            <a:ext uri="{FF2B5EF4-FFF2-40B4-BE49-F238E27FC236}">
              <a16:creationId xmlns:a16="http://schemas.microsoft.com/office/drawing/2014/main" id="{85F1AE76-27A0-408D-9A56-622222536650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173" name="AutoShape 12">
          <a:extLst>
            <a:ext uri="{FF2B5EF4-FFF2-40B4-BE49-F238E27FC236}">
              <a16:creationId xmlns:a16="http://schemas.microsoft.com/office/drawing/2014/main" id="{F93C6F40-E016-4F46-A2BD-B7FD6AEE005B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174" name="AutoShape 12">
          <a:extLst>
            <a:ext uri="{FF2B5EF4-FFF2-40B4-BE49-F238E27FC236}">
              <a16:creationId xmlns:a16="http://schemas.microsoft.com/office/drawing/2014/main" id="{6C9A2BDC-BF3F-477D-8519-522C343F4867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175" name="AutoShape 12">
          <a:extLst>
            <a:ext uri="{FF2B5EF4-FFF2-40B4-BE49-F238E27FC236}">
              <a16:creationId xmlns:a16="http://schemas.microsoft.com/office/drawing/2014/main" id="{FB8EAEBE-1DD4-4DBB-83CE-4F3CD276B971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176" name="AutoShape 12">
          <a:extLst>
            <a:ext uri="{FF2B5EF4-FFF2-40B4-BE49-F238E27FC236}">
              <a16:creationId xmlns:a16="http://schemas.microsoft.com/office/drawing/2014/main" id="{200D223E-3D47-4893-8396-6FC92ACEDB6E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177" name="AutoShape 12">
          <a:extLst>
            <a:ext uri="{FF2B5EF4-FFF2-40B4-BE49-F238E27FC236}">
              <a16:creationId xmlns:a16="http://schemas.microsoft.com/office/drawing/2014/main" id="{F0C38218-4DB3-4C66-9066-0FFA94F6EA49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178" name="AutoShape 12">
          <a:extLst>
            <a:ext uri="{FF2B5EF4-FFF2-40B4-BE49-F238E27FC236}">
              <a16:creationId xmlns:a16="http://schemas.microsoft.com/office/drawing/2014/main" id="{323D8F47-7D3B-43D2-9965-ED649D08CAB1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179" name="AutoShape 12">
          <a:extLst>
            <a:ext uri="{FF2B5EF4-FFF2-40B4-BE49-F238E27FC236}">
              <a16:creationId xmlns:a16="http://schemas.microsoft.com/office/drawing/2014/main" id="{8389FEEA-D556-4650-8579-BD9ABAF2A5F9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180" name="AutoShape 12">
          <a:extLst>
            <a:ext uri="{FF2B5EF4-FFF2-40B4-BE49-F238E27FC236}">
              <a16:creationId xmlns:a16="http://schemas.microsoft.com/office/drawing/2014/main" id="{118B0964-C84F-42CB-8307-B91321C9C632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181" name="AutoShape 12">
          <a:extLst>
            <a:ext uri="{FF2B5EF4-FFF2-40B4-BE49-F238E27FC236}">
              <a16:creationId xmlns:a16="http://schemas.microsoft.com/office/drawing/2014/main" id="{46B680D7-D58A-442F-B41B-22151F5A01A3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182" name="AutoShape 12">
          <a:extLst>
            <a:ext uri="{FF2B5EF4-FFF2-40B4-BE49-F238E27FC236}">
              <a16:creationId xmlns:a16="http://schemas.microsoft.com/office/drawing/2014/main" id="{953261C4-3FEB-4A8F-84F2-6DD71FC82AAF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183" name="AutoShape 12">
          <a:extLst>
            <a:ext uri="{FF2B5EF4-FFF2-40B4-BE49-F238E27FC236}">
              <a16:creationId xmlns:a16="http://schemas.microsoft.com/office/drawing/2014/main" id="{946FAD13-3B25-491D-A4D4-F37AF958046F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184" name="AutoShape 12">
          <a:extLst>
            <a:ext uri="{FF2B5EF4-FFF2-40B4-BE49-F238E27FC236}">
              <a16:creationId xmlns:a16="http://schemas.microsoft.com/office/drawing/2014/main" id="{1A0E1226-0CCB-4C7B-AB92-00A64AA5EB03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185" name="AutoShape 12">
          <a:extLst>
            <a:ext uri="{FF2B5EF4-FFF2-40B4-BE49-F238E27FC236}">
              <a16:creationId xmlns:a16="http://schemas.microsoft.com/office/drawing/2014/main" id="{EDEBB5B4-8F64-4BE9-BB5B-956DD61A5F5A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186" name="AutoShape 12">
          <a:extLst>
            <a:ext uri="{FF2B5EF4-FFF2-40B4-BE49-F238E27FC236}">
              <a16:creationId xmlns:a16="http://schemas.microsoft.com/office/drawing/2014/main" id="{463F1EAA-E179-433C-8380-A94DD72F78AB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187" name="AutoShape 12">
          <a:extLst>
            <a:ext uri="{FF2B5EF4-FFF2-40B4-BE49-F238E27FC236}">
              <a16:creationId xmlns:a16="http://schemas.microsoft.com/office/drawing/2014/main" id="{4553574E-A0CF-47F6-B5CA-6CB5865CD641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188" name="AutoShape 12">
          <a:extLst>
            <a:ext uri="{FF2B5EF4-FFF2-40B4-BE49-F238E27FC236}">
              <a16:creationId xmlns:a16="http://schemas.microsoft.com/office/drawing/2014/main" id="{6FDC2B63-82B6-4F8A-BBBD-EC4F23C24BEB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189" name="AutoShape 12">
          <a:extLst>
            <a:ext uri="{FF2B5EF4-FFF2-40B4-BE49-F238E27FC236}">
              <a16:creationId xmlns:a16="http://schemas.microsoft.com/office/drawing/2014/main" id="{7B0B2753-65E1-420C-9CDD-B183B5CFD82B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190" name="AutoShape 12">
          <a:extLst>
            <a:ext uri="{FF2B5EF4-FFF2-40B4-BE49-F238E27FC236}">
              <a16:creationId xmlns:a16="http://schemas.microsoft.com/office/drawing/2014/main" id="{05FD6A7C-B495-468A-BF79-7D10BF295E02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191" name="AutoShape 12">
          <a:extLst>
            <a:ext uri="{FF2B5EF4-FFF2-40B4-BE49-F238E27FC236}">
              <a16:creationId xmlns:a16="http://schemas.microsoft.com/office/drawing/2014/main" id="{08E50237-B28C-4239-B950-8C152B7EAA0F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192" name="AutoShape 12">
          <a:extLst>
            <a:ext uri="{FF2B5EF4-FFF2-40B4-BE49-F238E27FC236}">
              <a16:creationId xmlns:a16="http://schemas.microsoft.com/office/drawing/2014/main" id="{19F3926D-B85D-49CB-A175-AF8186F1D871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193" name="AutoShape 12">
          <a:extLst>
            <a:ext uri="{FF2B5EF4-FFF2-40B4-BE49-F238E27FC236}">
              <a16:creationId xmlns:a16="http://schemas.microsoft.com/office/drawing/2014/main" id="{007CF055-6DB9-4C0B-849C-0CB3911DCA5E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194" name="AutoShape 12">
          <a:extLst>
            <a:ext uri="{FF2B5EF4-FFF2-40B4-BE49-F238E27FC236}">
              <a16:creationId xmlns:a16="http://schemas.microsoft.com/office/drawing/2014/main" id="{9EC2BBCF-D5C7-42C2-A43A-4D22275DB442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195" name="AutoShape 12">
          <a:extLst>
            <a:ext uri="{FF2B5EF4-FFF2-40B4-BE49-F238E27FC236}">
              <a16:creationId xmlns:a16="http://schemas.microsoft.com/office/drawing/2014/main" id="{90F5B22A-EA28-4CDB-930C-A4BF2E219C6D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196" name="AutoShape 12">
          <a:extLst>
            <a:ext uri="{FF2B5EF4-FFF2-40B4-BE49-F238E27FC236}">
              <a16:creationId xmlns:a16="http://schemas.microsoft.com/office/drawing/2014/main" id="{B5DA2B05-4564-4F3F-BFE9-53EA40B81859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197" name="AutoShape 12">
          <a:extLst>
            <a:ext uri="{FF2B5EF4-FFF2-40B4-BE49-F238E27FC236}">
              <a16:creationId xmlns:a16="http://schemas.microsoft.com/office/drawing/2014/main" id="{5EDAF72B-BC5C-4649-9715-C210790D8EA3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198" name="AutoShape 12">
          <a:extLst>
            <a:ext uri="{FF2B5EF4-FFF2-40B4-BE49-F238E27FC236}">
              <a16:creationId xmlns:a16="http://schemas.microsoft.com/office/drawing/2014/main" id="{AD14C7F8-4CE6-4196-933B-6C9F43B941A1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199" name="AutoShape 12">
          <a:extLst>
            <a:ext uri="{FF2B5EF4-FFF2-40B4-BE49-F238E27FC236}">
              <a16:creationId xmlns:a16="http://schemas.microsoft.com/office/drawing/2014/main" id="{BA0293C5-A1E7-4AC5-92BF-8EE412557C5C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200" name="AutoShape 12">
          <a:extLst>
            <a:ext uri="{FF2B5EF4-FFF2-40B4-BE49-F238E27FC236}">
              <a16:creationId xmlns:a16="http://schemas.microsoft.com/office/drawing/2014/main" id="{AADCA6B7-EC4C-4D45-B3CA-52344E3A6AB6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201" name="AutoShape 12">
          <a:extLst>
            <a:ext uri="{FF2B5EF4-FFF2-40B4-BE49-F238E27FC236}">
              <a16:creationId xmlns:a16="http://schemas.microsoft.com/office/drawing/2014/main" id="{72C74D35-68E1-4356-8101-2C580B9F74A8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202" name="AutoShape 12">
          <a:extLst>
            <a:ext uri="{FF2B5EF4-FFF2-40B4-BE49-F238E27FC236}">
              <a16:creationId xmlns:a16="http://schemas.microsoft.com/office/drawing/2014/main" id="{5317A502-17CE-40CE-9091-21D1B2E27B75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203" name="AutoShape 12">
          <a:extLst>
            <a:ext uri="{FF2B5EF4-FFF2-40B4-BE49-F238E27FC236}">
              <a16:creationId xmlns:a16="http://schemas.microsoft.com/office/drawing/2014/main" id="{37BC5F26-479D-48E2-8792-511D91D44A11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204" name="AutoShape 12">
          <a:extLst>
            <a:ext uri="{FF2B5EF4-FFF2-40B4-BE49-F238E27FC236}">
              <a16:creationId xmlns:a16="http://schemas.microsoft.com/office/drawing/2014/main" id="{38B924CC-02C8-4E4A-8011-9F351F4A15E2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205" name="AutoShape 12">
          <a:extLst>
            <a:ext uri="{FF2B5EF4-FFF2-40B4-BE49-F238E27FC236}">
              <a16:creationId xmlns:a16="http://schemas.microsoft.com/office/drawing/2014/main" id="{1AB065F7-D9DD-471F-93D9-23E78E86D958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206" name="AutoShape 12">
          <a:extLst>
            <a:ext uri="{FF2B5EF4-FFF2-40B4-BE49-F238E27FC236}">
              <a16:creationId xmlns:a16="http://schemas.microsoft.com/office/drawing/2014/main" id="{801BEF53-1B0D-4852-AFE5-9DB1EAD1FCFF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207" name="AutoShape 12">
          <a:extLst>
            <a:ext uri="{FF2B5EF4-FFF2-40B4-BE49-F238E27FC236}">
              <a16:creationId xmlns:a16="http://schemas.microsoft.com/office/drawing/2014/main" id="{833E8200-D579-4CB5-B0B1-3D2259674959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208" name="AutoShape 12">
          <a:extLst>
            <a:ext uri="{FF2B5EF4-FFF2-40B4-BE49-F238E27FC236}">
              <a16:creationId xmlns:a16="http://schemas.microsoft.com/office/drawing/2014/main" id="{7E02DA17-605F-4FC0-A162-9A01E14B1FC9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209" name="AutoShape 12">
          <a:extLst>
            <a:ext uri="{FF2B5EF4-FFF2-40B4-BE49-F238E27FC236}">
              <a16:creationId xmlns:a16="http://schemas.microsoft.com/office/drawing/2014/main" id="{457F5111-F7DC-4151-9428-B36703E523FA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210" name="AutoShape 12">
          <a:extLst>
            <a:ext uri="{FF2B5EF4-FFF2-40B4-BE49-F238E27FC236}">
              <a16:creationId xmlns:a16="http://schemas.microsoft.com/office/drawing/2014/main" id="{19616794-CB51-4A5C-A2A5-E9E39FB67D6C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211" name="AutoShape 12">
          <a:extLst>
            <a:ext uri="{FF2B5EF4-FFF2-40B4-BE49-F238E27FC236}">
              <a16:creationId xmlns:a16="http://schemas.microsoft.com/office/drawing/2014/main" id="{040EEE23-6073-4F7F-AEE2-CE7039D618D6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212" name="AutoShape 12">
          <a:extLst>
            <a:ext uri="{FF2B5EF4-FFF2-40B4-BE49-F238E27FC236}">
              <a16:creationId xmlns:a16="http://schemas.microsoft.com/office/drawing/2014/main" id="{7F84BBBC-88FE-4BDC-94FB-C744FBC45152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213" name="AutoShape 12">
          <a:extLst>
            <a:ext uri="{FF2B5EF4-FFF2-40B4-BE49-F238E27FC236}">
              <a16:creationId xmlns:a16="http://schemas.microsoft.com/office/drawing/2014/main" id="{32218CC5-462E-4D92-BEF3-D4446BD97A8C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214" name="AutoShape 12">
          <a:extLst>
            <a:ext uri="{FF2B5EF4-FFF2-40B4-BE49-F238E27FC236}">
              <a16:creationId xmlns:a16="http://schemas.microsoft.com/office/drawing/2014/main" id="{916CB68F-740B-4185-854A-18352ED33FAE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215" name="AutoShape 12">
          <a:extLst>
            <a:ext uri="{FF2B5EF4-FFF2-40B4-BE49-F238E27FC236}">
              <a16:creationId xmlns:a16="http://schemas.microsoft.com/office/drawing/2014/main" id="{F9F791F9-31D2-455A-935E-578D34268321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216" name="AutoShape 12">
          <a:extLst>
            <a:ext uri="{FF2B5EF4-FFF2-40B4-BE49-F238E27FC236}">
              <a16:creationId xmlns:a16="http://schemas.microsoft.com/office/drawing/2014/main" id="{17C72EF9-6569-4B08-8A95-F2C29503BA10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217" name="AutoShape 12">
          <a:extLst>
            <a:ext uri="{FF2B5EF4-FFF2-40B4-BE49-F238E27FC236}">
              <a16:creationId xmlns:a16="http://schemas.microsoft.com/office/drawing/2014/main" id="{4115D5CD-1404-47E7-B6C1-EE0F58E659D5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218" name="AutoShape 12">
          <a:extLst>
            <a:ext uri="{FF2B5EF4-FFF2-40B4-BE49-F238E27FC236}">
              <a16:creationId xmlns:a16="http://schemas.microsoft.com/office/drawing/2014/main" id="{2D561926-9D49-4AFD-A685-4791895E2092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219" name="AutoShape 12">
          <a:extLst>
            <a:ext uri="{FF2B5EF4-FFF2-40B4-BE49-F238E27FC236}">
              <a16:creationId xmlns:a16="http://schemas.microsoft.com/office/drawing/2014/main" id="{CA156486-EE01-4C2E-A4B7-D72BE4782623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220" name="AutoShape 12">
          <a:extLst>
            <a:ext uri="{FF2B5EF4-FFF2-40B4-BE49-F238E27FC236}">
              <a16:creationId xmlns:a16="http://schemas.microsoft.com/office/drawing/2014/main" id="{AC468CC0-160C-4553-8D35-DCFF0057B376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221" name="AutoShape 12">
          <a:extLst>
            <a:ext uri="{FF2B5EF4-FFF2-40B4-BE49-F238E27FC236}">
              <a16:creationId xmlns:a16="http://schemas.microsoft.com/office/drawing/2014/main" id="{7771B382-F826-43A8-A238-FE12D7AE4B0A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222" name="AutoShape 12">
          <a:extLst>
            <a:ext uri="{FF2B5EF4-FFF2-40B4-BE49-F238E27FC236}">
              <a16:creationId xmlns:a16="http://schemas.microsoft.com/office/drawing/2014/main" id="{FA6EB17D-7A91-489B-86CA-A51B39C41040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223" name="AutoShape 12">
          <a:extLst>
            <a:ext uri="{FF2B5EF4-FFF2-40B4-BE49-F238E27FC236}">
              <a16:creationId xmlns:a16="http://schemas.microsoft.com/office/drawing/2014/main" id="{6E7D022C-7A8B-4B99-96B1-72FC3B7FE4C8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224" name="AutoShape 12">
          <a:extLst>
            <a:ext uri="{FF2B5EF4-FFF2-40B4-BE49-F238E27FC236}">
              <a16:creationId xmlns:a16="http://schemas.microsoft.com/office/drawing/2014/main" id="{9BC5E526-3886-451B-96EC-7332459C7F7D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225" name="AutoShape 12">
          <a:extLst>
            <a:ext uri="{FF2B5EF4-FFF2-40B4-BE49-F238E27FC236}">
              <a16:creationId xmlns:a16="http://schemas.microsoft.com/office/drawing/2014/main" id="{370BFE20-CBC7-4D85-95C3-D1D0C99B3A5F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226" name="AutoShape 12">
          <a:extLst>
            <a:ext uri="{FF2B5EF4-FFF2-40B4-BE49-F238E27FC236}">
              <a16:creationId xmlns:a16="http://schemas.microsoft.com/office/drawing/2014/main" id="{A583C70D-39BE-4854-8DFA-0E20F662559D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227" name="AutoShape 12">
          <a:extLst>
            <a:ext uri="{FF2B5EF4-FFF2-40B4-BE49-F238E27FC236}">
              <a16:creationId xmlns:a16="http://schemas.microsoft.com/office/drawing/2014/main" id="{72F8B31D-D7FA-47C1-B927-C78476863574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228" name="AutoShape 12">
          <a:extLst>
            <a:ext uri="{FF2B5EF4-FFF2-40B4-BE49-F238E27FC236}">
              <a16:creationId xmlns:a16="http://schemas.microsoft.com/office/drawing/2014/main" id="{B77E6DFC-B837-4861-9E40-99ADE93AE185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229" name="AutoShape 12">
          <a:extLst>
            <a:ext uri="{FF2B5EF4-FFF2-40B4-BE49-F238E27FC236}">
              <a16:creationId xmlns:a16="http://schemas.microsoft.com/office/drawing/2014/main" id="{894B08E1-2A0B-41FB-874A-86FE1E40982D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230" name="AutoShape 12">
          <a:extLst>
            <a:ext uri="{FF2B5EF4-FFF2-40B4-BE49-F238E27FC236}">
              <a16:creationId xmlns:a16="http://schemas.microsoft.com/office/drawing/2014/main" id="{5740517E-52D5-483E-9B6E-C17B4DE3FEF6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231" name="AutoShape 12">
          <a:extLst>
            <a:ext uri="{FF2B5EF4-FFF2-40B4-BE49-F238E27FC236}">
              <a16:creationId xmlns:a16="http://schemas.microsoft.com/office/drawing/2014/main" id="{AEDE86D4-0641-497B-BEA6-A2E04A7B3BD4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232" name="AutoShape 12">
          <a:extLst>
            <a:ext uri="{FF2B5EF4-FFF2-40B4-BE49-F238E27FC236}">
              <a16:creationId xmlns:a16="http://schemas.microsoft.com/office/drawing/2014/main" id="{B2032A88-1065-4D68-97D3-979447CF9161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233" name="AutoShape 12">
          <a:extLst>
            <a:ext uri="{FF2B5EF4-FFF2-40B4-BE49-F238E27FC236}">
              <a16:creationId xmlns:a16="http://schemas.microsoft.com/office/drawing/2014/main" id="{69AE6F21-E38E-4B19-A286-406FBE43EE1F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234" name="AutoShape 12">
          <a:extLst>
            <a:ext uri="{FF2B5EF4-FFF2-40B4-BE49-F238E27FC236}">
              <a16:creationId xmlns:a16="http://schemas.microsoft.com/office/drawing/2014/main" id="{9D8306EC-FDBF-4AFD-97D9-7B89FD438540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235" name="AutoShape 12">
          <a:extLst>
            <a:ext uri="{FF2B5EF4-FFF2-40B4-BE49-F238E27FC236}">
              <a16:creationId xmlns:a16="http://schemas.microsoft.com/office/drawing/2014/main" id="{C7E1988C-2C85-4FDE-B81B-68BAF69D2F46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236" name="AutoShape 12">
          <a:extLst>
            <a:ext uri="{FF2B5EF4-FFF2-40B4-BE49-F238E27FC236}">
              <a16:creationId xmlns:a16="http://schemas.microsoft.com/office/drawing/2014/main" id="{152FC0BA-C824-4B70-8570-4CDA853F36E7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237" name="AutoShape 12">
          <a:extLst>
            <a:ext uri="{FF2B5EF4-FFF2-40B4-BE49-F238E27FC236}">
              <a16:creationId xmlns:a16="http://schemas.microsoft.com/office/drawing/2014/main" id="{3FB6A213-A127-471F-8871-1924B76AEB26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238" name="AutoShape 12">
          <a:extLst>
            <a:ext uri="{FF2B5EF4-FFF2-40B4-BE49-F238E27FC236}">
              <a16:creationId xmlns:a16="http://schemas.microsoft.com/office/drawing/2014/main" id="{B1FE23EF-5440-4A36-9724-D7E3C8E1C6F9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239" name="AutoShape 12">
          <a:extLst>
            <a:ext uri="{FF2B5EF4-FFF2-40B4-BE49-F238E27FC236}">
              <a16:creationId xmlns:a16="http://schemas.microsoft.com/office/drawing/2014/main" id="{0627561A-7551-43C0-AA3F-ADCCF8419EB2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240" name="AutoShape 12">
          <a:extLst>
            <a:ext uri="{FF2B5EF4-FFF2-40B4-BE49-F238E27FC236}">
              <a16:creationId xmlns:a16="http://schemas.microsoft.com/office/drawing/2014/main" id="{C3003D92-BDDC-4C8C-9C85-DBE0863D4A22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241" name="AutoShape 12">
          <a:extLst>
            <a:ext uri="{FF2B5EF4-FFF2-40B4-BE49-F238E27FC236}">
              <a16:creationId xmlns:a16="http://schemas.microsoft.com/office/drawing/2014/main" id="{CA2A6D60-2FB4-4EF3-92C7-886538E4BEFE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242" name="AutoShape 12">
          <a:extLst>
            <a:ext uri="{FF2B5EF4-FFF2-40B4-BE49-F238E27FC236}">
              <a16:creationId xmlns:a16="http://schemas.microsoft.com/office/drawing/2014/main" id="{EEB727DC-7054-4B1E-935A-9EC3A5EA38B9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243" name="AutoShape 12">
          <a:extLst>
            <a:ext uri="{FF2B5EF4-FFF2-40B4-BE49-F238E27FC236}">
              <a16:creationId xmlns:a16="http://schemas.microsoft.com/office/drawing/2014/main" id="{B0BBA983-195E-4658-B5B8-696E466FCBF4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244" name="AutoShape 12">
          <a:extLst>
            <a:ext uri="{FF2B5EF4-FFF2-40B4-BE49-F238E27FC236}">
              <a16:creationId xmlns:a16="http://schemas.microsoft.com/office/drawing/2014/main" id="{98DFAEF0-05A8-4D57-A112-44ECB8D52D77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245" name="AutoShape 12">
          <a:extLst>
            <a:ext uri="{FF2B5EF4-FFF2-40B4-BE49-F238E27FC236}">
              <a16:creationId xmlns:a16="http://schemas.microsoft.com/office/drawing/2014/main" id="{87B148B3-0B34-4DAD-9C64-AD3A47C9B271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246" name="AutoShape 12">
          <a:extLst>
            <a:ext uri="{FF2B5EF4-FFF2-40B4-BE49-F238E27FC236}">
              <a16:creationId xmlns:a16="http://schemas.microsoft.com/office/drawing/2014/main" id="{6E35BE21-4F5C-433B-86B8-91FF814F7CFE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247" name="AutoShape 12">
          <a:extLst>
            <a:ext uri="{FF2B5EF4-FFF2-40B4-BE49-F238E27FC236}">
              <a16:creationId xmlns:a16="http://schemas.microsoft.com/office/drawing/2014/main" id="{D0F9C169-7FBA-434F-8B6D-576D15FC19BF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248" name="AutoShape 12">
          <a:extLst>
            <a:ext uri="{FF2B5EF4-FFF2-40B4-BE49-F238E27FC236}">
              <a16:creationId xmlns:a16="http://schemas.microsoft.com/office/drawing/2014/main" id="{B42BD52D-1AC5-4188-BBCA-A7ED01371BD3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249" name="AutoShape 12">
          <a:extLst>
            <a:ext uri="{FF2B5EF4-FFF2-40B4-BE49-F238E27FC236}">
              <a16:creationId xmlns:a16="http://schemas.microsoft.com/office/drawing/2014/main" id="{D184BE10-B042-4AE0-B965-2EF6CB495D8E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250" name="AutoShape 12">
          <a:extLst>
            <a:ext uri="{FF2B5EF4-FFF2-40B4-BE49-F238E27FC236}">
              <a16:creationId xmlns:a16="http://schemas.microsoft.com/office/drawing/2014/main" id="{590F7B27-22E9-4677-903A-DE7F7C1AF17E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251" name="AutoShape 12">
          <a:extLst>
            <a:ext uri="{FF2B5EF4-FFF2-40B4-BE49-F238E27FC236}">
              <a16:creationId xmlns:a16="http://schemas.microsoft.com/office/drawing/2014/main" id="{6EEFCF65-D68E-4632-9F7C-E85D49EEC8A1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252" name="AutoShape 12">
          <a:extLst>
            <a:ext uri="{FF2B5EF4-FFF2-40B4-BE49-F238E27FC236}">
              <a16:creationId xmlns:a16="http://schemas.microsoft.com/office/drawing/2014/main" id="{C03CFD6A-3F06-412C-A692-052B9B1B82B1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253" name="AutoShape 12">
          <a:extLst>
            <a:ext uri="{FF2B5EF4-FFF2-40B4-BE49-F238E27FC236}">
              <a16:creationId xmlns:a16="http://schemas.microsoft.com/office/drawing/2014/main" id="{B4AC9939-AD72-4B92-932D-526BD77008DB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254" name="AutoShape 12">
          <a:extLst>
            <a:ext uri="{FF2B5EF4-FFF2-40B4-BE49-F238E27FC236}">
              <a16:creationId xmlns:a16="http://schemas.microsoft.com/office/drawing/2014/main" id="{5E0A6068-EA51-4F61-A693-6F12EBAF5286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255" name="AutoShape 12">
          <a:extLst>
            <a:ext uri="{FF2B5EF4-FFF2-40B4-BE49-F238E27FC236}">
              <a16:creationId xmlns:a16="http://schemas.microsoft.com/office/drawing/2014/main" id="{BE94F81B-FE28-4493-A9C8-EB2B3DABF170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256" name="AutoShape 12">
          <a:extLst>
            <a:ext uri="{FF2B5EF4-FFF2-40B4-BE49-F238E27FC236}">
              <a16:creationId xmlns:a16="http://schemas.microsoft.com/office/drawing/2014/main" id="{9D972901-A244-402A-8F26-57CAAEBD2116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257" name="AutoShape 12">
          <a:extLst>
            <a:ext uri="{FF2B5EF4-FFF2-40B4-BE49-F238E27FC236}">
              <a16:creationId xmlns:a16="http://schemas.microsoft.com/office/drawing/2014/main" id="{60B22DFF-15B9-42B2-BEFB-9FB11EA823E1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258" name="AutoShape 12">
          <a:extLst>
            <a:ext uri="{FF2B5EF4-FFF2-40B4-BE49-F238E27FC236}">
              <a16:creationId xmlns:a16="http://schemas.microsoft.com/office/drawing/2014/main" id="{AF7EA28A-2714-46B7-A5AC-EE7C7FEDC063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259" name="AutoShape 12">
          <a:extLst>
            <a:ext uri="{FF2B5EF4-FFF2-40B4-BE49-F238E27FC236}">
              <a16:creationId xmlns:a16="http://schemas.microsoft.com/office/drawing/2014/main" id="{A71B4527-C915-436B-B9A1-12C80B0C2772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260" name="AutoShape 12">
          <a:extLst>
            <a:ext uri="{FF2B5EF4-FFF2-40B4-BE49-F238E27FC236}">
              <a16:creationId xmlns:a16="http://schemas.microsoft.com/office/drawing/2014/main" id="{B8873BAA-88BD-4911-93D9-02441BB5C898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261" name="AutoShape 12">
          <a:extLst>
            <a:ext uri="{FF2B5EF4-FFF2-40B4-BE49-F238E27FC236}">
              <a16:creationId xmlns:a16="http://schemas.microsoft.com/office/drawing/2014/main" id="{F856B327-FF0C-4457-A778-50AAF53AEE55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262" name="AutoShape 12">
          <a:extLst>
            <a:ext uri="{FF2B5EF4-FFF2-40B4-BE49-F238E27FC236}">
              <a16:creationId xmlns:a16="http://schemas.microsoft.com/office/drawing/2014/main" id="{2AE4CD65-B49F-417E-83B2-518B94AFC868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263" name="AutoShape 12">
          <a:extLst>
            <a:ext uri="{FF2B5EF4-FFF2-40B4-BE49-F238E27FC236}">
              <a16:creationId xmlns:a16="http://schemas.microsoft.com/office/drawing/2014/main" id="{2866BFBC-A119-4BC0-8E4E-C117EDF887DA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264" name="AutoShape 12">
          <a:extLst>
            <a:ext uri="{FF2B5EF4-FFF2-40B4-BE49-F238E27FC236}">
              <a16:creationId xmlns:a16="http://schemas.microsoft.com/office/drawing/2014/main" id="{FB30B05A-F498-4BAE-9F7F-78F409111D0B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265" name="AutoShape 12">
          <a:extLst>
            <a:ext uri="{FF2B5EF4-FFF2-40B4-BE49-F238E27FC236}">
              <a16:creationId xmlns:a16="http://schemas.microsoft.com/office/drawing/2014/main" id="{23759251-6E23-4ADA-A418-AD3381AF81BB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266" name="AutoShape 12">
          <a:extLst>
            <a:ext uri="{FF2B5EF4-FFF2-40B4-BE49-F238E27FC236}">
              <a16:creationId xmlns:a16="http://schemas.microsoft.com/office/drawing/2014/main" id="{3BC2CA5A-6CB6-43DD-873E-2DA6B92B706A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267" name="AutoShape 12">
          <a:extLst>
            <a:ext uri="{FF2B5EF4-FFF2-40B4-BE49-F238E27FC236}">
              <a16:creationId xmlns:a16="http://schemas.microsoft.com/office/drawing/2014/main" id="{03A3CB47-706F-4CE8-8B85-C4DDEB322C30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268" name="AutoShape 12">
          <a:extLst>
            <a:ext uri="{FF2B5EF4-FFF2-40B4-BE49-F238E27FC236}">
              <a16:creationId xmlns:a16="http://schemas.microsoft.com/office/drawing/2014/main" id="{543DD355-DE19-4853-B563-01647EC60FEF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269" name="AutoShape 12">
          <a:extLst>
            <a:ext uri="{FF2B5EF4-FFF2-40B4-BE49-F238E27FC236}">
              <a16:creationId xmlns:a16="http://schemas.microsoft.com/office/drawing/2014/main" id="{4999B937-E162-4255-9C7F-3FBE80D83B5B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270" name="AutoShape 12">
          <a:extLst>
            <a:ext uri="{FF2B5EF4-FFF2-40B4-BE49-F238E27FC236}">
              <a16:creationId xmlns:a16="http://schemas.microsoft.com/office/drawing/2014/main" id="{3502833F-BB90-4A20-B9A1-1162835820C4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271" name="AutoShape 12">
          <a:extLst>
            <a:ext uri="{FF2B5EF4-FFF2-40B4-BE49-F238E27FC236}">
              <a16:creationId xmlns:a16="http://schemas.microsoft.com/office/drawing/2014/main" id="{2B7D435D-43C2-4E91-AF10-742083D42811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272" name="AutoShape 12">
          <a:extLst>
            <a:ext uri="{FF2B5EF4-FFF2-40B4-BE49-F238E27FC236}">
              <a16:creationId xmlns:a16="http://schemas.microsoft.com/office/drawing/2014/main" id="{A9F4F906-05BD-45A0-9246-5F6A03F152A2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273" name="AutoShape 12">
          <a:extLst>
            <a:ext uri="{FF2B5EF4-FFF2-40B4-BE49-F238E27FC236}">
              <a16:creationId xmlns:a16="http://schemas.microsoft.com/office/drawing/2014/main" id="{09E2AC27-0448-4860-BC4C-1596A07A806F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274" name="AutoShape 12">
          <a:extLst>
            <a:ext uri="{FF2B5EF4-FFF2-40B4-BE49-F238E27FC236}">
              <a16:creationId xmlns:a16="http://schemas.microsoft.com/office/drawing/2014/main" id="{B62B7A1E-8CD7-47E8-BEA3-C05ACB4166EC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275" name="AutoShape 12">
          <a:extLst>
            <a:ext uri="{FF2B5EF4-FFF2-40B4-BE49-F238E27FC236}">
              <a16:creationId xmlns:a16="http://schemas.microsoft.com/office/drawing/2014/main" id="{7C8DC209-DFB8-4D2F-A6BA-8124F4D4F7D9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276" name="AutoShape 12">
          <a:extLst>
            <a:ext uri="{FF2B5EF4-FFF2-40B4-BE49-F238E27FC236}">
              <a16:creationId xmlns:a16="http://schemas.microsoft.com/office/drawing/2014/main" id="{4BAA4FBC-3D8C-457C-AAF2-BCBA0ACAE2AA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277" name="AutoShape 12">
          <a:extLst>
            <a:ext uri="{FF2B5EF4-FFF2-40B4-BE49-F238E27FC236}">
              <a16:creationId xmlns:a16="http://schemas.microsoft.com/office/drawing/2014/main" id="{CF815394-0C40-4A93-8A68-93016CA33863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278" name="AutoShape 12">
          <a:extLst>
            <a:ext uri="{FF2B5EF4-FFF2-40B4-BE49-F238E27FC236}">
              <a16:creationId xmlns:a16="http://schemas.microsoft.com/office/drawing/2014/main" id="{A1BFE0AB-6CB1-4B74-9F6C-E412984D3CC6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279" name="AutoShape 12">
          <a:extLst>
            <a:ext uri="{FF2B5EF4-FFF2-40B4-BE49-F238E27FC236}">
              <a16:creationId xmlns:a16="http://schemas.microsoft.com/office/drawing/2014/main" id="{68C0FCE9-F1B8-4A1A-B0FA-C0C12F6094B7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280" name="AutoShape 12">
          <a:extLst>
            <a:ext uri="{FF2B5EF4-FFF2-40B4-BE49-F238E27FC236}">
              <a16:creationId xmlns:a16="http://schemas.microsoft.com/office/drawing/2014/main" id="{2DF708A5-B882-4CB3-BA03-AAF0E3BCEB69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281" name="AutoShape 12">
          <a:extLst>
            <a:ext uri="{FF2B5EF4-FFF2-40B4-BE49-F238E27FC236}">
              <a16:creationId xmlns:a16="http://schemas.microsoft.com/office/drawing/2014/main" id="{1F5BDF54-A8F5-4359-BBCA-98368C034C2C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282" name="AutoShape 12">
          <a:extLst>
            <a:ext uri="{FF2B5EF4-FFF2-40B4-BE49-F238E27FC236}">
              <a16:creationId xmlns:a16="http://schemas.microsoft.com/office/drawing/2014/main" id="{36561520-3074-4CE1-803F-2EA4F890B183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283" name="AutoShape 12">
          <a:extLst>
            <a:ext uri="{FF2B5EF4-FFF2-40B4-BE49-F238E27FC236}">
              <a16:creationId xmlns:a16="http://schemas.microsoft.com/office/drawing/2014/main" id="{67714A87-2321-465F-AD57-7A155446DAE3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284" name="AutoShape 12">
          <a:extLst>
            <a:ext uri="{FF2B5EF4-FFF2-40B4-BE49-F238E27FC236}">
              <a16:creationId xmlns:a16="http://schemas.microsoft.com/office/drawing/2014/main" id="{81534670-A796-409A-87C5-FA2CFA76B227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285" name="AutoShape 12">
          <a:extLst>
            <a:ext uri="{FF2B5EF4-FFF2-40B4-BE49-F238E27FC236}">
              <a16:creationId xmlns:a16="http://schemas.microsoft.com/office/drawing/2014/main" id="{3D6A14FC-027A-42B8-A357-605332B22AED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286" name="AutoShape 12">
          <a:extLst>
            <a:ext uri="{FF2B5EF4-FFF2-40B4-BE49-F238E27FC236}">
              <a16:creationId xmlns:a16="http://schemas.microsoft.com/office/drawing/2014/main" id="{FE25699C-1639-4177-8B4F-6AD3B1CDAEBF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287" name="AutoShape 12">
          <a:extLst>
            <a:ext uri="{FF2B5EF4-FFF2-40B4-BE49-F238E27FC236}">
              <a16:creationId xmlns:a16="http://schemas.microsoft.com/office/drawing/2014/main" id="{619CD656-B04D-4F42-B73F-D6F611B74FAF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288" name="AutoShape 12">
          <a:extLst>
            <a:ext uri="{FF2B5EF4-FFF2-40B4-BE49-F238E27FC236}">
              <a16:creationId xmlns:a16="http://schemas.microsoft.com/office/drawing/2014/main" id="{EBB242A4-2B20-4368-8842-51623D967427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289" name="AutoShape 12">
          <a:extLst>
            <a:ext uri="{FF2B5EF4-FFF2-40B4-BE49-F238E27FC236}">
              <a16:creationId xmlns:a16="http://schemas.microsoft.com/office/drawing/2014/main" id="{66901AA3-5611-4F99-BED9-0B0EA22D1BFC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290" name="AutoShape 12">
          <a:extLst>
            <a:ext uri="{FF2B5EF4-FFF2-40B4-BE49-F238E27FC236}">
              <a16:creationId xmlns:a16="http://schemas.microsoft.com/office/drawing/2014/main" id="{8E066897-1310-4ECF-978C-C9B1297568C8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291" name="AutoShape 12">
          <a:extLst>
            <a:ext uri="{FF2B5EF4-FFF2-40B4-BE49-F238E27FC236}">
              <a16:creationId xmlns:a16="http://schemas.microsoft.com/office/drawing/2014/main" id="{93BF3C30-F91A-4202-8379-B379A2A1964A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292" name="AutoShape 12">
          <a:extLst>
            <a:ext uri="{FF2B5EF4-FFF2-40B4-BE49-F238E27FC236}">
              <a16:creationId xmlns:a16="http://schemas.microsoft.com/office/drawing/2014/main" id="{C956EF07-5E6D-4055-B3DA-476B6ACA90A1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293" name="AutoShape 12">
          <a:extLst>
            <a:ext uri="{FF2B5EF4-FFF2-40B4-BE49-F238E27FC236}">
              <a16:creationId xmlns:a16="http://schemas.microsoft.com/office/drawing/2014/main" id="{2DD8F6A8-347E-460C-9AA8-134060D65F2B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294" name="AutoShape 12">
          <a:extLst>
            <a:ext uri="{FF2B5EF4-FFF2-40B4-BE49-F238E27FC236}">
              <a16:creationId xmlns:a16="http://schemas.microsoft.com/office/drawing/2014/main" id="{3DC0ED1B-26D2-4228-8286-011639EF3E89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295" name="AutoShape 12">
          <a:extLst>
            <a:ext uri="{FF2B5EF4-FFF2-40B4-BE49-F238E27FC236}">
              <a16:creationId xmlns:a16="http://schemas.microsoft.com/office/drawing/2014/main" id="{9CAFC9FD-D4E7-4ABF-A95D-B7074C8D29EB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296" name="AutoShape 12">
          <a:extLst>
            <a:ext uri="{FF2B5EF4-FFF2-40B4-BE49-F238E27FC236}">
              <a16:creationId xmlns:a16="http://schemas.microsoft.com/office/drawing/2014/main" id="{1B30421D-C08F-4793-9B9F-19AE95271C3D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297" name="AutoShape 12">
          <a:extLst>
            <a:ext uri="{FF2B5EF4-FFF2-40B4-BE49-F238E27FC236}">
              <a16:creationId xmlns:a16="http://schemas.microsoft.com/office/drawing/2014/main" id="{CA8AAC8B-6109-4388-9B0E-8C65D57CEC04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298" name="AutoShape 12">
          <a:extLst>
            <a:ext uri="{FF2B5EF4-FFF2-40B4-BE49-F238E27FC236}">
              <a16:creationId xmlns:a16="http://schemas.microsoft.com/office/drawing/2014/main" id="{E6DF0F3A-7183-45E1-9E27-F321F727B70A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299" name="AutoShape 12">
          <a:extLst>
            <a:ext uri="{FF2B5EF4-FFF2-40B4-BE49-F238E27FC236}">
              <a16:creationId xmlns:a16="http://schemas.microsoft.com/office/drawing/2014/main" id="{09379CA0-0CB4-4424-83CB-8FD1B53CFB51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300" name="AutoShape 12">
          <a:extLst>
            <a:ext uri="{FF2B5EF4-FFF2-40B4-BE49-F238E27FC236}">
              <a16:creationId xmlns:a16="http://schemas.microsoft.com/office/drawing/2014/main" id="{749EC106-A7DE-4EB7-A0B7-5A2093FC7EE5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301" name="AutoShape 12">
          <a:extLst>
            <a:ext uri="{FF2B5EF4-FFF2-40B4-BE49-F238E27FC236}">
              <a16:creationId xmlns:a16="http://schemas.microsoft.com/office/drawing/2014/main" id="{92398163-5015-417D-B32E-43746715DFBA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302" name="AutoShape 12">
          <a:extLst>
            <a:ext uri="{FF2B5EF4-FFF2-40B4-BE49-F238E27FC236}">
              <a16:creationId xmlns:a16="http://schemas.microsoft.com/office/drawing/2014/main" id="{99191049-25DD-40FA-BDD3-265CC2AD5B10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303" name="AutoShape 12">
          <a:extLst>
            <a:ext uri="{FF2B5EF4-FFF2-40B4-BE49-F238E27FC236}">
              <a16:creationId xmlns:a16="http://schemas.microsoft.com/office/drawing/2014/main" id="{61ECA3CE-08EF-4E8D-AAFF-C07D6D015064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304" name="AutoShape 12">
          <a:extLst>
            <a:ext uri="{FF2B5EF4-FFF2-40B4-BE49-F238E27FC236}">
              <a16:creationId xmlns:a16="http://schemas.microsoft.com/office/drawing/2014/main" id="{CF802AB3-395B-4EC2-91DC-64A546350514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305" name="AutoShape 12">
          <a:extLst>
            <a:ext uri="{FF2B5EF4-FFF2-40B4-BE49-F238E27FC236}">
              <a16:creationId xmlns:a16="http://schemas.microsoft.com/office/drawing/2014/main" id="{7DD889B7-3C8C-4572-BC09-DF32DC9F32B2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306" name="AutoShape 12">
          <a:extLst>
            <a:ext uri="{FF2B5EF4-FFF2-40B4-BE49-F238E27FC236}">
              <a16:creationId xmlns:a16="http://schemas.microsoft.com/office/drawing/2014/main" id="{2CC76235-ECD8-41CA-B7C2-B78CA2DB67BD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307" name="AutoShape 12">
          <a:extLst>
            <a:ext uri="{FF2B5EF4-FFF2-40B4-BE49-F238E27FC236}">
              <a16:creationId xmlns:a16="http://schemas.microsoft.com/office/drawing/2014/main" id="{29DB0404-3E58-4CE6-95AE-EEB08CB2A665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308" name="AutoShape 12">
          <a:extLst>
            <a:ext uri="{FF2B5EF4-FFF2-40B4-BE49-F238E27FC236}">
              <a16:creationId xmlns:a16="http://schemas.microsoft.com/office/drawing/2014/main" id="{4FCAA425-68EA-4BBC-B8E9-EB3D25F46010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309" name="AutoShape 12">
          <a:extLst>
            <a:ext uri="{FF2B5EF4-FFF2-40B4-BE49-F238E27FC236}">
              <a16:creationId xmlns:a16="http://schemas.microsoft.com/office/drawing/2014/main" id="{4250F964-745F-4240-94C3-D81E20314D91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310" name="AutoShape 12">
          <a:extLst>
            <a:ext uri="{FF2B5EF4-FFF2-40B4-BE49-F238E27FC236}">
              <a16:creationId xmlns:a16="http://schemas.microsoft.com/office/drawing/2014/main" id="{7ACE4A6C-6266-4ED1-9D37-869FB2A1ED74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311" name="AutoShape 12">
          <a:extLst>
            <a:ext uri="{FF2B5EF4-FFF2-40B4-BE49-F238E27FC236}">
              <a16:creationId xmlns:a16="http://schemas.microsoft.com/office/drawing/2014/main" id="{A56C305F-3DD2-4B3C-A657-B850B1D68701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312" name="AutoShape 12">
          <a:extLst>
            <a:ext uri="{FF2B5EF4-FFF2-40B4-BE49-F238E27FC236}">
              <a16:creationId xmlns:a16="http://schemas.microsoft.com/office/drawing/2014/main" id="{0EE965D6-C7CC-41AB-A0BD-F8C297B6819C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313" name="AutoShape 12">
          <a:extLst>
            <a:ext uri="{FF2B5EF4-FFF2-40B4-BE49-F238E27FC236}">
              <a16:creationId xmlns:a16="http://schemas.microsoft.com/office/drawing/2014/main" id="{EA9B7D2A-DB3D-4E99-8145-366DAECCF975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314" name="AutoShape 12">
          <a:extLst>
            <a:ext uri="{FF2B5EF4-FFF2-40B4-BE49-F238E27FC236}">
              <a16:creationId xmlns:a16="http://schemas.microsoft.com/office/drawing/2014/main" id="{CF21AA75-9977-49AF-ACB4-23E2CDA1AC64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315" name="AutoShape 12">
          <a:extLst>
            <a:ext uri="{FF2B5EF4-FFF2-40B4-BE49-F238E27FC236}">
              <a16:creationId xmlns:a16="http://schemas.microsoft.com/office/drawing/2014/main" id="{288B6772-0C98-45C9-B7D1-EBEC36B285F4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316" name="AutoShape 12">
          <a:extLst>
            <a:ext uri="{FF2B5EF4-FFF2-40B4-BE49-F238E27FC236}">
              <a16:creationId xmlns:a16="http://schemas.microsoft.com/office/drawing/2014/main" id="{03F2A5E7-CF7B-4981-B323-92682DE1F29C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317" name="AutoShape 12">
          <a:extLst>
            <a:ext uri="{FF2B5EF4-FFF2-40B4-BE49-F238E27FC236}">
              <a16:creationId xmlns:a16="http://schemas.microsoft.com/office/drawing/2014/main" id="{5F8A359A-3024-49F7-B367-74B617117BD0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318" name="AutoShape 12">
          <a:extLst>
            <a:ext uri="{FF2B5EF4-FFF2-40B4-BE49-F238E27FC236}">
              <a16:creationId xmlns:a16="http://schemas.microsoft.com/office/drawing/2014/main" id="{F8171B1A-E41B-47D0-B280-5AEDFBCA7B27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319" name="AutoShape 12">
          <a:extLst>
            <a:ext uri="{FF2B5EF4-FFF2-40B4-BE49-F238E27FC236}">
              <a16:creationId xmlns:a16="http://schemas.microsoft.com/office/drawing/2014/main" id="{8D79CFE6-4B03-4783-9F05-EC41B0ADD551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320" name="AutoShape 12">
          <a:extLst>
            <a:ext uri="{FF2B5EF4-FFF2-40B4-BE49-F238E27FC236}">
              <a16:creationId xmlns:a16="http://schemas.microsoft.com/office/drawing/2014/main" id="{1E631333-217C-420A-AB43-BB7EA5DD73CF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321" name="AutoShape 12">
          <a:extLst>
            <a:ext uri="{FF2B5EF4-FFF2-40B4-BE49-F238E27FC236}">
              <a16:creationId xmlns:a16="http://schemas.microsoft.com/office/drawing/2014/main" id="{3A41E92B-61F1-4DA5-9387-C1F81FB98D94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322" name="AutoShape 12">
          <a:extLst>
            <a:ext uri="{FF2B5EF4-FFF2-40B4-BE49-F238E27FC236}">
              <a16:creationId xmlns:a16="http://schemas.microsoft.com/office/drawing/2014/main" id="{B6DCE786-7BD2-494E-BD0B-49BA1B0CB54C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323" name="AutoShape 12">
          <a:extLst>
            <a:ext uri="{FF2B5EF4-FFF2-40B4-BE49-F238E27FC236}">
              <a16:creationId xmlns:a16="http://schemas.microsoft.com/office/drawing/2014/main" id="{6924893E-DAAC-417D-B575-FCD4F5A57CE6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324" name="AutoShape 12">
          <a:extLst>
            <a:ext uri="{FF2B5EF4-FFF2-40B4-BE49-F238E27FC236}">
              <a16:creationId xmlns:a16="http://schemas.microsoft.com/office/drawing/2014/main" id="{77D6C1AB-54E2-4FD0-A031-6F3480F78015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325" name="AutoShape 12">
          <a:extLst>
            <a:ext uri="{FF2B5EF4-FFF2-40B4-BE49-F238E27FC236}">
              <a16:creationId xmlns:a16="http://schemas.microsoft.com/office/drawing/2014/main" id="{293DAB99-8A83-4D6F-A81E-CDC83D85A63A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326" name="AutoShape 12">
          <a:extLst>
            <a:ext uri="{FF2B5EF4-FFF2-40B4-BE49-F238E27FC236}">
              <a16:creationId xmlns:a16="http://schemas.microsoft.com/office/drawing/2014/main" id="{D65FB5BF-98A1-4431-995F-F821E7D48EEF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327" name="AutoShape 12">
          <a:extLst>
            <a:ext uri="{FF2B5EF4-FFF2-40B4-BE49-F238E27FC236}">
              <a16:creationId xmlns:a16="http://schemas.microsoft.com/office/drawing/2014/main" id="{72D99CF6-B95E-4388-945D-BC375E5C9E23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328" name="AutoShape 12">
          <a:extLst>
            <a:ext uri="{FF2B5EF4-FFF2-40B4-BE49-F238E27FC236}">
              <a16:creationId xmlns:a16="http://schemas.microsoft.com/office/drawing/2014/main" id="{075F0929-3E7E-4FB4-904A-583457F1B2BA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329" name="AutoShape 12">
          <a:extLst>
            <a:ext uri="{FF2B5EF4-FFF2-40B4-BE49-F238E27FC236}">
              <a16:creationId xmlns:a16="http://schemas.microsoft.com/office/drawing/2014/main" id="{9BBFECB4-1C05-49A2-9F4C-F354F3E1705A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330" name="AutoShape 12">
          <a:extLst>
            <a:ext uri="{FF2B5EF4-FFF2-40B4-BE49-F238E27FC236}">
              <a16:creationId xmlns:a16="http://schemas.microsoft.com/office/drawing/2014/main" id="{ACD9E1C4-6889-47FE-871A-90F538720A65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331" name="AutoShape 12">
          <a:extLst>
            <a:ext uri="{FF2B5EF4-FFF2-40B4-BE49-F238E27FC236}">
              <a16:creationId xmlns:a16="http://schemas.microsoft.com/office/drawing/2014/main" id="{CEA39BF1-10CD-44E6-A0F0-D58B0B4B2D77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332" name="AutoShape 12">
          <a:extLst>
            <a:ext uri="{FF2B5EF4-FFF2-40B4-BE49-F238E27FC236}">
              <a16:creationId xmlns:a16="http://schemas.microsoft.com/office/drawing/2014/main" id="{4665D20C-A2F8-4075-8269-5ECEF85AA8E9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333" name="AutoShape 12">
          <a:extLst>
            <a:ext uri="{FF2B5EF4-FFF2-40B4-BE49-F238E27FC236}">
              <a16:creationId xmlns:a16="http://schemas.microsoft.com/office/drawing/2014/main" id="{FD977315-2171-491E-BAE1-650E244BF637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334" name="AutoShape 12">
          <a:extLst>
            <a:ext uri="{FF2B5EF4-FFF2-40B4-BE49-F238E27FC236}">
              <a16:creationId xmlns:a16="http://schemas.microsoft.com/office/drawing/2014/main" id="{ED4F1840-37F8-4214-A6F8-E9561A01B3E1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335" name="AutoShape 12">
          <a:extLst>
            <a:ext uri="{FF2B5EF4-FFF2-40B4-BE49-F238E27FC236}">
              <a16:creationId xmlns:a16="http://schemas.microsoft.com/office/drawing/2014/main" id="{7C028247-6DF0-492C-9B40-BDAE75DF4A07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336" name="AutoShape 12">
          <a:extLst>
            <a:ext uri="{FF2B5EF4-FFF2-40B4-BE49-F238E27FC236}">
              <a16:creationId xmlns:a16="http://schemas.microsoft.com/office/drawing/2014/main" id="{FA897BF4-1530-4260-BE18-D9270B2F4118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337" name="AutoShape 12">
          <a:extLst>
            <a:ext uri="{FF2B5EF4-FFF2-40B4-BE49-F238E27FC236}">
              <a16:creationId xmlns:a16="http://schemas.microsoft.com/office/drawing/2014/main" id="{F84F83B2-0E6C-4E39-8BB8-FDA2DCC9C12C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338" name="AutoShape 12">
          <a:extLst>
            <a:ext uri="{FF2B5EF4-FFF2-40B4-BE49-F238E27FC236}">
              <a16:creationId xmlns:a16="http://schemas.microsoft.com/office/drawing/2014/main" id="{DE89C35A-3B3C-45CB-9B64-EF4DC5BD0015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339" name="AutoShape 12">
          <a:extLst>
            <a:ext uri="{FF2B5EF4-FFF2-40B4-BE49-F238E27FC236}">
              <a16:creationId xmlns:a16="http://schemas.microsoft.com/office/drawing/2014/main" id="{7070D93F-412E-4274-A038-AFE7B6CA60DC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340" name="AutoShape 12">
          <a:extLst>
            <a:ext uri="{FF2B5EF4-FFF2-40B4-BE49-F238E27FC236}">
              <a16:creationId xmlns:a16="http://schemas.microsoft.com/office/drawing/2014/main" id="{E2373412-5FB4-4B34-B8FD-59A395B8F2BA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341" name="AutoShape 12">
          <a:extLst>
            <a:ext uri="{FF2B5EF4-FFF2-40B4-BE49-F238E27FC236}">
              <a16:creationId xmlns:a16="http://schemas.microsoft.com/office/drawing/2014/main" id="{67B9921E-53DC-4083-8B31-637FA3EECD13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342" name="AutoShape 12">
          <a:extLst>
            <a:ext uri="{FF2B5EF4-FFF2-40B4-BE49-F238E27FC236}">
              <a16:creationId xmlns:a16="http://schemas.microsoft.com/office/drawing/2014/main" id="{57D6A540-78E3-4FE9-BD5A-1B79F50A567C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343" name="AutoShape 12">
          <a:extLst>
            <a:ext uri="{FF2B5EF4-FFF2-40B4-BE49-F238E27FC236}">
              <a16:creationId xmlns:a16="http://schemas.microsoft.com/office/drawing/2014/main" id="{B1741034-BBEA-47CA-B60C-319D5EEDC63E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344" name="AutoShape 12">
          <a:extLst>
            <a:ext uri="{FF2B5EF4-FFF2-40B4-BE49-F238E27FC236}">
              <a16:creationId xmlns:a16="http://schemas.microsoft.com/office/drawing/2014/main" id="{B8746DD1-0EEC-4759-8E26-1C7864C718D7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345" name="AutoShape 12">
          <a:extLst>
            <a:ext uri="{FF2B5EF4-FFF2-40B4-BE49-F238E27FC236}">
              <a16:creationId xmlns:a16="http://schemas.microsoft.com/office/drawing/2014/main" id="{7BF9235A-8D87-45E5-84C8-F5452EA0CD36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346" name="AutoShape 12">
          <a:extLst>
            <a:ext uri="{FF2B5EF4-FFF2-40B4-BE49-F238E27FC236}">
              <a16:creationId xmlns:a16="http://schemas.microsoft.com/office/drawing/2014/main" id="{905E3A82-B451-4E17-B764-329809065A7E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347" name="AutoShape 12">
          <a:extLst>
            <a:ext uri="{FF2B5EF4-FFF2-40B4-BE49-F238E27FC236}">
              <a16:creationId xmlns:a16="http://schemas.microsoft.com/office/drawing/2014/main" id="{8CFCEC5F-A147-4347-8288-C945BC7EB86B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348" name="AutoShape 12">
          <a:extLst>
            <a:ext uri="{FF2B5EF4-FFF2-40B4-BE49-F238E27FC236}">
              <a16:creationId xmlns:a16="http://schemas.microsoft.com/office/drawing/2014/main" id="{1266A5C7-4C7E-4D4A-A0B8-687785AC3445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349" name="AutoShape 12">
          <a:extLst>
            <a:ext uri="{FF2B5EF4-FFF2-40B4-BE49-F238E27FC236}">
              <a16:creationId xmlns:a16="http://schemas.microsoft.com/office/drawing/2014/main" id="{66C10F1F-6551-4A97-91EF-4F70C7C499E3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350" name="AutoShape 12">
          <a:extLst>
            <a:ext uri="{FF2B5EF4-FFF2-40B4-BE49-F238E27FC236}">
              <a16:creationId xmlns:a16="http://schemas.microsoft.com/office/drawing/2014/main" id="{A59D6941-0CDA-4693-B416-29B72A26D8A9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351" name="AutoShape 12">
          <a:extLst>
            <a:ext uri="{FF2B5EF4-FFF2-40B4-BE49-F238E27FC236}">
              <a16:creationId xmlns:a16="http://schemas.microsoft.com/office/drawing/2014/main" id="{39D49235-EEE9-48E9-A445-48FA6B38D427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352" name="AutoShape 12">
          <a:extLst>
            <a:ext uri="{FF2B5EF4-FFF2-40B4-BE49-F238E27FC236}">
              <a16:creationId xmlns:a16="http://schemas.microsoft.com/office/drawing/2014/main" id="{D470FB1F-6D68-4C70-B1EF-BB1CDB8396A9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353" name="AutoShape 12">
          <a:extLst>
            <a:ext uri="{FF2B5EF4-FFF2-40B4-BE49-F238E27FC236}">
              <a16:creationId xmlns:a16="http://schemas.microsoft.com/office/drawing/2014/main" id="{C7767A53-3E67-4A2F-A385-EA0F6D2304C5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354" name="AutoShape 12">
          <a:extLst>
            <a:ext uri="{FF2B5EF4-FFF2-40B4-BE49-F238E27FC236}">
              <a16:creationId xmlns:a16="http://schemas.microsoft.com/office/drawing/2014/main" id="{D2698FF3-C1C1-476B-992E-15E1AF7B3BD4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355" name="AutoShape 12">
          <a:extLst>
            <a:ext uri="{FF2B5EF4-FFF2-40B4-BE49-F238E27FC236}">
              <a16:creationId xmlns:a16="http://schemas.microsoft.com/office/drawing/2014/main" id="{DED5A9F0-18D0-4190-A8D1-F4C0FC003718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356" name="AutoShape 12">
          <a:extLst>
            <a:ext uri="{FF2B5EF4-FFF2-40B4-BE49-F238E27FC236}">
              <a16:creationId xmlns:a16="http://schemas.microsoft.com/office/drawing/2014/main" id="{4779DD3A-C8D1-4479-AFDF-9071FD9B11C6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357" name="AutoShape 12">
          <a:extLst>
            <a:ext uri="{FF2B5EF4-FFF2-40B4-BE49-F238E27FC236}">
              <a16:creationId xmlns:a16="http://schemas.microsoft.com/office/drawing/2014/main" id="{8DDBDA44-ABCE-4FFE-AE31-A9E6B3A3AC4F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358" name="AutoShape 12">
          <a:extLst>
            <a:ext uri="{FF2B5EF4-FFF2-40B4-BE49-F238E27FC236}">
              <a16:creationId xmlns:a16="http://schemas.microsoft.com/office/drawing/2014/main" id="{A30DED7E-E1E4-4878-B3C8-7D0496CEF997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359" name="AutoShape 12">
          <a:extLst>
            <a:ext uri="{FF2B5EF4-FFF2-40B4-BE49-F238E27FC236}">
              <a16:creationId xmlns:a16="http://schemas.microsoft.com/office/drawing/2014/main" id="{6FDFA264-B221-4E08-A450-6DF54D0B82BA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360" name="AutoShape 12">
          <a:extLst>
            <a:ext uri="{FF2B5EF4-FFF2-40B4-BE49-F238E27FC236}">
              <a16:creationId xmlns:a16="http://schemas.microsoft.com/office/drawing/2014/main" id="{37C6D47B-682B-4C00-BCB7-DDF301C9D8DA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361" name="AutoShape 12">
          <a:extLst>
            <a:ext uri="{FF2B5EF4-FFF2-40B4-BE49-F238E27FC236}">
              <a16:creationId xmlns:a16="http://schemas.microsoft.com/office/drawing/2014/main" id="{6092C1B0-D409-452A-9CD5-3AD8BE830DEB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362" name="AutoShape 12">
          <a:extLst>
            <a:ext uri="{FF2B5EF4-FFF2-40B4-BE49-F238E27FC236}">
              <a16:creationId xmlns:a16="http://schemas.microsoft.com/office/drawing/2014/main" id="{589B9FFE-2F3E-4AC0-82ED-865564807CB2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363" name="AutoShape 12">
          <a:extLst>
            <a:ext uri="{FF2B5EF4-FFF2-40B4-BE49-F238E27FC236}">
              <a16:creationId xmlns:a16="http://schemas.microsoft.com/office/drawing/2014/main" id="{3C283E98-AE57-4A80-B9AD-08B8B1C76694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364" name="AutoShape 12">
          <a:extLst>
            <a:ext uri="{FF2B5EF4-FFF2-40B4-BE49-F238E27FC236}">
              <a16:creationId xmlns:a16="http://schemas.microsoft.com/office/drawing/2014/main" id="{9FC0711E-B943-4644-A0B7-FC7913452F7F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365" name="AutoShape 12">
          <a:extLst>
            <a:ext uri="{FF2B5EF4-FFF2-40B4-BE49-F238E27FC236}">
              <a16:creationId xmlns:a16="http://schemas.microsoft.com/office/drawing/2014/main" id="{2CCDC684-9342-421F-9411-093C7F666C21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366" name="AutoShape 12">
          <a:extLst>
            <a:ext uri="{FF2B5EF4-FFF2-40B4-BE49-F238E27FC236}">
              <a16:creationId xmlns:a16="http://schemas.microsoft.com/office/drawing/2014/main" id="{53B6F55D-E232-4FC0-B03B-E6CD0A4FD3A0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367" name="AutoShape 12">
          <a:extLst>
            <a:ext uri="{FF2B5EF4-FFF2-40B4-BE49-F238E27FC236}">
              <a16:creationId xmlns:a16="http://schemas.microsoft.com/office/drawing/2014/main" id="{3BFEC80C-7C00-422F-92E0-F647BE2527ED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368" name="AutoShape 12">
          <a:extLst>
            <a:ext uri="{FF2B5EF4-FFF2-40B4-BE49-F238E27FC236}">
              <a16:creationId xmlns:a16="http://schemas.microsoft.com/office/drawing/2014/main" id="{529B22A6-FEF5-4A40-B0D9-887E6713FE92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369" name="AutoShape 12">
          <a:extLst>
            <a:ext uri="{FF2B5EF4-FFF2-40B4-BE49-F238E27FC236}">
              <a16:creationId xmlns:a16="http://schemas.microsoft.com/office/drawing/2014/main" id="{D7F50E79-931B-4E62-B507-56FDF72854A6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370" name="AutoShape 12">
          <a:extLst>
            <a:ext uri="{FF2B5EF4-FFF2-40B4-BE49-F238E27FC236}">
              <a16:creationId xmlns:a16="http://schemas.microsoft.com/office/drawing/2014/main" id="{F0A09E11-4304-4405-9013-06C5159F8355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371" name="AutoShape 12">
          <a:extLst>
            <a:ext uri="{FF2B5EF4-FFF2-40B4-BE49-F238E27FC236}">
              <a16:creationId xmlns:a16="http://schemas.microsoft.com/office/drawing/2014/main" id="{7B12A5BB-0145-46E3-AA30-43CC176A30B5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372" name="AutoShape 12">
          <a:extLst>
            <a:ext uri="{FF2B5EF4-FFF2-40B4-BE49-F238E27FC236}">
              <a16:creationId xmlns:a16="http://schemas.microsoft.com/office/drawing/2014/main" id="{0D3BAE17-DED3-48B2-BE7D-C6F64F577D53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373" name="AutoShape 12">
          <a:extLst>
            <a:ext uri="{FF2B5EF4-FFF2-40B4-BE49-F238E27FC236}">
              <a16:creationId xmlns:a16="http://schemas.microsoft.com/office/drawing/2014/main" id="{852FF1CA-C22B-4D9E-9AC0-DEAA33A8543F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374" name="AutoShape 12">
          <a:extLst>
            <a:ext uri="{FF2B5EF4-FFF2-40B4-BE49-F238E27FC236}">
              <a16:creationId xmlns:a16="http://schemas.microsoft.com/office/drawing/2014/main" id="{665438A4-8E66-413C-B53A-82844A13518B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375" name="AutoShape 12">
          <a:extLst>
            <a:ext uri="{FF2B5EF4-FFF2-40B4-BE49-F238E27FC236}">
              <a16:creationId xmlns:a16="http://schemas.microsoft.com/office/drawing/2014/main" id="{D262CB21-93E7-4D4F-AC23-E06F8700C1DA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376" name="AutoShape 12">
          <a:extLst>
            <a:ext uri="{FF2B5EF4-FFF2-40B4-BE49-F238E27FC236}">
              <a16:creationId xmlns:a16="http://schemas.microsoft.com/office/drawing/2014/main" id="{27B32A86-14BB-445C-8F7E-8AA8256EA1E4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377" name="AutoShape 12">
          <a:extLst>
            <a:ext uri="{FF2B5EF4-FFF2-40B4-BE49-F238E27FC236}">
              <a16:creationId xmlns:a16="http://schemas.microsoft.com/office/drawing/2014/main" id="{21018241-E7BF-444E-A005-7A70CA421F6A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378" name="AutoShape 12">
          <a:extLst>
            <a:ext uri="{FF2B5EF4-FFF2-40B4-BE49-F238E27FC236}">
              <a16:creationId xmlns:a16="http://schemas.microsoft.com/office/drawing/2014/main" id="{64F9DAD4-D30C-442C-9F8C-C29D76285EF6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379" name="AutoShape 12">
          <a:extLst>
            <a:ext uri="{FF2B5EF4-FFF2-40B4-BE49-F238E27FC236}">
              <a16:creationId xmlns:a16="http://schemas.microsoft.com/office/drawing/2014/main" id="{0A8F58E2-3354-41B2-99D2-946BC2F5390E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380" name="AutoShape 12">
          <a:extLst>
            <a:ext uri="{FF2B5EF4-FFF2-40B4-BE49-F238E27FC236}">
              <a16:creationId xmlns:a16="http://schemas.microsoft.com/office/drawing/2014/main" id="{3A1750B2-B8D2-45D0-AA1F-72EDB2158C94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381" name="AutoShape 12">
          <a:extLst>
            <a:ext uri="{FF2B5EF4-FFF2-40B4-BE49-F238E27FC236}">
              <a16:creationId xmlns:a16="http://schemas.microsoft.com/office/drawing/2014/main" id="{F56B7887-3D57-4F6B-8B7B-D0DF02A0FDCD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382" name="AutoShape 12">
          <a:extLst>
            <a:ext uri="{FF2B5EF4-FFF2-40B4-BE49-F238E27FC236}">
              <a16:creationId xmlns:a16="http://schemas.microsoft.com/office/drawing/2014/main" id="{B17D6C4F-3837-48F5-A9EF-B470FCA4F85A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383" name="AutoShape 12">
          <a:extLst>
            <a:ext uri="{FF2B5EF4-FFF2-40B4-BE49-F238E27FC236}">
              <a16:creationId xmlns:a16="http://schemas.microsoft.com/office/drawing/2014/main" id="{6FE44A44-80C1-48C4-AD10-BBD6557B5B2A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384" name="AutoShape 12">
          <a:extLst>
            <a:ext uri="{FF2B5EF4-FFF2-40B4-BE49-F238E27FC236}">
              <a16:creationId xmlns:a16="http://schemas.microsoft.com/office/drawing/2014/main" id="{958A0CE0-7A30-46EA-8132-A0F4C2284461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385" name="AutoShape 12">
          <a:extLst>
            <a:ext uri="{FF2B5EF4-FFF2-40B4-BE49-F238E27FC236}">
              <a16:creationId xmlns:a16="http://schemas.microsoft.com/office/drawing/2014/main" id="{16F52A66-249B-44AB-9796-84DE3C45C5D4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386" name="AutoShape 12">
          <a:extLst>
            <a:ext uri="{FF2B5EF4-FFF2-40B4-BE49-F238E27FC236}">
              <a16:creationId xmlns:a16="http://schemas.microsoft.com/office/drawing/2014/main" id="{7DA9200E-C270-4F2F-B0C2-222B2B2D8BC9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387" name="AutoShape 12">
          <a:extLst>
            <a:ext uri="{FF2B5EF4-FFF2-40B4-BE49-F238E27FC236}">
              <a16:creationId xmlns:a16="http://schemas.microsoft.com/office/drawing/2014/main" id="{7064B4A8-3125-4F32-8C12-07A27F02F570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388" name="AutoShape 12">
          <a:extLst>
            <a:ext uri="{FF2B5EF4-FFF2-40B4-BE49-F238E27FC236}">
              <a16:creationId xmlns:a16="http://schemas.microsoft.com/office/drawing/2014/main" id="{5C49D2A5-D918-4CA7-9415-F7DC8D191F3F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389" name="AutoShape 12">
          <a:extLst>
            <a:ext uri="{FF2B5EF4-FFF2-40B4-BE49-F238E27FC236}">
              <a16:creationId xmlns:a16="http://schemas.microsoft.com/office/drawing/2014/main" id="{90C101FD-BC50-4B20-BAB3-B028CF2CF1ED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390" name="AutoShape 12">
          <a:extLst>
            <a:ext uri="{FF2B5EF4-FFF2-40B4-BE49-F238E27FC236}">
              <a16:creationId xmlns:a16="http://schemas.microsoft.com/office/drawing/2014/main" id="{295980FC-3832-4CEB-B210-7AC4A4940781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391" name="AutoShape 12">
          <a:extLst>
            <a:ext uri="{FF2B5EF4-FFF2-40B4-BE49-F238E27FC236}">
              <a16:creationId xmlns:a16="http://schemas.microsoft.com/office/drawing/2014/main" id="{60CB9707-C234-4CB7-B643-157A85F6E6E1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392" name="AutoShape 12">
          <a:extLst>
            <a:ext uri="{FF2B5EF4-FFF2-40B4-BE49-F238E27FC236}">
              <a16:creationId xmlns:a16="http://schemas.microsoft.com/office/drawing/2014/main" id="{763AFE1A-8094-4D06-8C2D-92BE33F74F30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393" name="AutoShape 12">
          <a:extLst>
            <a:ext uri="{FF2B5EF4-FFF2-40B4-BE49-F238E27FC236}">
              <a16:creationId xmlns:a16="http://schemas.microsoft.com/office/drawing/2014/main" id="{9776E56E-05FE-43B4-BD9F-3644AC5F00AC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394" name="AutoShape 12">
          <a:extLst>
            <a:ext uri="{FF2B5EF4-FFF2-40B4-BE49-F238E27FC236}">
              <a16:creationId xmlns:a16="http://schemas.microsoft.com/office/drawing/2014/main" id="{CB617D30-B63C-427A-9EF3-34C191003B4D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395" name="AutoShape 12">
          <a:extLst>
            <a:ext uri="{FF2B5EF4-FFF2-40B4-BE49-F238E27FC236}">
              <a16:creationId xmlns:a16="http://schemas.microsoft.com/office/drawing/2014/main" id="{BD2507F2-57F0-4ED7-BD03-772A4C527762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396" name="AutoShape 12">
          <a:extLst>
            <a:ext uri="{FF2B5EF4-FFF2-40B4-BE49-F238E27FC236}">
              <a16:creationId xmlns:a16="http://schemas.microsoft.com/office/drawing/2014/main" id="{8A9FA866-4379-4FD0-9009-698D5F78F996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397" name="AutoShape 12">
          <a:extLst>
            <a:ext uri="{FF2B5EF4-FFF2-40B4-BE49-F238E27FC236}">
              <a16:creationId xmlns:a16="http://schemas.microsoft.com/office/drawing/2014/main" id="{69D303B8-2295-4AC4-A152-C82D5529AF91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398" name="AutoShape 12">
          <a:extLst>
            <a:ext uri="{FF2B5EF4-FFF2-40B4-BE49-F238E27FC236}">
              <a16:creationId xmlns:a16="http://schemas.microsoft.com/office/drawing/2014/main" id="{955FD36E-6FAB-4DA5-A933-602E0EA7B4AB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399" name="AutoShape 12">
          <a:extLst>
            <a:ext uri="{FF2B5EF4-FFF2-40B4-BE49-F238E27FC236}">
              <a16:creationId xmlns:a16="http://schemas.microsoft.com/office/drawing/2014/main" id="{F9064F9A-11A7-4657-8D5A-9F68BE6C26E6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400" name="AutoShape 12">
          <a:extLst>
            <a:ext uri="{FF2B5EF4-FFF2-40B4-BE49-F238E27FC236}">
              <a16:creationId xmlns:a16="http://schemas.microsoft.com/office/drawing/2014/main" id="{3641F78A-A831-4EB3-8415-8A055886120F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401" name="AutoShape 12">
          <a:extLst>
            <a:ext uri="{FF2B5EF4-FFF2-40B4-BE49-F238E27FC236}">
              <a16:creationId xmlns:a16="http://schemas.microsoft.com/office/drawing/2014/main" id="{0855C89F-E050-4216-B1FC-BC48D69AA299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402" name="AutoShape 12">
          <a:extLst>
            <a:ext uri="{FF2B5EF4-FFF2-40B4-BE49-F238E27FC236}">
              <a16:creationId xmlns:a16="http://schemas.microsoft.com/office/drawing/2014/main" id="{323A6051-4635-49EE-B189-4AB7FA05C491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403" name="AutoShape 12">
          <a:extLst>
            <a:ext uri="{FF2B5EF4-FFF2-40B4-BE49-F238E27FC236}">
              <a16:creationId xmlns:a16="http://schemas.microsoft.com/office/drawing/2014/main" id="{742D3AA9-A2FD-4B38-BA87-4F5082BCBCD7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404" name="AutoShape 12">
          <a:extLst>
            <a:ext uri="{FF2B5EF4-FFF2-40B4-BE49-F238E27FC236}">
              <a16:creationId xmlns:a16="http://schemas.microsoft.com/office/drawing/2014/main" id="{F30B2FAD-21CF-4208-BD86-93615C41FB91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405" name="AutoShape 12">
          <a:extLst>
            <a:ext uri="{FF2B5EF4-FFF2-40B4-BE49-F238E27FC236}">
              <a16:creationId xmlns:a16="http://schemas.microsoft.com/office/drawing/2014/main" id="{392BA06C-7768-4D64-8D73-AD300E3EA31E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406" name="AutoShape 12">
          <a:extLst>
            <a:ext uri="{FF2B5EF4-FFF2-40B4-BE49-F238E27FC236}">
              <a16:creationId xmlns:a16="http://schemas.microsoft.com/office/drawing/2014/main" id="{F0B0B52F-A254-4781-B789-239265DCDAEE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407" name="AutoShape 12">
          <a:extLst>
            <a:ext uri="{FF2B5EF4-FFF2-40B4-BE49-F238E27FC236}">
              <a16:creationId xmlns:a16="http://schemas.microsoft.com/office/drawing/2014/main" id="{217D3E73-6A32-4460-A965-F8BF6D2C47FC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408" name="AutoShape 12">
          <a:extLst>
            <a:ext uri="{FF2B5EF4-FFF2-40B4-BE49-F238E27FC236}">
              <a16:creationId xmlns:a16="http://schemas.microsoft.com/office/drawing/2014/main" id="{6C8E0CD2-6A60-4F2D-B046-AF956518826A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409" name="AutoShape 12">
          <a:extLst>
            <a:ext uri="{FF2B5EF4-FFF2-40B4-BE49-F238E27FC236}">
              <a16:creationId xmlns:a16="http://schemas.microsoft.com/office/drawing/2014/main" id="{43103B6D-AA74-4B69-9870-1E521BC7BEA1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410" name="AutoShape 12">
          <a:extLst>
            <a:ext uri="{FF2B5EF4-FFF2-40B4-BE49-F238E27FC236}">
              <a16:creationId xmlns:a16="http://schemas.microsoft.com/office/drawing/2014/main" id="{537E6E06-87AC-41D5-9590-A772A4EBCB78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411" name="AutoShape 12">
          <a:extLst>
            <a:ext uri="{FF2B5EF4-FFF2-40B4-BE49-F238E27FC236}">
              <a16:creationId xmlns:a16="http://schemas.microsoft.com/office/drawing/2014/main" id="{A97245BC-CC36-4B71-8EF0-5D2E3984D59B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412" name="AutoShape 12">
          <a:extLst>
            <a:ext uri="{FF2B5EF4-FFF2-40B4-BE49-F238E27FC236}">
              <a16:creationId xmlns:a16="http://schemas.microsoft.com/office/drawing/2014/main" id="{FBA28954-D7B7-4113-A6FC-1B05025A7FE7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413" name="AutoShape 12">
          <a:extLst>
            <a:ext uri="{FF2B5EF4-FFF2-40B4-BE49-F238E27FC236}">
              <a16:creationId xmlns:a16="http://schemas.microsoft.com/office/drawing/2014/main" id="{9AC79E39-97C0-4482-A9CC-81324D41025A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414" name="AutoShape 12">
          <a:extLst>
            <a:ext uri="{FF2B5EF4-FFF2-40B4-BE49-F238E27FC236}">
              <a16:creationId xmlns:a16="http://schemas.microsoft.com/office/drawing/2014/main" id="{40ACCE76-64CA-4E46-8634-42C5BFF9835F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415" name="AutoShape 12">
          <a:extLst>
            <a:ext uri="{FF2B5EF4-FFF2-40B4-BE49-F238E27FC236}">
              <a16:creationId xmlns:a16="http://schemas.microsoft.com/office/drawing/2014/main" id="{250CE4D9-5D6F-4751-96DC-F07D6597E1C2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416" name="AutoShape 12">
          <a:extLst>
            <a:ext uri="{FF2B5EF4-FFF2-40B4-BE49-F238E27FC236}">
              <a16:creationId xmlns:a16="http://schemas.microsoft.com/office/drawing/2014/main" id="{A4DB59B7-BC78-4B6A-85E2-254AD9E268A1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417" name="AutoShape 12">
          <a:extLst>
            <a:ext uri="{FF2B5EF4-FFF2-40B4-BE49-F238E27FC236}">
              <a16:creationId xmlns:a16="http://schemas.microsoft.com/office/drawing/2014/main" id="{AD2D5A5E-F72F-4D7C-9743-8D38BC137BA0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418" name="AutoShape 12">
          <a:extLst>
            <a:ext uri="{FF2B5EF4-FFF2-40B4-BE49-F238E27FC236}">
              <a16:creationId xmlns:a16="http://schemas.microsoft.com/office/drawing/2014/main" id="{B6A1BDF8-ABA0-437D-961A-C5B4FB227DFB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419" name="AutoShape 12">
          <a:extLst>
            <a:ext uri="{FF2B5EF4-FFF2-40B4-BE49-F238E27FC236}">
              <a16:creationId xmlns:a16="http://schemas.microsoft.com/office/drawing/2014/main" id="{EBFD8E47-5B87-4E22-9AD7-54D7D689A9EC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420" name="AutoShape 12">
          <a:extLst>
            <a:ext uri="{FF2B5EF4-FFF2-40B4-BE49-F238E27FC236}">
              <a16:creationId xmlns:a16="http://schemas.microsoft.com/office/drawing/2014/main" id="{A9CAAFB8-00E4-4876-A9A9-FA87B626141E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421" name="AutoShape 12">
          <a:extLst>
            <a:ext uri="{FF2B5EF4-FFF2-40B4-BE49-F238E27FC236}">
              <a16:creationId xmlns:a16="http://schemas.microsoft.com/office/drawing/2014/main" id="{BAB4C4CD-26E1-418F-B41D-450A9AB63E5A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422" name="AutoShape 12">
          <a:extLst>
            <a:ext uri="{FF2B5EF4-FFF2-40B4-BE49-F238E27FC236}">
              <a16:creationId xmlns:a16="http://schemas.microsoft.com/office/drawing/2014/main" id="{6E503853-29AF-401A-BE56-686350681636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423" name="AutoShape 12">
          <a:extLst>
            <a:ext uri="{FF2B5EF4-FFF2-40B4-BE49-F238E27FC236}">
              <a16:creationId xmlns:a16="http://schemas.microsoft.com/office/drawing/2014/main" id="{7D648DA4-5B59-402B-B80B-54152EFF451D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424" name="AutoShape 12">
          <a:extLst>
            <a:ext uri="{FF2B5EF4-FFF2-40B4-BE49-F238E27FC236}">
              <a16:creationId xmlns:a16="http://schemas.microsoft.com/office/drawing/2014/main" id="{43CA38FE-F906-4F99-B898-2AD7261382F1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425" name="AutoShape 12">
          <a:extLst>
            <a:ext uri="{FF2B5EF4-FFF2-40B4-BE49-F238E27FC236}">
              <a16:creationId xmlns:a16="http://schemas.microsoft.com/office/drawing/2014/main" id="{7F431604-F093-4C34-B593-459D267819B7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426" name="AutoShape 12">
          <a:extLst>
            <a:ext uri="{FF2B5EF4-FFF2-40B4-BE49-F238E27FC236}">
              <a16:creationId xmlns:a16="http://schemas.microsoft.com/office/drawing/2014/main" id="{84519C43-741B-4B22-9CB7-F541C33B631B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427" name="AutoShape 12">
          <a:extLst>
            <a:ext uri="{FF2B5EF4-FFF2-40B4-BE49-F238E27FC236}">
              <a16:creationId xmlns:a16="http://schemas.microsoft.com/office/drawing/2014/main" id="{55ACAAEE-DB15-4684-94AD-04A0169BC454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428" name="AutoShape 12">
          <a:extLst>
            <a:ext uri="{FF2B5EF4-FFF2-40B4-BE49-F238E27FC236}">
              <a16:creationId xmlns:a16="http://schemas.microsoft.com/office/drawing/2014/main" id="{5BD634C9-9320-442F-96DC-81870ACC075E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429" name="AutoShape 12">
          <a:extLst>
            <a:ext uri="{FF2B5EF4-FFF2-40B4-BE49-F238E27FC236}">
              <a16:creationId xmlns:a16="http://schemas.microsoft.com/office/drawing/2014/main" id="{9738F8A5-AFAE-42D8-B12B-06CAFF35894A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430" name="AutoShape 12">
          <a:extLst>
            <a:ext uri="{FF2B5EF4-FFF2-40B4-BE49-F238E27FC236}">
              <a16:creationId xmlns:a16="http://schemas.microsoft.com/office/drawing/2014/main" id="{DAEBAD28-8120-4EC7-99C8-A0B12D52C91B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431" name="AutoShape 12">
          <a:extLst>
            <a:ext uri="{FF2B5EF4-FFF2-40B4-BE49-F238E27FC236}">
              <a16:creationId xmlns:a16="http://schemas.microsoft.com/office/drawing/2014/main" id="{E145CA8E-BB42-4725-ACF4-427A12EE0142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432" name="AutoShape 12">
          <a:extLst>
            <a:ext uri="{FF2B5EF4-FFF2-40B4-BE49-F238E27FC236}">
              <a16:creationId xmlns:a16="http://schemas.microsoft.com/office/drawing/2014/main" id="{9559DA30-7CD6-4ACD-B184-47329B8D1A6C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433" name="AutoShape 12">
          <a:extLst>
            <a:ext uri="{FF2B5EF4-FFF2-40B4-BE49-F238E27FC236}">
              <a16:creationId xmlns:a16="http://schemas.microsoft.com/office/drawing/2014/main" id="{265E3578-9210-42A1-828B-E7F32BA29DB0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434" name="AutoShape 12">
          <a:extLst>
            <a:ext uri="{FF2B5EF4-FFF2-40B4-BE49-F238E27FC236}">
              <a16:creationId xmlns:a16="http://schemas.microsoft.com/office/drawing/2014/main" id="{1A8FE47A-8C9A-40F1-A3E0-2969088C1025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435" name="AutoShape 12">
          <a:extLst>
            <a:ext uri="{FF2B5EF4-FFF2-40B4-BE49-F238E27FC236}">
              <a16:creationId xmlns:a16="http://schemas.microsoft.com/office/drawing/2014/main" id="{A53185F0-52B5-4A72-A76A-54659AF0221E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436" name="AutoShape 12">
          <a:extLst>
            <a:ext uri="{FF2B5EF4-FFF2-40B4-BE49-F238E27FC236}">
              <a16:creationId xmlns:a16="http://schemas.microsoft.com/office/drawing/2014/main" id="{5912CB03-263B-4D28-9EC3-264DBDD1BEDE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437" name="AutoShape 12">
          <a:extLst>
            <a:ext uri="{FF2B5EF4-FFF2-40B4-BE49-F238E27FC236}">
              <a16:creationId xmlns:a16="http://schemas.microsoft.com/office/drawing/2014/main" id="{A6A6414C-C9EA-44A1-AFE9-E0BC31928513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438" name="AutoShape 12">
          <a:extLst>
            <a:ext uri="{FF2B5EF4-FFF2-40B4-BE49-F238E27FC236}">
              <a16:creationId xmlns:a16="http://schemas.microsoft.com/office/drawing/2014/main" id="{D06D1A8E-4D34-42AB-B3D9-79564B356309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439" name="AutoShape 12">
          <a:extLst>
            <a:ext uri="{FF2B5EF4-FFF2-40B4-BE49-F238E27FC236}">
              <a16:creationId xmlns:a16="http://schemas.microsoft.com/office/drawing/2014/main" id="{054F5F80-F78C-4346-A1B6-8F4EF3F91BD6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440" name="AutoShape 12">
          <a:extLst>
            <a:ext uri="{FF2B5EF4-FFF2-40B4-BE49-F238E27FC236}">
              <a16:creationId xmlns:a16="http://schemas.microsoft.com/office/drawing/2014/main" id="{B99CC3C2-6D34-4973-8491-D31148EC1EBF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441" name="AutoShape 12">
          <a:extLst>
            <a:ext uri="{FF2B5EF4-FFF2-40B4-BE49-F238E27FC236}">
              <a16:creationId xmlns:a16="http://schemas.microsoft.com/office/drawing/2014/main" id="{2BDC40C3-9FAF-4467-851E-AA99DC1D40DD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442" name="AutoShape 12">
          <a:extLst>
            <a:ext uri="{FF2B5EF4-FFF2-40B4-BE49-F238E27FC236}">
              <a16:creationId xmlns:a16="http://schemas.microsoft.com/office/drawing/2014/main" id="{4B180D57-F780-4743-B1A5-05BE2BC5CE19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443" name="AutoShape 12">
          <a:extLst>
            <a:ext uri="{FF2B5EF4-FFF2-40B4-BE49-F238E27FC236}">
              <a16:creationId xmlns:a16="http://schemas.microsoft.com/office/drawing/2014/main" id="{1E5AC1AE-CC1E-4579-BD72-34D3F2A2C234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444" name="AutoShape 12">
          <a:extLst>
            <a:ext uri="{FF2B5EF4-FFF2-40B4-BE49-F238E27FC236}">
              <a16:creationId xmlns:a16="http://schemas.microsoft.com/office/drawing/2014/main" id="{D50FEC0F-FBD3-4489-9E97-8B6F32CE53ED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445" name="AutoShape 12">
          <a:extLst>
            <a:ext uri="{FF2B5EF4-FFF2-40B4-BE49-F238E27FC236}">
              <a16:creationId xmlns:a16="http://schemas.microsoft.com/office/drawing/2014/main" id="{A9E2A835-35BC-426D-9071-83E5CC6F9558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446" name="AutoShape 12">
          <a:extLst>
            <a:ext uri="{FF2B5EF4-FFF2-40B4-BE49-F238E27FC236}">
              <a16:creationId xmlns:a16="http://schemas.microsoft.com/office/drawing/2014/main" id="{91FA5E36-BC0D-42E3-9120-30B5B8291341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447" name="AutoShape 12">
          <a:extLst>
            <a:ext uri="{FF2B5EF4-FFF2-40B4-BE49-F238E27FC236}">
              <a16:creationId xmlns:a16="http://schemas.microsoft.com/office/drawing/2014/main" id="{A282FFE2-5A7E-4111-89D2-FC6196134426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448" name="AutoShape 12">
          <a:extLst>
            <a:ext uri="{FF2B5EF4-FFF2-40B4-BE49-F238E27FC236}">
              <a16:creationId xmlns:a16="http://schemas.microsoft.com/office/drawing/2014/main" id="{5AE23186-3ACD-44DE-8FC8-909985891306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449" name="AutoShape 12">
          <a:extLst>
            <a:ext uri="{FF2B5EF4-FFF2-40B4-BE49-F238E27FC236}">
              <a16:creationId xmlns:a16="http://schemas.microsoft.com/office/drawing/2014/main" id="{39416483-648B-458A-9F16-F55B4A67D81E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450" name="AutoShape 12">
          <a:extLst>
            <a:ext uri="{FF2B5EF4-FFF2-40B4-BE49-F238E27FC236}">
              <a16:creationId xmlns:a16="http://schemas.microsoft.com/office/drawing/2014/main" id="{5B038D34-957F-4802-9B14-E1EFF9595D59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451" name="AutoShape 12">
          <a:extLst>
            <a:ext uri="{FF2B5EF4-FFF2-40B4-BE49-F238E27FC236}">
              <a16:creationId xmlns:a16="http://schemas.microsoft.com/office/drawing/2014/main" id="{C480FBAE-03A8-43A1-A7D9-023C7785C499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452" name="AutoShape 12">
          <a:extLst>
            <a:ext uri="{FF2B5EF4-FFF2-40B4-BE49-F238E27FC236}">
              <a16:creationId xmlns:a16="http://schemas.microsoft.com/office/drawing/2014/main" id="{AB47D97B-A72B-4518-9ED6-9F5E0A46F390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453" name="AutoShape 12">
          <a:extLst>
            <a:ext uri="{FF2B5EF4-FFF2-40B4-BE49-F238E27FC236}">
              <a16:creationId xmlns:a16="http://schemas.microsoft.com/office/drawing/2014/main" id="{51E5EBB3-3C57-49F3-92E0-6CF3E29D790E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454" name="AutoShape 12">
          <a:extLst>
            <a:ext uri="{FF2B5EF4-FFF2-40B4-BE49-F238E27FC236}">
              <a16:creationId xmlns:a16="http://schemas.microsoft.com/office/drawing/2014/main" id="{205881D3-B9FA-41C4-8B81-CB4C4A36B92E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455" name="AutoShape 12">
          <a:extLst>
            <a:ext uri="{FF2B5EF4-FFF2-40B4-BE49-F238E27FC236}">
              <a16:creationId xmlns:a16="http://schemas.microsoft.com/office/drawing/2014/main" id="{DE23D695-1B32-4FC4-8F0C-F2AD7BDF3EA5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456" name="AutoShape 12">
          <a:extLst>
            <a:ext uri="{FF2B5EF4-FFF2-40B4-BE49-F238E27FC236}">
              <a16:creationId xmlns:a16="http://schemas.microsoft.com/office/drawing/2014/main" id="{FC3C0944-91D3-446B-81AC-9FC94628D6B8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457" name="AutoShape 12">
          <a:extLst>
            <a:ext uri="{FF2B5EF4-FFF2-40B4-BE49-F238E27FC236}">
              <a16:creationId xmlns:a16="http://schemas.microsoft.com/office/drawing/2014/main" id="{80E2C2DF-28C5-4092-A96C-E52D59C94CB8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458" name="AutoShape 12">
          <a:extLst>
            <a:ext uri="{FF2B5EF4-FFF2-40B4-BE49-F238E27FC236}">
              <a16:creationId xmlns:a16="http://schemas.microsoft.com/office/drawing/2014/main" id="{3B41BEAC-E306-4CCF-B825-6E39A179330A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459" name="AutoShape 12">
          <a:extLst>
            <a:ext uri="{FF2B5EF4-FFF2-40B4-BE49-F238E27FC236}">
              <a16:creationId xmlns:a16="http://schemas.microsoft.com/office/drawing/2014/main" id="{279CDAC2-9B70-40F9-B03F-2110740D1850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460" name="AutoShape 12">
          <a:extLst>
            <a:ext uri="{FF2B5EF4-FFF2-40B4-BE49-F238E27FC236}">
              <a16:creationId xmlns:a16="http://schemas.microsoft.com/office/drawing/2014/main" id="{4D96EFCD-EE94-4EAF-B323-C7264AB492B0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461" name="AutoShape 12">
          <a:extLst>
            <a:ext uri="{FF2B5EF4-FFF2-40B4-BE49-F238E27FC236}">
              <a16:creationId xmlns:a16="http://schemas.microsoft.com/office/drawing/2014/main" id="{E416BBA0-78F4-45CE-9339-5AB9BC8ED226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462" name="AutoShape 12">
          <a:extLst>
            <a:ext uri="{FF2B5EF4-FFF2-40B4-BE49-F238E27FC236}">
              <a16:creationId xmlns:a16="http://schemas.microsoft.com/office/drawing/2014/main" id="{83030516-1061-4816-BAF5-E9B619853A17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463" name="AutoShape 12">
          <a:extLst>
            <a:ext uri="{FF2B5EF4-FFF2-40B4-BE49-F238E27FC236}">
              <a16:creationId xmlns:a16="http://schemas.microsoft.com/office/drawing/2014/main" id="{38E90FAD-CF71-4AB4-94AC-77D55F0D992B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464" name="AutoShape 12">
          <a:extLst>
            <a:ext uri="{FF2B5EF4-FFF2-40B4-BE49-F238E27FC236}">
              <a16:creationId xmlns:a16="http://schemas.microsoft.com/office/drawing/2014/main" id="{33A8656A-757A-4A7D-B939-D0EEAE21B301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465" name="AutoShape 12">
          <a:extLst>
            <a:ext uri="{FF2B5EF4-FFF2-40B4-BE49-F238E27FC236}">
              <a16:creationId xmlns:a16="http://schemas.microsoft.com/office/drawing/2014/main" id="{FB523396-9789-4CBC-A35D-2686AEDFFFB2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466" name="AutoShape 12">
          <a:extLst>
            <a:ext uri="{FF2B5EF4-FFF2-40B4-BE49-F238E27FC236}">
              <a16:creationId xmlns:a16="http://schemas.microsoft.com/office/drawing/2014/main" id="{EFE0FAB3-B5DF-4CC0-9543-EB460A721A87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467" name="AutoShape 12">
          <a:extLst>
            <a:ext uri="{FF2B5EF4-FFF2-40B4-BE49-F238E27FC236}">
              <a16:creationId xmlns:a16="http://schemas.microsoft.com/office/drawing/2014/main" id="{96A42D18-92F4-47FD-8A96-723F04C1ECFE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468" name="AutoShape 12">
          <a:extLst>
            <a:ext uri="{FF2B5EF4-FFF2-40B4-BE49-F238E27FC236}">
              <a16:creationId xmlns:a16="http://schemas.microsoft.com/office/drawing/2014/main" id="{C54F5B47-9AD2-4B5A-89D3-42A420728631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469" name="AutoShape 12">
          <a:extLst>
            <a:ext uri="{FF2B5EF4-FFF2-40B4-BE49-F238E27FC236}">
              <a16:creationId xmlns:a16="http://schemas.microsoft.com/office/drawing/2014/main" id="{B419E857-0A07-4C6B-A5F5-8C6E6435772B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470" name="AutoShape 12">
          <a:extLst>
            <a:ext uri="{FF2B5EF4-FFF2-40B4-BE49-F238E27FC236}">
              <a16:creationId xmlns:a16="http://schemas.microsoft.com/office/drawing/2014/main" id="{FACF18EE-A2C7-4037-93EF-34FC1269A9B3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471" name="AutoShape 12">
          <a:extLst>
            <a:ext uri="{FF2B5EF4-FFF2-40B4-BE49-F238E27FC236}">
              <a16:creationId xmlns:a16="http://schemas.microsoft.com/office/drawing/2014/main" id="{B4152C26-D0F8-4734-A904-0596D30A15E3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472" name="AutoShape 12">
          <a:extLst>
            <a:ext uri="{FF2B5EF4-FFF2-40B4-BE49-F238E27FC236}">
              <a16:creationId xmlns:a16="http://schemas.microsoft.com/office/drawing/2014/main" id="{25D0744F-CB78-4BC5-8C0D-E5B165351DC1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473" name="AutoShape 12">
          <a:extLst>
            <a:ext uri="{FF2B5EF4-FFF2-40B4-BE49-F238E27FC236}">
              <a16:creationId xmlns:a16="http://schemas.microsoft.com/office/drawing/2014/main" id="{79036FD6-82E1-405C-992B-8C6A4DF9BDA1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474" name="AutoShape 12">
          <a:extLst>
            <a:ext uri="{FF2B5EF4-FFF2-40B4-BE49-F238E27FC236}">
              <a16:creationId xmlns:a16="http://schemas.microsoft.com/office/drawing/2014/main" id="{11C6FA2B-07CB-419E-B4FB-DF94D0F80A5B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475" name="AutoShape 12">
          <a:extLst>
            <a:ext uri="{FF2B5EF4-FFF2-40B4-BE49-F238E27FC236}">
              <a16:creationId xmlns:a16="http://schemas.microsoft.com/office/drawing/2014/main" id="{88EDB0C0-37E5-462F-A66A-7BF50D824AEE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476" name="AutoShape 12">
          <a:extLst>
            <a:ext uri="{FF2B5EF4-FFF2-40B4-BE49-F238E27FC236}">
              <a16:creationId xmlns:a16="http://schemas.microsoft.com/office/drawing/2014/main" id="{151C5A2B-55FD-4582-A66F-6DC28BBF1D61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477" name="AutoShape 12">
          <a:extLst>
            <a:ext uri="{FF2B5EF4-FFF2-40B4-BE49-F238E27FC236}">
              <a16:creationId xmlns:a16="http://schemas.microsoft.com/office/drawing/2014/main" id="{17873851-B90D-4F8A-8C7A-8CF866D1A352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478" name="AutoShape 12">
          <a:extLst>
            <a:ext uri="{FF2B5EF4-FFF2-40B4-BE49-F238E27FC236}">
              <a16:creationId xmlns:a16="http://schemas.microsoft.com/office/drawing/2014/main" id="{745E3908-CE83-4D1D-9B93-DF8A06B67DB1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479" name="AutoShape 12">
          <a:extLst>
            <a:ext uri="{FF2B5EF4-FFF2-40B4-BE49-F238E27FC236}">
              <a16:creationId xmlns:a16="http://schemas.microsoft.com/office/drawing/2014/main" id="{F51AA092-EE67-4943-ABB1-B810662DEF9E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480" name="AutoShape 12">
          <a:extLst>
            <a:ext uri="{FF2B5EF4-FFF2-40B4-BE49-F238E27FC236}">
              <a16:creationId xmlns:a16="http://schemas.microsoft.com/office/drawing/2014/main" id="{11B759D4-BAB8-4E5C-9A2F-8859A119F81C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481" name="AutoShape 12">
          <a:extLst>
            <a:ext uri="{FF2B5EF4-FFF2-40B4-BE49-F238E27FC236}">
              <a16:creationId xmlns:a16="http://schemas.microsoft.com/office/drawing/2014/main" id="{C18ACB80-21E6-455B-B7BD-C7D99A1362E9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482" name="AutoShape 12">
          <a:extLst>
            <a:ext uri="{FF2B5EF4-FFF2-40B4-BE49-F238E27FC236}">
              <a16:creationId xmlns:a16="http://schemas.microsoft.com/office/drawing/2014/main" id="{3A1AA19E-6D5D-4D87-9AD1-8E3864662BE1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483" name="AutoShape 12">
          <a:extLst>
            <a:ext uri="{FF2B5EF4-FFF2-40B4-BE49-F238E27FC236}">
              <a16:creationId xmlns:a16="http://schemas.microsoft.com/office/drawing/2014/main" id="{60ECF449-0B20-4E93-832D-E56678362127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484" name="AutoShape 12">
          <a:extLst>
            <a:ext uri="{FF2B5EF4-FFF2-40B4-BE49-F238E27FC236}">
              <a16:creationId xmlns:a16="http://schemas.microsoft.com/office/drawing/2014/main" id="{5E543461-222D-4295-BC30-CD198A039C98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485" name="AutoShape 12">
          <a:extLst>
            <a:ext uri="{FF2B5EF4-FFF2-40B4-BE49-F238E27FC236}">
              <a16:creationId xmlns:a16="http://schemas.microsoft.com/office/drawing/2014/main" id="{535ABD52-FE20-4D03-84EC-BB211510640A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486" name="AutoShape 12">
          <a:extLst>
            <a:ext uri="{FF2B5EF4-FFF2-40B4-BE49-F238E27FC236}">
              <a16:creationId xmlns:a16="http://schemas.microsoft.com/office/drawing/2014/main" id="{A24C141F-818D-4310-B759-E8726603B66C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487" name="AutoShape 12">
          <a:extLst>
            <a:ext uri="{FF2B5EF4-FFF2-40B4-BE49-F238E27FC236}">
              <a16:creationId xmlns:a16="http://schemas.microsoft.com/office/drawing/2014/main" id="{88FC159D-37B0-4EDF-9667-732CB247B82A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488" name="AutoShape 12">
          <a:extLst>
            <a:ext uri="{FF2B5EF4-FFF2-40B4-BE49-F238E27FC236}">
              <a16:creationId xmlns:a16="http://schemas.microsoft.com/office/drawing/2014/main" id="{E5C6F66F-9386-4EFD-96E0-15F93FDA051E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489" name="AutoShape 12">
          <a:extLst>
            <a:ext uri="{FF2B5EF4-FFF2-40B4-BE49-F238E27FC236}">
              <a16:creationId xmlns:a16="http://schemas.microsoft.com/office/drawing/2014/main" id="{C6E755D7-16D2-48A3-A949-B3ACB71995AF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490" name="AutoShape 12">
          <a:extLst>
            <a:ext uri="{FF2B5EF4-FFF2-40B4-BE49-F238E27FC236}">
              <a16:creationId xmlns:a16="http://schemas.microsoft.com/office/drawing/2014/main" id="{FBA39C33-08E1-4B2C-8057-239AA20305D4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491" name="AutoShape 12">
          <a:extLst>
            <a:ext uri="{FF2B5EF4-FFF2-40B4-BE49-F238E27FC236}">
              <a16:creationId xmlns:a16="http://schemas.microsoft.com/office/drawing/2014/main" id="{203D6D3B-5B62-4F63-913F-1EAC1689C9CC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492" name="AutoShape 12">
          <a:extLst>
            <a:ext uri="{FF2B5EF4-FFF2-40B4-BE49-F238E27FC236}">
              <a16:creationId xmlns:a16="http://schemas.microsoft.com/office/drawing/2014/main" id="{671BF2CD-7443-444E-A85B-6BCA5B5DF21E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493" name="AutoShape 12">
          <a:extLst>
            <a:ext uri="{FF2B5EF4-FFF2-40B4-BE49-F238E27FC236}">
              <a16:creationId xmlns:a16="http://schemas.microsoft.com/office/drawing/2014/main" id="{91974AD4-E60B-4CE0-8758-28828611D58A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494" name="AutoShape 12">
          <a:extLst>
            <a:ext uri="{FF2B5EF4-FFF2-40B4-BE49-F238E27FC236}">
              <a16:creationId xmlns:a16="http://schemas.microsoft.com/office/drawing/2014/main" id="{74756100-3816-4866-90A2-1AE1B546850C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495" name="AutoShape 12">
          <a:extLst>
            <a:ext uri="{FF2B5EF4-FFF2-40B4-BE49-F238E27FC236}">
              <a16:creationId xmlns:a16="http://schemas.microsoft.com/office/drawing/2014/main" id="{3EE141BA-033B-4C69-8366-2D06FE901D5E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496" name="AutoShape 12">
          <a:extLst>
            <a:ext uri="{FF2B5EF4-FFF2-40B4-BE49-F238E27FC236}">
              <a16:creationId xmlns:a16="http://schemas.microsoft.com/office/drawing/2014/main" id="{257C3130-E2FA-40B1-9914-0881649C867B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497" name="AutoShape 12">
          <a:extLst>
            <a:ext uri="{FF2B5EF4-FFF2-40B4-BE49-F238E27FC236}">
              <a16:creationId xmlns:a16="http://schemas.microsoft.com/office/drawing/2014/main" id="{5694AD9B-F267-4BB5-A2A3-8C3AA51F740A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498" name="AutoShape 12">
          <a:extLst>
            <a:ext uri="{FF2B5EF4-FFF2-40B4-BE49-F238E27FC236}">
              <a16:creationId xmlns:a16="http://schemas.microsoft.com/office/drawing/2014/main" id="{19C1E5A6-DBE9-490F-A41D-833222BD1210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499" name="AutoShape 12">
          <a:extLst>
            <a:ext uri="{FF2B5EF4-FFF2-40B4-BE49-F238E27FC236}">
              <a16:creationId xmlns:a16="http://schemas.microsoft.com/office/drawing/2014/main" id="{F4CF8479-DDEA-410D-8EC8-3CBCD598EA57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500" name="AutoShape 12">
          <a:extLst>
            <a:ext uri="{FF2B5EF4-FFF2-40B4-BE49-F238E27FC236}">
              <a16:creationId xmlns:a16="http://schemas.microsoft.com/office/drawing/2014/main" id="{85CFAB28-B48D-4B9E-B4B0-E72B1FEE60BE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501" name="AutoShape 12">
          <a:extLst>
            <a:ext uri="{FF2B5EF4-FFF2-40B4-BE49-F238E27FC236}">
              <a16:creationId xmlns:a16="http://schemas.microsoft.com/office/drawing/2014/main" id="{3B77602E-680E-4DFC-81E0-B5EF428178FF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502" name="AutoShape 12">
          <a:extLst>
            <a:ext uri="{FF2B5EF4-FFF2-40B4-BE49-F238E27FC236}">
              <a16:creationId xmlns:a16="http://schemas.microsoft.com/office/drawing/2014/main" id="{62B6470C-2DAB-4CB2-9067-36007CEAFB75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503" name="AutoShape 12">
          <a:extLst>
            <a:ext uri="{FF2B5EF4-FFF2-40B4-BE49-F238E27FC236}">
              <a16:creationId xmlns:a16="http://schemas.microsoft.com/office/drawing/2014/main" id="{D2ED1821-8BF0-49ED-BFA3-8F85957C5D54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504" name="AutoShape 12">
          <a:extLst>
            <a:ext uri="{FF2B5EF4-FFF2-40B4-BE49-F238E27FC236}">
              <a16:creationId xmlns:a16="http://schemas.microsoft.com/office/drawing/2014/main" id="{999EE0B6-3A34-4934-A0A3-1332F27DFE5C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505" name="AutoShape 12">
          <a:extLst>
            <a:ext uri="{FF2B5EF4-FFF2-40B4-BE49-F238E27FC236}">
              <a16:creationId xmlns:a16="http://schemas.microsoft.com/office/drawing/2014/main" id="{461731BD-DFB6-4655-8942-E797F7B2B32B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506" name="AutoShape 12">
          <a:extLst>
            <a:ext uri="{FF2B5EF4-FFF2-40B4-BE49-F238E27FC236}">
              <a16:creationId xmlns:a16="http://schemas.microsoft.com/office/drawing/2014/main" id="{54C4E509-C67D-4F91-80DA-24768E4F4CC3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507" name="AutoShape 12">
          <a:extLst>
            <a:ext uri="{FF2B5EF4-FFF2-40B4-BE49-F238E27FC236}">
              <a16:creationId xmlns:a16="http://schemas.microsoft.com/office/drawing/2014/main" id="{4CB18BC6-6AE4-48F9-B1DF-2D43A2AD0E19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508" name="AutoShape 12">
          <a:extLst>
            <a:ext uri="{FF2B5EF4-FFF2-40B4-BE49-F238E27FC236}">
              <a16:creationId xmlns:a16="http://schemas.microsoft.com/office/drawing/2014/main" id="{F5F92DDC-3E75-4EDF-84D1-60EDFD0C6AAC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509" name="AutoShape 12">
          <a:extLst>
            <a:ext uri="{FF2B5EF4-FFF2-40B4-BE49-F238E27FC236}">
              <a16:creationId xmlns:a16="http://schemas.microsoft.com/office/drawing/2014/main" id="{B47141F6-F86F-4AAD-9854-2E0862870784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510" name="AutoShape 12">
          <a:extLst>
            <a:ext uri="{FF2B5EF4-FFF2-40B4-BE49-F238E27FC236}">
              <a16:creationId xmlns:a16="http://schemas.microsoft.com/office/drawing/2014/main" id="{F86DB803-B256-4DC1-A8EA-5BE48E1AC881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511" name="AutoShape 12">
          <a:extLst>
            <a:ext uri="{FF2B5EF4-FFF2-40B4-BE49-F238E27FC236}">
              <a16:creationId xmlns:a16="http://schemas.microsoft.com/office/drawing/2014/main" id="{038F4D0F-E4C9-4FF4-8506-6EB3181481AC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512" name="AutoShape 12">
          <a:extLst>
            <a:ext uri="{FF2B5EF4-FFF2-40B4-BE49-F238E27FC236}">
              <a16:creationId xmlns:a16="http://schemas.microsoft.com/office/drawing/2014/main" id="{30ECA5EE-0A74-4865-AC1E-BD39110F6155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513" name="AutoShape 12">
          <a:extLst>
            <a:ext uri="{FF2B5EF4-FFF2-40B4-BE49-F238E27FC236}">
              <a16:creationId xmlns:a16="http://schemas.microsoft.com/office/drawing/2014/main" id="{D1114B56-F277-4019-8BD0-B962A30C581B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514" name="AutoShape 12">
          <a:extLst>
            <a:ext uri="{FF2B5EF4-FFF2-40B4-BE49-F238E27FC236}">
              <a16:creationId xmlns:a16="http://schemas.microsoft.com/office/drawing/2014/main" id="{35BAF498-C7CE-49FB-BCC0-7D693FAE1303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515" name="AutoShape 12">
          <a:extLst>
            <a:ext uri="{FF2B5EF4-FFF2-40B4-BE49-F238E27FC236}">
              <a16:creationId xmlns:a16="http://schemas.microsoft.com/office/drawing/2014/main" id="{78BEB255-5686-4BD3-9795-31D9A48CA27B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516" name="AutoShape 12">
          <a:extLst>
            <a:ext uri="{FF2B5EF4-FFF2-40B4-BE49-F238E27FC236}">
              <a16:creationId xmlns:a16="http://schemas.microsoft.com/office/drawing/2014/main" id="{217824FF-03DD-42B9-B943-27BD8F47279A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517" name="AutoShape 12">
          <a:extLst>
            <a:ext uri="{FF2B5EF4-FFF2-40B4-BE49-F238E27FC236}">
              <a16:creationId xmlns:a16="http://schemas.microsoft.com/office/drawing/2014/main" id="{7C47DF7B-B5D0-47AF-9B68-C80CAB325253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518" name="AutoShape 12">
          <a:extLst>
            <a:ext uri="{FF2B5EF4-FFF2-40B4-BE49-F238E27FC236}">
              <a16:creationId xmlns:a16="http://schemas.microsoft.com/office/drawing/2014/main" id="{7F0CC132-2FC6-4670-8BA0-FD44D50F8B73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519" name="AutoShape 12">
          <a:extLst>
            <a:ext uri="{FF2B5EF4-FFF2-40B4-BE49-F238E27FC236}">
              <a16:creationId xmlns:a16="http://schemas.microsoft.com/office/drawing/2014/main" id="{CD8471BC-CC95-4856-87BD-8F3E2EFABB2E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520" name="AutoShape 12">
          <a:extLst>
            <a:ext uri="{FF2B5EF4-FFF2-40B4-BE49-F238E27FC236}">
              <a16:creationId xmlns:a16="http://schemas.microsoft.com/office/drawing/2014/main" id="{79D6A697-8FD4-49CE-B4F3-1F24B122AC24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521" name="AutoShape 12">
          <a:extLst>
            <a:ext uri="{FF2B5EF4-FFF2-40B4-BE49-F238E27FC236}">
              <a16:creationId xmlns:a16="http://schemas.microsoft.com/office/drawing/2014/main" id="{5934D31D-DB1D-4339-804E-9970267C6B4D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522" name="AutoShape 12">
          <a:extLst>
            <a:ext uri="{FF2B5EF4-FFF2-40B4-BE49-F238E27FC236}">
              <a16:creationId xmlns:a16="http://schemas.microsoft.com/office/drawing/2014/main" id="{B2BFA73F-F10E-4835-BC42-82540D9A70F1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523" name="AutoShape 12">
          <a:extLst>
            <a:ext uri="{FF2B5EF4-FFF2-40B4-BE49-F238E27FC236}">
              <a16:creationId xmlns:a16="http://schemas.microsoft.com/office/drawing/2014/main" id="{A140B71B-A294-44DD-894C-97AFCBB5F8E0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524" name="AutoShape 12">
          <a:extLst>
            <a:ext uri="{FF2B5EF4-FFF2-40B4-BE49-F238E27FC236}">
              <a16:creationId xmlns:a16="http://schemas.microsoft.com/office/drawing/2014/main" id="{4C9146AC-F18A-4802-A6DE-DBCF80020FEF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525" name="AutoShape 12">
          <a:extLst>
            <a:ext uri="{FF2B5EF4-FFF2-40B4-BE49-F238E27FC236}">
              <a16:creationId xmlns:a16="http://schemas.microsoft.com/office/drawing/2014/main" id="{76E18148-85B9-4E7D-ADD6-43B11202EAA7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526" name="AutoShape 12">
          <a:extLst>
            <a:ext uri="{FF2B5EF4-FFF2-40B4-BE49-F238E27FC236}">
              <a16:creationId xmlns:a16="http://schemas.microsoft.com/office/drawing/2014/main" id="{11153DA2-515B-4B5D-B73C-87EA0F1F6970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527" name="AutoShape 12">
          <a:extLst>
            <a:ext uri="{FF2B5EF4-FFF2-40B4-BE49-F238E27FC236}">
              <a16:creationId xmlns:a16="http://schemas.microsoft.com/office/drawing/2014/main" id="{DD6DA5E1-0C89-4662-9FFF-153A563A7954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528" name="AutoShape 12">
          <a:extLst>
            <a:ext uri="{FF2B5EF4-FFF2-40B4-BE49-F238E27FC236}">
              <a16:creationId xmlns:a16="http://schemas.microsoft.com/office/drawing/2014/main" id="{D2460A61-D9A6-4E65-9274-5D5EEC80E94B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529" name="AutoShape 12">
          <a:extLst>
            <a:ext uri="{FF2B5EF4-FFF2-40B4-BE49-F238E27FC236}">
              <a16:creationId xmlns:a16="http://schemas.microsoft.com/office/drawing/2014/main" id="{690B9258-1874-4247-9695-FD2A55635DFA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530" name="AutoShape 12">
          <a:extLst>
            <a:ext uri="{FF2B5EF4-FFF2-40B4-BE49-F238E27FC236}">
              <a16:creationId xmlns:a16="http://schemas.microsoft.com/office/drawing/2014/main" id="{2397F610-0F24-4764-8B37-695F7CD5AA4F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531" name="AutoShape 12">
          <a:extLst>
            <a:ext uri="{FF2B5EF4-FFF2-40B4-BE49-F238E27FC236}">
              <a16:creationId xmlns:a16="http://schemas.microsoft.com/office/drawing/2014/main" id="{E04BE61A-0986-4E23-B853-A803FEC096C5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532" name="AutoShape 12">
          <a:extLst>
            <a:ext uri="{FF2B5EF4-FFF2-40B4-BE49-F238E27FC236}">
              <a16:creationId xmlns:a16="http://schemas.microsoft.com/office/drawing/2014/main" id="{823FDBF2-6BA6-445D-B4E9-C9DAD9682DF4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533" name="AutoShape 12">
          <a:extLst>
            <a:ext uri="{FF2B5EF4-FFF2-40B4-BE49-F238E27FC236}">
              <a16:creationId xmlns:a16="http://schemas.microsoft.com/office/drawing/2014/main" id="{3E07C493-7CDB-48AD-A9D2-BFEB89815469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534" name="AutoShape 12">
          <a:extLst>
            <a:ext uri="{FF2B5EF4-FFF2-40B4-BE49-F238E27FC236}">
              <a16:creationId xmlns:a16="http://schemas.microsoft.com/office/drawing/2014/main" id="{EC1E7B2B-4EB2-40CA-907F-A247AD3D2D28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535" name="AutoShape 12">
          <a:extLst>
            <a:ext uri="{FF2B5EF4-FFF2-40B4-BE49-F238E27FC236}">
              <a16:creationId xmlns:a16="http://schemas.microsoft.com/office/drawing/2014/main" id="{9524AECF-D0EB-4802-86C4-072A1736117B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536" name="AutoShape 12">
          <a:extLst>
            <a:ext uri="{FF2B5EF4-FFF2-40B4-BE49-F238E27FC236}">
              <a16:creationId xmlns:a16="http://schemas.microsoft.com/office/drawing/2014/main" id="{2CBD61FB-45C5-4CAC-9538-D448AFFAC849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537" name="AutoShape 12">
          <a:extLst>
            <a:ext uri="{FF2B5EF4-FFF2-40B4-BE49-F238E27FC236}">
              <a16:creationId xmlns:a16="http://schemas.microsoft.com/office/drawing/2014/main" id="{AB9F1B5B-3F5D-4AB3-B147-18E813431B51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538" name="AutoShape 12">
          <a:extLst>
            <a:ext uri="{FF2B5EF4-FFF2-40B4-BE49-F238E27FC236}">
              <a16:creationId xmlns:a16="http://schemas.microsoft.com/office/drawing/2014/main" id="{9D79EA75-05B6-438C-BE11-210AF1CC971A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539" name="AutoShape 12">
          <a:extLst>
            <a:ext uri="{FF2B5EF4-FFF2-40B4-BE49-F238E27FC236}">
              <a16:creationId xmlns:a16="http://schemas.microsoft.com/office/drawing/2014/main" id="{9A84055C-4F91-4E8B-BE69-1C56CD60BFE5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540" name="AutoShape 12">
          <a:extLst>
            <a:ext uri="{FF2B5EF4-FFF2-40B4-BE49-F238E27FC236}">
              <a16:creationId xmlns:a16="http://schemas.microsoft.com/office/drawing/2014/main" id="{F42AB283-9C4E-451E-8CCD-6A275075248F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541" name="AutoShape 12">
          <a:extLst>
            <a:ext uri="{FF2B5EF4-FFF2-40B4-BE49-F238E27FC236}">
              <a16:creationId xmlns:a16="http://schemas.microsoft.com/office/drawing/2014/main" id="{A354451C-7792-4E14-9C7C-3808114FF8CA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542" name="AutoShape 12">
          <a:extLst>
            <a:ext uri="{FF2B5EF4-FFF2-40B4-BE49-F238E27FC236}">
              <a16:creationId xmlns:a16="http://schemas.microsoft.com/office/drawing/2014/main" id="{67171552-F1FA-4017-ACE5-43B8941BE9F6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543" name="AutoShape 12">
          <a:extLst>
            <a:ext uri="{FF2B5EF4-FFF2-40B4-BE49-F238E27FC236}">
              <a16:creationId xmlns:a16="http://schemas.microsoft.com/office/drawing/2014/main" id="{3BE4C3B3-2FE0-42F5-99B5-26429D31CB95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544" name="AutoShape 12">
          <a:extLst>
            <a:ext uri="{FF2B5EF4-FFF2-40B4-BE49-F238E27FC236}">
              <a16:creationId xmlns:a16="http://schemas.microsoft.com/office/drawing/2014/main" id="{F884C135-6B31-4304-AC2B-A8A07149CCF6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545" name="AutoShape 12">
          <a:extLst>
            <a:ext uri="{FF2B5EF4-FFF2-40B4-BE49-F238E27FC236}">
              <a16:creationId xmlns:a16="http://schemas.microsoft.com/office/drawing/2014/main" id="{5CFE942D-AC89-415D-9685-C204CCDA095D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546" name="AutoShape 12">
          <a:extLst>
            <a:ext uri="{FF2B5EF4-FFF2-40B4-BE49-F238E27FC236}">
              <a16:creationId xmlns:a16="http://schemas.microsoft.com/office/drawing/2014/main" id="{FAA40FB9-2566-486E-9020-0D27F309F603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547" name="AutoShape 12">
          <a:extLst>
            <a:ext uri="{FF2B5EF4-FFF2-40B4-BE49-F238E27FC236}">
              <a16:creationId xmlns:a16="http://schemas.microsoft.com/office/drawing/2014/main" id="{5195BC1E-3265-45F7-98DE-80E70F6AD347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548" name="AutoShape 12">
          <a:extLst>
            <a:ext uri="{FF2B5EF4-FFF2-40B4-BE49-F238E27FC236}">
              <a16:creationId xmlns:a16="http://schemas.microsoft.com/office/drawing/2014/main" id="{B5223848-0BAF-41EB-991A-79A7D7AC9019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549" name="AutoShape 12">
          <a:extLst>
            <a:ext uri="{FF2B5EF4-FFF2-40B4-BE49-F238E27FC236}">
              <a16:creationId xmlns:a16="http://schemas.microsoft.com/office/drawing/2014/main" id="{55B02294-7E0A-4C94-AA4D-D42BD6DC8EA2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550" name="AutoShape 12">
          <a:extLst>
            <a:ext uri="{FF2B5EF4-FFF2-40B4-BE49-F238E27FC236}">
              <a16:creationId xmlns:a16="http://schemas.microsoft.com/office/drawing/2014/main" id="{6D5D1886-69B9-4813-B9DC-64EF15F8D4C4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551" name="AutoShape 12">
          <a:extLst>
            <a:ext uri="{FF2B5EF4-FFF2-40B4-BE49-F238E27FC236}">
              <a16:creationId xmlns:a16="http://schemas.microsoft.com/office/drawing/2014/main" id="{35E53E90-7607-405B-9465-1EC670384968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552" name="AutoShape 12">
          <a:extLst>
            <a:ext uri="{FF2B5EF4-FFF2-40B4-BE49-F238E27FC236}">
              <a16:creationId xmlns:a16="http://schemas.microsoft.com/office/drawing/2014/main" id="{7C454EBB-039D-49F7-BED6-DDC91260F92A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553" name="AutoShape 12">
          <a:extLst>
            <a:ext uri="{FF2B5EF4-FFF2-40B4-BE49-F238E27FC236}">
              <a16:creationId xmlns:a16="http://schemas.microsoft.com/office/drawing/2014/main" id="{60F08248-6583-4ABE-93EF-40074141A3C7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554" name="AutoShape 12">
          <a:extLst>
            <a:ext uri="{FF2B5EF4-FFF2-40B4-BE49-F238E27FC236}">
              <a16:creationId xmlns:a16="http://schemas.microsoft.com/office/drawing/2014/main" id="{E90EAF27-5582-4AAD-91DE-34135E8AB602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555" name="AutoShape 12">
          <a:extLst>
            <a:ext uri="{FF2B5EF4-FFF2-40B4-BE49-F238E27FC236}">
              <a16:creationId xmlns:a16="http://schemas.microsoft.com/office/drawing/2014/main" id="{4398FA66-F73E-4600-84D4-55DB85BE53C8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556" name="AutoShape 12">
          <a:extLst>
            <a:ext uri="{FF2B5EF4-FFF2-40B4-BE49-F238E27FC236}">
              <a16:creationId xmlns:a16="http://schemas.microsoft.com/office/drawing/2014/main" id="{FE3CF88D-3ED1-4BBB-B27A-53B487877CE2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557" name="AutoShape 12">
          <a:extLst>
            <a:ext uri="{FF2B5EF4-FFF2-40B4-BE49-F238E27FC236}">
              <a16:creationId xmlns:a16="http://schemas.microsoft.com/office/drawing/2014/main" id="{7FCD7542-D045-4807-8A26-FB948489D2D4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558" name="AutoShape 12">
          <a:extLst>
            <a:ext uri="{FF2B5EF4-FFF2-40B4-BE49-F238E27FC236}">
              <a16:creationId xmlns:a16="http://schemas.microsoft.com/office/drawing/2014/main" id="{371A0A4C-F731-470B-BD99-6C06D63C7E1E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559" name="AutoShape 12">
          <a:extLst>
            <a:ext uri="{FF2B5EF4-FFF2-40B4-BE49-F238E27FC236}">
              <a16:creationId xmlns:a16="http://schemas.microsoft.com/office/drawing/2014/main" id="{532D1F32-4289-492F-9A11-B51BBFD5C804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560" name="AutoShape 12">
          <a:extLst>
            <a:ext uri="{FF2B5EF4-FFF2-40B4-BE49-F238E27FC236}">
              <a16:creationId xmlns:a16="http://schemas.microsoft.com/office/drawing/2014/main" id="{9A7D6ACD-AC72-4F90-AF01-5B56B926A08B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561" name="AutoShape 12">
          <a:extLst>
            <a:ext uri="{FF2B5EF4-FFF2-40B4-BE49-F238E27FC236}">
              <a16:creationId xmlns:a16="http://schemas.microsoft.com/office/drawing/2014/main" id="{9BF2A83E-3107-4A1E-83CC-598046ABD32E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562" name="AutoShape 12">
          <a:extLst>
            <a:ext uri="{FF2B5EF4-FFF2-40B4-BE49-F238E27FC236}">
              <a16:creationId xmlns:a16="http://schemas.microsoft.com/office/drawing/2014/main" id="{53497F2E-653B-43B6-A98C-1BF210D74B69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563" name="AutoShape 12">
          <a:extLst>
            <a:ext uri="{FF2B5EF4-FFF2-40B4-BE49-F238E27FC236}">
              <a16:creationId xmlns:a16="http://schemas.microsoft.com/office/drawing/2014/main" id="{9E0A5F05-246B-4E50-B1F5-2EE2603BBD5F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564" name="AutoShape 12">
          <a:extLst>
            <a:ext uri="{FF2B5EF4-FFF2-40B4-BE49-F238E27FC236}">
              <a16:creationId xmlns:a16="http://schemas.microsoft.com/office/drawing/2014/main" id="{8C6EC192-B2C1-46B8-8CA1-BE2F422C488B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565" name="AutoShape 12">
          <a:extLst>
            <a:ext uri="{FF2B5EF4-FFF2-40B4-BE49-F238E27FC236}">
              <a16:creationId xmlns:a16="http://schemas.microsoft.com/office/drawing/2014/main" id="{642DBFB1-FEEE-4004-9228-8183E8172DE6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566" name="AutoShape 12">
          <a:extLst>
            <a:ext uri="{FF2B5EF4-FFF2-40B4-BE49-F238E27FC236}">
              <a16:creationId xmlns:a16="http://schemas.microsoft.com/office/drawing/2014/main" id="{4B0339F5-592E-4554-BFF9-D993F99C9602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567" name="AutoShape 12">
          <a:extLst>
            <a:ext uri="{FF2B5EF4-FFF2-40B4-BE49-F238E27FC236}">
              <a16:creationId xmlns:a16="http://schemas.microsoft.com/office/drawing/2014/main" id="{0A2B7902-53FD-47D4-A128-D4831D6BF8DE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568" name="AutoShape 12">
          <a:extLst>
            <a:ext uri="{FF2B5EF4-FFF2-40B4-BE49-F238E27FC236}">
              <a16:creationId xmlns:a16="http://schemas.microsoft.com/office/drawing/2014/main" id="{E51E1666-C208-4E70-B3C1-177F35382C9A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569" name="AutoShape 12">
          <a:extLst>
            <a:ext uri="{FF2B5EF4-FFF2-40B4-BE49-F238E27FC236}">
              <a16:creationId xmlns:a16="http://schemas.microsoft.com/office/drawing/2014/main" id="{8120ECBD-0DAA-4064-A934-E21B97EAF3D0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570" name="AutoShape 12">
          <a:extLst>
            <a:ext uri="{FF2B5EF4-FFF2-40B4-BE49-F238E27FC236}">
              <a16:creationId xmlns:a16="http://schemas.microsoft.com/office/drawing/2014/main" id="{0160510C-B0CE-443C-A26C-366FDDAF43B1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571" name="AutoShape 12">
          <a:extLst>
            <a:ext uri="{FF2B5EF4-FFF2-40B4-BE49-F238E27FC236}">
              <a16:creationId xmlns:a16="http://schemas.microsoft.com/office/drawing/2014/main" id="{8E009AA6-FE73-4ED1-9192-E5FC0B24147F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572" name="AutoShape 12">
          <a:extLst>
            <a:ext uri="{FF2B5EF4-FFF2-40B4-BE49-F238E27FC236}">
              <a16:creationId xmlns:a16="http://schemas.microsoft.com/office/drawing/2014/main" id="{7AE4A093-DC40-493E-95B7-0785337C0623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573" name="AutoShape 12">
          <a:extLst>
            <a:ext uri="{FF2B5EF4-FFF2-40B4-BE49-F238E27FC236}">
              <a16:creationId xmlns:a16="http://schemas.microsoft.com/office/drawing/2014/main" id="{AED6C1B7-F310-49DB-9961-522D8439AC41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574" name="AutoShape 12">
          <a:extLst>
            <a:ext uri="{FF2B5EF4-FFF2-40B4-BE49-F238E27FC236}">
              <a16:creationId xmlns:a16="http://schemas.microsoft.com/office/drawing/2014/main" id="{E8EEABB4-1F02-40EF-804D-248B92C1E4A2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575" name="AutoShape 12">
          <a:extLst>
            <a:ext uri="{FF2B5EF4-FFF2-40B4-BE49-F238E27FC236}">
              <a16:creationId xmlns:a16="http://schemas.microsoft.com/office/drawing/2014/main" id="{38BEEF1C-CEC2-4B43-9015-DC89356EFDDC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576" name="AutoShape 12">
          <a:extLst>
            <a:ext uri="{FF2B5EF4-FFF2-40B4-BE49-F238E27FC236}">
              <a16:creationId xmlns:a16="http://schemas.microsoft.com/office/drawing/2014/main" id="{0E3A1271-5CE3-46A5-A648-0CC30E2F9220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577" name="AutoShape 12">
          <a:extLst>
            <a:ext uri="{FF2B5EF4-FFF2-40B4-BE49-F238E27FC236}">
              <a16:creationId xmlns:a16="http://schemas.microsoft.com/office/drawing/2014/main" id="{CFB33FAD-AF6F-4FCF-AC72-FACBA89BC978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578" name="AutoShape 12">
          <a:extLst>
            <a:ext uri="{FF2B5EF4-FFF2-40B4-BE49-F238E27FC236}">
              <a16:creationId xmlns:a16="http://schemas.microsoft.com/office/drawing/2014/main" id="{841FE735-9EE3-4009-94F3-67F1DD2DB04C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579" name="AutoShape 12">
          <a:extLst>
            <a:ext uri="{FF2B5EF4-FFF2-40B4-BE49-F238E27FC236}">
              <a16:creationId xmlns:a16="http://schemas.microsoft.com/office/drawing/2014/main" id="{83B3C717-D830-4DB4-8C74-319021795CFB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580" name="AutoShape 12">
          <a:extLst>
            <a:ext uri="{FF2B5EF4-FFF2-40B4-BE49-F238E27FC236}">
              <a16:creationId xmlns:a16="http://schemas.microsoft.com/office/drawing/2014/main" id="{4D8D4BD7-8D1C-4EFC-8715-437536529D26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581" name="AutoShape 12">
          <a:extLst>
            <a:ext uri="{FF2B5EF4-FFF2-40B4-BE49-F238E27FC236}">
              <a16:creationId xmlns:a16="http://schemas.microsoft.com/office/drawing/2014/main" id="{4C230355-878E-4D9C-8943-38372CD98900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582" name="AutoShape 12">
          <a:extLst>
            <a:ext uri="{FF2B5EF4-FFF2-40B4-BE49-F238E27FC236}">
              <a16:creationId xmlns:a16="http://schemas.microsoft.com/office/drawing/2014/main" id="{F08AD849-5745-4554-BFE0-489775204E66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583" name="AutoShape 12">
          <a:extLst>
            <a:ext uri="{FF2B5EF4-FFF2-40B4-BE49-F238E27FC236}">
              <a16:creationId xmlns:a16="http://schemas.microsoft.com/office/drawing/2014/main" id="{84D5D850-51B7-489F-9801-7479CF5C06E8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584" name="AutoShape 12">
          <a:extLst>
            <a:ext uri="{FF2B5EF4-FFF2-40B4-BE49-F238E27FC236}">
              <a16:creationId xmlns:a16="http://schemas.microsoft.com/office/drawing/2014/main" id="{2923B8A5-9251-478B-925D-B92A69F56759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585" name="AutoShape 12">
          <a:extLst>
            <a:ext uri="{FF2B5EF4-FFF2-40B4-BE49-F238E27FC236}">
              <a16:creationId xmlns:a16="http://schemas.microsoft.com/office/drawing/2014/main" id="{F7DB55A9-79C7-4EEF-A119-089285868E12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586" name="AutoShape 12">
          <a:extLst>
            <a:ext uri="{FF2B5EF4-FFF2-40B4-BE49-F238E27FC236}">
              <a16:creationId xmlns:a16="http://schemas.microsoft.com/office/drawing/2014/main" id="{2D2E4A66-5387-489C-BE09-1B04A6B425C1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587" name="AutoShape 12">
          <a:extLst>
            <a:ext uri="{FF2B5EF4-FFF2-40B4-BE49-F238E27FC236}">
              <a16:creationId xmlns:a16="http://schemas.microsoft.com/office/drawing/2014/main" id="{367FE9C8-00E3-483C-AEC9-EB17496B3F1E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588" name="AutoShape 12">
          <a:extLst>
            <a:ext uri="{FF2B5EF4-FFF2-40B4-BE49-F238E27FC236}">
              <a16:creationId xmlns:a16="http://schemas.microsoft.com/office/drawing/2014/main" id="{D9FE14F7-3849-478C-A11D-719D77548E41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589" name="AutoShape 12">
          <a:extLst>
            <a:ext uri="{FF2B5EF4-FFF2-40B4-BE49-F238E27FC236}">
              <a16:creationId xmlns:a16="http://schemas.microsoft.com/office/drawing/2014/main" id="{9B73CFD5-DEB4-4785-8F29-1E10AA0313B5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590" name="AutoShape 12">
          <a:extLst>
            <a:ext uri="{FF2B5EF4-FFF2-40B4-BE49-F238E27FC236}">
              <a16:creationId xmlns:a16="http://schemas.microsoft.com/office/drawing/2014/main" id="{7DEDF2AD-736C-4384-9884-288DA0211184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591" name="AutoShape 12">
          <a:extLst>
            <a:ext uri="{FF2B5EF4-FFF2-40B4-BE49-F238E27FC236}">
              <a16:creationId xmlns:a16="http://schemas.microsoft.com/office/drawing/2014/main" id="{4E3B394A-0FBA-4422-A285-051545AA75EC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592" name="AutoShape 12">
          <a:extLst>
            <a:ext uri="{FF2B5EF4-FFF2-40B4-BE49-F238E27FC236}">
              <a16:creationId xmlns:a16="http://schemas.microsoft.com/office/drawing/2014/main" id="{71EBB215-477C-4C1D-A893-A67844F74F05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593" name="AutoShape 12">
          <a:extLst>
            <a:ext uri="{FF2B5EF4-FFF2-40B4-BE49-F238E27FC236}">
              <a16:creationId xmlns:a16="http://schemas.microsoft.com/office/drawing/2014/main" id="{B7B73092-3527-47A2-93E1-8B60614FF42C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594" name="AutoShape 12">
          <a:extLst>
            <a:ext uri="{FF2B5EF4-FFF2-40B4-BE49-F238E27FC236}">
              <a16:creationId xmlns:a16="http://schemas.microsoft.com/office/drawing/2014/main" id="{FB05FB04-153C-491E-AD88-3510874DFC1F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595" name="AutoShape 12">
          <a:extLst>
            <a:ext uri="{FF2B5EF4-FFF2-40B4-BE49-F238E27FC236}">
              <a16:creationId xmlns:a16="http://schemas.microsoft.com/office/drawing/2014/main" id="{3B70B0A4-6ED7-462E-B5F3-95701B856569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596" name="AutoShape 12">
          <a:extLst>
            <a:ext uri="{FF2B5EF4-FFF2-40B4-BE49-F238E27FC236}">
              <a16:creationId xmlns:a16="http://schemas.microsoft.com/office/drawing/2014/main" id="{8ADFC698-803A-4E3C-B0E4-86CD33AC04F3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597" name="AutoShape 12">
          <a:extLst>
            <a:ext uri="{FF2B5EF4-FFF2-40B4-BE49-F238E27FC236}">
              <a16:creationId xmlns:a16="http://schemas.microsoft.com/office/drawing/2014/main" id="{000EAB39-9BFA-42F5-9E25-A5BD73F0B113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598" name="AutoShape 12">
          <a:extLst>
            <a:ext uri="{FF2B5EF4-FFF2-40B4-BE49-F238E27FC236}">
              <a16:creationId xmlns:a16="http://schemas.microsoft.com/office/drawing/2014/main" id="{2C80077F-A456-422C-92C0-FA28B4820886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599" name="AutoShape 12">
          <a:extLst>
            <a:ext uri="{FF2B5EF4-FFF2-40B4-BE49-F238E27FC236}">
              <a16:creationId xmlns:a16="http://schemas.microsoft.com/office/drawing/2014/main" id="{B349DCA3-EF59-486A-92D7-EF0822EB97B1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600" name="AutoShape 12">
          <a:extLst>
            <a:ext uri="{FF2B5EF4-FFF2-40B4-BE49-F238E27FC236}">
              <a16:creationId xmlns:a16="http://schemas.microsoft.com/office/drawing/2014/main" id="{015F13C7-8A63-4D33-80FC-0763E9B0457C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601" name="AutoShape 12">
          <a:extLst>
            <a:ext uri="{FF2B5EF4-FFF2-40B4-BE49-F238E27FC236}">
              <a16:creationId xmlns:a16="http://schemas.microsoft.com/office/drawing/2014/main" id="{6321B106-418C-4D72-B3C2-5F957D00FD64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602" name="AutoShape 12">
          <a:extLst>
            <a:ext uri="{FF2B5EF4-FFF2-40B4-BE49-F238E27FC236}">
              <a16:creationId xmlns:a16="http://schemas.microsoft.com/office/drawing/2014/main" id="{A2F6D4D7-B963-4198-BBB4-2BCA3B117374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603" name="AutoShape 12">
          <a:extLst>
            <a:ext uri="{FF2B5EF4-FFF2-40B4-BE49-F238E27FC236}">
              <a16:creationId xmlns:a16="http://schemas.microsoft.com/office/drawing/2014/main" id="{04B88840-1DC0-4F94-8836-220A18B59021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604" name="AutoShape 12">
          <a:extLst>
            <a:ext uri="{FF2B5EF4-FFF2-40B4-BE49-F238E27FC236}">
              <a16:creationId xmlns:a16="http://schemas.microsoft.com/office/drawing/2014/main" id="{219FEFCA-E49C-4E1F-8A85-AADC134BD01D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605" name="AutoShape 12">
          <a:extLst>
            <a:ext uri="{FF2B5EF4-FFF2-40B4-BE49-F238E27FC236}">
              <a16:creationId xmlns:a16="http://schemas.microsoft.com/office/drawing/2014/main" id="{9B4437DB-A015-480F-8E5B-2CC2AC2D87D8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606" name="AutoShape 12">
          <a:extLst>
            <a:ext uri="{FF2B5EF4-FFF2-40B4-BE49-F238E27FC236}">
              <a16:creationId xmlns:a16="http://schemas.microsoft.com/office/drawing/2014/main" id="{EC4DEF8B-1101-4063-9E04-E8FFDF2F55F5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607" name="AutoShape 12">
          <a:extLst>
            <a:ext uri="{FF2B5EF4-FFF2-40B4-BE49-F238E27FC236}">
              <a16:creationId xmlns:a16="http://schemas.microsoft.com/office/drawing/2014/main" id="{7BB73654-E2D2-4D0E-88A1-A651507B1C67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608" name="AutoShape 12">
          <a:extLst>
            <a:ext uri="{FF2B5EF4-FFF2-40B4-BE49-F238E27FC236}">
              <a16:creationId xmlns:a16="http://schemas.microsoft.com/office/drawing/2014/main" id="{C65248A5-06B7-4F30-A978-104734644C09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609" name="AutoShape 12">
          <a:extLst>
            <a:ext uri="{FF2B5EF4-FFF2-40B4-BE49-F238E27FC236}">
              <a16:creationId xmlns:a16="http://schemas.microsoft.com/office/drawing/2014/main" id="{F4BD1646-7422-4406-BABF-E8A482A95B46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610" name="AutoShape 12">
          <a:extLst>
            <a:ext uri="{FF2B5EF4-FFF2-40B4-BE49-F238E27FC236}">
              <a16:creationId xmlns:a16="http://schemas.microsoft.com/office/drawing/2014/main" id="{E4923A3A-9547-46CC-9190-EDCC1861ED16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611" name="AutoShape 12">
          <a:extLst>
            <a:ext uri="{FF2B5EF4-FFF2-40B4-BE49-F238E27FC236}">
              <a16:creationId xmlns:a16="http://schemas.microsoft.com/office/drawing/2014/main" id="{2B2F1C29-7860-4C7E-BD30-EDF1D73A97FE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612" name="AutoShape 12">
          <a:extLst>
            <a:ext uri="{FF2B5EF4-FFF2-40B4-BE49-F238E27FC236}">
              <a16:creationId xmlns:a16="http://schemas.microsoft.com/office/drawing/2014/main" id="{A9F786B4-4F63-4D05-B87B-A4C45659AE62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613" name="AutoShape 12">
          <a:extLst>
            <a:ext uri="{FF2B5EF4-FFF2-40B4-BE49-F238E27FC236}">
              <a16:creationId xmlns:a16="http://schemas.microsoft.com/office/drawing/2014/main" id="{8DC44996-B223-4D0B-8BE2-3206948BF56C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614" name="AutoShape 12">
          <a:extLst>
            <a:ext uri="{FF2B5EF4-FFF2-40B4-BE49-F238E27FC236}">
              <a16:creationId xmlns:a16="http://schemas.microsoft.com/office/drawing/2014/main" id="{8560B248-ED5B-4652-A7FC-7542AAAD7B0F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615" name="AutoShape 12">
          <a:extLst>
            <a:ext uri="{FF2B5EF4-FFF2-40B4-BE49-F238E27FC236}">
              <a16:creationId xmlns:a16="http://schemas.microsoft.com/office/drawing/2014/main" id="{1E9DA039-299D-4E51-9612-C8DA9968ACEF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616" name="AutoShape 12">
          <a:extLst>
            <a:ext uri="{FF2B5EF4-FFF2-40B4-BE49-F238E27FC236}">
              <a16:creationId xmlns:a16="http://schemas.microsoft.com/office/drawing/2014/main" id="{4BD90137-ABA4-470C-ACA6-344C142D54DE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617" name="AutoShape 12">
          <a:extLst>
            <a:ext uri="{FF2B5EF4-FFF2-40B4-BE49-F238E27FC236}">
              <a16:creationId xmlns:a16="http://schemas.microsoft.com/office/drawing/2014/main" id="{0E25650D-DC93-4D01-BB23-A6D0D6C92266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618" name="AutoShape 12">
          <a:extLst>
            <a:ext uri="{FF2B5EF4-FFF2-40B4-BE49-F238E27FC236}">
              <a16:creationId xmlns:a16="http://schemas.microsoft.com/office/drawing/2014/main" id="{C7C9D441-CAF7-4771-9DA2-24E3989CB85F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619" name="AutoShape 12">
          <a:extLst>
            <a:ext uri="{FF2B5EF4-FFF2-40B4-BE49-F238E27FC236}">
              <a16:creationId xmlns:a16="http://schemas.microsoft.com/office/drawing/2014/main" id="{D6BA96A5-1818-4096-B91D-BA34D62914AB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620" name="AutoShape 12">
          <a:extLst>
            <a:ext uri="{FF2B5EF4-FFF2-40B4-BE49-F238E27FC236}">
              <a16:creationId xmlns:a16="http://schemas.microsoft.com/office/drawing/2014/main" id="{05E56DF3-0168-433D-9ADB-FAC3C5723703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621" name="AutoShape 12">
          <a:extLst>
            <a:ext uri="{FF2B5EF4-FFF2-40B4-BE49-F238E27FC236}">
              <a16:creationId xmlns:a16="http://schemas.microsoft.com/office/drawing/2014/main" id="{BFE4B0D9-D7DE-40D9-BDD9-6B3D7FE574A3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622" name="AutoShape 12">
          <a:extLst>
            <a:ext uri="{FF2B5EF4-FFF2-40B4-BE49-F238E27FC236}">
              <a16:creationId xmlns:a16="http://schemas.microsoft.com/office/drawing/2014/main" id="{3AD59ED6-4941-4CE8-B46A-AAEDB411E3EA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623" name="AutoShape 12">
          <a:extLst>
            <a:ext uri="{FF2B5EF4-FFF2-40B4-BE49-F238E27FC236}">
              <a16:creationId xmlns:a16="http://schemas.microsoft.com/office/drawing/2014/main" id="{D62B809B-7E32-4A19-9599-82B2F34D45D8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624" name="AutoShape 12">
          <a:extLst>
            <a:ext uri="{FF2B5EF4-FFF2-40B4-BE49-F238E27FC236}">
              <a16:creationId xmlns:a16="http://schemas.microsoft.com/office/drawing/2014/main" id="{AB50F0CA-CC43-4BBB-BE45-FD6D8DFEDEAB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625" name="AutoShape 12">
          <a:extLst>
            <a:ext uri="{FF2B5EF4-FFF2-40B4-BE49-F238E27FC236}">
              <a16:creationId xmlns:a16="http://schemas.microsoft.com/office/drawing/2014/main" id="{750FB7CA-989F-4610-A31F-0C6A350AF5EF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626" name="AutoShape 12">
          <a:extLst>
            <a:ext uri="{FF2B5EF4-FFF2-40B4-BE49-F238E27FC236}">
              <a16:creationId xmlns:a16="http://schemas.microsoft.com/office/drawing/2014/main" id="{8D4D7272-9DAF-4BF6-864F-5518D6BE591A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627" name="AutoShape 12">
          <a:extLst>
            <a:ext uri="{FF2B5EF4-FFF2-40B4-BE49-F238E27FC236}">
              <a16:creationId xmlns:a16="http://schemas.microsoft.com/office/drawing/2014/main" id="{163B06DF-2C70-4BF1-AA7E-C3638823440E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628" name="AutoShape 12">
          <a:extLst>
            <a:ext uri="{FF2B5EF4-FFF2-40B4-BE49-F238E27FC236}">
              <a16:creationId xmlns:a16="http://schemas.microsoft.com/office/drawing/2014/main" id="{B6E3B0E0-4149-4F60-AEB2-D3EAFC7A0041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629" name="AutoShape 12">
          <a:extLst>
            <a:ext uri="{FF2B5EF4-FFF2-40B4-BE49-F238E27FC236}">
              <a16:creationId xmlns:a16="http://schemas.microsoft.com/office/drawing/2014/main" id="{A3BB3869-4748-4EF5-BBFB-61D672E8B353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630" name="AutoShape 12">
          <a:extLst>
            <a:ext uri="{FF2B5EF4-FFF2-40B4-BE49-F238E27FC236}">
              <a16:creationId xmlns:a16="http://schemas.microsoft.com/office/drawing/2014/main" id="{799CB4C4-13E4-4011-A605-D0C238BEA33F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631" name="AutoShape 12">
          <a:extLst>
            <a:ext uri="{FF2B5EF4-FFF2-40B4-BE49-F238E27FC236}">
              <a16:creationId xmlns:a16="http://schemas.microsoft.com/office/drawing/2014/main" id="{4D0EF4CA-5826-4288-8678-65A6F8C577D6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632" name="AutoShape 12">
          <a:extLst>
            <a:ext uri="{FF2B5EF4-FFF2-40B4-BE49-F238E27FC236}">
              <a16:creationId xmlns:a16="http://schemas.microsoft.com/office/drawing/2014/main" id="{BCA6B44F-F53D-4F8E-9653-2503782EE088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633" name="AutoShape 12">
          <a:extLst>
            <a:ext uri="{FF2B5EF4-FFF2-40B4-BE49-F238E27FC236}">
              <a16:creationId xmlns:a16="http://schemas.microsoft.com/office/drawing/2014/main" id="{3FD7386A-4245-4726-9FB1-33DC1113333E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634" name="AutoShape 12">
          <a:extLst>
            <a:ext uri="{FF2B5EF4-FFF2-40B4-BE49-F238E27FC236}">
              <a16:creationId xmlns:a16="http://schemas.microsoft.com/office/drawing/2014/main" id="{2E4FD0F4-7082-4CEC-AF64-23D1B1531DB6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635" name="AutoShape 12">
          <a:extLst>
            <a:ext uri="{FF2B5EF4-FFF2-40B4-BE49-F238E27FC236}">
              <a16:creationId xmlns:a16="http://schemas.microsoft.com/office/drawing/2014/main" id="{07AE726A-457E-4779-B477-6B9BCC8E54DA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636" name="AutoShape 12">
          <a:extLst>
            <a:ext uri="{FF2B5EF4-FFF2-40B4-BE49-F238E27FC236}">
              <a16:creationId xmlns:a16="http://schemas.microsoft.com/office/drawing/2014/main" id="{C1DF6FD7-47E4-4093-89B0-C551C4AEEBF3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637" name="AutoShape 12">
          <a:extLst>
            <a:ext uri="{FF2B5EF4-FFF2-40B4-BE49-F238E27FC236}">
              <a16:creationId xmlns:a16="http://schemas.microsoft.com/office/drawing/2014/main" id="{713A132A-7DF3-46F5-9EA2-3D34C42BA631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638" name="AutoShape 12">
          <a:extLst>
            <a:ext uri="{FF2B5EF4-FFF2-40B4-BE49-F238E27FC236}">
              <a16:creationId xmlns:a16="http://schemas.microsoft.com/office/drawing/2014/main" id="{074823B8-8033-4ADC-86DF-ED8265B98CF9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639" name="AutoShape 12">
          <a:extLst>
            <a:ext uri="{FF2B5EF4-FFF2-40B4-BE49-F238E27FC236}">
              <a16:creationId xmlns:a16="http://schemas.microsoft.com/office/drawing/2014/main" id="{564F9BBD-0E56-49D5-B2B9-C23F76ADD93F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640" name="AutoShape 12">
          <a:extLst>
            <a:ext uri="{FF2B5EF4-FFF2-40B4-BE49-F238E27FC236}">
              <a16:creationId xmlns:a16="http://schemas.microsoft.com/office/drawing/2014/main" id="{B367B340-0763-49FD-AEF7-4872E5C053F0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641" name="AutoShape 12">
          <a:extLst>
            <a:ext uri="{FF2B5EF4-FFF2-40B4-BE49-F238E27FC236}">
              <a16:creationId xmlns:a16="http://schemas.microsoft.com/office/drawing/2014/main" id="{76B3748D-7175-4809-9C6A-A760520EC2E8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642" name="AutoShape 12">
          <a:extLst>
            <a:ext uri="{FF2B5EF4-FFF2-40B4-BE49-F238E27FC236}">
              <a16:creationId xmlns:a16="http://schemas.microsoft.com/office/drawing/2014/main" id="{E850358C-EB8D-4E9B-BF3F-232620D02067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643" name="AutoShape 12">
          <a:extLst>
            <a:ext uri="{FF2B5EF4-FFF2-40B4-BE49-F238E27FC236}">
              <a16:creationId xmlns:a16="http://schemas.microsoft.com/office/drawing/2014/main" id="{1C8EBBF2-756E-4337-94EF-AE1B4D2957B1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644" name="AutoShape 12">
          <a:extLst>
            <a:ext uri="{FF2B5EF4-FFF2-40B4-BE49-F238E27FC236}">
              <a16:creationId xmlns:a16="http://schemas.microsoft.com/office/drawing/2014/main" id="{F54CCA4F-4A4A-4A31-9934-A26F05057D28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645" name="AutoShape 12">
          <a:extLst>
            <a:ext uri="{FF2B5EF4-FFF2-40B4-BE49-F238E27FC236}">
              <a16:creationId xmlns:a16="http://schemas.microsoft.com/office/drawing/2014/main" id="{88C8424C-7860-4F93-A285-606A604EB343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646" name="AutoShape 12">
          <a:extLst>
            <a:ext uri="{FF2B5EF4-FFF2-40B4-BE49-F238E27FC236}">
              <a16:creationId xmlns:a16="http://schemas.microsoft.com/office/drawing/2014/main" id="{5F0F25CA-281F-445E-816B-2292A0501061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647" name="AutoShape 12">
          <a:extLst>
            <a:ext uri="{FF2B5EF4-FFF2-40B4-BE49-F238E27FC236}">
              <a16:creationId xmlns:a16="http://schemas.microsoft.com/office/drawing/2014/main" id="{11865F08-3921-48FD-95A4-4D829A4C0506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648" name="AutoShape 12">
          <a:extLst>
            <a:ext uri="{FF2B5EF4-FFF2-40B4-BE49-F238E27FC236}">
              <a16:creationId xmlns:a16="http://schemas.microsoft.com/office/drawing/2014/main" id="{423B4FBA-779E-4F18-B16D-EDB5F00FD357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649" name="AutoShape 12">
          <a:extLst>
            <a:ext uri="{FF2B5EF4-FFF2-40B4-BE49-F238E27FC236}">
              <a16:creationId xmlns:a16="http://schemas.microsoft.com/office/drawing/2014/main" id="{1B8D6105-1C4A-4F13-A895-6BE29E6CA753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650" name="AutoShape 12">
          <a:extLst>
            <a:ext uri="{FF2B5EF4-FFF2-40B4-BE49-F238E27FC236}">
              <a16:creationId xmlns:a16="http://schemas.microsoft.com/office/drawing/2014/main" id="{FF5B48F1-E513-4BCA-9D48-F44EA460164D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651" name="AutoShape 12">
          <a:extLst>
            <a:ext uri="{FF2B5EF4-FFF2-40B4-BE49-F238E27FC236}">
              <a16:creationId xmlns:a16="http://schemas.microsoft.com/office/drawing/2014/main" id="{08D81941-5FCB-4126-A4DA-80262E93957B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652" name="AutoShape 12">
          <a:extLst>
            <a:ext uri="{FF2B5EF4-FFF2-40B4-BE49-F238E27FC236}">
              <a16:creationId xmlns:a16="http://schemas.microsoft.com/office/drawing/2014/main" id="{0F4E1CC9-210D-489B-B121-CD196E9F1795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653" name="AutoShape 12">
          <a:extLst>
            <a:ext uri="{FF2B5EF4-FFF2-40B4-BE49-F238E27FC236}">
              <a16:creationId xmlns:a16="http://schemas.microsoft.com/office/drawing/2014/main" id="{D65D655C-FB0D-4A83-8B1A-B29914697D74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654" name="AutoShape 12">
          <a:extLst>
            <a:ext uri="{FF2B5EF4-FFF2-40B4-BE49-F238E27FC236}">
              <a16:creationId xmlns:a16="http://schemas.microsoft.com/office/drawing/2014/main" id="{04B2B5F0-2969-4A5C-8A5F-C04ED89A501C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655" name="AutoShape 12">
          <a:extLst>
            <a:ext uri="{FF2B5EF4-FFF2-40B4-BE49-F238E27FC236}">
              <a16:creationId xmlns:a16="http://schemas.microsoft.com/office/drawing/2014/main" id="{15CEB201-5A49-4D4C-9072-67838B8C10BE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656" name="AutoShape 12">
          <a:extLst>
            <a:ext uri="{FF2B5EF4-FFF2-40B4-BE49-F238E27FC236}">
              <a16:creationId xmlns:a16="http://schemas.microsoft.com/office/drawing/2014/main" id="{FDD267BF-327B-4B64-B08F-57E17537C1BB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657" name="AutoShape 12">
          <a:extLst>
            <a:ext uri="{FF2B5EF4-FFF2-40B4-BE49-F238E27FC236}">
              <a16:creationId xmlns:a16="http://schemas.microsoft.com/office/drawing/2014/main" id="{C812F8A3-2651-4531-8B39-E5D84F59BEF6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658" name="AutoShape 12">
          <a:extLst>
            <a:ext uri="{FF2B5EF4-FFF2-40B4-BE49-F238E27FC236}">
              <a16:creationId xmlns:a16="http://schemas.microsoft.com/office/drawing/2014/main" id="{BC9EBA91-073C-4950-9501-EAAB26FD5B99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659" name="AutoShape 12">
          <a:extLst>
            <a:ext uri="{FF2B5EF4-FFF2-40B4-BE49-F238E27FC236}">
              <a16:creationId xmlns:a16="http://schemas.microsoft.com/office/drawing/2014/main" id="{4DC492F7-63CF-4257-A49F-EDC0A9C48D40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660" name="AutoShape 12">
          <a:extLst>
            <a:ext uri="{FF2B5EF4-FFF2-40B4-BE49-F238E27FC236}">
              <a16:creationId xmlns:a16="http://schemas.microsoft.com/office/drawing/2014/main" id="{5B973EAB-CB4B-4E29-A3EE-0058320A0BAC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661" name="AutoShape 12">
          <a:extLst>
            <a:ext uri="{FF2B5EF4-FFF2-40B4-BE49-F238E27FC236}">
              <a16:creationId xmlns:a16="http://schemas.microsoft.com/office/drawing/2014/main" id="{A28A5230-FCD1-4681-B32C-73D58AE3F1CF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662" name="AutoShape 12">
          <a:extLst>
            <a:ext uri="{FF2B5EF4-FFF2-40B4-BE49-F238E27FC236}">
              <a16:creationId xmlns:a16="http://schemas.microsoft.com/office/drawing/2014/main" id="{9CFB89D4-7927-424C-960B-8FC5C48D6279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663" name="AutoShape 12">
          <a:extLst>
            <a:ext uri="{FF2B5EF4-FFF2-40B4-BE49-F238E27FC236}">
              <a16:creationId xmlns:a16="http://schemas.microsoft.com/office/drawing/2014/main" id="{B8CC31F0-A22B-4B19-90C0-311ADD148CC0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664" name="AutoShape 12">
          <a:extLst>
            <a:ext uri="{FF2B5EF4-FFF2-40B4-BE49-F238E27FC236}">
              <a16:creationId xmlns:a16="http://schemas.microsoft.com/office/drawing/2014/main" id="{7BE5FAAA-0005-48F2-AE54-BC0F7FA8FDF1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665" name="AutoShape 12">
          <a:extLst>
            <a:ext uri="{FF2B5EF4-FFF2-40B4-BE49-F238E27FC236}">
              <a16:creationId xmlns:a16="http://schemas.microsoft.com/office/drawing/2014/main" id="{735BA0E8-0743-4098-8DC5-03699D806D4D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666" name="AutoShape 12">
          <a:extLst>
            <a:ext uri="{FF2B5EF4-FFF2-40B4-BE49-F238E27FC236}">
              <a16:creationId xmlns:a16="http://schemas.microsoft.com/office/drawing/2014/main" id="{C869C0D8-3D7D-466C-8505-727021469DF1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667" name="AutoShape 12">
          <a:extLst>
            <a:ext uri="{FF2B5EF4-FFF2-40B4-BE49-F238E27FC236}">
              <a16:creationId xmlns:a16="http://schemas.microsoft.com/office/drawing/2014/main" id="{40F144BB-BE10-4804-B596-D45569B2ED97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668" name="AutoShape 12">
          <a:extLst>
            <a:ext uri="{FF2B5EF4-FFF2-40B4-BE49-F238E27FC236}">
              <a16:creationId xmlns:a16="http://schemas.microsoft.com/office/drawing/2014/main" id="{EE7EB61A-6559-4A69-B024-14997C1707A3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669" name="AutoShape 12">
          <a:extLst>
            <a:ext uri="{FF2B5EF4-FFF2-40B4-BE49-F238E27FC236}">
              <a16:creationId xmlns:a16="http://schemas.microsoft.com/office/drawing/2014/main" id="{C7BA8FB6-8C7E-4D29-A600-3B9DB616A1CE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670" name="AutoShape 12">
          <a:extLst>
            <a:ext uri="{FF2B5EF4-FFF2-40B4-BE49-F238E27FC236}">
              <a16:creationId xmlns:a16="http://schemas.microsoft.com/office/drawing/2014/main" id="{7653EE52-A25F-4DEE-9A9C-36B00881AEE2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671" name="AutoShape 12">
          <a:extLst>
            <a:ext uri="{FF2B5EF4-FFF2-40B4-BE49-F238E27FC236}">
              <a16:creationId xmlns:a16="http://schemas.microsoft.com/office/drawing/2014/main" id="{1995C357-FBA6-4905-BB9B-9EA66D7BEE00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672" name="AutoShape 12">
          <a:extLst>
            <a:ext uri="{FF2B5EF4-FFF2-40B4-BE49-F238E27FC236}">
              <a16:creationId xmlns:a16="http://schemas.microsoft.com/office/drawing/2014/main" id="{B7889875-C64C-4176-92A9-E159F8CCD4A1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673" name="AutoShape 12">
          <a:extLst>
            <a:ext uri="{FF2B5EF4-FFF2-40B4-BE49-F238E27FC236}">
              <a16:creationId xmlns:a16="http://schemas.microsoft.com/office/drawing/2014/main" id="{68344CC5-68D9-4FF2-BB97-9CE9A8163A85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674" name="AutoShape 12">
          <a:extLst>
            <a:ext uri="{FF2B5EF4-FFF2-40B4-BE49-F238E27FC236}">
              <a16:creationId xmlns:a16="http://schemas.microsoft.com/office/drawing/2014/main" id="{9F79D50E-DB06-4B84-AF15-1E50049D699C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675" name="AutoShape 12">
          <a:extLst>
            <a:ext uri="{FF2B5EF4-FFF2-40B4-BE49-F238E27FC236}">
              <a16:creationId xmlns:a16="http://schemas.microsoft.com/office/drawing/2014/main" id="{8B717907-B018-4B45-B4B2-CD29C9FFC950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676" name="AutoShape 12">
          <a:extLst>
            <a:ext uri="{FF2B5EF4-FFF2-40B4-BE49-F238E27FC236}">
              <a16:creationId xmlns:a16="http://schemas.microsoft.com/office/drawing/2014/main" id="{19398B47-20E2-40B6-98EE-6E131EA504EF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677" name="AutoShape 12">
          <a:extLst>
            <a:ext uri="{FF2B5EF4-FFF2-40B4-BE49-F238E27FC236}">
              <a16:creationId xmlns:a16="http://schemas.microsoft.com/office/drawing/2014/main" id="{CA684346-FC80-4DCF-9E20-620AEC2E9477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678" name="AutoShape 12">
          <a:extLst>
            <a:ext uri="{FF2B5EF4-FFF2-40B4-BE49-F238E27FC236}">
              <a16:creationId xmlns:a16="http://schemas.microsoft.com/office/drawing/2014/main" id="{2D915B0F-74D2-4983-9FBD-DBE90E93E87C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679" name="AutoShape 12">
          <a:extLst>
            <a:ext uri="{FF2B5EF4-FFF2-40B4-BE49-F238E27FC236}">
              <a16:creationId xmlns:a16="http://schemas.microsoft.com/office/drawing/2014/main" id="{3C7107D6-93F2-4086-BD8F-0D05ADC2BFA6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680" name="AutoShape 12">
          <a:extLst>
            <a:ext uri="{FF2B5EF4-FFF2-40B4-BE49-F238E27FC236}">
              <a16:creationId xmlns:a16="http://schemas.microsoft.com/office/drawing/2014/main" id="{1B619784-196B-4D9B-8199-ABE5843849AF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681" name="AutoShape 12">
          <a:extLst>
            <a:ext uri="{FF2B5EF4-FFF2-40B4-BE49-F238E27FC236}">
              <a16:creationId xmlns:a16="http://schemas.microsoft.com/office/drawing/2014/main" id="{2BB5CAF5-1483-4698-81BA-08007F257C96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682" name="AutoShape 12">
          <a:extLst>
            <a:ext uri="{FF2B5EF4-FFF2-40B4-BE49-F238E27FC236}">
              <a16:creationId xmlns:a16="http://schemas.microsoft.com/office/drawing/2014/main" id="{CF1EE5F2-FAC5-4D46-84A5-158EE464DEF4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683" name="AutoShape 12">
          <a:extLst>
            <a:ext uri="{FF2B5EF4-FFF2-40B4-BE49-F238E27FC236}">
              <a16:creationId xmlns:a16="http://schemas.microsoft.com/office/drawing/2014/main" id="{F2663588-9CB0-447F-8A5A-1C17DCD211A0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684" name="AutoShape 12">
          <a:extLst>
            <a:ext uri="{FF2B5EF4-FFF2-40B4-BE49-F238E27FC236}">
              <a16:creationId xmlns:a16="http://schemas.microsoft.com/office/drawing/2014/main" id="{B0FE7F86-EE29-4CA5-B444-F910870133CB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685" name="AutoShape 12">
          <a:extLst>
            <a:ext uri="{FF2B5EF4-FFF2-40B4-BE49-F238E27FC236}">
              <a16:creationId xmlns:a16="http://schemas.microsoft.com/office/drawing/2014/main" id="{8CA5371A-9F31-489C-8FAE-BBCF02F46DA7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686" name="AutoShape 12">
          <a:extLst>
            <a:ext uri="{FF2B5EF4-FFF2-40B4-BE49-F238E27FC236}">
              <a16:creationId xmlns:a16="http://schemas.microsoft.com/office/drawing/2014/main" id="{48BC7F77-4C25-4D98-B577-4362E2E9417A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687" name="AutoShape 12">
          <a:extLst>
            <a:ext uri="{FF2B5EF4-FFF2-40B4-BE49-F238E27FC236}">
              <a16:creationId xmlns:a16="http://schemas.microsoft.com/office/drawing/2014/main" id="{6F05136F-2EC1-4E37-A0CA-CAB2E112BBED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688" name="AutoShape 12">
          <a:extLst>
            <a:ext uri="{FF2B5EF4-FFF2-40B4-BE49-F238E27FC236}">
              <a16:creationId xmlns:a16="http://schemas.microsoft.com/office/drawing/2014/main" id="{08E6935C-80A9-41A2-A9FF-DEA805ACE249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689" name="AutoShape 12">
          <a:extLst>
            <a:ext uri="{FF2B5EF4-FFF2-40B4-BE49-F238E27FC236}">
              <a16:creationId xmlns:a16="http://schemas.microsoft.com/office/drawing/2014/main" id="{6EA9FD9B-B24F-4E95-A051-304762B0FB53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690" name="AutoShape 12">
          <a:extLst>
            <a:ext uri="{FF2B5EF4-FFF2-40B4-BE49-F238E27FC236}">
              <a16:creationId xmlns:a16="http://schemas.microsoft.com/office/drawing/2014/main" id="{68E5F2E9-E13F-469C-9D51-3D291BA6B5D9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691" name="AutoShape 12">
          <a:extLst>
            <a:ext uri="{FF2B5EF4-FFF2-40B4-BE49-F238E27FC236}">
              <a16:creationId xmlns:a16="http://schemas.microsoft.com/office/drawing/2014/main" id="{BE8B68FE-0D8E-4170-B3A6-4A517477F769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692" name="AutoShape 12">
          <a:extLst>
            <a:ext uri="{FF2B5EF4-FFF2-40B4-BE49-F238E27FC236}">
              <a16:creationId xmlns:a16="http://schemas.microsoft.com/office/drawing/2014/main" id="{0E011E1C-A356-4624-920D-0490A1A26DC5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693" name="AutoShape 12">
          <a:extLst>
            <a:ext uri="{FF2B5EF4-FFF2-40B4-BE49-F238E27FC236}">
              <a16:creationId xmlns:a16="http://schemas.microsoft.com/office/drawing/2014/main" id="{E660FE79-41A5-4846-A3F5-06DBA8AE5F86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694" name="AutoShape 12">
          <a:extLst>
            <a:ext uri="{FF2B5EF4-FFF2-40B4-BE49-F238E27FC236}">
              <a16:creationId xmlns:a16="http://schemas.microsoft.com/office/drawing/2014/main" id="{AA609919-EF1E-4840-930F-86DD89686756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695" name="AutoShape 12">
          <a:extLst>
            <a:ext uri="{FF2B5EF4-FFF2-40B4-BE49-F238E27FC236}">
              <a16:creationId xmlns:a16="http://schemas.microsoft.com/office/drawing/2014/main" id="{630FAFE2-66DD-48AB-86E6-C560AD8CFE6C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696" name="AutoShape 12">
          <a:extLst>
            <a:ext uri="{FF2B5EF4-FFF2-40B4-BE49-F238E27FC236}">
              <a16:creationId xmlns:a16="http://schemas.microsoft.com/office/drawing/2014/main" id="{328BCD4D-D625-4D02-9214-100F27E88E55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697" name="AutoShape 12">
          <a:extLst>
            <a:ext uri="{FF2B5EF4-FFF2-40B4-BE49-F238E27FC236}">
              <a16:creationId xmlns:a16="http://schemas.microsoft.com/office/drawing/2014/main" id="{E08CFD24-B4DB-44C3-8EB3-9F21065585EB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698" name="AutoShape 12">
          <a:extLst>
            <a:ext uri="{FF2B5EF4-FFF2-40B4-BE49-F238E27FC236}">
              <a16:creationId xmlns:a16="http://schemas.microsoft.com/office/drawing/2014/main" id="{4B3494A3-ECD6-4037-8F6A-3617ABDEC98A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699" name="AutoShape 12">
          <a:extLst>
            <a:ext uri="{FF2B5EF4-FFF2-40B4-BE49-F238E27FC236}">
              <a16:creationId xmlns:a16="http://schemas.microsoft.com/office/drawing/2014/main" id="{4154BD5F-9BB9-4F07-B972-A56AF0573858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700" name="AutoShape 12">
          <a:extLst>
            <a:ext uri="{FF2B5EF4-FFF2-40B4-BE49-F238E27FC236}">
              <a16:creationId xmlns:a16="http://schemas.microsoft.com/office/drawing/2014/main" id="{71CA54C2-A2CF-4D3A-8190-EB8EC0669EB2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701" name="AutoShape 12">
          <a:extLst>
            <a:ext uri="{FF2B5EF4-FFF2-40B4-BE49-F238E27FC236}">
              <a16:creationId xmlns:a16="http://schemas.microsoft.com/office/drawing/2014/main" id="{2B20F482-5ED4-4FE3-B085-C7D7147E7CFF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702" name="AutoShape 12">
          <a:extLst>
            <a:ext uri="{FF2B5EF4-FFF2-40B4-BE49-F238E27FC236}">
              <a16:creationId xmlns:a16="http://schemas.microsoft.com/office/drawing/2014/main" id="{AF41A831-461D-456B-A199-92BB4A21C2D0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703" name="AutoShape 12">
          <a:extLst>
            <a:ext uri="{FF2B5EF4-FFF2-40B4-BE49-F238E27FC236}">
              <a16:creationId xmlns:a16="http://schemas.microsoft.com/office/drawing/2014/main" id="{BC7A955E-1D5C-4A0F-9442-6B7F68C43132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704" name="AutoShape 12">
          <a:extLst>
            <a:ext uri="{FF2B5EF4-FFF2-40B4-BE49-F238E27FC236}">
              <a16:creationId xmlns:a16="http://schemas.microsoft.com/office/drawing/2014/main" id="{9013A4DB-C919-4772-AD50-A94A6AEF5792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705" name="AutoShape 12">
          <a:extLst>
            <a:ext uri="{FF2B5EF4-FFF2-40B4-BE49-F238E27FC236}">
              <a16:creationId xmlns:a16="http://schemas.microsoft.com/office/drawing/2014/main" id="{2CCD32F3-02DB-469F-B447-B7599691490D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706" name="AutoShape 12">
          <a:extLst>
            <a:ext uri="{FF2B5EF4-FFF2-40B4-BE49-F238E27FC236}">
              <a16:creationId xmlns:a16="http://schemas.microsoft.com/office/drawing/2014/main" id="{43126249-55A7-443A-9E1F-B5A2C338472F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707" name="AutoShape 12">
          <a:extLst>
            <a:ext uri="{FF2B5EF4-FFF2-40B4-BE49-F238E27FC236}">
              <a16:creationId xmlns:a16="http://schemas.microsoft.com/office/drawing/2014/main" id="{C9C206BF-69A2-42BC-9938-570472CB969D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708" name="AutoShape 12">
          <a:extLst>
            <a:ext uri="{FF2B5EF4-FFF2-40B4-BE49-F238E27FC236}">
              <a16:creationId xmlns:a16="http://schemas.microsoft.com/office/drawing/2014/main" id="{F30FD0DF-7D4A-40BF-8801-2EEC033CA02D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709" name="AutoShape 12">
          <a:extLst>
            <a:ext uri="{FF2B5EF4-FFF2-40B4-BE49-F238E27FC236}">
              <a16:creationId xmlns:a16="http://schemas.microsoft.com/office/drawing/2014/main" id="{5888AB1E-AABE-4CED-AC18-4FE48CC90442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710" name="AutoShape 12">
          <a:extLst>
            <a:ext uri="{FF2B5EF4-FFF2-40B4-BE49-F238E27FC236}">
              <a16:creationId xmlns:a16="http://schemas.microsoft.com/office/drawing/2014/main" id="{4D50BAF0-CB6B-4B51-87D6-6F84E5A2F5BB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711" name="AutoShape 12">
          <a:extLst>
            <a:ext uri="{FF2B5EF4-FFF2-40B4-BE49-F238E27FC236}">
              <a16:creationId xmlns:a16="http://schemas.microsoft.com/office/drawing/2014/main" id="{7C985539-3F4E-41B5-8923-6B00B0D2B7B8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712" name="AutoShape 12">
          <a:extLst>
            <a:ext uri="{FF2B5EF4-FFF2-40B4-BE49-F238E27FC236}">
              <a16:creationId xmlns:a16="http://schemas.microsoft.com/office/drawing/2014/main" id="{F85DD3AE-406C-4CE4-A095-E5158F815BCE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713" name="AutoShape 12">
          <a:extLst>
            <a:ext uri="{FF2B5EF4-FFF2-40B4-BE49-F238E27FC236}">
              <a16:creationId xmlns:a16="http://schemas.microsoft.com/office/drawing/2014/main" id="{058EFE49-2636-430B-A71F-1018C12D556A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714" name="AutoShape 12">
          <a:extLst>
            <a:ext uri="{FF2B5EF4-FFF2-40B4-BE49-F238E27FC236}">
              <a16:creationId xmlns:a16="http://schemas.microsoft.com/office/drawing/2014/main" id="{926B0326-F58E-4B2F-9E39-6343E63E965C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715" name="AutoShape 12">
          <a:extLst>
            <a:ext uri="{FF2B5EF4-FFF2-40B4-BE49-F238E27FC236}">
              <a16:creationId xmlns:a16="http://schemas.microsoft.com/office/drawing/2014/main" id="{7E02055C-91FE-44F5-B95F-DC57555AC0BD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716" name="AutoShape 12">
          <a:extLst>
            <a:ext uri="{FF2B5EF4-FFF2-40B4-BE49-F238E27FC236}">
              <a16:creationId xmlns:a16="http://schemas.microsoft.com/office/drawing/2014/main" id="{321D9976-1A06-4DAC-9B99-4DE449FDE87A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717" name="AutoShape 12">
          <a:extLst>
            <a:ext uri="{FF2B5EF4-FFF2-40B4-BE49-F238E27FC236}">
              <a16:creationId xmlns:a16="http://schemas.microsoft.com/office/drawing/2014/main" id="{3EE3D62D-BAF1-459F-99D2-3CD092366BB8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718" name="AutoShape 12">
          <a:extLst>
            <a:ext uri="{FF2B5EF4-FFF2-40B4-BE49-F238E27FC236}">
              <a16:creationId xmlns:a16="http://schemas.microsoft.com/office/drawing/2014/main" id="{E360D297-1A70-44B1-88BB-338CD5C4EDE7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719" name="AutoShape 12">
          <a:extLst>
            <a:ext uri="{FF2B5EF4-FFF2-40B4-BE49-F238E27FC236}">
              <a16:creationId xmlns:a16="http://schemas.microsoft.com/office/drawing/2014/main" id="{2A40481E-532A-4B16-9E1E-E3A8490578C0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720" name="AutoShape 12">
          <a:extLst>
            <a:ext uri="{FF2B5EF4-FFF2-40B4-BE49-F238E27FC236}">
              <a16:creationId xmlns:a16="http://schemas.microsoft.com/office/drawing/2014/main" id="{6AFA5E78-4951-4D0D-8684-8E5DC5F5CF63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721" name="AutoShape 12">
          <a:extLst>
            <a:ext uri="{FF2B5EF4-FFF2-40B4-BE49-F238E27FC236}">
              <a16:creationId xmlns:a16="http://schemas.microsoft.com/office/drawing/2014/main" id="{D0D84B71-E319-4539-926A-3D4DF8940723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722" name="AutoShape 12">
          <a:extLst>
            <a:ext uri="{FF2B5EF4-FFF2-40B4-BE49-F238E27FC236}">
              <a16:creationId xmlns:a16="http://schemas.microsoft.com/office/drawing/2014/main" id="{33D9A07A-F632-4228-8553-FF378D0A1DFA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723" name="AutoShape 12">
          <a:extLst>
            <a:ext uri="{FF2B5EF4-FFF2-40B4-BE49-F238E27FC236}">
              <a16:creationId xmlns:a16="http://schemas.microsoft.com/office/drawing/2014/main" id="{D7C7581E-CE1D-4CFF-9D45-61453361B2B6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724" name="AutoShape 12">
          <a:extLst>
            <a:ext uri="{FF2B5EF4-FFF2-40B4-BE49-F238E27FC236}">
              <a16:creationId xmlns:a16="http://schemas.microsoft.com/office/drawing/2014/main" id="{D83D11FE-BA46-4F0C-AF91-FB9A28C0D06C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725" name="AutoShape 12">
          <a:extLst>
            <a:ext uri="{FF2B5EF4-FFF2-40B4-BE49-F238E27FC236}">
              <a16:creationId xmlns:a16="http://schemas.microsoft.com/office/drawing/2014/main" id="{99655FC9-7958-4606-B6B6-6FF9DECF840E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726" name="AutoShape 12">
          <a:extLst>
            <a:ext uri="{FF2B5EF4-FFF2-40B4-BE49-F238E27FC236}">
              <a16:creationId xmlns:a16="http://schemas.microsoft.com/office/drawing/2014/main" id="{0EEEDBF7-2213-418B-B311-35832A9F1466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727" name="AutoShape 12">
          <a:extLst>
            <a:ext uri="{FF2B5EF4-FFF2-40B4-BE49-F238E27FC236}">
              <a16:creationId xmlns:a16="http://schemas.microsoft.com/office/drawing/2014/main" id="{AF1AAFDA-B04D-42F6-BC65-76CDC1B8C376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728" name="AutoShape 12">
          <a:extLst>
            <a:ext uri="{FF2B5EF4-FFF2-40B4-BE49-F238E27FC236}">
              <a16:creationId xmlns:a16="http://schemas.microsoft.com/office/drawing/2014/main" id="{0B33B22E-3908-4D1D-9429-A1471957EAD8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729" name="AutoShape 12">
          <a:extLst>
            <a:ext uri="{FF2B5EF4-FFF2-40B4-BE49-F238E27FC236}">
              <a16:creationId xmlns:a16="http://schemas.microsoft.com/office/drawing/2014/main" id="{8A3159C8-7421-47C5-B383-8A9C39F023D7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730" name="AutoShape 12">
          <a:extLst>
            <a:ext uri="{FF2B5EF4-FFF2-40B4-BE49-F238E27FC236}">
              <a16:creationId xmlns:a16="http://schemas.microsoft.com/office/drawing/2014/main" id="{C4A46C14-C2F6-4AC5-AD3C-FDA991B7ED87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731" name="AutoShape 12">
          <a:extLst>
            <a:ext uri="{FF2B5EF4-FFF2-40B4-BE49-F238E27FC236}">
              <a16:creationId xmlns:a16="http://schemas.microsoft.com/office/drawing/2014/main" id="{CF761FB9-BC6B-409B-9E22-6FEEAB0F631A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732" name="AutoShape 12">
          <a:extLst>
            <a:ext uri="{FF2B5EF4-FFF2-40B4-BE49-F238E27FC236}">
              <a16:creationId xmlns:a16="http://schemas.microsoft.com/office/drawing/2014/main" id="{D028B93F-A04D-457D-B4EB-22E43337A8CE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733" name="AutoShape 12">
          <a:extLst>
            <a:ext uri="{FF2B5EF4-FFF2-40B4-BE49-F238E27FC236}">
              <a16:creationId xmlns:a16="http://schemas.microsoft.com/office/drawing/2014/main" id="{45314D04-B62F-47D9-80CB-561C3D15AF09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734" name="AutoShape 12">
          <a:extLst>
            <a:ext uri="{FF2B5EF4-FFF2-40B4-BE49-F238E27FC236}">
              <a16:creationId xmlns:a16="http://schemas.microsoft.com/office/drawing/2014/main" id="{48F4100D-4598-428B-981B-CB39E671D8EA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735" name="AutoShape 12">
          <a:extLst>
            <a:ext uri="{FF2B5EF4-FFF2-40B4-BE49-F238E27FC236}">
              <a16:creationId xmlns:a16="http://schemas.microsoft.com/office/drawing/2014/main" id="{C6D0ACA7-6EE4-4B42-854C-4B66B858E5B9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736" name="AutoShape 12">
          <a:extLst>
            <a:ext uri="{FF2B5EF4-FFF2-40B4-BE49-F238E27FC236}">
              <a16:creationId xmlns:a16="http://schemas.microsoft.com/office/drawing/2014/main" id="{DCEC2EA7-A51E-4B75-8883-61AEEE03C243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737" name="AutoShape 12">
          <a:extLst>
            <a:ext uri="{FF2B5EF4-FFF2-40B4-BE49-F238E27FC236}">
              <a16:creationId xmlns:a16="http://schemas.microsoft.com/office/drawing/2014/main" id="{172E9D2E-0576-484D-AC8C-09126135933F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738" name="AutoShape 12">
          <a:extLst>
            <a:ext uri="{FF2B5EF4-FFF2-40B4-BE49-F238E27FC236}">
              <a16:creationId xmlns:a16="http://schemas.microsoft.com/office/drawing/2014/main" id="{900C01C4-0793-417B-A5C6-E7D55B02DB82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739" name="AutoShape 12">
          <a:extLst>
            <a:ext uri="{FF2B5EF4-FFF2-40B4-BE49-F238E27FC236}">
              <a16:creationId xmlns:a16="http://schemas.microsoft.com/office/drawing/2014/main" id="{7935E026-6AD3-4636-83C6-026E136F5D4D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740" name="AutoShape 12">
          <a:extLst>
            <a:ext uri="{FF2B5EF4-FFF2-40B4-BE49-F238E27FC236}">
              <a16:creationId xmlns:a16="http://schemas.microsoft.com/office/drawing/2014/main" id="{24661B00-EE91-4E76-8FF3-C3CE75383743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741" name="AutoShape 12">
          <a:extLst>
            <a:ext uri="{FF2B5EF4-FFF2-40B4-BE49-F238E27FC236}">
              <a16:creationId xmlns:a16="http://schemas.microsoft.com/office/drawing/2014/main" id="{4B094812-82B3-4ECA-991F-AD8B2769F6C5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742" name="AutoShape 12">
          <a:extLst>
            <a:ext uri="{FF2B5EF4-FFF2-40B4-BE49-F238E27FC236}">
              <a16:creationId xmlns:a16="http://schemas.microsoft.com/office/drawing/2014/main" id="{EF4CAE0E-0D77-4F09-BD49-2AB5A550B397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743" name="AutoShape 12">
          <a:extLst>
            <a:ext uri="{FF2B5EF4-FFF2-40B4-BE49-F238E27FC236}">
              <a16:creationId xmlns:a16="http://schemas.microsoft.com/office/drawing/2014/main" id="{D56095F9-CA48-49CE-99EE-DDE7A4AD4376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744" name="AutoShape 12">
          <a:extLst>
            <a:ext uri="{FF2B5EF4-FFF2-40B4-BE49-F238E27FC236}">
              <a16:creationId xmlns:a16="http://schemas.microsoft.com/office/drawing/2014/main" id="{AC9A8C13-64DE-4CA3-991A-F8F4D7DB4F8A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745" name="AutoShape 12">
          <a:extLst>
            <a:ext uri="{FF2B5EF4-FFF2-40B4-BE49-F238E27FC236}">
              <a16:creationId xmlns:a16="http://schemas.microsoft.com/office/drawing/2014/main" id="{BEE1E6DB-E3F3-4DDE-BD33-A8984B8751E3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746" name="AutoShape 12">
          <a:extLst>
            <a:ext uri="{FF2B5EF4-FFF2-40B4-BE49-F238E27FC236}">
              <a16:creationId xmlns:a16="http://schemas.microsoft.com/office/drawing/2014/main" id="{1F2062FA-EED3-4560-8C13-35C6079E5CCB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747" name="AutoShape 12">
          <a:extLst>
            <a:ext uri="{FF2B5EF4-FFF2-40B4-BE49-F238E27FC236}">
              <a16:creationId xmlns:a16="http://schemas.microsoft.com/office/drawing/2014/main" id="{4EE5FA3F-8CE1-419B-B312-EC665F5C8140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748" name="AutoShape 12">
          <a:extLst>
            <a:ext uri="{FF2B5EF4-FFF2-40B4-BE49-F238E27FC236}">
              <a16:creationId xmlns:a16="http://schemas.microsoft.com/office/drawing/2014/main" id="{A54FD902-8F2F-402C-8589-2D1933727A6A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749" name="AutoShape 12">
          <a:extLst>
            <a:ext uri="{FF2B5EF4-FFF2-40B4-BE49-F238E27FC236}">
              <a16:creationId xmlns:a16="http://schemas.microsoft.com/office/drawing/2014/main" id="{2F1FA647-120B-407E-9395-A7D3D17343D1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750" name="AutoShape 12">
          <a:extLst>
            <a:ext uri="{FF2B5EF4-FFF2-40B4-BE49-F238E27FC236}">
              <a16:creationId xmlns:a16="http://schemas.microsoft.com/office/drawing/2014/main" id="{E1D0843D-C983-43FC-BE23-61C184A00657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751" name="AutoShape 12">
          <a:extLst>
            <a:ext uri="{FF2B5EF4-FFF2-40B4-BE49-F238E27FC236}">
              <a16:creationId xmlns:a16="http://schemas.microsoft.com/office/drawing/2014/main" id="{243FF388-70C7-4128-8FB1-BD98249A51D2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752" name="AutoShape 12">
          <a:extLst>
            <a:ext uri="{FF2B5EF4-FFF2-40B4-BE49-F238E27FC236}">
              <a16:creationId xmlns:a16="http://schemas.microsoft.com/office/drawing/2014/main" id="{EAAA0F38-A6D4-4902-B3DC-998E903BFD1F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753" name="AutoShape 12">
          <a:extLst>
            <a:ext uri="{FF2B5EF4-FFF2-40B4-BE49-F238E27FC236}">
              <a16:creationId xmlns:a16="http://schemas.microsoft.com/office/drawing/2014/main" id="{850558A1-9CDD-461B-8AD6-692FAED0D699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754" name="AutoShape 12">
          <a:extLst>
            <a:ext uri="{FF2B5EF4-FFF2-40B4-BE49-F238E27FC236}">
              <a16:creationId xmlns:a16="http://schemas.microsoft.com/office/drawing/2014/main" id="{A7253BC3-BBDB-4830-9A1B-81FD368A4966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755" name="AutoShape 12">
          <a:extLst>
            <a:ext uri="{FF2B5EF4-FFF2-40B4-BE49-F238E27FC236}">
              <a16:creationId xmlns:a16="http://schemas.microsoft.com/office/drawing/2014/main" id="{8EAF2980-FCED-4896-A441-2F4520B504F7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756" name="AutoShape 12">
          <a:extLst>
            <a:ext uri="{FF2B5EF4-FFF2-40B4-BE49-F238E27FC236}">
              <a16:creationId xmlns:a16="http://schemas.microsoft.com/office/drawing/2014/main" id="{1DDF11FA-014D-4402-93B0-90EA56599A8F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757" name="AutoShape 12">
          <a:extLst>
            <a:ext uri="{FF2B5EF4-FFF2-40B4-BE49-F238E27FC236}">
              <a16:creationId xmlns:a16="http://schemas.microsoft.com/office/drawing/2014/main" id="{7E775061-E740-4A42-9A96-AE46E90FCEA1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758" name="AutoShape 12">
          <a:extLst>
            <a:ext uri="{FF2B5EF4-FFF2-40B4-BE49-F238E27FC236}">
              <a16:creationId xmlns:a16="http://schemas.microsoft.com/office/drawing/2014/main" id="{27F3AA9E-3DA6-44B2-A998-DCB0F2949865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759" name="AutoShape 12">
          <a:extLst>
            <a:ext uri="{FF2B5EF4-FFF2-40B4-BE49-F238E27FC236}">
              <a16:creationId xmlns:a16="http://schemas.microsoft.com/office/drawing/2014/main" id="{B853D585-16F9-47B1-A1A1-4AA8687BA510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760" name="AutoShape 12">
          <a:extLst>
            <a:ext uri="{FF2B5EF4-FFF2-40B4-BE49-F238E27FC236}">
              <a16:creationId xmlns:a16="http://schemas.microsoft.com/office/drawing/2014/main" id="{FA55AC0F-8EAB-4614-93CE-BA08660D4AAD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761" name="AutoShape 12">
          <a:extLst>
            <a:ext uri="{FF2B5EF4-FFF2-40B4-BE49-F238E27FC236}">
              <a16:creationId xmlns:a16="http://schemas.microsoft.com/office/drawing/2014/main" id="{711F2952-9543-462F-A206-A5B7499DB832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762" name="AutoShape 12">
          <a:extLst>
            <a:ext uri="{FF2B5EF4-FFF2-40B4-BE49-F238E27FC236}">
              <a16:creationId xmlns:a16="http://schemas.microsoft.com/office/drawing/2014/main" id="{9D25B1EB-FFBB-4503-85FE-902210F16B4A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763" name="AutoShape 12">
          <a:extLst>
            <a:ext uri="{FF2B5EF4-FFF2-40B4-BE49-F238E27FC236}">
              <a16:creationId xmlns:a16="http://schemas.microsoft.com/office/drawing/2014/main" id="{2246C2B7-580C-4F44-A47C-9107485C4DCC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764" name="AutoShape 12">
          <a:extLst>
            <a:ext uri="{FF2B5EF4-FFF2-40B4-BE49-F238E27FC236}">
              <a16:creationId xmlns:a16="http://schemas.microsoft.com/office/drawing/2014/main" id="{FD386577-B48C-4F9E-A4C4-1FA03E42B036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765" name="AutoShape 12">
          <a:extLst>
            <a:ext uri="{FF2B5EF4-FFF2-40B4-BE49-F238E27FC236}">
              <a16:creationId xmlns:a16="http://schemas.microsoft.com/office/drawing/2014/main" id="{97579C92-7CEE-4BFE-9F92-A35AB7E3CFFE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766" name="AutoShape 12">
          <a:extLst>
            <a:ext uri="{FF2B5EF4-FFF2-40B4-BE49-F238E27FC236}">
              <a16:creationId xmlns:a16="http://schemas.microsoft.com/office/drawing/2014/main" id="{6A08338D-24F9-4866-B5A3-69AE5F0B4265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767" name="AutoShape 12">
          <a:extLst>
            <a:ext uri="{FF2B5EF4-FFF2-40B4-BE49-F238E27FC236}">
              <a16:creationId xmlns:a16="http://schemas.microsoft.com/office/drawing/2014/main" id="{359329C6-AD8D-4C8E-9C5B-F5D33C95FE11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768" name="AutoShape 12">
          <a:extLst>
            <a:ext uri="{FF2B5EF4-FFF2-40B4-BE49-F238E27FC236}">
              <a16:creationId xmlns:a16="http://schemas.microsoft.com/office/drawing/2014/main" id="{88579986-581B-4504-8B73-7B06CA43EFEC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769" name="AutoShape 12">
          <a:extLst>
            <a:ext uri="{FF2B5EF4-FFF2-40B4-BE49-F238E27FC236}">
              <a16:creationId xmlns:a16="http://schemas.microsoft.com/office/drawing/2014/main" id="{640002BA-B2D7-4060-A68B-DE55301AD95A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770" name="AutoShape 12">
          <a:extLst>
            <a:ext uri="{FF2B5EF4-FFF2-40B4-BE49-F238E27FC236}">
              <a16:creationId xmlns:a16="http://schemas.microsoft.com/office/drawing/2014/main" id="{772A12D6-D537-46F1-9CA0-47EC18808805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771" name="AutoShape 12">
          <a:extLst>
            <a:ext uri="{FF2B5EF4-FFF2-40B4-BE49-F238E27FC236}">
              <a16:creationId xmlns:a16="http://schemas.microsoft.com/office/drawing/2014/main" id="{2954D7B7-4E2A-4B91-B850-E334F9317E60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772" name="AutoShape 12">
          <a:extLst>
            <a:ext uri="{FF2B5EF4-FFF2-40B4-BE49-F238E27FC236}">
              <a16:creationId xmlns:a16="http://schemas.microsoft.com/office/drawing/2014/main" id="{A6003B99-78EB-480E-8AD7-588F1B329A63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773" name="AutoShape 12">
          <a:extLst>
            <a:ext uri="{FF2B5EF4-FFF2-40B4-BE49-F238E27FC236}">
              <a16:creationId xmlns:a16="http://schemas.microsoft.com/office/drawing/2014/main" id="{C726132F-7076-44F0-B276-4F8DA32FEFEA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774" name="AutoShape 12">
          <a:extLst>
            <a:ext uri="{FF2B5EF4-FFF2-40B4-BE49-F238E27FC236}">
              <a16:creationId xmlns:a16="http://schemas.microsoft.com/office/drawing/2014/main" id="{922C0D08-1791-40DA-B6B6-E6CA632F3AB5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775" name="AutoShape 12">
          <a:extLst>
            <a:ext uri="{FF2B5EF4-FFF2-40B4-BE49-F238E27FC236}">
              <a16:creationId xmlns:a16="http://schemas.microsoft.com/office/drawing/2014/main" id="{229BFCA8-97E3-4E05-92E4-AD41E23F0253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776" name="AutoShape 12">
          <a:extLst>
            <a:ext uri="{FF2B5EF4-FFF2-40B4-BE49-F238E27FC236}">
              <a16:creationId xmlns:a16="http://schemas.microsoft.com/office/drawing/2014/main" id="{A23435E9-32FB-472F-8134-DC46C6C24A02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777" name="AutoShape 12">
          <a:extLst>
            <a:ext uri="{FF2B5EF4-FFF2-40B4-BE49-F238E27FC236}">
              <a16:creationId xmlns:a16="http://schemas.microsoft.com/office/drawing/2014/main" id="{8437C995-7991-4583-B2B2-36A42B4425C3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778" name="AutoShape 12">
          <a:extLst>
            <a:ext uri="{FF2B5EF4-FFF2-40B4-BE49-F238E27FC236}">
              <a16:creationId xmlns:a16="http://schemas.microsoft.com/office/drawing/2014/main" id="{781A3251-7B00-4F2D-AA0A-5A54B5CEC3FB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779" name="AutoShape 12">
          <a:extLst>
            <a:ext uri="{FF2B5EF4-FFF2-40B4-BE49-F238E27FC236}">
              <a16:creationId xmlns:a16="http://schemas.microsoft.com/office/drawing/2014/main" id="{74CDC7B2-B4DB-4002-8A96-E9FBB1A0BC5C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780" name="AutoShape 12">
          <a:extLst>
            <a:ext uri="{FF2B5EF4-FFF2-40B4-BE49-F238E27FC236}">
              <a16:creationId xmlns:a16="http://schemas.microsoft.com/office/drawing/2014/main" id="{9F0EC9BE-BB2B-4338-9169-68DB0EBCFB16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781" name="AutoShape 12">
          <a:extLst>
            <a:ext uri="{FF2B5EF4-FFF2-40B4-BE49-F238E27FC236}">
              <a16:creationId xmlns:a16="http://schemas.microsoft.com/office/drawing/2014/main" id="{D86F463F-E122-4CBC-BAA9-B74E3E94F708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782" name="AutoShape 12">
          <a:extLst>
            <a:ext uri="{FF2B5EF4-FFF2-40B4-BE49-F238E27FC236}">
              <a16:creationId xmlns:a16="http://schemas.microsoft.com/office/drawing/2014/main" id="{CCC038BC-F362-49E6-BEF0-410CE3DCCF13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783" name="AutoShape 12">
          <a:extLst>
            <a:ext uri="{FF2B5EF4-FFF2-40B4-BE49-F238E27FC236}">
              <a16:creationId xmlns:a16="http://schemas.microsoft.com/office/drawing/2014/main" id="{80ADE84B-904B-4759-B2F2-77B2ADA8F528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784" name="AutoShape 12">
          <a:extLst>
            <a:ext uri="{FF2B5EF4-FFF2-40B4-BE49-F238E27FC236}">
              <a16:creationId xmlns:a16="http://schemas.microsoft.com/office/drawing/2014/main" id="{73868653-BB3E-41D6-B045-97EF20EB0C39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785" name="AutoShape 12">
          <a:extLst>
            <a:ext uri="{FF2B5EF4-FFF2-40B4-BE49-F238E27FC236}">
              <a16:creationId xmlns:a16="http://schemas.microsoft.com/office/drawing/2014/main" id="{3B6C2169-CE31-49DE-90AA-F8CB3F754BCE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786" name="AutoShape 12">
          <a:extLst>
            <a:ext uri="{FF2B5EF4-FFF2-40B4-BE49-F238E27FC236}">
              <a16:creationId xmlns:a16="http://schemas.microsoft.com/office/drawing/2014/main" id="{9E8917A5-A779-40B0-AF59-EB1AAF775667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787" name="AutoShape 12">
          <a:extLst>
            <a:ext uri="{FF2B5EF4-FFF2-40B4-BE49-F238E27FC236}">
              <a16:creationId xmlns:a16="http://schemas.microsoft.com/office/drawing/2014/main" id="{5304C265-E15C-45AA-905F-ECD344C1AEFB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788" name="AutoShape 12">
          <a:extLst>
            <a:ext uri="{FF2B5EF4-FFF2-40B4-BE49-F238E27FC236}">
              <a16:creationId xmlns:a16="http://schemas.microsoft.com/office/drawing/2014/main" id="{B33CD920-B5D6-4D57-950B-6A9F5E3476C0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789" name="AutoShape 12">
          <a:extLst>
            <a:ext uri="{FF2B5EF4-FFF2-40B4-BE49-F238E27FC236}">
              <a16:creationId xmlns:a16="http://schemas.microsoft.com/office/drawing/2014/main" id="{6FFF194F-9685-4426-AD22-14974A9F4916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790" name="AutoShape 12">
          <a:extLst>
            <a:ext uri="{FF2B5EF4-FFF2-40B4-BE49-F238E27FC236}">
              <a16:creationId xmlns:a16="http://schemas.microsoft.com/office/drawing/2014/main" id="{3E54868C-01EE-4991-A5F1-B096BBFDFD6C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791" name="AutoShape 12">
          <a:extLst>
            <a:ext uri="{FF2B5EF4-FFF2-40B4-BE49-F238E27FC236}">
              <a16:creationId xmlns:a16="http://schemas.microsoft.com/office/drawing/2014/main" id="{D7C26EAD-075B-4E42-B95E-D210654E9F5F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792" name="AutoShape 12">
          <a:extLst>
            <a:ext uri="{FF2B5EF4-FFF2-40B4-BE49-F238E27FC236}">
              <a16:creationId xmlns:a16="http://schemas.microsoft.com/office/drawing/2014/main" id="{EDCD598A-2813-422B-AA7C-4C6A32AC6391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793" name="AutoShape 12">
          <a:extLst>
            <a:ext uri="{FF2B5EF4-FFF2-40B4-BE49-F238E27FC236}">
              <a16:creationId xmlns:a16="http://schemas.microsoft.com/office/drawing/2014/main" id="{636F3C02-FB3A-4F3C-9423-06663FADA374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794" name="AutoShape 12">
          <a:extLst>
            <a:ext uri="{FF2B5EF4-FFF2-40B4-BE49-F238E27FC236}">
              <a16:creationId xmlns:a16="http://schemas.microsoft.com/office/drawing/2014/main" id="{BBC94E42-817E-4082-95A5-1D432AB13B02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795" name="AutoShape 12">
          <a:extLst>
            <a:ext uri="{FF2B5EF4-FFF2-40B4-BE49-F238E27FC236}">
              <a16:creationId xmlns:a16="http://schemas.microsoft.com/office/drawing/2014/main" id="{59DAEBE5-1842-49FF-A14D-59631E19816C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796" name="AutoShape 12">
          <a:extLst>
            <a:ext uri="{FF2B5EF4-FFF2-40B4-BE49-F238E27FC236}">
              <a16:creationId xmlns:a16="http://schemas.microsoft.com/office/drawing/2014/main" id="{5BDE041C-4983-49ED-A014-C7BD7CEA5693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797" name="AutoShape 12">
          <a:extLst>
            <a:ext uri="{FF2B5EF4-FFF2-40B4-BE49-F238E27FC236}">
              <a16:creationId xmlns:a16="http://schemas.microsoft.com/office/drawing/2014/main" id="{51546481-3599-4F1F-95A6-CD7C1107B450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798" name="AutoShape 12">
          <a:extLst>
            <a:ext uri="{FF2B5EF4-FFF2-40B4-BE49-F238E27FC236}">
              <a16:creationId xmlns:a16="http://schemas.microsoft.com/office/drawing/2014/main" id="{F646C151-C884-4CA6-8FBB-7733FE4845A7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799" name="AutoShape 12">
          <a:extLst>
            <a:ext uri="{FF2B5EF4-FFF2-40B4-BE49-F238E27FC236}">
              <a16:creationId xmlns:a16="http://schemas.microsoft.com/office/drawing/2014/main" id="{7DBF701A-6662-4579-BCF2-A3D9ADC00A05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800" name="AutoShape 12">
          <a:extLst>
            <a:ext uri="{FF2B5EF4-FFF2-40B4-BE49-F238E27FC236}">
              <a16:creationId xmlns:a16="http://schemas.microsoft.com/office/drawing/2014/main" id="{D182C193-D280-4318-A6B7-3A3C6EE82601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801" name="AutoShape 12">
          <a:extLst>
            <a:ext uri="{FF2B5EF4-FFF2-40B4-BE49-F238E27FC236}">
              <a16:creationId xmlns:a16="http://schemas.microsoft.com/office/drawing/2014/main" id="{19443A4D-AE0D-4C0D-9F88-58F1C3ADFB9E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802" name="AutoShape 12">
          <a:extLst>
            <a:ext uri="{FF2B5EF4-FFF2-40B4-BE49-F238E27FC236}">
              <a16:creationId xmlns:a16="http://schemas.microsoft.com/office/drawing/2014/main" id="{4BD5C838-DDBD-4AFE-A147-2EFA01219A28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803" name="AutoShape 12">
          <a:extLst>
            <a:ext uri="{FF2B5EF4-FFF2-40B4-BE49-F238E27FC236}">
              <a16:creationId xmlns:a16="http://schemas.microsoft.com/office/drawing/2014/main" id="{416938F9-29C2-4997-92A7-3F1DB1F365AB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804" name="AutoShape 12">
          <a:extLst>
            <a:ext uri="{FF2B5EF4-FFF2-40B4-BE49-F238E27FC236}">
              <a16:creationId xmlns:a16="http://schemas.microsoft.com/office/drawing/2014/main" id="{BF5DADE9-C01D-4D40-B552-2C3F60177A2F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805" name="AutoShape 12">
          <a:extLst>
            <a:ext uri="{FF2B5EF4-FFF2-40B4-BE49-F238E27FC236}">
              <a16:creationId xmlns:a16="http://schemas.microsoft.com/office/drawing/2014/main" id="{F8A32BBF-6059-47E4-8860-D726EBA4A064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806" name="AutoShape 12">
          <a:extLst>
            <a:ext uri="{FF2B5EF4-FFF2-40B4-BE49-F238E27FC236}">
              <a16:creationId xmlns:a16="http://schemas.microsoft.com/office/drawing/2014/main" id="{49C5C43A-EF74-4C23-838E-42E4D01A20C2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807" name="AutoShape 12">
          <a:extLst>
            <a:ext uri="{FF2B5EF4-FFF2-40B4-BE49-F238E27FC236}">
              <a16:creationId xmlns:a16="http://schemas.microsoft.com/office/drawing/2014/main" id="{8E69803A-F586-479C-9DED-25F2A7C7C910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808" name="AutoShape 12">
          <a:extLst>
            <a:ext uri="{FF2B5EF4-FFF2-40B4-BE49-F238E27FC236}">
              <a16:creationId xmlns:a16="http://schemas.microsoft.com/office/drawing/2014/main" id="{09354EA1-6A65-42FC-9B43-6396C494483A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809" name="AutoShape 12">
          <a:extLst>
            <a:ext uri="{FF2B5EF4-FFF2-40B4-BE49-F238E27FC236}">
              <a16:creationId xmlns:a16="http://schemas.microsoft.com/office/drawing/2014/main" id="{82A2A827-41C4-419A-80C5-9CE1A9631C12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810" name="AutoShape 12">
          <a:extLst>
            <a:ext uri="{FF2B5EF4-FFF2-40B4-BE49-F238E27FC236}">
              <a16:creationId xmlns:a16="http://schemas.microsoft.com/office/drawing/2014/main" id="{DD686EA8-79B5-48B0-A266-E1CBEB2E9088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811" name="AutoShape 12">
          <a:extLst>
            <a:ext uri="{FF2B5EF4-FFF2-40B4-BE49-F238E27FC236}">
              <a16:creationId xmlns:a16="http://schemas.microsoft.com/office/drawing/2014/main" id="{ADB13E81-FBDD-4248-B542-1245FEE0E2AD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812" name="AutoShape 12">
          <a:extLst>
            <a:ext uri="{FF2B5EF4-FFF2-40B4-BE49-F238E27FC236}">
              <a16:creationId xmlns:a16="http://schemas.microsoft.com/office/drawing/2014/main" id="{2F47E8AD-7AE0-4C8E-B27F-8A74305DB039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813" name="AutoShape 12">
          <a:extLst>
            <a:ext uri="{FF2B5EF4-FFF2-40B4-BE49-F238E27FC236}">
              <a16:creationId xmlns:a16="http://schemas.microsoft.com/office/drawing/2014/main" id="{E769AEA0-0F71-4D23-81CD-D7A6C0ED2870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814" name="AutoShape 12">
          <a:extLst>
            <a:ext uri="{FF2B5EF4-FFF2-40B4-BE49-F238E27FC236}">
              <a16:creationId xmlns:a16="http://schemas.microsoft.com/office/drawing/2014/main" id="{36F7E01C-BC6E-455A-9466-E646D7AC7290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815" name="AutoShape 12">
          <a:extLst>
            <a:ext uri="{FF2B5EF4-FFF2-40B4-BE49-F238E27FC236}">
              <a16:creationId xmlns:a16="http://schemas.microsoft.com/office/drawing/2014/main" id="{BF6ED1BB-59DC-4274-AEC5-BF1F54493245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816" name="AutoShape 12">
          <a:extLst>
            <a:ext uri="{FF2B5EF4-FFF2-40B4-BE49-F238E27FC236}">
              <a16:creationId xmlns:a16="http://schemas.microsoft.com/office/drawing/2014/main" id="{046F8924-2589-4738-8DE7-45EF6FC9E38A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817" name="AutoShape 12">
          <a:extLst>
            <a:ext uri="{FF2B5EF4-FFF2-40B4-BE49-F238E27FC236}">
              <a16:creationId xmlns:a16="http://schemas.microsoft.com/office/drawing/2014/main" id="{0380B31C-3FDF-441E-94A8-101C88F684DB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818" name="AutoShape 12">
          <a:extLst>
            <a:ext uri="{FF2B5EF4-FFF2-40B4-BE49-F238E27FC236}">
              <a16:creationId xmlns:a16="http://schemas.microsoft.com/office/drawing/2014/main" id="{9AFB757D-D128-4CD8-AD57-21D517085D21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819" name="AutoShape 12">
          <a:extLst>
            <a:ext uri="{FF2B5EF4-FFF2-40B4-BE49-F238E27FC236}">
              <a16:creationId xmlns:a16="http://schemas.microsoft.com/office/drawing/2014/main" id="{35A8DF02-127D-4C38-8527-9DB48EA39656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820" name="AutoShape 12">
          <a:extLst>
            <a:ext uri="{FF2B5EF4-FFF2-40B4-BE49-F238E27FC236}">
              <a16:creationId xmlns:a16="http://schemas.microsoft.com/office/drawing/2014/main" id="{0C3E8BE0-317E-4032-8DEB-0EFFBE4FBE14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821" name="AutoShape 12">
          <a:extLst>
            <a:ext uri="{FF2B5EF4-FFF2-40B4-BE49-F238E27FC236}">
              <a16:creationId xmlns:a16="http://schemas.microsoft.com/office/drawing/2014/main" id="{88945E20-2DEC-4707-A785-23740B35B5CC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822" name="AutoShape 12">
          <a:extLst>
            <a:ext uri="{FF2B5EF4-FFF2-40B4-BE49-F238E27FC236}">
              <a16:creationId xmlns:a16="http://schemas.microsoft.com/office/drawing/2014/main" id="{E20D898B-78B3-47BE-B4DB-670D1E185283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823" name="AutoShape 12">
          <a:extLst>
            <a:ext uri="{FF2B5EF4-FFF2-40B4-BE49-F238E27FC236}">
              <a16:creationId xmlns:a16="http://schemas.microsoft.com/office/drawing/2014/main" id="{02EE0934-141C-43A8-8402-B076438D427C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824" name="AutoShape 12">
          <a:extLst>
            <a:ext uri="{FF2B5EF4-FFF2-40B4-BE49-F238E27FC236}">
              <a16:creationId xmlns:a16="http://schemas.microsoft.com/office/drawing/2014/main" id="{4B7364DD-EBD9-40B7-8C7D-9436C097F9D5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825" name="AutoShape 12">
          <a:extLst>
            <a:ext uri="{FF2B5EF4-FFF2-40B4-BE49-F238E27FC236}">
              <a16:creationId xmlns:a16="http://schemas.microsoft.com/office/drawing/2014/main" id="{B5421252-7F3B-4C09-BD4E-A83B872413C8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826" name="AutoShape 12">
          <a:extLst>
            <a:ext uri="{FF2B5EF4-FFF2-40B4-BE49-F238E27FC236}">
              <a16:creationId xmlns:a16="http://schemas.microsoft.com/office/drawing/2014/main" id="{2DD81841-AD12-43FD-BE38-728DCBD65921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827" name="AutoShape 12">
          <a:extLst>
            <a:ext uri="{FF2B5EF4-FFF2-40B4-BE49-F238E27FC236}">
              <a16:creationId xmlns:a16="http://schemas.microsoft.com/office/drawing/2014/main" id="{DECD174D-969E-461F-8E65-4C1EC7528613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828" name="AutoShape 12">
          <a:extLst>
            <a:ext uri="{FF2B5EF4-FFF2-40B4-BE49-F238E27FC236}">
              <a16:creationId xmlns:a16="http://schemas.microsoft.com/office/drawing/2014/main" id="{D52EC7D6-BB24-40D3-A6B5-4EA8F6365929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950</xdr:row>
      <xdr:rowOff>0</xdr:rowOff>
    </xdr:from>
    <xdr:ext cx="304800" cy="304094"/>
    <xdr:sp macro="" textlink="">
      <xdr:nvSpPr>
        <xdr:cNvPr id="2829" name="AutoShape 12">
          <a:extLst>
            <a:ext uri="{FF2B5EF4-FFF2-40B4-BE49-F238E27FC236}">
              <a16:creationId xmlns:a16="http://schemas.microsoft.com/office/drawing/2014/main" id="{B1CA80AD-C3DC-4BDA-AB52-0D3482F5C71F}"/>
            </a:ext>
          </a:extLst>
        </xdr:cNvPr>
        <xdr:cNvSpPr>
          <a:spLocks noChangeAspect="1" noChangeArrowheads="1"/>
        </xdr:cNvSpPr>
      </xdr:nvSpPr>
      <xdr:spPr bwMode="auto">
        <a:xfrm>
          <a:off x="4445000" y="1841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2830" name="AutoShape 12">
          <a:extLst>
            <a:ext uri="{FF2B5EF4-FFF2-40B4-BE49-F238E27FC236}">
              <a16:creationId xmlns:a16="http://schemas.microsoft.com/office/drawing/2014/main" id="{8ABB443D-9E89-45B8-8779-14D7C9BD96F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2831" name="AutoShape 12">
          <a:extLst>
            <a:ext uri="{FF2B5EF4-FFF2-40B4-BE49-F238E27FC236}">
              <a16:creationId xmlns:a16="http://schemas.microsoft.com/office/drawing/2014/main" id="{2CF9D688-02B5-424A-BE98-EDA2B787AB3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2832" name="AutoShape 12">
          <a:extLst>
            <a:ext uri="{FF2B5EF4-FFF2-40B4-BE49-F238E27FC236}">
              <a16:creationId xmlns:a16="http://schemas.microsoft.com/office/drawing/2014/main" id="{A99B9EDC-BB95-4B53-BAFE-8AFD2094E7A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2833" name="AutoShape 12">
          <a:extLst>
            <a:ext uri="{FF2B5EF4-FFF2-40B4-BE49-F238E27FC236}">
              <a16:creationId xmlns:a16="http://schemas.microsoft.com/office/drawing/2014/main" id="{76128CB2-E132-48BB-89E3-5AA054BC668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2834" name="AutoShape 12">
          <a:extLst>
            <a:ext uri="{FF2B5EF4-FFF2-40B4-BE49-F238E27FC236}">
              <a16:creationId xmlns:a16="http://schemas.microsoft.com/office/drawing/2014/main" id="{C4A8B75A-2F4A-4F7E-BC1A-E2833555A99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2835" name="AutoShape 12">
          <a:extLst>
            <a:ext uri="{FF2B5EF4-FFF2-40B4-BE49-F238E27FC236}">
              <a16:creationId xmlns:a16="http://schemas.microsoft.com/office/drawing/2014/main" id="{A0F1E148-8619-4E54-BFED-185A0844F66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2836" name="AutoShape 12">
          <a:extLst>
            <a:ext uri="{FF2B5EF4-FFF2-40B4-BE49-F238E27FC236}">
              <a16:creationId xmlns:a16="http://schemas.microsoft.com/office/drawing/2014/main" id="{A7C54BB5-884C-4A34-BFB1-754F009A91D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2837" name="AutoShape 12">
          <a:extLst>
            <a:ext uri="{FF2B5EF4-FFF2-40B4-BE49-F238E27FC236}">
              <a16:creationId xmlns:a16="http://schemas.microsoft.com/office/drawing/2014/main" id="{2957031C-C084-487C-8E64-417BBB82E5E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2838" name="AutoShape 12">
          <a:extLst>
            <a:ext uri="{FF2B5EF4-FFF2-40B4-BE49-F238E27FC236}">
              <a16:creationId xmlns:a16="http://schemas.microsoft.com/office/drawing/2014/main" id="{D0302427-57BC-474D-A686-E99B74573AE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2839" name="AutoShape 12">
          <a:extLst>
            <a:ext uri="{FF2B5EF4-FFF2-40B4-BE49-F238E27FC236}">
              <a16:creationId xmlns:a16="http://schemas.microsoft.com/office/drawing/2014/main" id="{477E52FC-FD4C-4FD2-9E51-C49A9FBAA46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2840" name="AutoShape 12">
          <a:extLst>
            <a:ext uri="{FF2B5EF4-FFF2-40B4-BE49-F238E27FC236}">
              <a16:creationId xmlns:a16="http://schemas.microsoft.com/office/drawing/2014/main" id="{22B0FF22-8561-481B-AD0A-F1AA1A85B78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2841" name="AutoShape 12">
          <a:extLst>
            <a:ext uri="{FF2B5EF4-FFF2-40B4-BE49-F238E27FC236}">
              <a16:creationId xmlns:a16="http://schemas.microsoft.com/office/drawing/2014/main" id="{00D8C4D3-BD12-439C-A7CD-C1D6E6537F7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2842" name="AutoShape 12">
          <a:extLst>
            <a:ext uri="{FF2B5EF4-FFF2-40B4-BE49-F238E27FC236}">
              <a16:creationId xmlns:a16="http://schemas.microsoft.com/office/drawing/2014/main" id="{BB94D154-04B6-435D-A311-22CD170F36A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2843" name="AutoShape 12">
          <a:extLst>
            <a:ext uri="{FF2B5EF4-FFF2-40B4-BE49-F238E27FC236}">
              <a16:creationId xmlns:a16="http://schemas.microsoft.com/office/drawing/2014/main" id="{F3B3C068-0044-497F-BDFC-DE58AC5CB83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2844" name="AutoShape 12">
          <a:extLst>
            <a:ext uri="{FF2B5EF4-FFF2-40B4-BE49-F238E27FC236}">
              <a16:creationId xmlns:a16="http://schemas.microsoft.com/office/drawing/2014/main" id="{064C2202-05C3-4ED1-A02E-861BB8478B4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2845" name="AutoShape 12">
          <a:extLst>
            <a:ext uri="{FF2B5EF4-FFF2-40B4-BE49-F238E27FC236}">
              <a16:creationId xmlns:a16="http://schemas.microsoft.com/office/drawing/2014/main" id="{BFF363E0-5700-4529-876D-588EC2A2D5B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2846" name="AutoShape 12">
          <a:extLst>
            <a:ext uri="{FF2B5EF4-FFF2-40B4-BE49-F238E27FC236}">
              <a16:creationId xmlns:a16="http://schemas.microsoft.com/office/drawing/2014/main" id="{4D637447-D89D-40F3-A6A8-71F37321E12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2847" name="AutoShape 12">
          <a:extLst>
            <a:ext uri="{FF2B5EF4-FFF2-40B4-BE49-F238E27FC236}">
              <a16:creationId xmlns:a16="http://schemas.microsoft.com/office/drawing/2014/main" id="{9DF7E99A-42AD-4791-808B-DAAC08B47C9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2848" name="AutoShape 12">
          <a:extLst>
            <a:ext uri="{FF2B5EF4-FFF2-40B4-BE49-F238E27FC236}">
              <a16:creationId xmlns:a16="http://schemas.microsoft.com/office/drawing/2014/main" id="{ECEFFA70-CD98-40B6-AD8B-F4F8C26937D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2849" name="AutoShape 12">
          <a:extLst>
            <a:ext uri="{FF2B5EF4-FFF2-40B4-BE49-F238E27FC236}">
              <a16:creationId xmlns:a16="http://schemas.microsoft.com/office/drawing/2014/main" id="{BC25F42E-8508-4B59-987E-0F1A5A425EE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2850" name="AutoShape 12">
          <a:extLst>
            <a:ext uri="{FF2B5EF4-FFF2-40B4-BE49-F238E27FC236}">
              <a16:creationId xmlns:a16="http://schemas.microsoft.com/office/drawing/2014/main" id="{97A773CE-2C1B-46A6-877E-984B818CEC8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2851" name="AutoShape 12">
          <a:extLst>
            <a:ext uri="{FF2B5EF4-FFF2-40B4-BE49-F238E27FC236}">
              <a16:creationId xmlns:a16="http://schemas.microsoft.com/office/drawing/2014/main" id="{50E41F59-CA47-46F4-9F7F-7E13C0E58AE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2852" name="AutoShape 12">
          <a:extLst>
            <a:ext uri="{FF2B5EF4-FFF2-40B4-BE49-F238E27FC236}">
              <a16:creationId xmlns:a16="http://schemas.microsoft.com/office/drawing/2014/main" id="{419F9480-3716-4048-A05F-7C89414F5A2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2853" name="AutoShape 12">
          <a:extLst>
            <a:ext uri="{FF2B5EF4-FFF2-40B4-BE49-F238E27FC236}">
              <a16:creationId xmlns:a16="http://schemas.microsoft.com/office/drawing/2014/main" id="{7CFDC483-8340-42B4-A601-A86B40E8583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2854" name="AutoShape 12">
          <a:extLst>
            <a:ext uri="{FF2B5EF4-FFF2-40B4-BE49-F238E27FC236}">
              <a16:creationId xmlns:a16="http://schemas.microsoft.com/office/drawing/2014/main" id="{D51F11ED-92B3-4E78-A307-1BF2936FB6E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2855" name="AutoShape 12">
          <a:extLst>
            <a:ext uri="{FF2B5EF4-FFF2-40B4-BE49-F238E27FC236}">
              <a16:creationId xmlns:a16="http://schemas.microsoft.com/office/drawing/2014/main" id="{4418A0B8-A879-491F-A432-3A5A6D208C3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2856" name="AutoShape 12">
          <a:extLst>
            <a:ext uri="{FF2B5EF4-FFF2-40B4-BE49-F238E27FC236}">
              <a16:creationId xmlns:a16="http://schemas.microsoft.com/office/drawing/2014/main" id="{5D59C3C2-C677-42A7-A730-1F809C8C72D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2857" name="AutoShape 12">
          <a:extLst>
            <a:ext uri="{FF2B5EF4-FFF2-40B4-BE49-F238E27FC236}">
              <a16:creationId xmlns:a16="http://schemas.microsoft.com/office/drawing/2014/main" id="{7B00D2CE-48E4-4113-B51F-0C50BB2E20D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2858" name="AutoShape 12">
          <a:extLst>
            <a:ext uri="{FF2B5EF4-FFF2-40B4-BE49-F238E27FC236}">
              <a16:creationId xmlns:a16="http://schemas.microsoft.com/office/drawing/2014/main" id="{395C4DA6-B42F-49BD-8C0C-E3E4C0CB942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2859" name="AutoShape 12">
          <a:extLst>
            <a:ext uri="{FF2B5EF4-FFF2-40B4-BE49-F238E27FC236}">
              <a16:creationId xmlns:a16="http://schemas.microsoft.com/office/drawing/2014/main" id="{2C28EFBE-C900-4C01-A28F-BCA9FEA6AF5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2860" name="AutoShape 12">
          <a:extLst>
            <a:ext uri="{FF2B5EF4-FFF2-40B4-BE49-F238E27FC236}">
              <a16:creationId xmlns:a16="http://schemas.microsoft.com/office/drawing/2014/main" id="{1B821623-A04B-412F-895B-B729D24DE3A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2861" name="AutoShape 12">
          <a:extLst>
            <a:ext uri="{FF2B5EF4-FFF2-40B4-BE49-F238E27FC236}">
              <a16:creationId xmlns:a16="http://schemas.microsoft.com/office/drawing/2014/main" id="{3D9DBC9F-3262-4BF6-B16C-E9277497AA7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2862" name="AutoShape 12">
          <a:extLst>
            <a:ext uri="{FF2B5EF4-FFF2-40B4-BE49-F238E27FC236}">
              <a16:creationId xmlns:a16="http://schemas.microsoft.com/office/drawing/2014/main" id="{8E2DF60E-9A5D-460D-8A00-DFE4C4711A1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2863" name="AutoShape 12">
          <a:extLst>
            <a:ext uri="{FF2B5EF4-FFF2-40B4-BE49-F238E27FC236}">
              <a16:creationId xmlns:a16="http://schemas.microsoft.com/office/drawing/2014/main" id="{5C5E7E45-F143-497B-B8A6-37DC4D0176B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2864" name="AutoShape 12">
          <a:extLst>
            <a:ext uri="{FF2B5EF4-FFF2-40B4-BE49-F238E27FC236}">
              <a16:creationId xmlns:a16="http://schemas.microsoft.com/office/drawing/2014/main" id="{452D867E-91F6-4856-AB04-8C2553ED10C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2865" name="AutoShape 12">
          <a:extLst>
            <a:ext uri="{FF2B5EF4-FFF2-40B4-BE49-F238E27FC236}">
              <a16:creationId xmlns:a16="http://schemas.microsoft.com/office/drawing/2014/main" id="{68BCDF77-D600-40E3-8076-A9E27709BF2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2866" name="AutoShape 12">
          <a:extLst>
            <a:ext uri="{FF2B5EF4-FFF2-40B4-BE49-F238E27FC236}">
              <a16:creationId xmlns:a16="http://schemas.microsoft.com/office/drawing/2014/main" id="{F86FCFD7-78D2-4DF0-B4F2-76079FB0C75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2867" name="AutoShape 12">
          <a:extLst>
            <a:ext uri="{FF2B5EF4-FFF2-40B4-BE49-F238E27FC236}">
              <a16:creationId xmlns:a16="http://schemas.microsoft.com/office/drawing/2014/main" id="{0444F22D-F6D2-4B15-B967-EC3A1FA7A70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2868" name="AutoShape 12">
          <a:extLst>
            <a:ext uri="{FF2B5EF4-FFF2-40B4-BE49-F238E27FC236}">
              <a16:creationId xmlns:a16="http://schemas.microsoft.com/office/drawing/2014/main" id="{CF198D15-26DF-4329-80D0-3D98D7E7ABC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2869" name="AutoShape 12">
          <a:extLst>
            <a:ext uri="{FF2B5EF4-FFF2-40B4-BE49-F238E27FC236}">
              <a16:creationId xmlns:a16="http://schemas.microsoft.com/office/drawing/2014/main" id="{198556B6-12E2-42C9-A285-DE8E8822B26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2870" name="AutoShape 12">
          <a:extLst>
            <a:ext uri="{FF2B5EF4-FFF2-40B4-BE49-F238E27FC236}">
              <a16:creationId xmlns:a16="http://schemas.microsoft.com/office/drawing/2014/main" id="{556DAA6D-3DCC-47AF-AA1B-E0D5A3A49E4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2871" name="AutoShape 12">
          <a:extLst>
            <a:ext uri="{FF2B5EF4-FFF2-40B4-BE49-F238E27FC236}">
              <a16:creationId xmlns:a16="http://schemas.microsoft.com/office/drawing/2014/main" id="{76E34CCE-6B2A-4A81-977E-01D2E38ACCC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2872" name="AutoShape 12">
          <a:extLst>
            <a:ext uri="{FF2B5EF4-FFF2-40B4-BE49-F238E27FC236}">
              <a16:creationId xmlns:a16="http://schemas.microsoft.com/office/drawing/2014/main" id="{39A14249-ABB2-4027-AF09-02C3A2A2F3C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2873" name="AutoShape 12">
          <a:extLst>
            <a:ext uri="{FF2B5EF4-FFF2-40B4-BE49-F238E27FC236}">
              <a16:creationId xmlns:a16="http://schemas.microsoft.com/office/drawing/2014/main" id="{2249B5F7-E27E-4CE8-A43C-34C9D0D3A49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2874" name="AutoShape 12">
          <a:extLst>
            <a:ext uri="{FF2B5EF4-FFF2-40B4-BE49-F238E27FC236}">
              <a16:creationId xmlns:a16="http://schemas.microsoft.com/office/drawing/2014/main" id="{B57D0353-3969-4175-8631-BEDF9D83E4F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2875" name="AutoShape 12">
          <a:extLst>
            <a:ext uri="{FF2B5EF4-FFF2-40B4-BE49-F238E27FC236}">
              <a16:creationId xmlns:a16="http://schemas.microsoft.com/office/drawing/2014/main" id="{33BBADFA-9695-4394-AE3C-8AAEEBCA7BB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2876" name="AutoShape 12">
          <a:extLst>
            <a:ext uri="{FF2B5EF4-FFF2-40B4-BE49-F238E27FC236}">
              <a16:creationId xmlns:a16="http://schemas.microsoft.com/office/drawing/2014/main" id="{CAD99C63-FAD3-4E05-8E87-4722CF73550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2877" name="AutoShape 12">
          <a:extLst>
            <a:ext uri="{FF2B5EF4-FFF2-40B4-BE49-F238E27FC236}">
              <a16:creationId xmlns:a16="http://schemas.microsoft.com/office/drawing/2014/main" id="{1FDC2756-D1B5-4BFC-91F6-7BDFC8AB1B2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2878" name="AutoShape 12">
          <a:extLst>
            <a:ext uri="{FF2B5EF4-FFF2-40B4-BE49-F238E27FC236}">
              <a16:creationId xmlns:a16="http://schemas.microsoft.com/office/drawing/2014/main" id="{336D9D27-5229-4EB0-81C3-2897D654ED5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2879" name="AutoShape 12">
          <a:extLst>
            <a:ext uri="{FF2B5EF4-FFF2-40B4-BE49-F238E27FC236}">
              <a16:creationId xmlns:a16="http://schemas.microsoft.com/office/drawing/2014/main" id="{796142E5-46D0-4F97-9EC8-5412CDF6957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2880" name="AutoShape 12">
          <a:extLst>
            <a:ext uri="{FF2B5EF4-FFF2-40B4-BE49-F238E27FC236}">
              <a16:creationId xmlns:a16="http://schemas.microsoft.com/office/drawing/2014/main" id="{3CB44A0B-D0ED-4D54-B079-E9980EB90CA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2881" name="AutoShape 12">
          <a:extLst>
            <a:ext uri="{FF2B5EF4-FFF2-40B4-BE49-F238E27FC236}">
              <a16:creationId xmlns:a16="http://schemas.microsoft.com/office/drawing/2014/main" id="{2BF59BD8-4E9A-4E1E-AA44-A1FD72C069C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2882" name="AutoShape 12">
          <a:extLst>
            <a:ext uri="{FF2B5EF4-FFF2-40B4-BE49-F238E27FC236}">
              <a16:creationId xmlns:a16="http://schemas.microsoft.com/office/drawing/2014/main" id="{4DEF894A-4B77-47D4-A058-284E4E74344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2883" name="AutoShape 12">
          <a:extLst>
            <a:ext uri="{FF2B5EF4-FFF2-40B4-BE49-F238E27FC236}">
              <a16:creationId xmlns:a16="http://schemas.microsoft.com/office/drawing/2014/main" id="{38695962-3ACA-4EAA-BAC7-EB8444F4E34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2884" name="AutoShape 12">
          <a:extLst>
            <a:ext uri="{FF2B5EF4-FFF2-40B4-BE49-F238E27FC236}">
              <a16:creationId xmlns:a16="http://schemas.microsoft.com/office/drawing/2014/main" id="{3FF915EB-3C92-4C9A-BCB5-787D8A2B100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2885" name="AutoShape 12">
          <a:extLst>
            <a:ext uri="{FF2B5EF4-FFF2-40B4-BE49-F238E27FC236}">
              <a16:creationId xmlns:a16="http://schemas.microsoft.com/office/drawing/2014/main" id="{CF80DBAB-F1A9-4EAD-B0AF-6C1F99916DE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2886" name="AutoShape 12">
          <a:extLst>
            <a:ext uri="{FF2B5EF4-FFF2-40B4-BE49-F238E27FC236}">
              <a16:creationId xmlns:a16="http://schemas.microsoft.com/office/drawing/2014/main" id="{1B672C33-4019-44F3-90E8-5E6243A41C6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2887" name="AutoShape 12">
          <a:extLst>
            <a:ext uri="{FF2B5EF4-FFF2-40B4-BE49-F238E27FC236}">
              <a16:creationId xmlns:a16="http://schemas.microsoft.com/office/drawing/2014/main" id="{2BB9D652-92D7-4B63-BE11-CEBADC2F229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2888" name="AutoShape 12">
          <a:extLst>
            <a:ext uri="{FF2B5EF4-FFF2-40B4-BE49-F238E27FC236}">
              <a16:creationId xmlns:a16="http://schemas.microsoft.com/office/drawing/2014/main" id="{3E88E5B0-CEDA-42AE-B793-79171CC67AE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2889" name="AutoShape 12">
          <a:extLst>
            <a:ext uri="{FF2B5EF4-FFF2-40B4-BE49-F238E27FC236}">
              <a16:creationId xmlns:a16="http://schemas.microsoft.com/office/drawing/2014/main" id="{0A929527-D36E-44A1-815E-999EE2A3E8F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2890" name="AutoShape 12">
          <a:extLst>
            <a:ext uri="{FF2B5EF4-FFF2-40B4-BE49-F238E27FC236}">
              <a16:creationId xmlns:a16="http://schemas.microsoft.com/office/drawing/2014/main" id="{3ACEAD00-DC0C-4C25-9A91-1BE7E7E46D7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2891" name="AutoShape 12">
          <a:extLst>
            <a:ext uri="{FF2B5EF4-FFF2-40B4-BE49-F238E27FC236}">
              <a16:creationId xmlns:a16="http://schemas.microsoft.com/office/drawing/2014/main" id="{FD3EF756-D63F-49EA-AD81-3A4B574B687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2892" name="AutoShape 12">
          <a:extLst>
            <a:ext uri="{FF2B5EF4-FFF2-40B4-BE49-F238E27FC236}">
              <a16:creationId xmlns:a16="http://schemas.microsoft.com/office/drawing/2014/main" id="{01B4A697-B539-49A8-B43F-12012776EEC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2893" name="AutoShape 12">
          <a:extLst>
            <a:ext uri="{FF2B5EF4-FFF2-40B4-BE49-F238E27FC236}">
              <a16:creationId xmlns:a16="http://schemas.microsoft.com/office/drawing/2014/main" id="{4455E643-6837-4D9D-B574-3B9C298FC17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2894" name="AutoShape 12">
          <a:extLst>
            <a:ext uri="{FF2B5EF4-FFF2-40B4-BE49-F238E27FC236}">
              <a16:creationId xmlns:a16="http://schemas.microsoft.com/office/drawing/2014/main" id="{E8060E29-1085-4AA3-90F1-590487D9F52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2895" name="AutoShape 12">
          <a:extLst>
            <a:ext uri="{FF2B5EF4-FFF2-40B4-BE49-F238E27FC236}">
              <a16:creationId xmlns:a16="http://schemas.microsoft.com/office/drawing/2014/main" id="{27061950-7C5F-4B9B-85D9-4316092F3EE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2896" name="AutoShape 12">
          <a:extLst>
            <a:ext uri="{FF2B5EF4-FFF2-40B4-BE49-F238E27FC236}">
              <a16:creationId xmlns:a16="http://schemas.microsoft.com/office/drawing/2014/main" id="{915FA38F-AC76-4BA6-8089-BAD3C475E69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2897" name="AutoShape 12">
          <a:extLst>
            <a:ext uri="{FF2B5EF4-FFF2-40B4-BE49-F238E27FC236}">
              <a16:creationId xmlns:a16="http://schemas.microsoft.com/office/drawing/2014/main" id="{E1041D44-9DCC-4F06-800E-4C54C594AA8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2898" name="AutoShape 12">
          <a:extLst>
            <a:ext uri="{FF2B5EF4-FFF2-40B4-BE49-F238E27FC236}">
              <a16:creationId xmlns:a16="http://schemas.microsoft.com/office/drawing/2014/main" id="{31AE99D5-C181-4CE9-9503-F0B4B47F494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2899" name="AutoShape 12">
          <a:extLst>
            <a:ext uri="{FF2B5EF4-FFF2-40B4-BE49-F238E27FC236}">
              <a16:creationId xmlns:a16="http://schemas.microsoft.com/office/drawing/2014/main" id="{9AEFCFED-50B7-48E9-A6D3-7533BB59B59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2900" name="AutoShape 12">
          <a:extLst>
            <a:ext uri="{FF2B5EF4-FFF2-40B4-BE49-F238E27FC236}">
              <a16:creationId xmlns:a16="http://schemas.microsoft.com/office/drawing/2014/main" id="{FE1F0ACD-B41B-41A7-B7FC-51095266286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2901" name="AutoShape 12">
          <a:extLst>
            <a:ext uri="{FF2B5EF4-FFF2-40B4-BE49-F238E27FC236}">
              <a16:creationId xmlns:a16="http://schemas.microsoft.com/office/drawing/2014/main" id="{8C4A0D2E-EDEF-41DB-A4E8-6B561AA4368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2902" name="AutoShape 12">
          <a:extLst>
            <a:ext uri="{FF2B5EF4-FFF2-40B4-BE49-F238E27FC236}">
              <a16:creationId xmlns:a16="http://schemas.microsoft.com/office/drawing/2014/main" id="{62507C7D-F0D5-4FAD-A77A-C97FC9B14A9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2903" name="AutoShape 12">
          <a:extLst>
            <a:ext uri="{FF2B5EF4-FFF2-40B4-BE49-F238E27FC236}">
              <a16:creationId xmlns:a16="http://schemas.microsoft.com/office/drawing/2014/main" id="{2A635B08-E8A9-445A-958F-3F435F800F6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2904" name="AutoShape 12">
          <a:extLst>
            <a:ext uri="{FF2B5EF4-FFF2-40B4-BE49-F238E27FC236}">
              <a16:creationId xmlns:a16="http://schemas.microsoft.com/office/drawing/2014/main" id="{140A6ACE-587C-478C-9ABB-2CDAFE548EF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2905" name="AutoShape 12">
          <a:extLst>
            <a:ext uri="{FF2B5EF4-FFF2-40B4-BE49-F238E27FC236}">
              <a16:creationId xmlns:a16="http://schemas.microsoft.com/office/drawing/2014/main" id="{41357A2F-C3A4-476F-80DC-2638938BB8F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2906" name="AutoShape 12">
          <a:extLst>
            <a:ext uri="{FF2B5EF4-FFF2-40B4-BE49-F238E27FC236}">
              <a16:creationId xmlns:a16="http://schemas.microsoft.com/office/drawing/2014/main" id="{8883D915-EBF2-492A-9DC7-02FF4487C4C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2907" name="AutoShape 12">
          <a:extLst>
            <a:ext uri="{FF2B5EF4-FFF2-40B4-BE49-F238E27FC236}">
              <a16:creationId xmlns:a16="http://schemas.microsoft.com/office/drawing/2014/main" id="{DB1A7350-C308-4FD2-8A6C-FE16C0A6F4C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2908" name="AutoShape 12">
          <a:extLst>
            <a:ext uri="{FF2B5EF4-FFF2-40B4-BE49-F238E27FC236}">
              <a16:creationId xmlns:a16="http://schemas.microsoft.com/office/drawing/2014/main" id="{2F26968C-8F6F-4737-8BE3-C683310B921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2909" name="AutoShape 12">
          <a:extLst>
            <a:ext uri="{FF2B5EF4-FFF2-40B4-BE49-F238E27FC236}">
              <a16:creationId xmlns:a16="http://schemas.microsoft.com/office/drawing/2014/main" id="{BEF9B54D-9D33-4092-9EE4-0A840D9C418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2910" name="AutoShape 12">
          <a:extLst>
            <a:ext uri="{FF2B5EF4-FFF2-40B4-BE49-F238E27FC236}">
              <a16:creationId xmlns:a16="http://schemas.microsoft.com/office/drawing/2014/main" id="{F045CCED-B1C9-4AA9-82C4-BD58E2D60A0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2911" name="AutoShape 12">
          <a:extLst>
            <a:ext uri="{FF2B5EF4-FFF2-40B4-BE49-F238E27FC236}">
              <a16:creationId xmlns:a16="http://schemas.microsoft.com/office/drawing/2014/main" id="{69B486BD-3341-4C39-A2AF-EA6144BB154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2912" name="AutoShape 12">
          <a:extLst>
            <a:ext uri="{FF2B5EF4-FFF2-40B4-BE49-F238E27FC236}">
              <a16:creationId xmlns:a16="http://schemas.microsoft.com/office/drawing/2014/main" id="{3821CAC9-5F76-40E5-8586-7C26CCD042F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2913" name="AutoShape 12">
          <a:extLst>
            <a:ext uri="{FF2B5EF4-FFF2-40B4-BE49-F238E27FC236}">
              <a16:creationId xmlns:a16="http://schemas.microsoft.com/office/drawing/2014/main" id="{BEAFACB7-881E-40D9-AF9B-F5B713B7020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2914" name="AutoShape 12">
          <a:extLst>
            <a:ext uri="{FF2B5EF4-FFF2-40B4-BE49-F238E27FC236}">
              <a16:creationId xmlns:a16="http://schemas.microsoft.com/office/drawing/2014/main" id="{E098C85F-6B75-4F44-AA6A-AA4356E1FF8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2915" name="AutoShape 12">
          <a:extLst>
            <a:ext uri="{FF2B5EF4-FFF2-40B4-BE49-F238E27FC236}">
              <a16:creationId xmlns:a16="http://schemas.microsoft.com/office/drawing/2014/main" id="{262E807B-A806-414F-B633-B4A531EC184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2916" name="AutoShape 12">
          <a:extLst>
            <a:ext uri="{FF2B5EF4-FFF2-40B4-BE49-F238E27FC236}">
              <a16:creationId xmlns:a16="http://schemas.microsoft.com/office/drawing/2014/main" id="{B5B37179-3C20-4E69-85F2-BC47845F954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2917" name="AutoShape 12">
          <a:extLst>
            <a:ext uri="{FF2B5EF4-FFF2-40B4-BE49-F238E27FC236}">
              <a16:creationId xmlns:a16="http://schemas.microsoft.com/office/drawing/2014/main" id="{7F4253AD-C7F2-43F7-9EE8-01E1926B29B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2918" name="AutoShape 12">
          <a:extLst>
            <a:ext uri="{FF2B5EF4-FFF2-40B4-BE49-F238E27FC236}">
              <a16:creationId xmlns:a16="http://schemas.microsoft.com/office/drawing/2014/main" id="{B55AA5B8-762D-44E5-B9E1-7FB2CA67994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2919" name="AutoShape 12">
          <a:extLst>
            <a:ext uri="{FF2B5EF4-FFF2-40B4-BE49-F238E27FC236}">
              <a16:creationId xmlns:a16="http://schemas.microsoft.com/office/drawing/2014/main" id="{402298D5-484E-45BB-BA64-A8264CB8259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2920" name="AutoShape 12">
          <a:extLst>
            <a:ext uri="{FF2B5EF4-FFF2-40B4-BE49-F238E27FC236}">
              <a16:creationId xmlns:a16="http://schemas.microsoft.com/office/drawing/2014/main" id="{B9CCECE0-A093-4B40-94DF-4EAE89014EB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2921" name="AutoShape 12">
          <a:extLst>
            <a:ext uri="{FF2B5EF4-FFF2-40B4-BE49-F238E27FC236}">
              <a16:creationId xmlns:a16="http://schemas.microsoft.com/office/drawing/2014/main" id="{F8E7ADDD-2668-4A0A-A45C-846BDA25376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2922" name="AutoShape 12">
          <a:extLst>
            <a:ext uri="{FF2B5EF4-FFF2-40B4-BE49-F238E27FC236}">
              <a16:creationId xmlns:a16="http://schemas.microsoft.com/office/drawing/2014/main" id="{5C10B8F0-0777-4DB3-B82D-17E4A087D49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2923" name="AutoShape 12">
          <a:extLst>
            <a:ext uri="{FF2B5EF4-FFF2-40B4-BE49-F238E27FC236}">
              <a16:creationId xmlns:a16="http://schemas.microsoft.com/office/drawing/2014/main" id="{70404FA2-621E-49C4-BC2C-D27A1A977B1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2924" name="AutoShape 12">
          <a:extLst>
            <a:ext uri="{FF2B5EF4-FFF2-40B4-BE49-F238E27FC236}">
              <a16:creationId xmlns:a16="http://schemas.microsoft.com/office/drawing/2014/main" id="{30EB10F5-5B64-40C1-B78B-EBEC6F86746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2925" name="AutoShape 12">
          <a:extLst>
            <a:ext uri="{FF2B5EF4-FFF2-40B4-BE49-F238E27FC236}">
              <a16:creationId xmlns:a16="http://schemas.microsoft.com/office/drawing/2014/main" id="{04AB4B2F-AB64-4104-8E68-9DECEA35449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2926" name="AutoShape 12">
          <a:extLst>
            <a:ext uri="{FF2B5EF4-FFF2-40B4-BE49-F238E27FC236}">
              <a16:creationId xmlns:a16="http://schemas.microsoft.com/office/drawing/2014/main" id="{1062D8D1-AB9B-4FC3-A04D-407EFC210C0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2927" name="AutoShape 12">
          <a:extLst>
            <a:ext uri="{FF2B5EF4-FFF2-40B4-BE49-F238E27FC236}">
              <a16:creationId xmlns:a16="http://schemas.microsoft.com/office/drawing/2014/main" id="{F400EE7F-4F68-4BCA-A7C8-B25086AFFFD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2928" name="AutoShape 12">
          <a:extLst>
            <a:ext uri="{FF2B5EF4-FFF2-40B4-BE49-F238E27FC236}">
              <a16:creationId xmlns:a16="http://schemas.microsoft.com/office/drawing/2014/main" id="{6B182ACE-B4B9-4FCD-A75B-3FC1DAB502E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2929" name="AutoShape 12">
          <a:extLst>
            <a:ext uri="{FF2B5EF4-FFF2-40B4-BE49-F238E27FC236}">
              <a16:creationId xmlns:a16="http://schemas.microsoft.com/office/drawing/2014/main" id="{18445E36-4FE3-4CB9-BEA1-1826A558DE3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2930" name="AutoShape 12">
          <a:extLst>
            <a:ext uri="{FF2B5EF4-FFF2-40B4-BE49-F238E27FC236}">
              <a16:creationId xmlns:a16="http://schemas.microsoft.com/office/drawing/2014/main" id="{7C8F75AA-164D-487A-A263-5D58AB17CC2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2931" name="AutoShape 12">
          <a:extLst>
            <a:ext uri="{FF2B5EF4-FFF2-40B4-BE49-F238E27FC236}">
              <a16:creationId xmlns:a16="http://schemas.microsoft.com/office/drawing/2014/main" id="{DA1BA929-8AE3-4EB6-BB00-7F2AB58BE6D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2932" name="AutoShape 12">
          <a:extLst>
            <a:ext uri="{FF2B5EF4-FFF2-40B4-BE49-F238E27FC236}">
              <a16:creationId xmlns:a16="http://schemas.microsoft.com/office/drawing/2014/main" id="{A263BF7C-ED44-4C7F-B9E0-34762DC74A5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2933" name="AutoShape 12">
          <a:extLst>
            <a:ext uri="{FF2B5EF4-FFF2-40B4-BE49-F238E27FC236}">
              <a16:creationId xmlns:a16="http://schemas.microsoft.com/office/drawing/2014/main" id="{7F531848-E245-464F-976B-AB0BF2A1934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2934" name="AutoShape 12">
          <a:extLst>
            <a:ext uri="{FF2B5EF4-FFF2-40B4-BE49-F238E27FC236}">
              <a16:creationId xmlns:a16="http://schemas.microsoft.com/office/drawing/2014/main" id="{0BA47560-1A93-4083-8C7B-CF70CD40762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2935" name="AutoShape 12">
          <a:extLst>
            <a:ext uri="{FF2B5EF4-FFF2-40B4-BE49-F238E27FC236}">
              <a16:creationId xmlns:a16="http://schemas.microsoft.com/office/drawing/2014/main" id="{FD25B56D-62DF-438A-AB67-C427B32065D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2936" name="AutoShape 12">
          <a:extLst>
            <a:ext uri="{FF2B5EF4-FFF2-40B4-BE49-F238E27FC236}">
              <a16:creationId xmlns:a16="http://schemas.microsoft.com/office/drawing/2014/main" id="{3CE5A553-71D4-4DEB-88D1-3FD453299AD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2937" name="AutoShape 12">
          <a:extLst>
            <a:ext uri="{FF2B5EF4-FFF2-40B4-BE49-F238E27FC236}">
              <a16:creationId xmlns:a16="http://schemas.microsoft.com/office/drawing/2014/main" id="{80D03576-1786-4CA9-B4F5-BF35C221413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2938" name="AutoShape 12">
          <a:extLst>
            <a:ext uri="{FF2B5EF4-FFF2-40B4-BE49-F238E27FC236}">
              <a16:creationId xmlns:a16="http://schemas.microsoft.com/office/drawing/2014/main" id="{05ED3A96-E9AC-4FAC-932F-82F6352C91D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2939" name="AutoShape 12">
          <a:extLst>
            <a:ext uri="{FF2B5EF4-FFF2-40B4-BE49-F238E27FC236}">
              <a16:creationId xmlns:a16="http://schemas.microsoft.com/office/drawing/2014/main" id="{267A3CB9-1751-43DC-B65A-6C2D47E1967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2940" name="AutoShape 12">
          <a:extLst>
            <a:ext uri="{FF2B5EF4-FFF2-40B4-BE49-F238E27FC236}">
              <a16:creationId xmlns:a16="http://schemas.microsoft.com/office/drawing/2014/main" id="{0712E8A6-A3B0-4532-81ED-2366DE5C6B8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2941" name="AutoShape 12">
          <a:extLst>
            <a:ext uri="{FF2B5EF4-FFF2-40B4-BE49-F238E27FC236}">
              <a16:creationId xmlns:a16="http://schemas.microsoft.com/office/drawing/2014/main" id="{3DCE9D59-3891-4154-BB9D-88F0F4E1499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2942" name="AutoShape 12">
          <a:extLst>
            <a:ext uri="{FF2B5EF4-FFF2-40B4-BE49-F238E27FC236}">
              <a16:creationId xmlns:a16="http://schemas.microsoft.com/office/drawing/2014/main" id="{D751B5A9-F83D-41D8-979E-5C67B4AC7E5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2943" name="AutoShape 12">
          <a:extLst>
            <a:ext uri="{FF2B5EF4-FFF2-40B4-BE49-F238E27FC236}">
              <a16:creationId xmlns:a16="http://schemas.microsoft.com/office/drawing/2014/main" id="{6DE9EEBC-63A8-47E1-B34D-4C2A98770FF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2944" name="AutoShape 12">
          <a:extLst>
            <a:ext uri="{FF2B5EF4-FFF2-40B4-BE49-F238E27FC236}">
              <a16:creationId xmlns:a16="http://schemas.microsoft.com/office/drawing/2014/main" id="{910BD247-7454-4419-9EB4-C148BB07E18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2945" name="AutoShape 12">
          <a:extLst>
            <a:ext uri="{FF2B5EF4-FFF2-40B4-BE49-F238E27FC236}">
              <a16:creationId xmlns:a16="http://schemas.microsoft.com/office/drawing/2014/main" id="{B679220F-C18F-4D04-96F8-C2FCFDA2C5A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2946" name="AutoShape 12">
          <a:extLst>
            <a:ext uri="{FF2B5EF4-FFF2-40B4-BE49-F238E27FC236}">
              <a16:creationId xmlns:a16="http://schemas.microsoft.com/office/drawing/2014/main" id="{415BE341-0D43-40C9-9E10-FCF0A29B0CD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2947" name="AutoShape 12">
          <a:extLst>
            <a:ext uri="{FF2B5EF4-FFF2-40B4-BE49-F238E27FC236}">
              <a16:creationId xmlns:a16="http://schemas.microsoft.com/office/drawing/2014/main" id="{7B8B37A1-DD88-435C-84B8-25026FBC900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2948" name="AutoShape 12">
          <a:extLst>
            <a:ext uri="{FF2B5EF4-FFF2-40B4-BE49-F238E27FC236}">
              <a16:creationId xmlns:a16="http://schemas.microsoft.com/office/drawing/2014/main" id="{26E38444-2FFE-4DDA-A748-780CE9771B8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2949" name="AutoShape 12">
          <a:extLst>
            <a:ext uri="{FF2B5EF4-FFF2-40B4-BE49-F238E27FC236}">
              <a16:creationId xmlns:a16="http://schemas.microsoft.com/office/drawing/2014/main" id="{42C80345-6431-4D63-8ED5-61129092A2B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2950" name="AutoShape 12">
          <a:extLst>
            <a:ext uri="{FF2B5EF4-FFF2-40B4-BE49-F238E27FC236}">
              <a16:creationId xmlns:a16="http://schemas.microsoft.com/office/drawing/2014/main" id="{C501F3E8-CE32-47B6-8CA6-A78D051543A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2951" name="AutoShape 12">
          <a:extLst>
            <a:ext uri="{FF2B5EF4-FFF2-40B4-BE49-F238E27FC236}">
              <a16:creationId xmlns:a16="http://schemas.microsoft.com/office/drawing/2014/main" id="{79AB3626-0710-48C9-9907-67A66DB0AC6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2952" name="AutoShape 12">
          <a:extLst>
            <a:ext uri="{FF2B5EF4-FFF2-40B4-BE49-F238E27FC236}">
              <a16:creationId xmlns:a16="http://schemas.microsoft.com/office/drawing/2014/main" id="{A0DCC789-6871-42C0-982F-A735F80D036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2953" name="AutoShape 12">
          <a:extLst>
            <a:ext uri="{FF2B5EF4-FFF2-40B4-BE49-F238E27FC236}">
              <a16:creationId xmlns:a16="http://schemas.microsoft.com/office/drawing/2014/main" id="{E1372F90-5518-44C3-BD9F-FEC1DE71104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2954" name="AutoShape 12">
          <a:extLst>
            <a:ext uri="{FF2B5EF4-FFF2-40B4-BE49-F238E27FC236}">
              <a16:creationId xmlns:a16="http://schemas.microsoft.com/office/drawing/2014/main" id="{CF28EB87-FBD4-4958-B9DE-8D8BF24F78C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2955" name="AutoShape 12">
          <a:extLst>
            <a:ext uri="{FF2B5EF4-FFF2-40B4-BE49-F238E27FC236}">
              <a16:creationId xmlns:a16="http://schemas.microsoft.com/office/drawing/2014/main" id="{F887C78F-447B-40F9-B73F-EC4421C942F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2956" name="AutoShape 12">
          <a:extLst>
            <a:ext uri="{FF2B5EF4-FFF2-40B4-BE49-F238E27FC236}">
              <a16:creationId xmlns:a16="http://schemas.microsoft.com/office/drawing/2014/main" id="{778DADD4-3E84-4517-864E-7C77BA37BCA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2957" name="AutoShape 12">
          <a:extLst>
            <a:ext uri="{FF2B5EF4-FFF2-40B4-BE49-F238E27FC236}">
              <a16:creationId xmlns:a16="http://schemas.microsoft.com/office/drawing/2014/main" id="{27031FB9-97EF-4DEE-8E18-9358BF4BC25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2958" name="AutoShape 12">
          <a:extLst>
            <a:ext uri="{FF2B5EF4-FFF2-40B4-BE49-F238E27FC236}">
              <a16:creationId xmlns:a16="http://schemas.microsoft.com/office/drawing/2014/main" id="{2183A256-0B33-498E-AA61-80209F05601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2959" name="AutoShape 12">
          <a:extLst>
            <a:ext uri="{FF2B5EF4-FFF2-40B4-BE49-F238E27FC236}">
              <a16:creationId xmlns:a16="http://schemas.microsoft.com/office/drawing/2014/main" id="{054E8B5F-204F-4835-ACBC-154DA0C4C41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2960" name="AutoShape 12">
          <a:extLst>
            <a:ext uri="{FF2B5EF4-FFF2-40B4-BE49-F238E27FC236}">
              <a16:creationId xmlns:a16="http://schemas.microsoft.com/office/drawing/2014/main" id="{0B7D5366-8ECD-4B77-B792-E8F9B7580C0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2961" name="AutoShape 12">
          <a:extLst>
            <a:ext uri="{FF2B5EF4-FFF2-40B4-BE49-F238E27FC236}">
              <a16:creationId xmlns:a16="http://schemas.microsoft.com/office/drawing/2014/main" id="{F1E2CC4D-F14A-419B-B4A6-AAC70E847E8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2962" name="AutoShape 12">
          <a:extLst>
            <a:ext uri="{FF2B5EF4-FFF2-40B4-BE49-F238E27FC236}">
              <a16:creationId xmlns:a16="http://schemas.microsoft.com/office/drawing/2014/main" id="{242F6CD9-3E3D-427D-941D-F5F6A09DF19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2963" name="AutoShape 12">
          <a:extLst>
            <a:ext uri="{FF2B5EF4-FFF2-40B4-BE49-F238E27FC236}">
              <a16:creationId xmlns:a16="http://schemas.microsoft.com/office/drawing/2014/main" id="{D9EB76AE-3C8B-4F28-92F8-CA6F46D6C90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2964" name="AutoShape 12">
          <a:extLst>
            <a:ext uri="{FF2B5EF4-FFF2-40B4-BE49-F238E27FC236}">
              <a16:creationId xmlns:a16="http://schemas.microsoft.com/office/drawing/2014/main" id="{3B38FA80-10E1-452F-A8E2-55A2317B9F5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2965" name="AutoShape 12">
          <a:extLst>
            <a:ext uri="{FF2B5EF4-FFF2-40B4-BE49-F238E27FC236}">
              <a16:creationId xmlns:a16="http://schemas.microsoft.com/office/drawing/2014/main" id="{77CF3DEC-7036-4D27-9BB2-2E9CB337BDA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2966" name="AutoShape 12">
          <a:extLst>
            <a:ext uri="{FF2B5EF4-FFF2-40B4-BE49-F238E27FC236}">
              <a16:creationId xmlns:a16="http://schemas.microsoft.com/office/drawing/2014/main" id="{1694B435-C2AE-468C-8180-DEED52D4E95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2967" name="AutoShape 12">
          <a:extLst>
            <a:ext uri="{FF2B5EF4-FFF2-40B4-BE49-F238E27FC236}">
              <a16:creationId xmlns:a16="http://schemas.microsoft.com/office/drawing/2014/main" id="{418B20B8-5928-4AC7-B184-C3686B71BDA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2968" name="AutoShape 12">
          <a:extLst>
            <a:ext uri="{FF2B5EF4-FFF2-40B4-BE49-F238E27FC236}">
              <a16:creationId xmlns:a16="http://schemas.microsoft.com/office/drawing/2014/main" id="{B8BAA4F2-993A-4E88-99AC-4537188DDDA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2969" name="AutoShape 12">
          <a:extLst>
            <a:ext uri="{FF2B5EF4-FFF2-40B4-BE49-F238E27FC236}">
              <a16:creationId xmlns:a16="http://schemas.microsoft.com/office/drawing/2014/main" id="{CC3A3F52-55E9-47C5-AA83-095DCA91B81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2970" name="AutoShape 12">
          <a:extLst>
            <a:ext uri="{FF2B5EF4-FFF2-40B4-BE49-F238E27FC236}">
              <a16:creationId xmlns:a16="http://schemas.microsoft.com/office/drawing/2014/main" id="{F33C4025-D9B6-43B4-80BF-8F1B64BA53A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2971" name="AutoShape 12">
          <a:extLst>
            <a:ext uri="{FF2B5EF4-FFF2-40B4-BE49-F238E27FC236}">
              <a16:creationId xmlns:a16="http://schemas.microsoft.com/office/drawing/2014/main" id="{BB49F5F7-A0F6-465B-8543-8CA8D358B1E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2972" name="AutoShape 12">
          <a:extLst>
            <a:ext uri="{FF2B5EF4-FFF2-40B4-BE49-F238E27FC236}">
              <a16:creationId xmlns:a16="http://schemas.microsoft.com/office/drawing/2014/main" id="{5D058AE8-F4A3-437D-B249-4C32D6D0116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2973" name="AutoShape 12">
          <a:extLst>
            <a:ext uri="{FF2B5EF4-FFF2-40B4-BE49-F238E27FC236}">
              <a16:creationId xmlns:a16="http://schemas.microsoft.com/office/drawing/2014/main" id="{27100871-508A-4780-8CEE-D5289672145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2974" name="AutoShape 12">
          <a:extLst>
            <a:ext uri="{FF2B5EF4-FFF2-40B4-BE49-F238E27FC236}">
              <a16:creationId xmlns:a16="http://schemas.microsoft.com/office/drawing/2014/main" id="{2558178A-CB49-42FD-9388-67333CD4EA1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2975" name="AutoShape 12">
          <a:extLst>
            <a:ext uri="{FF2B5EF4-FFF2-40B4-BE49-F238E27FC236}">
              <a16:creationId xmlns:a16="http://schemas.microsoft.com/office/drawing/2014/main" id="{A5F8E01A-F9BB-4D80-B3F5-F52720A95E5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2976" name="AutoShape 12">
          <a:extLst>
            <a:ext uri="{FF2B5EF4-FFF2-40B4-BE49-F238E27FC236}">
              <a16:creationId xmlns:a16="http://schemas.microsoft.com/office/drawing/2014/main" id="{C4D4EA5B-4C72-47A5-BE83-F13E96C709F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2977" name="AutoShape 12">
          <a:extLst>
            <a:ext uri="{FF2B5EF4-FFF2-40B4-BE49-F238E27FC236}">
              <a16:creationId xmlns:a16="http://schemas.microsoft.com/office/drawing/2014/main" id="{15D93800-329E-4D9A-8BD4-792F391C33F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2978" name="AutoShape 12">
          <a:extLst>
            <a:ext uri="{FF2B5EF4-FFF2-40B4-BE49-F238E27FC236}">
              <a16:creationId xmlns:a16="http://schemas.microsoft.com/office/drawing/2014/main" id="{D8B5A9F6-F985-40C9-8655-A5592209CEB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</xdr:row>
      <xdr:rowOff>0</xdr:rowOff>
    </xdr:from>
    <xdr:ext cx="304800" cy="304094"/>
    <xdr:sp macro="" textlink="">
      <xdr:nvSpPr>
        <xdr:cNvPr id="2979" name="AutoShape 12">
          <a:extLst>
            <a:ext uri="{FF2B5EF4-FFF2-40B4-BE49-F238E27FC236}">
              <a16:creationId xmlns:a16="http://schemas.microsoft.com/office/drawing/2014/main" id="{42540907-F0B2-4E47-A1EA-6B7241EC539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</xdr:row>
      <xdr:rowOff>0</xdr:rowOff>
    </xdr:from>
    <xdr:ext cx="304800" cy="304094"/>
    <xdr:sp macro="" textlink="">
      <xdr:nvSpPr>
        <xdr:cNvPr id="2980" name="AutoShape 12">
          <a:extLst>
            <a:ext uri="{FF2B5EF4-FFF2-40B4-BE49-F238E27FC236}">
              <a16:creationId xmlns:a16="http://schemas.microsoft.com/office/drawing/2014/main" id="{721A44B7-7F16-4B3C-84A6-2024BDA169C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2981" name="AutoShape 12">
          <a:extLst>
            <a:ext uri="{FF2B5EF4-FFF2-40B4-BE49-F238E27FC236}">
              <a16:creationId xmlns:a16="http://schemas.microsoft.com/office/drawing/2014/main" id="{97AE7EF7-B1E7-4E4B-8890-2504D3EB83E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2982" name="AutoShape 12">
          <a:extLst>
            <a:ext uri="{FF2B5EF4-FFF2-40B4-BE49-F238E27FC236}">
              <a16:creationId xmlns:a16="http://schemas.microsoft.com/office/drawing/2014/main" id="{2C503822-74F4-4218-90C9-076F1535967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2983" name="AutoShape 12">
          <a:extLst>
            <a:ext uri="{FF2B5EF4-FFF2-40B4-BE49-F238E27FC236}">
              <a16:creationId xmlns:a16="http://schemas.microsoft.com/office/drawing/2014/main" id="{BFEA15F1-819D-4A12-939D-6148F3E98F1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2984" name="AutoShape 12">
          <a:extLst>
            <a:ext uri="{FF2B5EF4-FFF2-40B4-BE49-F238E27FC236}">
              <a16:creationId xmlns:a16="http://schemas.microsoft.com/office/drawing/2014/main" id="{AAAA82EA-B920-4E98-AAC1-0AE9A6792ED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2985" name="AutoShape 12">
          <a:extLst>
            <a:ext uri="{FF2B5EF4-FFF2-40B4-BE49-F238E27FC236}">
              <a16:creationId xmlns:a16="http://schemas.microsoft.com/office/drawing/2014/main" id="{B33F442A-2DCC-4E1E-90C7-550000A8AD5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2986" name="AutoShape 12">
          <a:extLst>
            <a:ext uri="{FF2B5EF4-FFF2-40B4-BE49-F238E27FC236}">
              <a16:creationId xmlns:a16="http://schemas.microsoft.com/office/drawing/2014/main" id="{708FD74D-9169-4B26-9583-7E88F2F5A12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2987" name="AutoShape 12">
          <a:extLst>
            <a:ext uri="{FF2B5EF4-FFF2-40B4-BE49-F238E27FC236}">
              <a16:creationId xmlns:a16="http://schemas.microsoft.com/office/drawing/2014/main" id="{3DE79D0C-5553-4B01-B82D-3611013C388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2988" name="AutoShape 12">
          <a:extLst>
            <a:ext uri="{FF2B5EF4-FFF2-40B4-BE49-F238E27FC236}">
              <a16:creationId xmlns:a16="http://schemas.microsoft.com/office/drawing/2014/main" id="{543B8C4B-7192-4885-8E19-174C7306C24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</xdr:row>
      <xdr:rowOff>0</xdr:rowOff>
    </xdr:from>
    <xdr:ext cx="304800" cy="304094"/>
    <xdr:sp macro="" textlink="">
      <xdr:nvSpPr>
        <xdr:cNvPr id="2989" name="AutoShape 12">
          <a:extLst>
            <a:ext uri="{FF2B5EF4-FFF2-40B4-BE49-F238E27FC236}">
              <a16:creationId xmlns:a16="http://schemas.microsoft.com/office/drawing/2014/main" id="{74D246F8-BCF1-49F1-BDD8-840FB48925D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2990" name="AutoShape 12">
          <a:extLst>
            <a:ext uri="{FF2B5EF4-FFF2-40B4-BE49-F238E27FC236}">
              <a16:creationId xmlns:a16="http://schemas.microsoft.com/office/drawing/2014/main" id="{CF57E212-40E7-41F4-9DE8-C560C5157DE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2991" name="AutoShape 12">
          <a:extLst>
            <a:ext uri="{FF2B5EF4-FFF2-40B4-BE49-F238E27FC236}">
              <a16:creationId xmlns:a16="http://schemas.microsoft.com/office/drawing/2014/main" id="{4ABEB3A0-A732-4C98-ACD5-F9834C35072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2992" name="AutoShape 12">
          <a:extLst>
            <a:ext uri="{FF2B5EF4-FFF2-40B4-BE49-F238E27FC236}">
              <a16:creationId xmlns:a16="http://schemas.microsoft.com/office/drawing/2014/main" id="{DEEF1636-BC26-44A5-9075-FCBAC4E0CB8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2993" name="AutoShape 12">
          <a:extLst>
            <a:ext uri="{FF2B5EF4-FFF2-40B4-BE49-F238E27FC236}">
              <a16:creationId xmlns:a16="http://schemas.microsoft.com/office/drawing/2014/main" id="{BB8566A7-C9DE-4A32-ACA7-CFFC15B4407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2994" name="AutoShape 12">
          <a:extLst>
            <a:ext uri="{FF2B5EF4-FFF2-40B4-BE49-F238E27FC236}">
              <a16:creationId xmlns:a16="http://schemas.microsoft.com/office/drawing/2014/main" id="{D548F9DF-6D6A-43BB-96D0-AAF2009F05B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2995" name="AutoShape 12">
          <a:extLst>
            <a:ext uri="{FF2B5EF4-FFF2-40B4-BE49-F238E27FC236}">
              <a16:creationId xmlns:a16="http://schemas.microsoft.com/office/drawing/2014/main" id="{2648869F-09B9-4D7B-8468-83E476930C1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2996" name="AutoShape 12">
          <a:extLst>
            <a:ext uri="{FF2B5EF4-FFF2-40B4-BE49-F238E27FC236}">
              <a16:creationId xmlns:a16="http://schemas.microsoft.com/office/drawing/2014/main" id="{C67234EB-7FD6-4242-892A-0F9C8769CFD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2997" name="AutoShape 12">
          <a:extLst>
            <a:ext uri="{FF2B5EF4-FFF2-40B4-BE49-F238E27FC236}">
              <a16:creationId xmlns:a16="http://schemas.microsoft.com/office/drawing/2014/main" id="{E54E0785-EF45-46C7-96BF-0E58E557629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2998" name="AutoShape 12">
          <a:extLst>
            <a:ext uri="{FF2B5EF4-FFF2-40B4-BE49-F238E27FC236}">
              <a16:creationId xmlns:a16="http://schemas.microsoft.com/office/drawing/2014/main" id="{FC72E89B-4DA1-42AA-9383-8EDDF54A3AD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2999" name="AutoShape 12">
          <a:extLst>
            <a:ext uri="{FF2B5EF4-FFF2-40B4-BE49-F238E27FC236}">
              <a16:creationId xmlns:a16="http://schemas.microsoft.com/office/drawing/2014/main" id="{95BDDE61-D5EE-4585-A4BA-72E95112B7B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3000" name="AutoShape 12">
          <a:extLst>
            <a:ext uri="{FF2B5EF4-FFF2-40B4-BE49-F238E27FC236}">
              <a16:creationId xmlns:a16="http://schemas.microsoft.com/office/drawing/2014/main" id="{61216274-9DB3-4A7C-8307-44C4D93089F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3001" name="AutoShape 12">
          <a:extLst>
            <a:ext uri="{FF2B5EF4-FFF2-40B4-BE49-F238E27FC236}">
              <a16:creationId xmlns:a16="http://schemas.microsoft.com/office/drawing/2014/main" id="{1C63930E-C2BB-424F-849D-CB19A6E9CEB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3002" name="AutoShape 12">
          <a:extLst>
            <a:ext uri="{FF2B5EF4-FFF2-40B4-BE49-F238E27FC236}">
              <a16:creationId xmlns:a16="http://schemas.microsoft.com/office/drawing/2014/main" id="{026E700B-9FE8-4B94-AAC9-76D77590652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3003" name="AutoShape 12">
          <a:extLst>
            <a:ext uri="{FF2B5EF4-FFF2-40B4-BE49-F238E27FC236}">
              <a16:creationId xmlns:a16="http://schemas.microsoft.com/office/drawing/2014/main" id="{B9A06F3A-A8A2-4DEE-BACA-70A65E2C0DF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3004" name="AutoShape 12">
          <a:extLst>
            <a:ext uri="{FF2B5EF4-FFF2-40B4-BE49-F238E27FC236}">
              <a16:creationId xmlns:a16="http://schemas.microsoft.com/office/drawing/2014/main" id="{7A6C7F04-1547-4AD9-9008-3B15FC2C697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3005" name="AutoShape 12">
          <a:extLst>
            <a:ext uri="{FF2B5EF4-FFF2-40B4-BE49-F238E27FC236}">
              <a16:creationId xmlns:a16="http://schemas.microsoft.com/office/drawing/2014/main" id="{B81FDBAE-9DEA-47D8-AD40-1424A643B88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3006" name="AutoShape 12">
          <a:extLst>
            <a:ext uri="{FF2B5EF4-FFF2-40B4-BE49-F238E27FC236}">
              <a16:creationId xmlns:a16="http://schemas.microsoft.com/office/drawing/2014/main" id="{A3FAC53C-DF3C-447C-B847-6D0ED277673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3007" name="AutoShape 12">
          <a:extLst>
            <a:ext uri="{FF2B5EF4-FFF2-40B4-BE49-F238E27FC236}">
              <a16:creationId xmlns:a16="http://schemas.microsoft.com/office/drawing/2014/main" id="{9B2E8F9D-E3B2-4FD4-84EE-21840307A3A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3008" name="AutoShape 12">
          <a:extLst>
            <a:ext uri="{FF2B5EF4-FFF2-40B4-BE49-F238E27FC236}">
              <a16:creationId xmlns:a16="http://schemas.microsoft.com/office/drawing/2014/main" id="{D57AA34F-62DB-443E-BB89-498F639E906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3009" name="AutoShape 12">
          <a:extLst>
            <a:ext uri="{FF2B5EF4-FFF2-40B4-BE49-F238E27FC236}">
              <a16:creationId xmlns:a16="http://schemas.microsoft.com/office/drawing/2014/main" id="{1ADF6A20-9FCF-4479-B539-B180590ECB7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3010" name="AutoShape 12">
          <a:extLst>
            <a:ext uri="{FF2B5EF4-FFF2-40B4-BE49-F238E27FC236}">
              <a16:creationId xmlns:a16="http://schemas.microsoft.com/office/drawing/2014/main" id="{80F73C00-3F32-4666-879C-3B925E8AB03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3011" name="AutoShape 12">
          <a:extLst>
            <a:ext uri="{FF2B5EF4-FFF2-40B4-BE49-F238E27FC236}">
              <a16:creationId xmlns:a16="http://schemas.microsoft.com/office/drawing/2014/main" id="{DA1C1B93-28FB-4AAC-8FF6-7D7D036F7DA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3012" name="AutoShape 12">
          <a:extLst>
            <a:ext uri="{FF2B5EF4-FFF2-40B4-BE49-F238E27FC236}">
              <a16:creationId xmlns:a16="http://schemas.microsoft.com/office/drawing/2014/main" id="{2889CAEC-797A-4462-8159-8473B5CC5B6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3013" name="AutoShape 12">
          <a:extLst>
            <a:ext uri="{FF2B5EF4-FFF2-40B4-BE49-F238E27FC236}">
              <a16:creationId xmlns:a16="http://schemas.microsoft.com/office/drawing/2014/main" id="{45908A2B-8BE1-47B8-BAED-6367E64A75D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3014" name="AutoShape 12">
          <a:extLst>
            <a:ext uri="{FF2B5EF4-FFF2-40B4-BE49-F238E27FC236}">
              <a16:creationId xmlns:a16="http://schemas.microsoft.com/office/drawing/2014/main" id="{0B806894-77FA-453B-839D-26B30919EFF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3015" name="AutoShape 12">
          <a:extLst>
            <a:ext uri="{FF2B5EF4-FFF2-40B4-BE49-F238E27FC236}">
              <a16:creationId xmlns:a16="http://schemas.microsoft.com/office/drawing/2014/main" id="{9C9B334F-51E0-4BDD-8E13-91C8BC70CC5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3016" name="AutoShape 12">
          <a:extLst>
            <a:ext uri="{FF2B5EF4-FFF2-40B4-BE49-F238E27FC236}">
              <a16:creationId xmlns:a16="http://schemas.microsoft.com/office/drawing/2014/main" id="{1E83D5B5-1E8F-4FB9-BF0E-931F4B51348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3017" name="AutoShape 12">
          <a:extLst>
            <a:ext uri="{FF2B5EF4-FFF2-40B4-BE49-F238E27FC236}">
              <a16:creationId xmlns:a16="http://schemas.microsoft.com/office/drawing/2014/main" id="{5C91A643-847F-43A3-86AF-95C4DE584F9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3018" name="AutoShape 12">
          <a:extLst>
            <a:ext uri="{FF2B5EF4-FFF2-40B4-BE49-F238E27FC236}">
              <a16:creationId xmlns:a16="http://schemas.microsoft.com/office/drawing/2014/main" id="{F7E4894A-F44C-4AFE-B20E-33F24027630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3019" name="AutoShape 12">
          <a:extLst>
            <a:ext uri="{FF2B5EF4-FFF2-40B4-BE49-F238E27FC236}">
              <a16:creationId xmlns:a16="http://schemas.microsoft.com/office/drawing/2014/main" id="{0CB02541-9095-4EFF-B5D5-64E7D87071B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3020" name="AutoShape 12">
          <a:extLst>
            <a:ext uri="{FF2B5EF4-FFF2-40B4-BE49-F238E27FC236}">
              <a16:creationId xmlns:a16="http://schemas.microsoft.com/office/drawing/2014/main" id="{CDF9982E-1B9E-4D79-9DAF-787EFAF4FB8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3021" name="AutoShape 12">
          <a:extLst>
            <a:ext uri="{FF2B5EF4-FFF2-40B4-BE49-F238E27FC236}">
              <a16:creationId xmlns:a16="http://schemas.microsoft.com/office/drawing/2014/main" id="{8F3EEFF8-17EB-4AC3-A45B-423C34BF696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3022" name="AutoShape 12">
          <a:extLst>
            <a:ext uri="{FF2B5EF4-FFF2-40B4-BE49-F238E27FC236}">
              <a16:creationId xmlns:a16="http://schemas.microsoft.com/office/drawing/2014/main" id="{1E2CAEF3-CB1C-4C10-924B-C05DBC20EE2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3023" name="AutoShape 12">
          <a:extLst>
            <a:ext uri="{FF2B5EF4-FFF2-40B4-BE49-F238E27FC236}">
              <a16:creationId xmlns:a16="http://schemas.microsoft.com/office/drawing/2014/main" id="{55CDDA49-A6B7-4D0D-8BB5-EFFFCF65407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3024" name="AutoShape 12">
          <a:extLst>
            <a:ext uri="{FF2B5EF4-FFF2-40B4-BE49-F238E27FC236}">
              <a16:creationId xmlns:a16="http://schemas.microsoft.com/office/drawing/2014/main" id="{F129FA91-E01A-4274-9A3C-E29DED543EA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3025" name="AutoShape 12">
          <a:extLst>
            <a:ext uri="{FF2B5EF4-FFF2-40B4-BE49-F238E27FC236}">
              <a16:creationId xmlns:a16="http://schemas.microsoft.com/office/drawing/2014/main" id="{C54CD894-3C26-4F79-9A69-08FFFFA509A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3026" name="AutoShape 12">
          <a:extLst>
            <a:ext uri="{FF2B5EF4-FFF2-40B4-BE49-F238E27FC236}">
              <a16:creationId xmlns:a16="http://schemas.microsoft.com/office/drawing/2014/main" id="{11CD97E1-68B0-4F3B-9426-15B5CF73A4B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3027" name="AutoShape 12">
          <a:extLst>
            <a:ext uri="{FF2B5EF4-FFF2-40B4-BE49-F238E27FC236}">
              <a16:creationId xmlns:a16="http://schemas.microsoft.com/office/drawing/2014/main" id="{3048F6B2-E5FC-4C9E-9CCB-82AB6D41AB1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3028" name="AutoShape 12">
          <a:extLst>
            <a:ext uri="{FF2B5EF4-FFF2-40B4-BE49-F238E27FC236}">
              <a16:creationId xmlns:a16="http://schemas.microsoft.com/office/drawing/2014/main" id="{F80B1507-494C-4751-91C8-B7798975BD6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3029" name="AutoShape 12">
          <a:extLst>
            <a:ext uri="{FF2B5EF4-FFF2-40B4-BE49-F238E27FC236}">
              <a16:creationId xmlns:a16="http://schemas.microsoft.com/office/drawing/2014/main" id="{316EB1C0-6694-45D4-8FF1-1C9C00FC0DE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</xdr:row>
      <xdr:rowOff>0</xdr:rowOff>
    </xdr:from>
    <xdr:ext cx="304800" cy="304094"/>
    <xdr:sp macro="" textlink="">
      <xdr:nvSpPr>
        <xdr:cNvPr id="3030" name="AutoShape 12">
          <a:extLst>
            <a:ext uri="{FF2B5EF4-FFF2-40B4-BE49-F238E27FC236}">
              <a16:creationId xmlns:a16="http://schemas.microsoft.com/office/drawing/2014/main" id="{16B410BB-614B-485C-A8EA-F294C27C3D3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3031" name="AutoShape 12">
          <a:extLst>
            <a:ext uri="{FF2B5EF4-FFF2-40B4-BE49-F238E27FC236}">
              <a16:creationId xmlns:a16="http://schemas.microsoft.com/office/drawing/2014/main" id="{3D178484-9F33-471C-90AA-064B94B8E86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3032" name="AutoShape 12">
          <a:extLst>
            <a:ext uri="{FF2B5EF4-FFF2-40B4-BE49-F238E27FC236}">
              <a16:creationId xmlns:a16="http://schemas.microsoft.com/office/drawing/2014/main" id="{17DB64E3-B41B-4CC6-8EEA-ED7724F41F5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3033" name="AutoShape 12">
          <a:extLst>
            <a:ext uri="{FF2B5EF4-FFF2-40B4-BE49-F238E27FC236}">
              <a16:creationId xmlns:a16="http://schemas.microsoft.com/office/drawing/2014/main" id="{390CE567-8B54-4628-A397-EC3E17D3C29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3034" name="AutoShape 12">
          <a:extLst>
            <a:ext uri="{FF2B5EF4-FFF2-40B4-BE49-F238E27FC236}">
              <a16:creationId xmlns:a16="http://schemas.microsoft.com/office/drawing/2014/main" id="{ABBB9AD7-58EE-4166-8A09-3D166F05BDB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3035" name="AutoShape 12">
          <a:extLst>
            <a:ext uri="{FF2B5EF4-FFF2-40B4-BE49-F238E27FC236}">
              <a16:creationId xmlns:a16="http://schemas.microsoft.com/office/drawing/2014/main" id="{DEB18D3F-A82A-4071-BEBA-460A4111A73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3036" name="AutoShape 12">
          <a:extLst>
            <a:ext uri="{FF2B5EF4-FFF2-40B4-BE49-F238E27FC236}">
              <a16:creationId xmlns:a16="http://schemas.microsoft.com/office/drawing/2014/main" id="{78884453-F0FF-43F9-9FBD-987C28E378A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3037" name="AutoShape 12">
          <a:extLst>
            <a:ext uri="{FF2B5EF4-FFF2-40B4-BE49-F238E27FC236}">
              <a16:creationId xmlns:a16="http://schemas.microsoft.com/office/drawing/2014/main" id="{1D2626E1-0DB4-4792-8900-53DDF3868E5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3038" name="AutoShape 12">
          <a:extLst>
            <a:ext uri="{FF2B5EF4-FFF2-40B4-BE49-F238E27FC236}">
              <a16:creationId xmlns:a16="http://schemas.microsoft.com/office/drawing/2014/main" id="{16159BAE-8A72-438E-9DD1-99F5F0DBFE1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3039" name="AutoShape 12">
          <a:extLst>
            <a:ext uri="{FF2B5EF4-FFF2-40B4-BE49-F238E27FC236}">
              <a16:creationId xmlns:a16="http://schemas.microsoft.com/office/drawing/2014/main" id="{A2C614A5-057F-4EF3-8E28-278B5576A4B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3040" name="AutoShape 12">
          <a:extLst>
            <a:ext uri="{FF2B5EF4-FFF2-40B4-BE49-F238E27FC236}">
              <a16:creationId xmlns:a16="http://schemas.microsoft.com/office/drawing/2014/main" id="{605EF9CD-9B58-4919-88DA-795ABAAB6EE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3041" name="AutoShape 12">
          <a:extLst>
            <a:ext uri="{FF2B5EF4-FFF2-40B4-BE49-F238E27FC236}">
              <a16:creationId xmlns:a16="http://schemas.microsoft.com/office/drawing/2014/main" id="{43C7365C-D4D1-4F91-948A-75819CD8A4F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3042" name="AutoShape 12">
          <a:extLst>
            <a:ext uri="{FF2B5EF4-FFF2-40B4-BE49-F238E27FC236}">
              <a16:creationId xmlns:a16="http://schemas.microsoft.com/office/drawing/2014/main" id="{37920689-C92B-4C2F-AF25-C86D00F3A24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3043" name="AutoShape 12">
          <a:extLst>
            <a:ext uri="{FF2B5EF4-FFF2-40B4-BE49-F238E27FC236}">
              <a16:creationId xmlns:a16="http://schemas.microsoft.com/office/drawing/2014/main" id="{8D7BF1D6-A98A-4687-AB73-98A8E3EC0D0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3044" name="AutoShape 12">
          <a:extLst>
            <a:ext uri="{FF2B5EF4-FFF2-40B4-BE49-F238E27FC236}">
              <a16:creationId xmlns:a16="http://schemas.microsoft.com/office/drawing/2014/main" id="{0EF9EA1F-80EE-4A32-B165-A2BFA580E7B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3045" name="AutoShape 12">
          <a:extLst>
            <a:ext uri="{FF2B5EF4-FFF2-40B4-BE49-F238E27FC236}">
              <a16:creationId xmlns:a16="http://schemas.microsoft.com/office/drawing/2014/main" id="{FF78EA58-505C-4D0F-8197-BA31A9BFD77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3046" name="AutoShape 12">
          <a:extLst>
            <a:ext uri="{FF2B5EF4-FFF2-40B4-BE49-F238E27FC236}">
              <a16:creationId xmlns:a16="http://schemas.microsoft.com/office/drawing/2014/main" id="{39BD84A2-21AD-4E46-B4A9-95C3FF07718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3047" name="AutoShape 12">
          <a:extLst>
            <a:ext uri="{FF2B5EF4-FFF2-40B4-BE49-F238E27FC236}">
              <a16:creationId xmlns:a16="http://schemas.microsoft.com/office/drawing/2014/main" id="{C9724384-D088-4BAF-97DA-3E5DE6B2423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3048" name="AutoShape 12">
          <a:extLst>
            <a:ext uri="{FF2B5EF4-FFF2-40B4-BE49-F238E27FC236}">
              <a16:creationId xmlns:a16="http://schemas.microsoft.com/office/drawing/2014/main" id="{5E90A309-34BC-4AD6-9A25-25D13DD92E0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3049" name="AutoShape 12">
          <a:extLst>
            <a:ext uri="{FF2B5EF4-FFF2-40B4-BE49-F238E27FC236}">
              <a16:creationId xmlns:a16="http://schemas.microsoft.com/office/drawing/2014/main" id="{527D3AFF-3C9D-430E-8FE4-7F0EF472111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3050" name="AutoShape 12">
          <a:extLst>
            <a:ext uri="{FF2B5EF4-FFF2-40B4-BE49-F238E27FC236}">
              <a16:creationId xmlns:a16="http://schemas.microsoft.com/office/drawing/2014/main" id="{D709DEBF-4057-45FD-A167-A5C872BF958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3051" name="AutoShape 12">
          <a:extLst>
            <a:ext uri="{FF2B5EF4-FFF2-40B4-BE49-F238E27FC236}">
              <a16:creationId xmlns:a16="http://schemas.microsoft.com/office/drawing/2014/main" id="{55270A8D-4C06-4CE3-BBD0-6FF94012121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3052" name="AutoShape 12">
          <a:extLst>
            <a:ext uri="{FF2B5EF4-FFF2-40B4-BE49-F238E27FC236}">
              <a16:creationId xmlns:a16="http://schemas.microsoft.com/office/drawing/2014/main" id="{9601A526-F0AE-4BE1-9910-C9EE0DF6656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3053" name="AutoShape 12">
          <a:extLst>
            <a:ext uri="{FF2B5EF4-FFF2-40B4-BE49-F238E27FC236}">
              <a16:creationId xmlns:a16="http://schemas.microsoft.com/office/drawing/2014/main" id="{85D15E50-18C0-4817-802D-75A4D348181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3054" name="AutoShape 12">
          <a:extLst>
            <a:ext uri="{FF2B5EF4-FFF2-40B4-BE49-F238E27FC236}">
              <a16:creationId xmlns:a16="http://schemas.microsoft.com/office/drawing/2014/main" id="{48E642AF-2D91-4929-A1D1-2494DEC0AF0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3055" name="AutoShape 12">
          <a:extLst>
            <a:ext uri="{FF2B5EF4-FFF2-40B4-BE49-F238E27FC236}">
              <a16:creationId xmlns:a16="http://schemas.microsoft.com/office/drawing/2014/main" id="{1EB3A094-53DD-46BF-99CA-2948AF9D4AD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3056" name="AutoShape 12">
          <a:extLst>
            <a:ext uri="{FF2B5EF4-FFF2-40B4-BE49-F238E27FC236}">
              <a16:creationId xmlns:a16="http://schemas.microsoft.com/office/drawing/2014/main" id="{CDFECDFF-9021-47AD-AE0C-D7EB3748BD1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3057" name="AutoShape 12">
          <a:extLst>
            <a:ext uri="{FF2B5EF4-FFF2-40B4-BE49-F238E27FC236}">
              <a16:creationId xmlns:a16="http://schemas.microsoft.com/office/drawing/2014/main" id="{819258A5-F220-456A-A844-6A522038DEA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3058" name="AutoShape 12">
          <a:extLst>
            <a:ext uri="{FF2B5EF4-FFF2-40B4-BE49-F238E27FC236}">
              <a16:creationId xmlns:a16="http://schemas.microsoft.com/office/drawing/2014/main" id="{FD545B46-96B7-4C92-9471-5F99E58587D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3059" name="AutoShape 12">
          <a:extLst>
            <a:ext uri="{FF2B5EF4-FFF2-40B4-BE49-F238E27FC236}">
              <a16:creationId xmlns:a16="http://schemas.microsoft.com/office/drawing/2014/main" id="{7A0F198B-05B9-4C18-B980-BD6B757945B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3060" name="AutoShape 12">
          <a:extLst>
            <a:ext uri="{FF2B5EF4-FFF2-40B4-BE49-F238E27FC236}">
              <a16:creationId xmlns:a16="http://schemas.microsoft.com/office/drawing/2014/main" id="{FDE00355-7E0B-4A48-A48B-62EA6DB00E8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3061" name="AutoShape 12">
          <a:extLst>
            <a:ext uri="{FF2B5EF4-FFF2-40B4-BE49-F238E27FC236}">
              <a16:creationId xmlns:a16="http://schemas.microsoft.com/office/drawing/2014/main" id="{5B5CB43D-C1BF-4063-B12E-FB3612CAB27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3062" name="AutoShape 12">
          <a:extLst>
            <a:ext uri="{FF2B5EF4-FFF2-40B4-BE49-F238E27FC236}">
              <a16:creationId xmlns:a16="http://schemas.microsoft.com/office/drawing/2014/main" id="{4D676D87-B07B-4876-A3D1-F5EE4FA1CEF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3063" name="AutoShape 12">
          <a:extLst>
            <a:ext uri="{FF2B5EF4-FFF2-40B4-BE49-F238E27FC236}">
              <a16:creationId xmlns:a16="http://schemas.microsoft.com/office/drawing/2014/main" id="{DBA94950-2C8E-4C73-8E77-D44BE05796E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3064" name="AutoShape 12">
          <a:extLst>
            <a:ext uri="{FF2B5EF4-FFF2-40B4-BE49-F238E27FC236}">
              <a16:creationId xmlns:a16="http://schemas.microsoft.com/office/drawing/2014/main" id="{778DE19D-CDE1-4253-8963-7488D5B6F61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3065" name="AutoShape 12">
          <a:extLst>
            <a:ext uri="{FF2B5EF4-FFF2-40B4-BE49-F238E27FC236}">
              <a16:creationId xmlns:a16="http://schemas.microsoft.com/office/drawing/2014/main" id="{0A58DBA4-7E94-4A98-BA57-B8D755FD357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3066" name="AutoShape 12">
          <a:extLst>
            <a:ext uri="{FF2B5EF4-FFF2-40B4-BE49-F238E27FC236}">
              <a16:creationId xmlns:a16="http://schemas.microsoft.com/office/drawing/2014/main" id="{2EA6E25C-1540-49F5-940E-22E056B71B0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3067" name="AutoShape 12">
          <a:extLst>
            <a:ext uri="{FF2B5EF4-FFF2-40B4-BE49-F238E27FC236}">
              <a16:creationId xmlns:a16="http://schemas.microsoft.com/office/drawing/2014/main" id="{3FBBA1E2-0EB4-48E8-A107-1BC2E54F4AB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3068" name="AutoShape 12">
          <a:extLst>
            <a:ext uri="{FF2B5EF4-FFF2-40B4-BE49-F238E27FC236}">
              <a16:creationId xmlns:a16="http://schemas.microsoft.com/office/drawing/2014/main" id="{67363C4D-721B-4071-8554-579B806DFC9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3069" name="AutoShape 12">
          <a:extLst>
            <a:ext uri="{FF2B5EF4-FFF2-40B4-BE49-F238E27FC236}">
              <a16:creationId xmlns:a16="http://schemas.microsoft.com/office/drawing/2014/main" id="{A7B55300-A12E-490F-9192-4C9E84E25FF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3070" name="AutoShape 12">
          <a:extLst>
            <a:ext uri="{FF2B5EF4-FFF2-40B4-BE49-F238E27FC236}">
              <a16:creationId xmlns:a16="http://schemas.microsoft.com/office/drawing/2014/main" id="{0080B642-CAEE-4FDB-B7BB-2501AED6F7F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3071" name="AutoShape 12">
          <a:extLst>
            <a:ext uri="{FF2B5EF4-FFF2-40B4-BE49-F238E27FC236}">
              <a16:creationId xmlns:a16="http://schemas.microsoft.com/office/drawing/2014/main" id="{4E5BE22C-C7D9-4C95-95D0-358AB17C1F8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3072" name="AutoShape 12">
          <a:extLst>
            <a:ext uri="{FF2B5EF4-FFF2-40B4-BE49-F238E27FC236}">
              <a16:creationId xmlns:a16="http://schemas.microsoft.com/office/drawing/2014/main" id="{ED9DC31E-59A3-426A-A1EC-E98C612099C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3073" name="AutoShape 12">
          <a:extLst>
            <a:ext uri="{FF2B5EF4-FFF2-40B4-BE49-F238E27FC236}">
              <a16:creationId xmlns:a16="http://schemas.microsoft.com/office/drawing/2014/main" id="{4A211E05-D463-4935-817F-78A9A5DCB35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3074" name="AutoShape 12">
          <a:extLst>
            <a:ext uri="{FF2B5EF4-FFF2-40B4-BE49-F238E27FC236}">
              <a16:creationId xmlns:a16="http://schemas.microsoft.com/office/drawing/2014/main" id="{E9C27F34-2F76-4960-A43E-43A4BE9C517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3075" name="AutoShape 12">
          <a:extLst>
            <a:ext uri="{FF2B5EF4-FFF2-40B4-BE49-F238E27FC236}">
              <a16:creationId xmlns:a16="http://schemas.microsoft.com/office/drawing/2014/main" id="{E6816DAF-BD63-44F3-8A07-75910491AC4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3076" name="AutoShape 12">
          <a:extLst>
            <a:ext uri="{FF2B5EF4-FFF2-40B4-BE49-F238E27FC236}">
              <a16:creationId xmlns:a16="http://schemas.microsoft.com/office/drawing/2014/main" id="{2D37C9FB-6637-47CE-9BF7-94291902CED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3077" name="AutoShape 12">
          <a:extLst>
            <a:ext uri="{FF2B5EF4-FFF2-40B4-BE49-F238E27FC236}">
              <a16:creationId xmlns:a16="http://schemas.microsoft.com/office/drawing/2014/main" id="{9D0D38F4-268C-4D38-92EE-33CDFDD20F4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3078" name="AutoShape 12">
          <a:extLst>
            <a:ext uri="{FF2B5EF4-FFF2-40B4-BE49-F238E27FC236}">
              <a16:creationId xmlns:a16="http://schemas.microsoft.com/office/drawing/2014/main" id="{573CB785-8ACC-4FBA-BCB1-388076337C2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3079" name="AutoShape 12">
          <a:extLst>
            <a:ext uri="{FF2B5EF4-FFF2-40B4-BE49-F238E27FC236}">
              <a16:creationId xmlns:a16="http://schemas.microsoft.com/office/drawing/2014/main" id="{B740EA14-05B2-4334-9748-7BC73E844BC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3080" name="AutoShape 12">
          <a:extLst>
            <a:ext uri="{FF2B5EF4-FFF2-40B4-BE49-F238E27FC236}">
              <a16:creationId xmlns:a16="http://schemas.microsoft.com/office/drawing/2014/main" id="{D44CF81E-459A-4F21-823F-C14A8BE7D56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3081" name="AutoShape 12">
          <a:extLst>
            <a:ext uri="{FF2B5EF4-FFF2-40B4-BE49-F238E27FC236}">
              <a16:creationId xmlns:a16="http://schemas.microsoft.com/office/drawing/2014/main" id="{C4EB9138-5676-442C-8851-C98B11F4C1E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3082" name="AutoShape 12">
          <a:extLst>
            <a:ext uri="{FF2B5EF4-FFF2-40B4-BE49-F238E27FC236}">
              <a16:creationId xmlns:a16="http://schemas.microsoft.com/office/drawing/2014/main" id="{0C03E8F3-2EFE-4A09-9BAA-757B1869398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3083" name="AutoShape 12">
          <a:extLst>
            <a:ext uri="{FF2B5EF4-FFF2-40B4-BE49-F238E27FC236}">
              <a16:creationId xmlns:a16="http://schemas.microsoft.com/office/drawing/2014/main" id="{DBD9BE44-490D-4313-8DD2-0FEEFDADE58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3084" name="AutoShape 12">
          <a:extLst>
            <a:ext uri="{FF2B5EF4-FFF2-40B4-BE49-F238E27FC236}">
              <a16:creationId xmlns:a16="http://schemas.microsoft.com/office/drawing/2014/main" id="{BC4EFE7B-6D49-45C5-B695-E2A71064AAC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3085" name="AutoShape 12">
          <a:extLst>
            <a:ext uri="{FF2B5EF4-FFF2-40B4-BE49-F238E27FC236}">
              <a16:creationId xmlns:a16="http://schemas.microsoft.com/office/drawing/2014/main" id="{64C3D27C-91A5-43CE-BD69-059F0A6BE5F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3086" name="AutoShape 12">
          <a:extLst>
            <a:ext uri="{FF2B5EF4-FFF2-40B4-BE49-F238E27FC236}">
              <a16:creationId xmlns:a16="http://schemas.microsoft.com/office/drawing/2014/main" id="{5BC14F2F-AA83-4715-B564-7F9151E6D96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3087" name="AutoShape 12">
          <a:extLst>
            <a:ext uri="{FF2B5EF4-FFF2-40B4-BE49-F238E27FC236}">
              <a16:creationId xmlns:a16="http://schemas.microsoft.com/office/drawing/2014/main" id="{3554912A-C009-4C05-9379-A5DF8151095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3088" name="AutoShape 12">
          <a:extLst>
            <a:ext uri="{FF2B5EF4-FFF2-40B4-BE49-F238E27FC236}">
              <a16:creationId xmlns:a16="http://schemas.microsoft.com/office/drawing/2014/main" id="{643523E2-504F-4886-A7FC-FDC5728FDE5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3089" name="AutoShape 12">
          <a:extLst>
            <a:ext uri="{FF2B5EF4-FFF2-40B4-BE49-F238E27FC236}">
              <a16:creationId xmlns:a16="http://schemas.microsoft.com/office/drawing/2014/main" id="{1C9278E6-2522-41D4-AF93-FD1C002D924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3090" name="AutoShape 12">
          <a:extLst>
            <a:ext uri="{FF2B5EF4-FFF2-40B4-BE49-F238E27FC236}">
              <a16:creationId xmlns:a16="http://schemas.microsoft.com/office/drawing/2014/main" id="{1495358F-E5E4-4E43-84B0-79117CF6ACF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3091" name="AutoShape 12">
          <a:extLst>
            <a:ext uri="{FF2B5EF4-FFF2-40B4-BE49-F238E27FC236}">
              <a16:creationId xmlns:a16="http://schemas.microsoft.com/office/drawing/2014/main" id="{651E5639-C9E8-4A58-9CBF-F35253998F0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3092" name="AutoShape 12">
          <a:extLst>
            <a:ext uri="{FF2B5EF4-FFF2-40B4-BE49-F238E27FC236}">
              <a16:creationId xmlns:a16="http://schemas.microsoft.com/office/drawing/2014/main" id="{108C40EC-486F-4F3C-91A9-302CE9A959A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3093" name="AutoShape 12">
          <a:extLst>
            <a:ext uri="{FF2B5EF4-FFF2-40B4-BE49-F238E27FC236}">
              <a16:creationId xmlns:a16="http://schemas.microsoft.com/office/drawing/2014/main" id="{F09D227C-319A-4C9C-B94F-6B3C2A39D5F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3094" name="AutoShape 12">
          <a:extLst>
            <a:ext uri="{FF2B5EF4-FFF2-40B4-BE49-F238E27FC236}">
              <a16:creationId xmlns:a16="http://schemas.microsoft.com/office/drawing/2014/main" id="{3150376C-0887-49F1-9C3B-C9B4E4CCFEF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3095" name="AutoShape 12">
          <a:extLst>
            <a:ext uri="{FF2B5EF4-FFF2-40B4-BE49-F238E27FC236}">
              <a16:creationId xmlns:a16="http://schemas.microsoft.com/office/drawing/2014/main" id="{C7FF0339-6733-47AE-B159-B96475CAB68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3096" name="AutoShape 12">
          <a:extLst>
            <a:ext uri="{FF2B5EF4-FFF2-40B4-BE49-F238E27FC236}">
              <a16:creationId xmlns:a16="http://schemas.microsoft.com/office/drawing/2014/main" id="{3F41E73F-3467-4091-A26B-CA65460D7CB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3097" name="AutoShape 12">
          <a:extLst>
            <a:ext uri="{FF2B5EF4-FFF2-40B4-BE49-F238E27FC236}">
              <a16:creationId xmlns:a16="http://schemas.microsoft.com/office/drawing/2014/main" id="{B027047D-A013-4122-B6BD-4F93CDA5C7A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3098" name="AutoShape 12">
          <a:extLst>
            <a:ext uri="{FF2B5EF4-FFF2-40B4-BE49-F238E27FC236}">
              <a16:creationId xmlns:a16="http://schemas.microsoft.com/office/drawing/2014/main" id="{5130AA58-CAFF-4D5E-8E29-C71F580F536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3099" name="AutoShape 12">
          <a:extLst>
            <a:ext uri="{FF2B5EF4-FFF2-40B4-BE49-F238E27FC236}">
              <a16:creationId xmlns:a16="http://schemas.microsoft.com/office/drawing/2014/main" id="{CA5E8ED5-58FA-4D4E-AC23-690B54BC537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3100" name="AutoShape 12">
          <a:extLst>
            <a:ext uri="{FF2B5EF4-FFF2-40B4-BE49-F238E27FC236}">
              <a16:creationId xmlns:a16="http://schemas.microsoft.com/office/drawing/2014/main" id="{57890CBA-6035-4D85-A7B9-63B0C18F22F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3101" name="AutoShape 12">
          <a:extLst>
            <a:ext uri="{FF2B5EF4-FFF2-40B4-BE49-F238E27FC236}">
              <a16:creationId xmlns:a16="http://schemas.microsoft.com/office/drawing/2014/main" id="{0590C8A8-3BDE-4992-B231-2178BAA24CE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3102" name="AutoShape 12">
          <a:extLst>
            <a:ext uri="{FF2B5EF4-FFF2-40B4-BE49-F238E27FC236}">
              <a16:creationId xmlns:a16="http://schemas.microsoft.com/office/drawing/2014/main" id="{81B5E60F-03CB-4A3C-B6F4-0D2F2E0EFAC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3103" name="AutoShape 12">
          <a:extLst>
            <a:ext uri="{FF2B5EF4-FFF2-40B4-BE49-F238E27FC236}">
              <a16:creationId xmlns:a16="http://schemas.microsoft.com/office/drawing/2014/main" id="{D74003DE-E733-42B3-A153-64F3E49C842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3104" name="AutoShape 12">
          <a:extLst>
            <a:ext uri="{FF2B5EF4-FFF2-40B4-BE49-F238E27FC236}">
              <a16:creationId xmlns:a16="http://schemas.microsoft.com/office/drawing/2014/main" id="{D7031494-7D25-4615-84F5-E42F83CE5A5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3105" name="AutoShape 12">
          <a:extLst>
            <a:ext uri="{FF2B5EF4-FFF2-40B4-BE49-F238E27FC236}">
              <a16:creationId xmlns:a16="http://schemas.microsoft.com/office/drawing/2014/main" id="{D6DF7A7C-EAA3-49E5-9295-34F6C4DCA76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3106" name="AutoShape 12">
          <a:extLst>
            <a:ext uri="{FF2B5EF4-FFF2-40B4-BE49-F238E27FC236}">
              <a16:creationId xmlns:a16="http://schemas.microsoft.com/office/drawing/2014/main" id="{8D9AE339-1026-444A-B43A-84F0FEE0221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3107" name="AutoShape 12">
          <a:extLst>
            <a:ext uri="{FF2B5EF4-FFF2-40B4-BE49-F238E27FC236}">
              <a16:creationId xmlns:a16="http://schemas.microsoft.com/office/drawing/2014/main" id="{E7F24BBF-FF4E-4FBF-A75F-174C446F0CC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3108" name="AutoShape 12">
          <a:extLst>
            <a:ext uri="{FF2B5EF4-FFF2-40B4-BE49-F238E27FC236}">
              <a16:creationId xmlns:a16="http://schemas.microsoft.com/office/drawing/2014/main" id="{B6412230-E62C-42DF-BEB4-A7CDE3A929B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3109" name="AutoShape 12">
          <a:extLst>
            <a:ext uri="{FF2B5EF4-FFF2-40B4-BE49-F238E27FC236}">
              <a16:creationId xmlns:a16="http://schemas.microsoft.com/office/drawing/2014/main" id="{9D2205CC-AD54-44D8-890F-075FC7CF162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3110" name="AutoShape 12">
          <a:extLst>
            <a:ext uri="{FF2B5EF4-FFF2-40B4-BE49-F238E27FC236}">
              <a16:creationId xmlns:a16="http://schemas.microsoft.com/office/drawing/2014/main" id="{C8A1C375-08A9-4170-88A9-05F80F01B40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3111" name="AutoShape 12">
          <a:extLst>
            <a:ext uri="{FF2B5EF4-FFF2-40B4-BE49-F238E27FC236}">
              <a16:creationId xmlns:a16="http://schemas.microsoft.com/office/drawing/2014/main" id="{5B36A544-B2DD-44A6-B156-B886CC41CEA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3112" name="AutoShape 12">
          <a:extLst>
            <a:ext uri="{FF2B5EF4-FFF2-40B4-BE49-F238E27FC236}">
              <a16:creationId xmlns:a16="http://schemas.microsoft.com/office/drawing/2014/main" id="{3DDB21C2-C154-4CB4-9845-B5621215464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3113" name="AutoShape 12">
          <a:extLst>
            <a:ext uri="{FF2B5EF4-FFF2-40B4-BE49-F238E27FC236}">
              <a16:creationId xmlns:a16="http://schemas.microsoft.com/office/drawing/2014/main" id="{8C517F52-16CA-4725-859C-62DEC06A87D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3114" name="AutoShape 12">
          <a:extLst>
            <a:ext uri="{FF2B5EF4-FFF2-40B4-BE49-F238E27FC236}">
              <a16:creationId xmlns:a16="http://schemas.microsoft.com/office/drawing/2014/main" id="{715413F9-CDB9-48BF-B9E7-AA475017DAD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3115" name="AutoShape 12">
          <a:extLst>
            <a:ext uri="{FF2B5EF4-FFF2-40B4-BE49-F238E27FC236}">
              <a16:creationId xmlns:a16="http://schemas.microsoft.com/office/drawing/2014/main" id="{670752EE-665E-4E3E-9483-34692EBDB7F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3116" name="AutoShape 12">
          <a:extLst>
            <a:ext uri="{FF2B5EF4-FFF2-40B4-BE49-F238E27FC236}">
              <a16:creationId xmlns:a16="http://schemas.microsoft.com/office/drawing/2014/main" id="{37649EF1-9BA9-44C1-A4D1-C4F10DBAF77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3117" name="AutoShape 12">
          <a:extLst>
            <a:ext uri="{FF2B5EF4-FFF2-40B4-BE49-F238E27FC236}">
              <a16:creationId xmlns:a16="http://schemas.microsoft.com/office/drawing/2014/main" id="{AA3DD37A-F0E9-44F1-A2E8-F25101746CF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3118" name="AutoShape 12">
          <a:extLst>
            <a:ext uri="{FF2B5EF4-FFF2-40B4-BE49-F238E27FC236}">
              <a16:creationId xmlns:a16="http://schemas.microsoft.com/office/drawing/2014/main" id="{496DA868-C17E-41EF-926C-06C69EC1E87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92075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119" name="AutoShape 12">
          <a:extLst>
            <a:ext uri="{FF2B5EF4-FFF2-40B4-BE49-F238E27FC236}">
              <a16:creationId xmlns:a16="http://schemas.microsoft.com/office/drawing/2014/main" id="{519BFF8E-13BF-496F-9E1B-F4608325DFA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120" name="AutoShape 12">
          <a:extLst>
            <a:ext uri="{FF2B5EF4-FFF2-40B4-BE49-F238E27FC236}">
              <a16:creationId xmlns:a16="http://schemas.microsoft.com/office/drawing/2014/main" id="{5AC9952E-0BC6-4A5E-99F9-40BF34127BE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121" name="AutoShape 12">
          <a:extLst>
            <a:ext uri="{FF2B5EF4-FFF2-40B4-BE49-F238E27FC236}">
              <a16:creationId xmlns:a16="http://schemas.microsoft.com/office/drawing/2014/main" id="{0276201F-A30B-4D82-8C63-DAFD5F8028F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122" name="AutoShape 12">
          <a:extLst>
            <a:ext uri="{FF2B5EF4-FFF2-40B4-BE49-F238E27FC236}">
              <a16:creationId xmlns:a16="http://schemas.microsoft.com/office/drawing/2014/main" id="{9530DEB1-320B-4058-98B7-1D881BBE4A8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123" name="AutoShape 12">
          <a:extLst>
            <a:ext uri="{FF2B5EF4-FFF2-40B4-BE49-F238E27FC236}">
              <a16:creationId xmlns:a16="http://schemas.microsoft.com/office/drawing/2014/main" id="{D1F1580E-89F5-4FED-A3C9-2A04BCBCE0F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124" name="AutoShape 12">
          <a:extLst>
            <a:ext uri="{FF2B5EF4-FFF2-40B4-BE49-F238E27FC236}">
              <a16:creationId xmlns:a16="http://schemas.microsoft.com/office/drawing/2014/main" id="{3EF3C653-7FE2-40F8-BF2B-360C311A054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125" name="AutoShape 12">
          <a:extLst>
            <a:ext uri="{FF2B5EF4-FFF2-40B4-BE49-F238E27FC236}">
              <a16:creationId xmlns:a16="http://schemas.microsoft.com/office/drawing/2014/main" id="{E53EA3E8-BF1D-4D74-BBA9-6612733BA28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126" name="AutoShape 12">
          <a:extLst>
            <a:ext uri="{FF2B5EF4-FFF2-40B4-BE49-F238E27FC236}">
              <a16:creationId xmlns:a16="http://schemas.microsoft.com/office/drawing/2014/main" id="{B03ED081-B238-4C6D-B1A2-B49E8A5E224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127" name="AutoShape 12">
          <a:extLst>
            <a:ext uri="{FF2B5EF4-FFF2-40B4-BE49-F238E27FC236}">
              <a16:creationId xmlns:a16="http://schemas.microsoft.com/office/drawing/2014/main" id="{A0E6CDE8-BC1F-486F-BCD7-37968D2E986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128" name="AutoShape 12">
          <a:extLst>
            <a:ext uri="{FF2B5EF4-FFF2-40B4-BE49-F238E27FC236}">
              <a16:creationId xmlns:a16="http://schemas.microsoft.com/office/drawing/2014/main" id="{E4E7D0C1-DE49-4023-B3CD-EFB52F4945C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129" name="AutoShape 12">
          <a:extLst>
            <a:ext uri="{FF2B5EF4-FFF2-40B4-BE49-F238E27FC236}">
              <a16:creationId xmlns:a16="http://schemas.microsoft.com/office/drawing/2014/main" id="{059BC0C2-AB4C-4B98-92C2-7A19F9CE35C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130" name="AutoShape 12">
          <a:extLst>
            <a:ext uri="{FF2B5EF4-FFF2-40B4-BE49-F238E27FC236}">
              <a16:creationId xmlns:a16="http://schemas.microsoft.com/office/drawing/2014/main" id="{34477023-8FF6-4A59-92DA-11C36FE1F86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131" name="AutoShape 12">
          <a:extLst>
            <a:ext uri="{FF2B5EF4-FFF2-40B4-BE49-F238E27FC236}">
              <a16:creationId xmlns:a16="http://schemas.microsoft.com/office/drawing/2014/main" id="{E084583B-52F0-4685-9161-5D35E9E8F39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132" name="AutoShape 12">
          <a:extLst>
            <a:ext uri="{FF2B5EF4-FFF2-40B4-BE49-F238E27FC236}">
              <a16:creationId xmlns:a16="http://schemas.microsoft.com/office/drawing/2014/main" id="{B79EBF2C-9F81-456E-83D5-A3D43617419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133" name="AutoShape 12">
          <a:extLst>
            <a:ext uri="{FF2B5EF4-FFF2-40B4-BE49-F238E27FC236}">
              <a16:creationId xmlns:a16="http://schemas.microsoft.com/office/drawing/2014/main" id="{46698C49-578F-412D-9705-40198589A79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134" name="AutoShape 12">
          <a:extLst>
            <a:ext uri="{FF2B5EF4-FFF2-40B4-BE49-F238E27FC236}">
              <a16:creationId xmlns:a16="http://schemas.microsoft.com/office/drawing/2014/main" id="{CF5314FF-05F6-4B24-B7A8-4C4EF42576D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135" name="AutoShape 12">
          <a:extLst>
            <a:ext uri="{FF2B5EF4-FFF2-40B4-BE49-F238E27FC236}">
              <a16:creationId xmlns:a16="http://schemas.microsoft.com/office/drawing/2014/main" id="{B4A8A217-DE7A-4DC6-A199-61E10B2DF15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136" name="AutoShape 12">
          <a:extLst>
            <a:ext uri="{FF2B5EF4-FFF2-40B4-BE49-F238E27FC236}">
              <a16:creationId xmlns:a16="http://schemas.microsoft.com/office/drawing/2014/main" id="{3C5B474C-1A46-46FE-926E-71541BCC092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137" name="AutoShape 12">
          <a:extLst>
            <a:ext uri="{FF2B5EF4-FFF2-40B4-BE49-F238E27FC236}">
              <a16:creationId xmlns:a16="http://schemas.microsoft.com/office/drawing/2014/main" id="{28C97646-6208-4696-B2A9-007601AA1FE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138" name="AutoShape 12">
          <a:extLst>
            <a:ext uri="{FF2B5EF4-FFF2-40B4-BE49-F238E27FC236}">
              <a16:creationId xmlns:a16="http://schemas.microsoft.com/office/drawing/2014/main" id="{E60AF8D0-5C61-4D28-8190-5A46AA8C749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139" name="AutoShape 12">
          <a:extLst>
            <a:ext uri="{FF2B5EF4-FFF2-40B4-BE49-F238E27FC236}">
              <a16:creationId xmlns:a16="http://schemas.microsoft.com/office/drawing/2014/main" id="{668AA95E-F283-48A3-8418-1D318297531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140" name="AutoShape 12">
          <a:extLst>
            <a:ext uri="{FF2B5EF4-FFF2-40B4-BE49-F238E27FC236}">
              <a16:creationId xmlns:a16="http://schemas.microsoft.com/office/drawing/2014/main" id="{7349A5E1-3F5E-45A1-BF26-B5B7BCB7B91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141" name="AutoShape 12">
          <a:extLst>
            <a:ext uri="{FF2B5EF4-FFF2-40B4-BE49-F238E27FC236}">
              <a16:creationId xmlns:a16="http://schemas.microsoft.com/office/drawing/2014/main" id="{D81CEF97-4925-4958-8EF9-BEBB2FD4F3C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142" name="AutoShape 12">
          <a:extLst>
            <a:ext uri="{FF2B5EF4-FFF2-40B4-BE49-F238E27FC236}">
              <a16:creationId xmlns:a16="http://schemas.microsoft.com/office/drawing/2014/main" id="{351CF253-3D11-403A-9184-0AA16CE295C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143" name="AutoShape 12">
          <a:extLst>
            <a:ext uri="{FF2B5EF4-FFF2-40B4-BE49-F238E27FC236}">
              <a16:creationId xmlns:a16="http://schemas.microsoft.com/office/drawing/2014/main" id="{CEAC3740-E826-4E6E-BABB-3B2311D9FD3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144" name="AutoShape 12">
          <a:extLst>
            <a:ext uri="{FF2B5EF4-FFF2-40B4-BE49-F238E27FC236}">
              <a16:creationId xmlns:a16="http://schemas.microsoft.com/office/drawing/2014/main" id="{441A19EA-9351-4F44-90E9-128FF1D6F78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145" name="AutoShape 12">
          <a:extLst>
            <a:ext uri="{FF2B5EF4-FFF2-40B4-BE49-F238E27FC236}">
              <a16:creationId xmlns:a16="http://schemas.microsoft.com/office/drawing/2014/main" id="{AD03A7E9-4BE4-497E-9AC8-50F805CDE28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146" name="AutoShape 12">
          <a:extLst>
            <a:ext uri="{FF2B5EF4-FFF2-40B4-BE49-F238E27FC236}">
              <a16:creationId xmlns:a16="http://schemas.microsoft.com/office/drawing/2014/main" id="{7A585FD3-78CF-41D7-BB3A-20859FA4D32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147" name="AutoShape 12">
          <a:extLst>
            <a:ext uri="{FF2B5EF4-FFF2-40B4-BE49-F238E27FC236}">
              <a16:creationId xmlns:a16="http://schemas.microsoft.com/office/drawing/2014/main" id="{D03694CA-D50C-4152-B85D-22CE1485245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148" name="AutoShape 12">
          <a:extLst>
            <a:ext uri="{FF2B5EF4-FFF2-40B4-BE49-F238E27FC236}">
              <a16:creationId xmlns:a16="http://schemas.microsoft.com/office/drawing/2014/main" id="{6BF14DA1-5C44-4D8E-BFE3-7C45A79E37A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149" name="AutoShape 12">
          <a:extLst>
            <a:ext uri="{FF2B5EF4-FFF2-40B4-BE49-F238E27FC236}">
              <a16:creationId xmlns:a16="http://schemas.microsoft.com/office/drawing/2014/main" id="{DBDD2126-ED7E-435E-92F0-C9B0D1CB940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150" name="AutoShape 12">
          <a:extLst>
            <a:ext uri="{FF2B5EF4-FFF2-40B4-BE49-F238E27FC236}">
              <a16:creationId xmlns:a16="http://schemas.microsoft.com/office/drawing/2014/main" id="{DAC5CC1D-3FD8-4024-AC29-D3B57F00F47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151" name="AutoShape 12">
          <a:extLst>
            <a:ext uri="{FF2B5EF4-FFF2-40B4-BE49-F238E27FC236}">
              <a16:creationId xmlns:a16="http://schemas.microsoft.com/office/drawing/2014/main" id="{0179DF8A-F7A1-46D1-BAB4-B852D4F76B5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152" name="AutoShape 12">
          <a:extLst>
            <a:ext uri="{FF2B5EF4-FFF2-40B4-BE49-F238E27FC236}">
              <a16:creationId xmlns:a16="http://schemas.microsoft.com/office/drawing/2014/main" id="{8B8431DF-080F-4CEF-BB1B-A154B0B40C8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153" name="AutoShape 12">
          <a:extLst>
            <a:ext uri="{FF2B5EF4-FFF2-40B4-BE49-F238E27FC236}">
              <a16:creationId xmlns:a16="http://schemas.microsoft.com/office/drawing/2014/main" id="{B4E1D3D3-682A-46C8-B41C-B631BFE35AA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154" name="AutoShape 12">
          <a:extLst>
            <a:ext uri="{FF2B5EF4-FFF2-40B4-BE49-F238E27FC236}">
              <a16:creationId xmlns:a16="http://schemas.microsoft.com/office/drawing/2014/main" id="{B6DD3CEB-A4A3-4961-89CB-E0B8A26D239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155" name="AutoShape 12">
          <a:extLst>
            <a:ext uri="{FF2B5EF4-FFF2-40B4-BE49-F238E27FC236}">
              <a16:creationId xmlns:a16="http://schemas.microsoft.com/office/drawing/2014/main" id="{EB6213FD-3ED4-4D90-AE76-635D70DA8D7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156" name="AutoShape 12">
          <a:extLst>
            <a:ext uri="{FF2B5EF4-FFF2-40B4-BE49-F238E27FC236}">
              <a16:creationId xmlns:a16="http://schemas.microsoft.com/office/drawing/2014/main" id="{65FB0410-26C2-4501-878C-9378C670DDE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157" name="AutoShape 12">
          <a:extLst>
            <a:ext uri="{FF2B5EF4-FFF2-40B4-BE49-F238E27FC236}">
              <a16:creationId xmlns:a16="http://schemas.microsoft.com/office/drawing/2014/main" id="{778DD1D5-9609-4D89-A1C5-FB56E3C2772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158" name="AutoShape 12">
          <a:extLst>
            <a:ext uri="{FF2B5EF4-FFF2-40B4-BE49-F238E27FC236}">
              <a16:creationId xmlns:a16="http://schemas.microsoft.com/office/drawing/2014/main" id="{9E76D98C-ED30-4638-828C-46E7738E645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159" name="AutoShape 12">
          <a:extLst>
            <a:ext uri="{FF2B5EF4-FFF2-40B4-BE49-F238E27FC236}">
              <a16:creationId xmlns:a16="http://schemas.microsoft.com/office/drawing/2014/main" id="{DC108E34-E250-4A9B-BE02-8F0C12DD642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160" name="AutoShape 12">
          <a:extLst>
            <a:ext uri="{FF2B5EF4-FFF2-40B4-BE49-F238E27FC236}">
              <a16:creationId xmlns:a16="http://schemas.microsoft.com/office/drawing/2014/main" id="{8CEA44AF-1355-40D7-B165-FE9CBAD9B80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161" name="AutoShape 12">
          <a:extLst>
            <a:ext uri="{FF2B5EF4-FFF2-40B4-BE49-F238E27FC236}">
              <a16:creationId xmlns:a16="http://schemas.microsoft.com/office/drawing/2014/main" id="{32EA2877-5E91-4AC8-924A-A488EB170ED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162" name="AutoShape 12">
          <a:extLst>
            <a:ext uri="{FF2B5EF4-FFF2-40B4-BE49-F238E27FC236}">
              <a16:creationId xmlns:a16="http://schemas.microsoft.com/office/drawing/2014/main" id="{D6377078-3E4F-40F0-826C-F8ABF57FFFE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163" name="AutoShape 12">
          <a:extLst>
            <a:ext uri="{FF2B5EF4-FFF2-40B4-BE49-F238E27FC236}">
              <a16:creationId xmlns:a16="http://schemas.microsoft.com/office/drawing/2014/main" id="{6FE1934D-40DF-4903-9B0C-6281CEB9660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164" name="AutoShape 12">
          <a:extLst>
            <a:ext uri="{FF2B5EF4-FFF2-40B4-BE49-F238E27FC236}">
              <a16:creationId xmlns:a16="http://schemas.microsoft.com/office/drawing/2014/main" id="{BD41E922-D3D4-4AF8-B39E-700D5E79546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165" name="AutoShape 12">
          <a:extLst>
            <a:ext uri="{FF2B5EF4-FFF2-40B4-BE49-F238E27FC236}">
              <a16:creationId xmlns:a16="http://schemas.microsoft.com/office/drawing/2014/main" id="{147B034C-99D0-4A3E-ABC9-128D808E86C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166" name="AutoShape 12">
          <a:extLst>
            <a:ext uri="{FF2B5EF4-FFF2-40B4-BE49-F238E27FC236}">
              <a16:creationId xmlns:a16="http://schemas.microsoft.com/office/drawing/2014/main" id="{0E984938-4250-4C91-AD37-E14EF522BAB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167" name="AutoShape 12">
          <a:extLst>
            <a:ext uri="{FF2B5EF4-FFF2-40B4-BE49-F238E27FC236}">
              <a16:creationId xmlns:a16="http://schemas.microsoft.com/office/drawing/2014/main" id="{139655C3-825A-48E7-B3C4-9ADE997D562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168" name="AutoShape 12">
          <a:extLst>
            <a:ext uri="{FF2B5EF4-FFF2-40B4-BE49-F238E27FC236}">
              <a16:creationId xmlns:a16="http://schemas.microsoft.com/office/drawing/2014/main" id="{BEA47BAB-18FC-44BB-9306-0B5C278D5CE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169" name="AutoShape 12">
          <a:extLst>
            <a:ext uri="{FF2B5EF4-FFF2-40B4-BE49-F238E27FC236}">
              <a16:creationId xmlns:a16="http://schemas.microsoft.com/office/drawing/2014/main" id="{40542DBC-7E27-4539-8779-0FEDA65100A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170" name="AutoShape 12">
          <a:extLst>
            <a:ext uri="{FF2B5EF4-FFF2-40B4-BE49-F238E27FC236}">
              <a16:creationId xmlns:a16="http://schemas.microsoft.com/office/drawing/2014/main" id="{63D44EC7-B9EF-495F-A220-25FC1F1F9C0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171" name="AutoShape 12">
          <a:extLst>
            <a:ext uri="{FF2B5EF4-FFF2-40B4-BE49-F238E27FC236}">
              <a16:creationId xmlns:a16="http://schemas.microsoft.com/office/drawing/2014/main" id="{39DAB339-30FD-4C7E-9CA0-CA87D2BF4E5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172" name="AutoShape 12">
          <a:extLst>
            <a:ext uri="{FF2B5EF4-FFF2-40B4-BE49-F238E27FC236}">
              <a16:creationId xmlns:a16="http://schemas.microsoft.com/office/drawing/2014/main" id="{6DC12E9A-4562-4649-A4AC-9D03DABC7FD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173" name="AutoShape 12">
          <a:extLst>
            <a:ext uri="{FF2B5EF4-FFF2-40B4-BE49-F238E27FC236}">
              <a16:creationId xmlns:a16="http://schemas.microsoft.com/office/drawing/2014/main" id="{B62AE7B0-506C-4082-8833-3CF5211DE20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174" name="AutoShape 12">
          <a:extLst>
            <a:ext uri="{FF2B5EF4-FFF2-40B4-BE49-F238E27FC236}">
              <a16:creationId xmlns:a16="http://schemas.microsoft.com/office/drawing/2014/main" id="{978A3D6E-F5E3-423A-B69C-EEF28C87376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175" name="AutoShape 12">
          <a:extLst>
            <a:ext uri="{FF2B5EF4-FFF2-40B4-BE49-F238E27FC236}">
              <a16:creationId xmlns:a16="http://schemas.microsoft.com/office/drawing/2014/main" id="{30EFD76A-3775-477B-B3F7-D85D7B726B9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176" name="AutoShape 12">
          <a:extLst>
            <a:ext uri="{FF2B5EF4-FFF2-40B4-BE49-F238E27FC236}">
              <a16:creationId xmlns:a16="http://schemas.microsoft.com/office/drawing/2014/main" id="{7718ABB4-F3F8-4839-A369-849662D9564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177" name="AutoShape 12">
          <a:extLst>
            <a:ext uri="{FF2B5EF4-FFF2-40B4-BE49-F238E27FC236}">
              <a16:creationId xmlns:a16="http://schemas.microsoft.com/office/drawing/2014/main" id="{CA5E5917-0A91-4819-9CA0-5F479359373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178" name="AutoShape 12">
          <a:extLst>
            <a:ext uri="{FF2B5EF4-FFF2-40B4-BE49-F238E27FC236}">
              <a16:creationId xmlns:a16="http://schemas.microsoft.com/office/drawing/2014/main" id="{174A324D-09D0-4D7E-80F1-646E8342DB7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179" name="AutoShape 12">
          <a:extLst>
            <a:ext uri="{FF2B5EF4-FFF2-40B4-BE49-F238E27FC236}">
              <a16:creationId xmlns:a16="http://schemas.microsoft.com/office/drawing/2014/main" id="{0FC6F858-F7E4-43D9-90E5-32BDA0E37A7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180" name="AutoShape 12">
          <a:extLst>
            <a:ext uri="{FF2B5EF4-FFF2-40B4-BE49-F238E27FC236}">
              <a16:creationId xmlns:a16="http://schemas.microsoft.com/office/drawing/2014/main" id="{ABBACD1A-A222-4DD2-8B4F-A3D16F1C290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181" name="AutoShape 12">
          <a:extLst>
            <a:ext uri="{FF2B5EF4-FFF2-40B4-BE49-F238E27FC236}">
              <a16:creationId xmlns:a16="http://schemas.microsoft.com/office/drawing/2014/main" id="{0814871B-47AF-401C-9C35-42100940A46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182" name="AutoShape 12">
          <a:extLst>
            <a:ext uri="{FF2B5EF4-FFF2-40B4-BE49-F238E27FC236}">
              <a16:creationId xmlns:a16="http://schemas.microsoft.com/office/drawing/2014/main" id="{4D79A30B-3245-40F9-A6A3-C4EEB73B9FD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183" name="AutoShape 12">
          <a:extLst>
            <a:ext uri="{FF2B5EF4-FFF2-40B4-BE49-F238E27FC236}">
              <a16:creationId xmlns:a16="http://schemas.microsoft.com/office/drawing/2014/main" id="{78A581BB-4DAD-4501-8643-F0B164EDBBF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184" name="AutoShape 12">
          <a:extLst>
            <a:ext uri="{FF2B5EF4-FFF2-40B4-BE49-F238E27FC236}">
              <a16:creationId xmlns:a16="http://schemas.microsoft.com/office/drawing/2014/main" id="{4FEF5720-C985-4797-BE0F-853437AE1AC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185" name="AutoShape 12">
          <a:extLst>
            <a:ext uri="{FF2B5EF4-FFF2-40B4-BE49-F238E27FC236}">
              <a16:creationId xmlns:a16="http://schemas.microsoft.com/office/drawing/2014/main" id="{2D531906-905B-43B9-9B75-0271C63881C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186" name="AutoShape 12">
          <a:extLst>
            <a:ext uri="{FF2B5EF4-FFF2-40B4-BE49-F238E27FC236}">
              <a16:creationId xmlns:a16="http://schemas.microsoft.com/office/drawing/2014/main" id="{15B38FDC-B5D9-40FB-816D-64A195DDBC7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187" name="AutoShape 12">
          <a:extLst>
            <a:ext uri="{FF2B5EF4-FFF2-40B4-BE49-F238E27FC236}">
              <a16:creationId xmlns:a16="http://schemas.microsoft.com/office/drawing/2014/main" id="{902AC690-3E83-4101-AE0A-D2B01DC39F4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188" name="AutoShape 12">
          <a:extLst>
            <a:ext uri="{FF2B5EF4-FFF2-40B4-BE49-F238E27FC236}">
              <a16:creationId xmlns:a16="http://schemas.microsoft.com/office/drawing/2014/main" id="{BF04CF13-E0C0-44C5-A357-FB0A922B107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189" name="AutoShape 12">
          <a:extLst>
            <a:ext uri="{FF2B5EF4-FFF2-40B4-BE49-F238E27FC236}">
              <a16:creationId xmlns:a16="http://schemas.microsoft.com/office/drawing/2014/main" id="{9B5256B1-B947-4EF7-AFB5-190B909A774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190" name="AutoShape 12">
          <a:extLst>
            <a:ext uri="{FF2B5EF4-FFF2-40B4-BE49-F238E27FC236}">
              <a16:creationId xmlns:a16="http://schemas.microsoft.com/office/drawing/2014/main" id="{C772AA9A-94A2-4249-98D5-ED276137349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191" name="AutoShape 12">
          <a:extLst>
            <a:ext uri="{FF2B5EF4-FFF2-40B4-BE49-F238E27FC236}">
              <a16:creationId xmlns:a16="http://schemas.microsoft.com/office/drawing/2014/main" id="{FA3CC8AF-E53A-47B6-996F-8D59D5FD2FA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192" name="AutoShape 12">
          <a:extLst>
            <a:ext uri="{FF2B5EF4-FFF2-40B4-BE49-F238E27FC236}">
              <a16:creationId xmlns:a16="http://schemas.microsoft.com/office/drawing/2014/main" id="{A0183819-67E7-45CC-810C-32489D55561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193" name="AutoShape 12">
          <a:extLst>
            <a:ext uri="{FF2B5EF4-FFF2-40B4-BE49-F238E27FC236}">
              <a16:creationId xmlns:a16="http://schemas.microsoft.com/office/drawing/2014/main" id="{31E56EC6-4456-47DF-9072-F44EB523EA5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194" name="AutoShape 12">
          <a:extLst>
            <a:ext uri="{FF2B5EF4-FFF2-40B4-BE49-F238E27FC236}">
              <a16:creationId xmlns:a16="http://schemas.microsoft.com/office/drawing/2014/main" id="{184A98CB-8396-4407-8A0A-A951DC42267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195" name="AutoShape 12">
          <a:extLst>
            <a:ext uri="{FF2B5EF4-FFF2-40B4-BE49-F238E27FC236}">
              <a16:creationId xmlns:a16="http://schemas.microsoft.com/office/drawing/2014/main" id="{0EAF9BD7-8CC3-415C-A186-2DEA966FE42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196" name="AutoShape 12">
          <a:extLst>
            <a:ext uri="{FF2B5EF4-FFF2-40B4-BE49-F238E27FC236}">
              <a16:creationId xmlns:a16="http://schemas.microsoft.com/office/drawing/2014/main" id="{A1516DB8-6FF8-4B70-90F7-838DBB8E6CF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197" name="AutoShape 12">
          <a:extLst>
            <a:ext uri="{FF2B5EF4-FFF2-40B4-BE49-F238E27FC236}">
              <a16:creationId xmlns:a16="http://schemas.microsoft.com/office/drawing/2014/main" id="{8B51B98A-20DF-43D7-A62A-D582C58217A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198" name="AutoShape 12">
          <a:extLst>
            <a:ext uri="{FF2B5EF4-FFF2-40B4-BE49-F238E27FC236}">
              <a16:creationId xmlns:a16="http://schemas.microsoft.com/office/drawing/2014/main" id="{EECAF29D-908F-4ACB-B006-247D9E9C255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199" name="AutoShape 12">
          <a:extLst>
            <a:ext uri="{FF2B5EF4-FFF2-40B4-BE49-F238E27FC236}">
              <a16:creationId xmlns:a16="http://schemas.microsoft.com/office/drawing/2014/main" id="{DBFCB07C-0BE3-427B-A1F9-AB97570AAA3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200" name="AutoShape 12">
          <a:extLst>
            <a:ext uri="{FF2B5EF4-FFF2-40B4-BE49-F238E27FC236}">
              <a16:creationId xmlns:a16="http://schemas.microsoft.com/office/drawing/2014/main" id="{9AB6FB02-FB31-414D-B53E-9F57FD0EE20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201" name="AutoShape 12">
          <a:extLst>
            <a:ext uri="{FF2B5EF4-FFF2-40B4-BE49-F238E27FC236}">
              <a16:creationId xmlns:a16="http://schemas.microsoft.com/office/drawing/2014/main" id="{EE88FF54-55F6-433C-86EA-7C049E30356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202" name="AutoShape 12">
          <a:extLst>
            <a:ext uri="{FF2B5EF4-FFF2-40B4-BE49-F238E27FC236}">
              <a16:creationId xmlns:a16="http://schemas.microsoft.com/office/drawing/2014/main" id="{DAA9EAB0-8173-446D-82C3-C8EB8494FB3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203" name="AutoShape 12">
          <a:extLst>
            <a:ext uri="{FF2B5EF4-FFF2-40B4-BE49-F238E27FC236}">
              <a16:creationId xmlns:a16="http://schemas.microsoft.com/office/drawing/2014/main" id="{73A567F9-C08D-4729-8E87-D04305FD5C5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204" name="AutoShape 12">
          <a:extLst>
            <a:ext uri="{FF2B5EF4-FFF2-40B4-BE49-F238E27FC236}">
              <a16:creationId xmlns:a16="http://schemas.microsoft.com/office/drawing/2014/main" id="{445DC566-98A3-4B8E-BB79-B482FCEFB05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205" name="AutoShape 12">
          <a:extLst>
            <a:ext uri="{FF2B5EF4-FFF2-40B4-BE49-F238E27FC236}">
              <a16:creationId xmlns:a16="http://schemas.microsoft.com/office/drawing/2014/main" id="{ECF96076-DD87-4AFE-999F-7FEB45BC22C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206" name="AutoShape 12">
          <a:extLst>
            <a:ext uri="{FF2B5EF4-FFF2-40B4-BE49-F238E27FC236}">
              <a16:creationId xmlns:a16="http://schemas.microsoft.com/office/drawing/2014/main" id="{940F66EB-6B42-42F9-8D47-5999C154918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207" name="AutoShape 12">
          <a:extLst>
            <a:ext uri="{FF2B5EF4-FFF2-40B4-BE49-F238E27FC236}">
              <a16:creationId xmlns:a16="http://schemas.microsoft.com/office/drawing/2014/main" id="{C9B700B3-8030-4B76-ACBB-389CFD6EFA8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208" name="AutoShape 12">
          <a:extLst>
            <a:ext uri="{FF2B5EF4-FFF2-40B4-BE49-F238E27FC236}">
              <a16:creationId xmlns:a16="http://schemas.microsoft.com/office/drawing/2014/main" id="{750F343C-8A20-4582-A0F7-D71F0ABB285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209" name="AutoShape 12">
          <a:extLst>
            <a:ext uri="{FF2B5EF4-FFF2-40B4-BE49-F238E27FC236}">
              <a16:creationId xmlns:a16="http://schemas.microsoft.com/office/drawing/2014/main" id="{E628AA41-A904-4036-9C44-9AC7C0821F4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210" name="AutoShape 12">
          <a:extLst>
            <a:ext uri="{FF2B5EF4-FFF2-40B4-BE49-F238E27FC236}">
              <a16:creationId xmlns:a16="http://schemas.microsoft.com/office/drawing/2014/main" id="{49CDEFC3-9A89-43C8-8660-67A088270E9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211" name="AutoShape 12">
          <a:extLst>
            <a:ext uri="{FF2B5EF4-FFF2-40B4-BE49-F238E27FC236}">
              <a16:creationId xmlns:a16="http://schemas.microsoft.com/office/drawing/2014/main" id="{3F82B3D6-2E5B-4C71-8743-793B91E1764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212" name="AutoShape 12">
          <a:extLst>
            <a:ext uri="{FF2B5EF4-FFF2-40B4-BE49-F238E27FC236}">
              <a16:creationId xmlns:a16="http://schemas.microsoft.com/office/drawing/2014/main" id="{C7F85DD9-0DEB-4525-938D-1BC83210974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213" name="AutoShape 12">
          <a:extLst>
            <a:ext uri="{FF2B5EF4-FFF2-40B4-BE49-F238E27FC236}">
              <a16:creationId xmlns:a16="http://schemas.microsoft.com/office/drawing/2014/main" id="{A593AD0D-D27C-4484-9ED8-8B174224301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214" name="AutoShape 12">
          <a:extLst>
            <a:ext uri="{FF2B5EF4-FFF2-40B4-BE49-F238E27FC236}">
              <a16:creationId xmlns:a16="http://schemas.microsoft.com/office/drawing/2014/main" id="{50D12158-B406-4732-AE7B-60DBBEF108C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215" name="AutoShape 12">
          <a:extLst>
            <a:ext uri="{FF2B5EF4-FFF2-40B4-BE49-F238E27FC236}">
              <a16:creationId xmlns:a16="http://schemas.microsoft.com/office/drawing/2014/main" id="{2BC368B8-0DF2-4B13-94D2-E57D9B2A633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216" name="AutoShape 12">
          <a:extLst>
            <a:ext uri="{FF2B5EF4-FFF2-40B4-BE49-F238E27FC236}">
              <a16:creationId xmlns:a16="http://schemas.microsoft.com/office/drawing/2014/main" id="{8C22488E-4867-415C-8369-1D0488E4A54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217" name="AutoShape 12">
          <a:extLst>
            <a:ext uri="{FF2B5EF4-FFF2-40B4-BE49-F238E27FC236}">
              <a16:creationId xmlns:a16="http://schemas.microsoft.com/office/drawing/2014/main" id="{B8934C7C-0C5A-4CC9-B936-2F6A4839153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218" name="AutoShape 12">
          <a:extLst>
            <a:ext uri="{FF2B5EF4-FFF2-40B4-BE49-F238E27FC236}">
              <a16:creationId xmlns:a16="http://schemas.microsoft.com/office/drawing/2014/main" id="{53EDC2B3-CF96-4866-AFCB-D696EA9CDB9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219" name="AutoShape 12">
          <a:extLst>
            <a:ext uri="{FF2B5EF4-FFF2-40B4-BE49-F238E27FC236}">
              <a16:creationId xmlns:a16="http://schemas.microsoft.com/office/drawing/2014/main" id="{41F269BB-7146-4BD7-87EA-B4130786415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220" name="AutoShape 12">
          <a:extLst>
            <a:ext uri="{FF2B5EF4-FFF2-40B4-BE49-F238E27FC236}">
              <a16:creationId xmlns:a16="http://schemas.microsoft.com/office/drawing/2014/main" id="{54A83B89-E94E-4E4E-A0D4-6755C7924E5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221" name="AutoShape 12">
          <a:extLst>
            <a:ext uri="{FF2B5EF4-FFF2-40B4-BE49-F238E27FC236}">
              <a16:creationId xmlns:a16="http://schemas.microsoft.com/office/drawing/2014/main" id="{2A62E631-BA0D-4CA5-A29D-89A544F3FEE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222" name="AutoShape 12">
          <a:extLst>
            <a:ext uri="{FF2B5EF4-FFF2-40B4-BE49-F238E27FC236}">
              <a16:creationId xmlns:a16="http://schemas.microsoft.com/office/drawing/2014/main" id="{8CE33EB4-3860-4199-A2FB-2AD087355A0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223" name="AutoShape 12">
          <a:extLst>
            <a:ext uri="{FF2B5EF4-FFF2-40B4-BE49-F238E27FC236}">
              <a16:creationId xmlns:a16="http://schemas.microsoft.com/office/drawing/2014/main" id="{C75B1FBA-BB18-4A84-AE66-E95847E639D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224" name="AutoShape 12">
          <a:extLst>
            <a:ext uri="{FF2B5EF4-FFF2-40B4-BE49-F238E27FC236}">
              <a16:creationId xmlns:a16="http://schemas.microsoft.com/office/drawing/2014/main" id="{2DAD8E91-3017-43AB-AEA1-EBA8B8325B5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225" name="AutoShape 12">
          <a:extLst>
            <a:ext uri="{FF2B5EF4-FFF2-40B4-BE49-F238E27FC236}">
              <a16:creationId xmlns:a16="http://schemas.microsoft.com/office/drawing/2014/main" id="{51D11CCA-1EC5-4140-8FCD-58410042E09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226" name="AutoShape 12">
          <a:extLst>
            <a:ext uri="{FF2B5EF4-FFF2-40B4-BE49-F238E27FC236}">
              <a16:creationId xmlns:a16="http://schemas.microsoft.com/office/drawing/2014/main" id="{5A1AD91F-7D2E-4AE7-9762-678268C621D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227" name="AutoShape 12">
          <a:extLst>
            <a:ext uri="{FF2B5EF4-FFF2-40B4-BE49-F238E27FC236}">
              <a16:creationId xmlns:a16="http://schemas.microsoft.com/office/drawing/2014/main" id="{C20835E9-3F74-470D-9DAA-2138D0FADB5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228" name="AutoShape 12">
          <a:extLst>
            <a:ext uri="{FF2B5EF4-FFF2-40B4-BE49-F238E27FC236}">
              <a16:creationId xmlns:a16="http://schemas.microsoft.com/office/drawing/2014/main" id="{90393159-10FE-4760-A8B1-3E67988DAF6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229" name="AutoShape 12">
          <a:extLst>
            <a:ext uri="{FF2B5EF4-FFF2-40B4-BE49-F238E27FC236}">
              <a16:creationId xmlns:a16="http://schemas.microsoft.com/office/drawing/2014/main" id="{2AE0DB9E-4593-482E-BCB4-272F70AF766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230" name="AutoShape 12">
          <a:extLst>
            <a:ext uri="{FF2B5EF4-FFF2-40B4-BE49-F238E27FC236}">
              <a16:creationId xmlns:a16="http://schemas.microsoft.com/office/drawing/2014/main" id="{D6149B45-1199-4D5E-B4B0-CC8C90ED60F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231" name="AutoShape 12">
          <a:extLst>
            <a:ext uri="{FF2B5EF4-FFF2-40B4-BE49-F238E27FC236}">
              <a16:creationId xmlns:a16="http://schemas.microsoft.com/office/drawing/2014/main" id="{9797AE75-B348-46D8-BBAF-050C0C6D7F2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232" name="AutoShape 12">
          <a:extLst>
            <a:ext uri="{FF2B5EF4-FFF2-40B4-BE49-F238E27FC236}">
              <a16:creationId xmlns:a16="http://schemas.microsoft.com/office/drawing/2014/main" id="{8E10FBAA-057D-4BD0-9846-A5513A9EC23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233" name="AutoShape 12">
          <a:extLst>
            <a:ext uri="{FF2B5EF4-FFF2-40B4-BE49-F238E27FC236}">
              <a16:creationId xmlns:a16="http://schemas.microsoft.com/office/drawing/2014/main" id="{A92CF5B4-F2D6-4A44-95E0-34A42A4B71F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234" name="AutoShape 12">
          <a:extLst>
            <a:ext uri="{FF2B5EF4-FFF2-40B4-BE49-F238E27FC236}">
              <a16:creationId xmlns:a16="http://schemas.microsoft.com/office/drawing/2014/main" id="{F1CAA772-9F19-440D-BFE3-D70AF2CAB92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235" name="AutoShape 12">
          <a:extLst>
            <a:ext uri="{FF2B5EF4-FFF2-40B4-BE49-F238E27FC236}">
              <a16:creationId xmlns:a16="http://schemas.microsoft.com/office/drawing/2014/main" id="{6B352328-4958-4036-A0FD-0750DD29788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236" name="AutoShape 12">
          <a:extLst>
            <a:ext uri="{FF2B5EF4-FFF2-40B4-BE49-F238E27FC236}">
              <a16:creationId xmlns:a16="http://schemas.microsoft.com/office/drawing/2014/main" id="{4B6F58F8-62CA-4A47-802C-A072735A187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237" name="AutoShape 12">
          <a:extLst>
            <a:ext uri="{FF2B5EF4-FFF2-40B4-BE49-F238E27FC236}">
              <a16:creationId xmlns:a16="http://schemas.microsoft.com/office/drawing/2014/main" id="{D434743D-C638-48F0-8BC7-72AE74F8224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238" name="AutoShape 12">
          <a:extLst>
            <a:ext uri="{FF2B5EF4-FFF2-40B4-BE49-F238E27FC236}">
              <a16:creationId xmlns:a16="http://schemas.microsoft.com/office/drawing/2014/main" id="{67008F2F-5C78-4E53-9F3F-6830C799EF0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239" name="AutoShape 12">
          <a:extLst>
            <a:ext uri="{FF2B5EF4-FFF2-40B4-BE49-F238E27FC236}">
              <a16:creationId xmlns:a16="http://schemas.microsoft.com/office/drawing/2014/main" id="{5191302B-F4C6-40CF-962D-33C30EEE6BC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240" name="AutoShape 12">
          <a:extLst>
            <a:ext uri="{FF2B5EF4-FFF2-40B4-BE49-F238E27FC236}">
              <a16:creationId xmlns:a16="http://schemas.microsoft.com/office/drawing/2014/main" id="{C6B5A1C2-7157-4CD4-8E36-B20698ABBC3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241" name="AutoShape 12">
          <a:extLst>
            <a:ext uri="{FF2B5EF4-FFF2-40B4-BE49-F238E27FC236}">
              <a16:creationId xmlns:a16="http://schemas.microsoft.com/office/drawing/2014/main" id="{BC409003-5389-4980-B651-997B226F643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242" name="AutoShape 12">
          <a:extLst>
            <a:ext uri="{FF2B5EF4-FFF2-40B4-BE49-F238E27FC236}">
              <a16:creationId xmlns:a16="http://schemas.microsoft.com/office/drawing/2014/main" id="{10B390E3-736B-4E25-B1C8-3548E321E4B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243" name="AutoShape 12">
          <a:extLst>
            <a:ext uri="{FF2B5EF4-FFF2-40B4-BE49-F238E27FC236}">
              <a16:creationId xmlns:a16="http://schemas.microsoft.com/office/drawing/2014/main" id="{E94B8128-9C85-4B3A-AA7F-76CF2C8C34A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244" name="AutoShape 12">
          <a:extLst>
            <a:ext uri="{FF2B5EF4-FFF2-40B4-BE49-F238E27FC236}">
              <a16:creationId xmlns:a16="http://schemas.microsoft.com/office/drawing/2014/main" id="{9C78CA7C-906D-4E2B-922E-35983B0AA08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245" name="AutoShape 12">
          <a:extLst>
            <a:ext uri="{FF2B5EF4-FFF2-40B4-BE49-F238E27FC236}">
              <a16:creationId xmlns:a16="http://schemas.microsoft.com/office/drawing/2014/main" id="{C1138E11-2DA0-42DF-9EA6-4C7EB30BADF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246" name="AutoShape 12">
          <a:extLst>
            <a:ext uri="{FF2B5EF4-FFF2-40B4-BE49-F238E27FC236}">
              <a16:creationId xmlns:a16="http://schemas.microsoft.com/office/drawing/2014/main" id="{A17F4823-D677-45C8-A363-E3A0C888B74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247" name="AutoShape 12">
          <a:extLst>
            <a:ext uri="{FF2B5EF4-FFF2-40B4-BE49-F238E27FC236}">
              <a16:creationId xmlns:a16="http://schemas.microsoft.com/office/drawing/2014/main" id="{4249ADEF-700B-45D5-B5BC-321C6FB993D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248" name="AutoShape 12">
          <a:extLst>
            <a:ext uri="{FF2B5EF4-FFF2-40B4-BE49-F238E27FC236}">
              <a16:creationId xmlns:a16="http://schemas.microsoft.com/office/drawing/2014/main" id="{A408B3A2-981E-4F4B-83DD-81CA9BE1F3D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249" name="AutoShape 12">
          <a:extLst>
            <a:ext uri="{FF2B5EF4-FFF2-40B4-BE49-F238E27FC236}">
              <a16:creationId xmlns:a16="http://schemas.microsoft.com/office/drawing/2014/main" id="{169F4263-AFDE-4B89-B570-DE39026F55D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250" name="AutoShape 12">
          <a:extLst>
            <a:ext uri="{FF2B5EF4-FFF2-40B4-BE49-F238E27FC236}">
              <a16:creationId xmlns:a16="http://schemas.microsoft.com/office/drawing/2014/main" id="{E2B7F92B-A1F3-4A04-8EAA-7379D45A3D7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251" name="AutoShape 12">
          <a:extLst>
            <a:ext uri="{FF2B5EF4-FFF2-40B4-BE49-F238E27FC236}">
              <a16:creationId xmlns:a16="http://schemas.microsoft.com/office/drawing/2014/main" id="{592D146F-A565-4A5D-9859-B0ED1236A1A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252" name="AutoShape 12">
          <a:extLst>
            <a:ext uri="{FF2B5EF4-FFF2-40B4-BE49-F238E27FC236}">
              <a16:creationId xmlns:a16="http://schemas.microsoft.com/office/drawing/2014/main" id="{56C87386-3B21-4428-9C18-95A8A6F424E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253" name="AutoShape 12">
          <a:extLst>
            <a:ext uri="{FF2B5EF4-FFF2-40B4-BE49-F238E27FC236}">
              <a16:creationId xmlns:a16="http://schemas.microsoft.com/office/drawing/2014/main" id="{33B2355B-F73C-47B4-8BF9-58811BA9EB4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254" name="AutoShape 12">
          <a:extLst>
            <a:ext uri="{FF2B5EF4-FFF2-40B4-BE49-F238E27FC236}">
              <a16:creationId xmlns:a16="http://schemas.microsoft.com/office/drawing/2014/main" id="{6165E503-9213-4F71-942D-22B5847A099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255" name="AutoShape 12">
          <a:extLst>
            <a:ext uri="{FF2B5EF4-FFF2-40B4-BE49-F238E27FC236}">
              <a16:creationId xmlns:a16="http://schemas.microsoft.com/office/drawing/2014/main" id="{BE66DF1C-D345-4F51-800A-81D6A5855CB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256" name="AutoShape 12">
          <a:extLst>
            <a:ext uri="{FF2B5EF4-FFF2-40B4-BE49-F238E27FC236}">
              <a16:creationId xmlns:a16="http://schemas.microsoft.com/office/drawing/2014/main" id="{EBAF5918-164B-4943-AE6A-1991F9F08C0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257" name="AutoShape 12">
          <a:extLst>
            <a:ext uri="{FF2B5EF4-FFF2-40B4-BE49-F238E27FC236}">
              <a16:creationId xmlns:a16="http://schemas.microsoft.com/office/drawing/2014/main" id="{FF458384-3BBE-458C-8B4A-15FAEA47B72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258" name="AutoShape 12">
          <a:extLst>
            <a:ext uri="{FF2B5EF4-FFF2-40B4-BE49-F238E27FC236}">
              <a16:creationId xmlns:a16="http://schemas.microsoft.com/office/drawing/2014/main" id="{F94CE791-CC2A-47ED-B052-FEA1BF84A44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259" name="AutoShape 12">
          <a:extLst>
            <a:ext uri="{FF2B5EF4-FFF2-40B4-BE49-F238E27FC236}">
              <a16:creationId xmlns:a16="http://schemas.microsoft.com/office/drawing/2014/main" id="{8CAAEF77-37CB-490D-BF70-618B6E2F1CB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260" name="AutoShape 12">
          <a:extLst>
            <a:ext uri="{FF2B5EF4-FFF2-40B4-BE49-F238E27FC236}">
              <a16:creationId xmlns:a16="http://schemas.microsoft.com/office/drawing/2014/main" id="{AFC12DAD-7CF0-40B6-8F43-C4F5D68B615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261" name="AutoShape 12">
          <a:extLst>
            <a:ext uri="{FF2B5EF4-FFF2-40B4-BE49-F238E27FC236}">
              <a16:creationId xmlns:a16="http://schemas.microsoft.com/office/drawing/2014/main" id="{DDE0AC5F-7A76-4E7C-A8F9-512392B90A5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262" name="AutoShape 12">
          <a:extLst>
            <a:ext uri="{FF2B5EF4-FFF2-40B4-BE49-F238E27FC236}">
              <a16:creationId xmlns:a16="http://schemas.microsoft.com/office/drawing/2014/main" id="{99547147-44CB-4980-B4E4-2DFA2A7EE6E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263" name="AutoShape 12">
          <a:extLst>
            <a:ext uri="{FF2B5EF4-FFF2-40B4-BE49-F238E27FC236}">
              <a16:creationId xmlns:a16="http://schemas.microsoft.com/office/drawing/2014/main" id="{358107D6-5D90-48FE-A384-71D0EFA9372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264" name="AutoShape 12">
          <a:extLst>
            <a:ext uri="{FF2B5EF4-FFF2-40B4-BE49-F238E27FC236}">
              <a16:creationId xmlns:a16="http://schemas.microsoft.com/office/drawing/2014/main" id="{13CBA76D-4938-4DDA-BD16-47AE2E237C1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265" name="AutoShape 12">
          <a:extLst>
            <a:ext uri="{FF2B5EF4-FFF2-40B4-BE49-F238E27FC236}">
              <a16:creationId xmlns:a16="http://schemas.microsoft.com/office/drawing/2014/main" id="{E02560B0-4FCB-435A-82C1-2775192A6ED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266" name="AutoShape 12">
          <a:extLst>
            <a:ext uri="{FF2B5EF4-FFF2-40B4-BE49-F238E27FC236}">
              <a16:creationId xmlns:a16="http://schemas.microsoft.com/office/drawing/2014/main" id="{466F1338-25E9-4D8D-A57C-1220798BDC8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267" name="AutoShape 12">
          <a:extLst>
            <a:ext uri="{FF2B5EF4-FFF2-40B4-BE49-F238E27FC236}">
              <a16:creationId xmlns:a16="http://schemas.microsoft.com/office/drawing/2014/main" id="{6FEAB50B-A8A1-4999-B644-CA967771FB1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268" name="AutoShape 12">
          <a:extLst>
            <a:ext uri="{FF2B5EF4-FFF2-40B4-BE49-F238E27FC236}">
              <a16:creationId xmlns:a16="http://schemas.microsoft.com/office/drawing/2014/main" id="{8C0F3EB5-F4FD-41A0-8B0C-B0335CF3626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269" name="AutoShape 12">
          <a:extLst>
            <a:ext uri="{FF2B5EF4-FFF2-40B4-BE49-F238E27FC236}">
              <a16:creationId xmlns:a16="http://schemas.microsoft.com/office/drawing/2014/main" id="{A2078EBA-2EB9-47F5-B45C-C37B4CD42CE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270" name="AutoShape 12">
          <a:extLst>
            <a:ext uri="{FF2B5EF4-FFF2-40B4-BE49-F238E27FC236}">
              <a16:creationId xmlns:a16="http://schemas.microsoft.com/office/drawing/2014/main" id="{16C1E36C-F937-463D-8E8A-9360D4C6587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271" name="AutoShape 12">
          <a:extLst>
            <a:ext uri="{FF2B5EF4-FFF2-40B4-BE49-F238E27FC236}">
              <a16:creationId xmlns:a16="http://schemas.microsoft.com/office/drawing/2014/main" id="{41BD90B7-7488-44C9-A1DE-3523DC695DC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272" name="AutoShape 12">
          <a:extLst>
            <a:ext uri="{FF2B5EF4-FFF2-40B4-BE49-F238E27FC236}">
              <a16:creationId xmlns:a16="http://schemas.microsoft.com/office/drawing/2014/main" id="{93AA249D-EADC-424F-BFEA-3CF93A008A9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273" name="AutoShape 12">
          <a:extLst>
            <a:ext uri="{FF2B5EF4-FFF2-40B4-BE49-F238E27FC236}">
              <a16:creationId xmlns:a16="http://schemas.microsoft.com/office/drawing/2014/main" id="{7A7CB80D-74E3-4857-9E5C-10E9A54EA1E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274" name="AutoShape 12">
          <a:extLst>
            <a:ext uri="{FF2B5EF4-FFF2-40B4-BE49-F238E27FC236}">
              <a16:creationId xmlns:a16="http://schemas.microsoft.com/office/drawing/2014/main" id="{9898A882-5457-4017-8E03-D018266868B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275" name="AutoShape 12">
          <a:extLst>
            <a:ext uri="{FF2B5EF4-FFF2-40B4-BE49-F238E27FC236}">
              <a16:creationId xmlns:a16="http://schemas.microsoft.com/office/drawing/2014/main" id="{AFBA2D3C-E0B0-45BC-B6A2-52FB0D6E86C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276" name="AutoShape 12">
          <a:extLst>
            <a:ext uri="{FF2B5EF4-FFF2-40B4-BE49-F238E27FC236}">
              <a16:creationId xmlns:a16="http://schemas.microsoft.com/office/drawing/2014/main" id="{B60E9453-31DD-44AE-8DC3-21C5A0437BE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277" name="AutoShape 12">
          <a:extLst>
            <a:ext uri="{FF2B5EF4-FFF2-40B4-BE49-F238E27FC236}">
              <a16:creationId xmlns:a16="http://schemas.microsoft.com/office/drawing/2014/main" id="{6421C4F3-AB9D-4D93-938B-81560F4710D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278" name="AutoShape 12">
          <a:extLst>
            <a:ext uri="{FF2B5EF4-FFF2-40B4-BE49-F238E27FC236}">
              <a16:creationId xmlns:a16="http://schemas.microsoft.com/office/drawing/2014/main" id="{8442FC61-0CDF-40EB-9675-75F9EF25D15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279" name="AutoShape 12">
          <a:extLst>
            <a:ext uri="{FF2B5EF4-FFF2-40B4-BE49-F238E27FC236}">
              <a16:creationId xmlns:a16="http://schemas.microsoft.com/office/drawing/2014/main" id="{2305FCFD-7107-4ABC-B78D-5E1D44375D9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280" name="AutoShape 12">
          <a:extLst>
            <a:ext uri="{FF2B5EF4-FFF2-40B4-BE49-F238E27FC236}">
              <a16:creationId xmlns:a16="http://schemas.microsoft.com/office/drawing/2014/main" id="{5E00CB3E-69C4-44C7-AF1B-DB76D46A227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281" name="AutoShape 12">
          <a:extLst>
            <a:ext uri="{FF2B5EF4-FFF2-40B4-BE49-F238E27FC236}">
              <a16:creationId xmlns:a16="http://schemas.microsoft.com/office/drawing/2014/main" id="{C51ACAB5-9F17-44CB-82EC-664AF7C5079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282" name="AutoShape 12">
          <a:extLst>
            <a:ext uri="{FF2B5EF4-FFF2-40B4-BE49-F238E27FC236}">
              <a16:creationId xmlns:a16="http://schemas.microsoft.com/office/drawing/2014/main" id="{A1B75922-C993-4A3F-B5F5-854A17B099B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283" name="AutoShape 12">
          <a:extLst>
            <a:ext uri="{FF2B5EF4-FFF2-40B4-BE49-F238E27FC236}">
              <a16:creationId xmlns:a16="http://schemas.microsoft.com/office/drawing/2014/main" id="{535CE809-AF98-41A2-8494-DEA168B4806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284" name="AutoShape 12">
          <a:extLst>
            <a:ext uri="{FF2B5EF4-FFF2-40B4-BE49-F238E27FC236}">
              <a16:creationId xmlns:a16="http://schemas.microsoft.com/office/drawing/2014/main" id="{80218992-3FAA-477B-A86D-91F21B555B0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285" name="AutoShape 12">
          <a:extLst>
            <a:ext uri="{FF2B5EF4-FFF2-40B4-BE49-F238E27FC236}">
              <a16:creationId xmlns:a16="http://schemas.microsoft.com/office/drawing/2014/main" id="{A60AE3AC-C10A-4239-9086-3CE683E2415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286" name="AutoShape 12">
          <a:extLst>
            <a:ext uri="{FF2B5EF4-FFF2-40B4-BE49-F238E27FC236}">
              <a16:creationId xmlns:a16="http://schemas.microsoft.com/office/drawing/2014/main" id="{992BF647-0337-463D-B1F7-DB2AEDB76AA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287" name="AutoShape 12">
          <a:extLst>
            <a:ext uri="{FF2B5EF4-FFF2-40B4-BE49-F238E27FC236}">
              <a16:creationId xmlns:a16="http://schemas.microsoft.com/office/drawing/2014/main" id="{662BA03C-1838-4B43-BA12-A3C6C7C5D30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288" name="AutoShape 12">
          <a:extLst>
            <a:ext uri="{FF2B5EF4-FFF2-40B4-BE49-F238E27FC236}">
              <a16:creationId xmlns:a16="http://schemas.microsoft.com/office/drawing/2014/main" id="{51EDA2E3-1129-4F47-8441-145EB55BEEC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289" name="AutoShape 12">
          <a:extLst>
            <a:ext uri="{FF2B5EF4-FFF2-40B4-BE49-F238E27FC236}">
              <a16:creationId xmlns:a16="http://schemas.microsoft.com/office/drawing/2014/main" id="{F5E82611-D604-4C9B-816D-9B2497C3801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290" name="AutoShape 12">
          <a:extLst>
            <a:ext uri="{FF2B5EF4-FFF2-40B4-BE49-F238E27FC236}">
              <a16:creationId xmlns:a16="http://schemas.microsoft.com/office/drawing/2014/main" id="{980D8437-E6FD-4E0C-A52A-17BCCA36364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291" name="AutoShape 12">
          <a:extLst>
            <a:ext uri="{FF2B5EF4-FFF2-40B4-BE49-F238E27FC236}">
              <a16:creationId xmlns:a16="http://schemas.microsoft.com/office/drawing/2014/main" id="{45FDB923-9F95-4098-B443-3249ED975AF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292" name="AutoShape 12">
          <a:extLst>
            <a:ext uri="{FF2B5EF4-FFF2-40B4-BE49-F238E27FC236}">
              <a16:creationId xmlns:a16="http://schemas.microsoft.com/office/drawing/2014/main" id="{9184D347-7E08-43E8-9C07-97C72DF7B56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293" name="AutoShape 12">
          <a:extLst>
            <a:ext uri="{FF2B5EF4-FFF2-40B4-BE49-F238E27FC236}">
              <a16:creationId xmlns:a16="http://schemas.microsoft.com/office/drawing/2014/main" id="{54B7A2A9-A1AA-413B-90D8-92B0E185C01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294" name="AutoShape 12">
          <a:extLst>
            <a:ext uri="{FF2B5EF4-FFF2-40B4-BE49-F238E27FC236}">
              <a16:creationId xmlns:a16="http://schemas.microsoft.com/office/drawing/2014/main" id="{C4F65F6E-3ABD-44D9-B92E-A622CCA489F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295" name="AutoShape 12">
          <a:extLst>
            <a:ext uri="{FF2B5EF4-FFF2-40B4-BE49-F238E27FC236}">
              <a16:creationId xmlns:a16="http://schemas.microsoft.com/office/drawing/2014/main" id="{61A5FA2E-DA56-4FDB-8D71-584C9392C74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296" name="AutoShape 12">
          <a:extLst>
            <a:ext uri="{FF2B5EF4-FFF2-40B4-BE49-F238E27FC236}">
              <a16:creationId xmlns:a16="http://schemas.microsoft.com/office/drawing/2014/main" id="{007C07E1-3598-4052-8443-71A3555A3F3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297" name="AutoShape 12">
          <a:extLst>
            <a:ext uri="{FF2B5EF4-FFF2-40B4-BE49-F238E27FC236}">
              <a16:creationId xmlns:a16="http://schemas.microsoft.com/office/drawing/2014/main" id="{7A70C37C-2070-4BEB-AF3A-25179EB82CC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298" name="AutoShape 12">
          <a:extLst>
            <a:ext uri="{FF2B5EF4-FFF2-40B4-BE49-F238E27FC236}">
              <a16:creationId xmlns:a16="http://schemas.microsoft.com/office/drawing/2014/main" id="{56282708-BF3B-42F5-928C-0A1FDBBA986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299" name="AutoShape 12">
          <a:extLst>
            <a:ext uri="{FF2B5EF4-FFF2-40B4-BE49-F238E27FC236}">
              <a16:creationId xmlns:a16="http://schemas.microsoft.com/office/drawing/2014/main" id="{6630056A-0073-492B-9DCE-50653060FE3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300" name="AutoShape 12">
          <a:extLst>
            <a:ext uri="{FF2B5EF4-FFF2-40B4-BE49-F238E27FC236}">
              <a16:creationId xmlns:a16="http://schemas.microsoft.com/office/drawing/2014/main" id="{BE56B4F6-C8BA-4222-B863-2518DA403B6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301" name="AutoShape 12">
          <a:extLst>
            <a:ext uri="{FF2B5EF4-FFF2-40B4-BE49-F238E27FC236}">
              <a16:creationId xmlns:a16="http://schemas.microsoft.com/office/drawing/2014/main" id="{3F8076A4-FD51-4D02-9EF5-BE4C221A950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302" name="AutoShape 12">
          <a:extLst>
            <a:ext uri="{FF2B5EF4-FFF2-40B4-BE49-F238E27FC236}">
              <a16:creationId xmlns:a16="http://schemas.microsoft.com/office/drawing/2014/main" id="{725FF1E0-A96A-417F-8B98-08513F64180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303" name="AutoShape 12">
          <a:extLst>
            <a:ext uri="{FF2B5EF4-FFF2-40B4-BE49-F238E27FC236}">
              <a16:creationId xmlns:a16="http://schemas.microsoft.com/office/drawing/2014/main" id="{2C57CE3A-ECF6-4FCF-A56F-15279310DB9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304" name="AutoShape 12">
          <a:extLst>
            <a:ext uri="{FF2B5EF4-FFF2-40B4-BE49-F238E27FC236}">
              <a16:creationId xmlns:a16="http://schemas.microsoft.com/office/drawing/2014/main" id="{61B68AE0-BCE9-436F-8CE9-40D65F5FC8E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305" name="AutoShape 12">
          <a:extLst>
            <a:ext uri="{FF2B5EF4-FFF2-40B4-BE49-F238E27FC236}">
              <a16:creationId xmlns:a16="http://schemas.microsoft.com/office/drawing/2014/main" id="{87D3807D-F915-4B48-A898-B4DD2835B3D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306" name="AutoShape 12">
          <a:extLst>
            <a:ext uri="{FF2B5EF4-FFF2-40B4-BE49-F238E27FC236}">
              <a16:creationId xmlns:a16="http://schemas.microsoft.com/office/drawing/2014/main" id="{1A2103FD-1205-4A9F-85CE-C84754AE8AD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307" name="AutoShape 12">
          <a:extLst>
            <a:ext uri="{FF2B5EF4-FFF2-40B4-BE49-F238E27FC236}">
              <a16:creationId xmlns:a16="http://schemas.microsoft.com/office/drawing/2014/main" id="{A6A63C9C-1887-44C0-A518-CC53E95588A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308" name="AutoShape 12">
          <a:extLst>
            <a:ext uri="{FF2B5EF4-FFF2-40B4-BE49-F238E27FC236}">
              <a16:creationId xmlns:a16="http://schemas.microsoft.com/office/drawing/2014/main" id="{A99796E9-C7B1-47B0-8A87-54F5450BD69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309" name="AutoShape 12">
          <a:extLst>
            <a:ext uri="{FF2B5EF4-FFF2-40B4-BE49-F238E27FC236}">
              <a16:creationId xmlns:a16="http://schemas.microsoft.com/office/drawing/2014/main" id="{2F2D3688-B084-4640-8D5E-C76B94BC6AD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310" name="AutoShape 12">
          <a:extLst>
            <a:ext uri="{FF2B5EF4-FFF2-40B4-BE49-F238E27FC236}">
              <a16:creationId xmlns:a16="http://schemas.microsoft.com/office/drawing/2014/main" id="{456A17BB-BC4B-4E69-9B0F-4BE10C2A2F2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311" name="AutoShape 12">
          <a:extLst>
            <a:ext uri="{FF2B5EF4-FFF2-40B4-BE49-F238E27FC236}">
              <a16:creationId xmlns:a16="http://schemas.microsoft.com/office/drawing/2014/main" id="{D063AD18-1730-4722-9165-2191DD0B44A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312" name="AutoShape 12">
          <a:extLst>
            <a:ext uri="{FF2B5EF4-FFF2-40B4-BE49-F238E27FC236}">
              <a16:creationId xmlns:a16="http://schemas.microsoft.com/office/drawing/2014/main" id="{C94C3625-8E55-4CB5-BDAD-CDB63C5C190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313" name="AutoShape 12">
          <a:extLst>
            <a:ext uri="{FF2B5EF4-FFF2-40B4-BE49-F238E27FC236}">
              <a16:creationId xmlns:a16="http://schemas.microsoft.com/office/drawing/2014/main" id="{00999CA7-15C4-43D8-96F8-D1C0075C0E3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314" name="AutoShape 12">
          <a:extLst>
            <a:ext uri="{FF2B5EF4-FFF2-40B4-BE49-F238E27FC236}">
              <a16:creationId xmlns:a16="http://schemas.microsoft.com/office/drawing/2014/main" id="{88D29396-2151-4853-9A2E-42E3665A1C9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315" name="AutoShape 12">
          <a:extLst>
            <a:ext uri="{FF2B5EF4-FFF2-40B4-BE49-F238E27FC236}">
              <a16:creationId xmlns:a16="http://schemas.microsoft.com/office/drawing/2014/main" id="{34BEA148-A45D-4C24-ABAB-F7DFA7A6708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316" name="AutoShape 12">
          <a:extLst>
            <a:ext uri="{FF2B5EF4-FFF2-40B4-BE49-F238E27FC236}">
              <a16:creationId xmlns:a16="http://schemas.microsoft.com/office/drawing/2014/main" id="{729394CF-B345-401A-863D-80556C3AD63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317" name="AutoShape 12">
          <a:extLst>
            <a:ext uri="{FF2B5EF4-FFF2-40B4-BE49-F238E27FC236}">
              <a16:creationId xmlns:a16="http://schemas.microsoft.com/office/drawing/2014/main" id="{EC927F89-ABD3-43CA-BCAA-145BE9E9466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318" name="AutoShape 12">
          <a:extLst>
            <a:ext uri="{FF2B5EF4-FFF2-40B4-BE49-F238E27FC236}">
              <a16:creationId xmlns:a16="http://schemas.microsoft.com/office/drawing/2014/main" id="{ACCA91AC-DC74-4DF5-8A53-F2242F81177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319" name="AutoShape 12">
          <a:extLst>
            <a:ext uri="{FF2B5EF4-FFF2-40B4-BE49-F238E27FC236}">
              <a16:creationId xmlns:a16="http://schemas.microsoft.com/office/drawing/2014/main" id="{633DA36C-B860-44A3-8559-3A25E72E140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320" name="AutoShape 12">
          <a:extLst>
            <a:ext uri="{FF2B5EF4-FFF2-40B4-BE49-F238E27FC236}">
              <a16:creationId xmlns:a16="http://schemas.microsoft.com/office/drawing/2014/main" id="{D87212E2-8011-435F-BF53-34AC3AF4E95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321" name="AutoShape 12">
          <a:extLst>
            <a:ext uri="{FF2B5EF4-FFF2-40B4-BE49-F238E27FC236}">
              <a16:creationId xmlns:a16="http://schemas.microsoft.com/office/drawing/2014/main" id="{003B2EF4-E9AB-4B2D-B378-1B2FBD7C090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322" name="AutoShape 12">
          <a:extLst>
            <a:ext uri="{FF2B5EF4-FFF2-40B4-BE49-F238E27FC236}">
              <a16:creationId xmlns:a16="http://schemas.microsoft.com/office/drawing/2014/main" id="{14E5047C-7E97-46F7-A31C-9108E038487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323" name="AutoShape 12">
          <a:extLst>
            <a:ext uri="{FF2B5EF4-FFF2-40B4-BE49-F238E27FC236}">
              <a16:creationId xmlns:a16="http://schemas.microsoft.com/office/drawing/2014/main" id="{B997B941-6EFB-45C3-8EA6-4A8AC1E77DE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324" name="AutoShape 12">
          <a:extLst>
            <a:ext uri="{FF2B5EF4-FFF2-40B4-BE49-F238E27FC236}">
              <a16:creationId xmlns:a16="http://schemas.microsoft.com/office/drawing/2014/main" id="{242542AE-F6AC-46EB-9E9D-FDB4A27F944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325" name="AutoShape 12">
          <a:extLst>
            <a:ext uri="{FF2B5EF4-FFF2-40B4-BE49-F238E27FC236}">
              <a16:creationId xmlns:a16="http://schemas.microsoft.com/office/drawing/2014/main" id="{4F9A4DB6-95CC-41CB-BBF6-887396AD9AB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326" name="AutoShape 12">
          <a:extLst>
            <a:ext uri="{FF2B5EF4-FFF2-40B4-BE49-F238E27FC236}">
              <a16:creationId xmlns:a16="http://schemas.microsoft.com/office/drawing/2014/main" id="{77E54607-C070-4E0B-ABF7-8511EA7DD4A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327" name="AutoShape 12">
          <a:extLst>
            <a:ext uri="{FF2B5EF4-FFF2-40B4-BE49-F238E27FC236}">
              <a16:creationId xmlns:a16="http://schemas.microsoft.com/office/drawing/2014/main" id="{899ABE68-E004-4057-9327-7B98396E513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328" name="AutoShape 12">
          <a:extLst>
            <a:ext uri="{FF2B5EF4-FFF2-40B4-BE49-F238E27FC236}">
              <a16:creationId xmlns:a16="http://schemas.microsoft.com/office/drawing/2014/main" id="{2F4B654D-FA18-4474-A2D5-237EB95E1FB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329" name="AutoShape 12">
          <a:extLst>
            <a:ext uri="{FF2B5EF4-FFF2-40B4-BE49-F238E27FC236}">
              <a16:creationId xmlns:a16="http://schemas.microsoft.com/office/drawing/2014/main" id="{EAD79FCE-5487-47DB-AE03-238C4308C4D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330" name="AutoShape 12">
          <a:extLst>
            <a:ext uri="{FF2B5EF4-FFF2-40B4-BE49-F238E27FC236}">
              <a16:creationId xmlns:a16="http://schemas.microsoft.com/office/drawing/2014/main" id="{1BB65EF1-B9BA-4F52-B15B-E361E4CFF17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331" name="AutoShape 12">
          <a:extLst>
            <a:ext uri="{FF2B5EF4-FFF2-40B4-BE49-F238E27FC236}">
              <a16:creationId xmlns:a16="http://schemas.microsoft.com/office/drawing/2014/main" id="{2D2C9C97-8649-4AB1-ADFB-C6D329DDAC8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332" name="AutoShape 12">
          <a:extLst>
            <a:ext uri="{FF2B5EF4-FFF2-40B4-BE49-F238E27FC236}">
              <a16:creationId xmlns:a16="http://schemas.microsoft.com/office/drawing/2014/main" id="{A1C6A5DB-AEA6-4000-BD0D-58623055111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333" name="AutoShape 12">
          <a:extLst>
            <a:ext uri="{FF2B5EF4-FFF2-40B4-BE49-F238E27FC236}">
              <a16:creationId xmlns:a16="http://schemas.microsoft.com/office/drawing/2014/main" id="{5CE9941E-2211-4029-A8F2-F3B3A54CCDF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334" name="AutoShape 12">
          <a:extLst>
            <a:ext uri="{FF2B5EF4-FFF2-40B4-BE49-F238E27FC236}">
              <a16:creationId xmlns:a16="http://schemas.microsoft.com/office/drawing/2014/main" id="{1D8BCEDD-F8DB-4847-AF52-8ABE3D2364B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335" name="AutoShape 12">
          <a:extLst>
            <a:ext uri="{FF2B5EF4-FFF2-40B4-BE49-F238E27FC236}">
              <a16:creationId xmlns:a16="http://schemas.microsoft.com/office/drawing/2014/main" id="{3D743F2E-60D2-40F7-B295-DF70E6E7D0B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336" name="AutoShape 12">
          <a:extLst>
            <a:ext uri="{FF2B5EF4-FFF2-40B4-BE49-F238E27FC236}">
              <a16:creationId xmlns:a16="http://schemas.microsoft.com/office/drawing/2014/main" id="{B321671B-3720-4F76-8ACB-246AFD8FD1A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337" name="AutoShape 12">
          <a:extLst>
            <a:ext uri="{FF2B5EF4-FFF2-40B4-BE49-F238E27FC236}">
              <a16:creationId xmlns:a16="http://schemas.microsoft.com/office/drawing/2014/main" id="{61C29B8F-42A7-4CCF-AE7D-7D572171E74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338" name="AutoShape 12">
          <a:extLst>
            <a:ext uri="{FF2B5EF4-FFF2-40B4-BE49-F238E27FC236}">
              <a16:creationId xmlns:a16="http://schemas.microsoft.com/office/drawing/2014/main" id="{43DFFA5B-B19D-4DFE-8D29-EBD753C260D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339" name="AutoShape 12">
          <a:extLst>
            <a:ext uri="{FF2B5EF4-FFF2-40B4-BE49-F238E27FC236}">
              <a16:creationId xmlns:a16="http://schemas.microsoft.com/office/drawing/2014/main" id="{BE5E8185-ED63-4593-8B77-CC4F30FE94F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340" name="AutoShape 12">
          <a:extLst>
            <a:ext uri="{FF2B5EF4-FFF2-40B4-BE49-F238E27FC236}">
              <a16:creationId xmlns:a16="http://schemas.microsoft.com/office/drawing/2014/main" id="{1A757EFF-1F9D-44F8-8044-158D99DE71E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341" name="AutoShape 12">
          <a:extLst>
            <a:ext uri="{FF2B5EF4-FFF2-40B4-BE49-F238E27FC236}">
              <a16:creationId xmlns:a16="http://schemas.microsoft.com/office/drawing/2014/main" id="{F646C53C-5A53-483E-8CA6-C2CD75353A0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342" name="AutoShape 12">
          <a:extLst>
            <a:ext uri="{FF2B5EF4-FFF2-40B4-BE49-F238E27FC236}">
              <a16:creationId xmlns:a16="http://schemas.microsoft.com/office/drawing/2014/main" id="{F80D599E-F02C-44E1-81B5-793F01DF96A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343" name="AutoShape 12">
          <a:extLst>
            <a:ext uri="{FF2B5EF4-FFF2-40B4-BE49-F238E27FC236}">
              <a16:creationId xmlns:a16="http://schemas.microsoft.com/office/drawing/2014/main" id="{91FE7A0F-BE24-4512-8AD9-CACF69325C5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344" name="AutoShape 12">
          <a:extLst>
            <a:ext uri="{FF2B5EF4-FFF2-40B4-BE49-F238E27FC236}">
              <a16:creationId xmlns:a16="http://schemas.microsoft.com/office/drawing/2014/main" id="{3C7FA127-8D1E-4094-83C1-74AD6CD9060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345" name="AutoShape 12">
          <a:extLst>
            <a:ext uri="{FF2B5EF4-FFF2-40B4-BE49-F238E27FC236}">
              <a16:creationId xmlns:a16="http://schemas.microsoft.com/office/drawing/2014/main" id="{4AFD1672-78B5-461B-B86B-8ACDEFBAB82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346" name="AutoShape 12">
          <a:extLst>
            <a:ext uri="{FF2B5EF4-FFF2-40B4-BE49-F238E27FC236}">
              <a16:creationId xmlns:a16="http://schemas.microsoft.com/office/drawing/2014/main" id="{C655F1FC-53A9-4EFF-8897-CF3BF3F517D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347" name="AutoShape 12">
          <a:extLst>
            <a:ext uri="{FF2B5EF4-FFF2-40B4-BE49-F238E27FC236}">
              <a16:creationId xmlns:a16="http://schemas.microsoft.com/office/drawing/2014/main" id="{9CD6D87A-B83F-456C-BA0A-65785A2BA95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348" name="AutoShape 12">
          <a:extLst>
            <a:ext uri="{FF2B5EF4-FFF2-40B4-BE49-F238E27FC236}">
              <a16:creationId xmlns:a16="http://schemas.microsoft.com/office/drawing/2014/main" id="{6D4709FE-BEAE-477C-89D3-A3017FDE938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349" name="AutoShape 12">
          <a:extLst>
            <a:ext uri="{FF2B5EF4-FFF2-40B4-BE49-F238E27FC236}">
              <a16:creationId xmlns:a16="http://schemas.microsoft.com/office/drawing/2014/main" id="{99A31288-C48D-40B9-9E5F-D03AD84D7B8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350" name="AutoShape 12">
          <a:extLst>
            <a:ext uri="{FF2B5EF4-FFF2-40B4-BE49-F238E27FC236}">
              <a16:creationId xmlns:a16="http://schemas.microsoft.com/office/drawing/2014/main" id="{8161EB0C-4944-4006-99C4-322F98FB1F1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351" name="AutoShape 12">
          <a:extLst>
            <a:ext uri="{FF2B5EF4-FFF2-40B4-BE49-F238E27FC236}">
              <a16:creationId xmlns:a16="http://schemas.microsoft.com/office/drawing/2014/main" id="{1FDDCF67-2CA5-42DE-B2CB-7E0E198E757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352" name="AutoShape 12">
          <a:extLst>
            <a:ext uri="{FF2B5EF4-FFF2-40B4-BE49-F238E27FC236}">
              <a16:creationId xmlns:a16="http://schemas.microsoft.com/office/drawing/2014/main" id="{D7525388-07D1-4AAC-9A93-5FD760FF085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353" name="AutoShape 12">
          <a:extLst>
            <a:ext uri="{FF2B5EF4-FFF2-40B4-BE49-F238E27FC236}">
              <a16:creationId xmlns:a16="http://schemas.microsoft.com/office/drawing/2014/main" id="{4110ED2B-92ED-4204-96B1-792D78C7025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354" name="AutoShape 12">
          <a:extLst>
            <a:ext uri="{FF2B5EF4-FFF2-40B4-BE49-F238E27FC236}">
              <a16:creationId xmlns:a16="http://schemas.microsoft.com/office/drawing/2014/main" id="{245C84F7-F408-443B-ADB9-C61B900F691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355" name="AutoShape 12">
          <a:extLst>
            <a:ext uri="{FF2B5EF4-FFF2-40B4-BE49-F238E27FC236}">
              <a16:creationId xmlns:a16="http://schemas.microsoft.com/office/drawing/2014/main" id="{9F3749D0-F619-458B-84AF-A046F6F8D63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356" name="AutoShape 12">
          <a:extLst>
            <a:ext uri="{FF2B5EF4-FFF2-40B4-BE49-F238E27FC236}">
              <a16:creationId xmlns:a16="http://schemas.microsoft.com/office/drawing/2014/main" id="{9464AB00-9D08-41C5-942E-34BD7B2E3BE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357" name="AutoShape 12">
          <a:extLst>
            <a:ext uri="{FF2B5EF4-FFF2-40B4-BE49-F238E27FC236}">
              <a16:creationId xmlns:a16="http://schemas.microsoft.com/office/drawing/2014/main" id="{D504922A-F1AD-4EC1-9A3B-44A5086C246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358" name="AutoShape 12">
          <a:extLst>
            <a:ext uri="{FF2B5EF4-FFF2-40B4-BE49-F238E27FC236}">
              <a16:creationId xmlns:a16="http://schemas.microsoft.com/office/drawing/2014/main" id="{A84BB68B-9B42-4A0C-A55F-90F1FF4F3E9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359" name="AutoShape 12">
          <a:extLst>
            <a:ext uri="{FF2B5EF4-FFF2-40B4-BE49-F238E27FC236}">
              <a16:creationId xmlns:a16="http://schemas.microsoft.com/office/drawing/2014/main" id="{43B14F6D-E199-4E45-A676-545F5E40ABD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360" name="AutoShape 12">
          <a:extLst>
            <a:ext uri="{FF2B5EF4-FFF2-40B4-BE49-F238E27FC236}">
              <a16:creationId xmlns:a16="http://schemas.microsoft.com/office/drawing/2014/main" id="{D7B3EEFD-DA85-448E-B3E3-18638C95BEC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361" name="AutoShape 12">
          <a:extLst>
            <a:ext uri="{FF2B5EF4-FFF2-40B4-BE49-F238E27FC236}">
              <a16:creationId xmlns:a16="http://schemas.microsoft.com/office/drawing/2014/main" id="{D626A297-3078-4D00-8F4B-BEF8124072C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362" name="AutoShape 12">
          <a:extLst>
            <a:ext uri="{FF2B5EF4-FFF2-40B4-BE49-F238E27FC236}">
              <a16:creationId xmlns:a16="http://schemas.microsoft.com/office/drawing/2014/main" id="{FC28E267-5977-45AB-91A8-0977DD4C450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363" name="AutoShape 12">
          <a:extLst>
            <a:ext uri="{FF2B5EF4-FFF2-40B4-BE49-F238E27FC236}">
              <a16:creationId xmlns:a16="http://schemas.microsoft.com/office/drawing/2014/main" id="{75F66876-36D4-4431-B5FB-FACB8A53E73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364" name="AutoShape 12">
          <a:extLst>
            <a:ext uri="{FF2B5EF4-FFF2-40B4-BE49-F238E27FC236}">
              <a16:creationId xmlns:a16="http://schemas.microsoft.com/office/drawing/2014/main" id="{B990A459-B400-4DFB-A5EB-C3E2B29BD31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365" name="AutoShape 12">
          <a:extLst>
            <a:ext uri="{FF2B5EF4-FFF2-40B4-BE49-F238E27FC236}">
              <a16:creationId xmlns:a16="http://schemas.microsoft.com/office/drawing/2014/main" id="{EF1F1837-A292-4B66-A549-E99BE38E814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366" name="AutoShape 12">
          <a:extLst>
            <a:ext uri="{FF2B5EF4-FFF2-40B4-BE49-F238E27FC236}">
              <a16:creationId xmlns:a16="http://schemas.microsoft.com/office/drawing/2014/main" id="{BAF45370-C7A1-4C90-9C54-D5089555DFB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367" name="AutoShape 12">
          <a:extLst>
            <a:ext uri="{FF2B5EF4-FFF2-40B4-BE49-F238E27FC236}">
              <a16:creationId xmlns:a16="http://schemas.microsoft.com/office/drawing/2014/main" id="{26218B0B-CEA8-4536-B987-C0219A09F7F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368" name="AutoShape 12">
          <a:extLst>
            <a:ext uri="{FF2B5EF4-FFF2-40B4-BE49-F238E27FC236}">
              <a16:creationId xmlns:a16="http://schemas.microsoft.com/office/drawing/2014/main" id="{B5D0DAB2-0D0F-4702-A2EB-44B3D8DAA28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369" name="AutoShape 12">
          <a:extLst>
            <a:ext uri="{FF2B5EF4-FFF2-40B4-BE49-F238E27FC236}">
              <a16:creationId xmlns:a16="http://schemas.microsoft.com/office/drawing/2014/main" id="{4F884F3A-EFDA-4BB5-BB30-9D559E6B3F5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370" name="AutoShape 12">
          <a:extLst>
            <a:ext uri="{FF2B5EF4-FFF2-40B4-BE49-F238E27FC236}">
              <a16:creationId xmlns:a16="http://schemas.microsoft.com/office/drawing/2014/main" id="{BE39A300-959D-4CC4-982D-178540EB021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371" name="AutoShape 12">
          <a:extLst>
            <a:ext uri="{FF2B5EF4-FFF2-40B4-BE49-F238E27FC236}">
              <a16:creationId xmlns:a16="http://schemas.microsoft.com/office/drawing/2014/main" id="{017C187B-EE1B-4A01-BCC7-56261BEF87D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372" name="AutoShape 12">
          <a:extLst>
            <a:ext uri="{FF2B5EF4-FFF2-40B4-BE49-F238E27FC236}">
              <a16:creationId xmlns:a16="http://schemas.microsoft.com/office/drawing/2014/main" id="{A3851AC5-75EC-4B84-A08F-0B80861D5B6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373" name="AutoShape 12">
          <a:extLst>
            <a:ext uri="{FF2B5EF4-FFF2-40B4-BE49-F238E27FC236}">
              <a16:creationId xmlns:a16="http://schemas.microsoft.com/office/drawing/2014/main" id="{D7DF53C2-A2B1-42B7-8E24-FFA6119B51A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374" name="AutoShape 12">
          <a:extLst>
            <a:ext uri="{FF2B5EF4-FFF2-40B4-BE49-F238E27FC236}">
              <a16:creationId xmlns:a16="http://schemas.microsoft.com/office/drawing/2014/main" id="{62DFD215-E828-413A-BBDA-EFE7B0EA955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375" name="AutoShape 12">
          <a:extLst>
            <a:ext uri="{FF2B5EF4-FFF2-40B4-BE49-F238E27FC236}">
              <a16:creationId xmlns:a16="http://schemas.microsoft.com/office/drawing/2014/main" id="{6BBEE13C-908D-481B-A80E-8CC547AA5D6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376" name="AutoShape 12">
          <a:extLst>
            <a:ext uri="{FF2B5EF4-FFF2-40B4-BE49-F238E27FC236}">
              <a16:creationId xmlns:a16="http://schemas.microsoft.com/office/drawing/2014/main" id="{2AD387B7-BCE8-4513-A48D-82CE805AB0B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377" name="AutoShape 12">
          <a:extLst>
            <a:ext uri="{FF2B5EF4-FFF2-40B4-BE49-F238E27FC236}">
              <a16:creationId xmlns:a16="http://schemas.microsoft.com/office/drawing/2014/main" id="{9C534593-761E-42E3-BE97-40D5842717F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378" name="AutoShape 12">
          <a:extLst>
            <a:ext uri="{FF2B5EF4-FFF2-40B4-BE49-F238E27FC236}">
              <a16:creationId xmlns:a16="http://schemas.microsoft.com/office/drawing/2014/main" id="{61F2723A-9A42-41EC-A2BA-EF7A8AD769E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379" name="AutoShape 12">
          <a:extLst>
            <a:ext uri="{FF2B5EF4-FFF2-40B4-BE49-F238E27FC236}">
              <a16:creationId xmlns:a16="http://schemas.microsoft.com/office/drawing/2014/main" id="{ADA70C3C-9704-4F1D-94AC-892E11EBA5A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380" name="AutoShape 12">
          <a:extLst>
            <a:ext uri="{FF2B5EF4-FFF2-40B4-BE49-F238E27FC236}">
              <a16:creationId xmlns:a16="http://schemas.microsoft.com/office/drawing/2014/main" id="{9D0B4C8E-C3EE-44E0-A686-7870A079F06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381" name="AutoShape 12">
          <a:extLst>
            <a:ext uri="{FF2B5EF4-FFF2-40B4-BE49-F238E27FC236}">
              <a16:creationId xmlns:a16="http://schemas.microsoft.com/office/drawing/2014/main" id="{61F571B6-786A-4588-A51A-EA6C21BAC4B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382" name="AutoShape 12">
          <a:extLst>
            <a:ext uri="{FF2B5EF4-FFF2-40B4-BE49-F238E27FC236}">
              <a16:creationId xmlns:a16="http://schemas.microsoft.com/office/drawing/2014/main" id="{216E9F8A-3EC6-431F-8271-7656CD4304D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383" name="AutoShape 12">
          <a:extLst>
            <a:ext uri="{FF2B5EF4-FFF2-40B4-BE49-F238E27FC236}">
              <a16:creationId xmlns:a16="http://schemas.microsoft.com/office/drawing/2014/main" id="{70F48957-99F2-419E-89A9-E493C446CBB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384" name="AutoShape 12">
          <a:extLst>
            <a:ext uri="{FF2B5EF4-FFF2-40B4-BE49-F238E27FC236}">
              <a16:creationId xmlns:a16="http://schemas.microsoft.com/office/drawing/2014/main" id="{AB93429C-E1EA-4755-80C2-D18E4C99735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385" name="AutoShape 12">
          <a:extLst>
            <a:ext uri="{FF2B5EF4-FFF2-40B4-BE49-F238E27FC236}">
              <a16:creationId xmlns:a16="http://schemas.microsoft.com/office/drawing/2014/main" id="{4D279A4E-4244-4988-9C2B-1C37AC94394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386" name="AutoShape 12">
          <a:extLst>
            <a:ext uri="{FF2B5EF4-FFF2-40B4-BE49-F238E27FC236}">
              <a16:creationId xmlns:a16="http://schemas.microsoft.com/office/drawing/2014/main" id="{49731A98-1F91-4F6E-8C99-F454E8AAF09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387" name="AutoShape 12">
          <a:extLst>
            <a:ext uri="{FF2B5EF4-FFF2-40B4-BE49-F238E27FC236}">
              <a16:creationId xmlns:a16="http://schemas.microsoft.com/office/drawing/2014/main" id="{E011B768-C35B-453D-AB83-2CB0BA89260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388" name="AutoShape 12">
          <a:extLst>
            <a:ext uri="{FF2B5EF4-FFF2-40B4-BE49-F238E27FC236}">
              <a16:creationId xmlns:a16="http://schemas.microsoft.com/office/drawing/2014/main" id="{F5BC8018-1426-413B-ADED-E8F3F27AF80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389" name="AutoShape 12">
          <a:extLst>
            <a:ext uri="{FF2B5EF4-FFF2-40B4-BE49-F238E27FC236}">
              <a16:creationId xmlns:a16="http://schemas.microsoft.com/office/drawing/2014/main" id="{D33C9DDA-20AC-412C-95F7-891A102AAB6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390" name="AutoShape 12">
          <a:extLst>
            <a:ext uri="{FF2B5EF4-FFF2-40B4-BE49-F238E27FC236}">
              <a16:creationId xmlns:a16="http://schemas.microsoft.com/office/drawing/2014/main" id="{A63B8B37-074B-4FBE-B288-34B510CA23C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391" name="AutoShape 12">
          <a:extLst>
            <a:ext uri="{FF2B5EF4-FFF2-40B4-BE49-F238E27FC236}">
              <a16:creationId xmlns:a16="http://schemas.microsoft.com/office/drawing/2014/main" id="{322B5DF0-AD60-42BA-821A-16AFCCE70A9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392" name="AutoShape 12">
          <a:extLst>
            <a:ext uri="{FF2B5EF4-FFF2-40B4-BE49-F238E27FC236}">
              <a16:creationId xmlns:a16="http://schemas.microsoft.com/office/drawing/2014/main" id="{F5CCF6B5-BAB2-4122-B8C3-F68A029AF64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393" name="AutoShape 12">
          <a:extLst>
            <a:ext uri="{FF2B5EF4-FFF2-40B4-BE49-F238E27FC236}">
              <a16:creationId xmlns:a16="http://schemas.microsoft.com/office/drawing/2014/main" id="{1C9BFA8F-ABA5-448D-A5F2-BF38B336861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394" name="AutoShape 12">
          <a:extLst>
            <a:ext uri="{FF2B5EF4-FFF2-40B4-BE49-F238E27FC236}">
              <a16:creationId xmlns:a16="http://schemas.microsoft.com/office/drawing/2014/main" id="{F10B8DA2-2B42-42B0-8C19-91587987BE1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395" name="AutoShape 12">
          <a:extLst>
            <a:ext uri="{FF2B5EF4-FFF2-40B4-BE49-F238E27FC236}">
              <a16:creationId xmlns:a16="http://schemas.microsoft.com/office/drawing/2014/main" id="{06DB237B-B52C-4629-BAC7-A01BCE9741C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396" name="AutoShape 12">
          <a:extLst>
            <a:ext uri="{FF2B5EF4-FFF2-40B4-BE49-F238E27FC236}">
              <a16:creationId xmlns:a16="http://schemas.microsoft.com/office/drawing/2014/main" id="{BF76C374-3895-40D8-B319-02F6F19BC4C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397" name="AutoShape 12">
          <a:extLst>
            <a:ext uri="{FF2B5EF4-FFF2-40B4-BE49-F238E27FC236}">
              <a16:creationId xmlns:a16="http://schemas.microsoft.com/office/drawing/2014/main" id="{2BC94C0D-22B4-4C5E-A5DE-4CC2382CFDF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398" name="AutoShape 12">
          <a:extLst>
            <a:ext uri="{FF2B5EF4-FFF2-40B4-BE49-F238E27FC236}">
              <a16:creationId xmlns:a16="http://schemas.microsoft.com/office/drawing/2014/main" id="{F648F322-A881-4562-9F84-FA5F7E60046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399" name="AutoShape 12">
          <a:extLst>
            <a:ext uri="{FF2B5EF4-FFF2-40B4-BE49-F238E27FC236}">
              <a16:creationId xmlns:a16="http://schemas.microsoft.com/office/drawing/2014/main" id="{9BE6228C-607A-4C36-971C-1241639548B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400" name="AutoShape 12">
          <a:extLst>
            <a:ext uri="{FF2B5EF4-FFF2-40B4-BE49-F238E27FC236}">
              <a16:creationId xmlns:a16="http://schemas.microsoft.com/office/drawing/2014/main" id="{5245FD0E-BD0B-45C0-8D19-9506500E83C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401" name="AutoShape 12">
          <a:extLst>
            <a:ext uri="{FF2B5EF4-FFF2-40B4-BE49-F238E27FC236}">
              <a16:creationId xmlns:a16="http://schemas.microsoft.com/office/drawing/2014/main" id="{8454A4A2-80E2-420F-B6B0-329AEDA9586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402" name="AutoShape 12">
          <a:extLst>
            <a:ext uri="{FF2B5EF4-FFF2-40B4-BE49-F238E27FC236}">
              <a16:creationId xmlns:a16="http://schemas.microsoft.com/office/drawing/2014/main" id="{B3502781-E1EA-46E9-BE2F-C41442312A9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403" name="AutoShape 12">
          <a:extLst>
            <a:ext uri="{FF2B5EF4-FFF2-40B4-BE49-F238E27FC236}">
              <a16:creationId xmlns:a16="http://schemas.microsoft.com/office/drawing/2014/main" id="{0CDA79AC-1C6B-485F-9DC8-EC8F2B43FF3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404" name="AutoShape 12">
          <a:extLst>
            <a:ext uri="{FF2B5EF4-FFF2-40B4-BE49-F238E27FC236}">
              <a16:creationId xmlns:a16="http://schemas.microsoft.com/office/drawing/2014/main" id="{BB35A403-250B-4809-ADDC-D8F6EFFFDD2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0</xdr:rowOff>
    </xdr:from>
    <xdr:ext cx="304800" cy="304094"/>
    <xdr:sp macro="" textlink="">
      <xdr:nvSpPr>
        <xdr:cNvPr id="3405" name="AutoShape 12">
          <a:extLst>
            <a:ext uri="{FF2B5EF4-FFF2-40B4-BE49-F238E27FC236}">
              <a16:creationId xmlns:a16="http://schemas.microsoft.com/office/drawing/2014/main" id="{9C60AA47-D2C9-470F-87B1-B75D7A89BBC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406" name="AutoShape 12">
          <a:extLst>
            <a:ext uri="{FF2B5EF4-FFF2-40B4-BE49-F238E27FC236}">
              <a16:creationId xmlns:a16="http://schemas.microsoft.com/office/drawing/2014/main" id="{20ADFFC7-D42D-48E7-BC2B-D8412A26E79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407" name="AutoShape 12">
          <a:extLst>
            <a:ext uri="{FF2B5EF4-FFF2-40B4-BE49-F238E27FC236}">
              <a16:creationId xmlns:a16="http://schemas.microsoft.com/office/drawing/2014/main" id="{17913C13-EE43-437B-A880-FFA5BADEF2E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408" name="AutoShape 12">
          <a:extLst>
            <a:ext uri="{FF2B5EF4-FFF2-40B4-BE49-F238E27FC236}">
              <a16:creationId xmlns:a16="http://schemas.microsoft.com/office/drawing/2014/main" id="{C5B2919B-1B99-4411-AC50-911DB1A0779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409" name="AutoShape 12">
          <a:extLst>
            <a:ext uri="{FF2B5EF4-FFF2-40B4-BE49-F238E27FC236}">
              <a16:creationId xmlns:a16="http://schemas.microsoft.com/office/drawing/2014/main" id="{EDA0EBFA-F1FA-4C1B-B37D-CAE1A6D881F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410" name="AutoShape 12">
          <a:extLst>
            <a:ext uri="{FF2B5EF4-FFF2-40B4-BE49-F238E27FC236}">
              <a16:creationId xmlns:a16="http://schemas.microsoft.com/office/drawing/2014/main" id="{082DB694-FC4F-423C-9224-286AF61150F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411" name="AutoShape 12">
          <a:extLst>
            <a:ext uri="{FF2B5EF4-FFF2-40B4-BE49-F238E27FC236}">
              <a16:creationId xmlns:a16="http://schemas.microsoft.com/office/drawing/2014/main" id="{0DCB56C6-7EEB-438D-A668-5394D07015C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412" name="AutoShape 12">
          <a:extLst>
            <a:ext uri="{FF2B5EF4-FFF2-40B4-BE49-F238E27FC236}">
              <a16:creationId xmlns:a16="http://schemas.microsoft.com/office/drawing/2014/main" id="{423198AA-2B47-4507-B12C-75A28EA2192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413" name="AutoShape 12">
          <a:extLst>
            <a:ext uri="{FF2B5EF4-FFF2-40B4-BE49-F238E27FC236}">
              <a16:creationId xmlns:a16="http://schemas.microsoft.com/office/drawing/2014/main" id="{2331FDEC-768D-4275-8A32-91606A450CE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414" name="AutoShape 12">
          <a:extLst>
            <a:ext uri="{FF2B5EF4-FFF2-40B4-BE49-F238E27FC236}">
              <a16:creationId xmlns:a16="http://schemas.microsoft.com/office/drawing/2014/main" id="{DDA853F2-3804-4943-AFF4-571C6041F6C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415" name="AutoShape 12">
          <a:extLst>
            <a:ext uri="{FF2B5EF4-FFF2-40B4-BE49-F238E27FC236}">
              <a16:creationId xmlns:a16="http://schemas.microsoft.com/office/drawing/2014/main" id="{EF6D7458-8A12-46ED-BC00-6C90CD3C330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416" name="AutoShape 12">
          <a:extLst>
            <a:ext uri="{FF2B5EF4-FFF2-40B4-BE49-F238E27FC236}">
              <a16:creationId xmlns:a16="http://schemas.microsoft.com/office/drawing/2014/main" id="{FA19EDC8-FF78-4E37-A306-A03DB363178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417" name="AutoShape 12">
          <a:extLst>
            <a:ext uri="{FF2B5EF4-FFF2-40B4-BE49-F238E27FC236}">
              <a16:creationId xmlns:a16="http://schemas.microsoft.com/office/drawing/2014/main" id="{8AE6BAA4-4E1C-4B2B-BA19-FAE7A6F8C28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418" name="AutoShape 12">
          <a:extLst>
            <a:ext uri="{FF2B5EF4-FFF2-40B4-BE49-F238E27FC236}">
              <a16:creationId xmlns:a16="http://schemas.microsoft.com/office/drawing/2014/main" id="{7BA4E1C1-73AF-48E6-9689-23E6B48E3D9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419" name="AutoShape 12">
          <a:extLst>
            <a:ext uri="{FF2B5EF4-FFF2-40B4-BE49-F238E27FC236}">
              <a16:creationId xmlns:a16="http://schemas.microsoft.com/office/drawing/2014/main" id="{1039953E-FBC4-409C-A07D-77FD156E5D1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420" name="AutoShape 12">
          <a:extLst>
            <a:ext uri="{FF2B5EF4-FFF2-40B4-BE49-F238E27FC236}">
              <a16:creationId xmlns:a16="http://schemas.microsoft.com/office/drawing/2014/main" id="{5F8F4D6D-34F0-4621-AE2E-0EED9422BFF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421" name="AutoShape 12">
          <a:extLst>
            <a:ext uri="{FF2B5EF4-FFF2-40B4-BE49-F238E27FC236}">
              <a16:creationId xmlns:a16="http://schemas.microsoft.com/office/drawing/2014/main" id="{37D54790-0801-4500-A3B2-E116E0300E5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422" name="AutoShape 12">
          <a:extLst>
            <a:ext uri="{FF2B5EF4-FFF2-40B4-BE49-F238E27FC236}">
              <a16:creationId xmlns:a16="http://schemas.microsoft.com/office/drawing/2014/main" id="{4EF842B1-FD6B-4A68-9F2B-96ECAFAFFCE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423" name="AutoShape 12">
          <a:extLst>
            <a:ext uri="{FF2B5EF4-FFF2-40B4-BE49-F238E27FC236}">
              <a16:creationId xmlns:a16="http://schemas.microsoft.com/office/drawing/2014/main" id="{6C683B0D-3695-4765-B6B9-3AC469C9F06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424" name="AutoShape 12">
          <a:extLst>
            <a:ext uri="{FF2B5EF4-FFF2-40B4-BE49-F238E27FC236}">
              <a16:creationId xmlns:a16="http://schemas.microsoft.com/office/drawing/2014/main" id="{9D207CB9-D15D-4D44-90A9-55DE24C7FE6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425" name="AutoShape 12">
          <a:extLst>
            <a:ext uri="{FF2B5EF4-FFF2-40B4-BE49-F238E27FC236}">
              <a16:creationId xmlns:a16="http://schemas.microsoft.com/office/drawing/2014/main" id="{AF65C0BB-4A87-45E5-B528-7B12772043D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426" name="AutoShape 12">
          <a:extLst>
            <a:ext uri="{FF2B5EF4-FFF2-40B4-BE49-F238E27FC236}">
              <a16:creationId xmlns:a16="http://schemas.microsoft.com/office/drawing/2014/main" id="{CD4D22E8-9C45-4555-92E9-6D0C79DCE97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427" name="AutoShape 12">
          <a:extLst>
            <a:ext uri="{FF2B5EF4-FFF2-40B4-BE49-F238E27FC236}">
              <a16:creationId xmlns:a16="http://schemas.microsoft.com/office/drawing/2014/main" id="{1D47FFB2-F411-4415-9F9C-358121F0D42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428" name="AutoShape 12">
          <a:extLst>
            <a:ext uri="{FF2B5EF4-FFF2-40B4-BE49-F238E27FC236}">
              <a16:creationId xmlns:a16="http://schemas.microsoft.com/office/drawing/2014/main" id="{993C7F6A-89EB-4261-8548-78BA0627151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429" name="AutoShape 12">
          <a:extLst>
            <a:ext uri="{FF2B5EF4-FFF2-40B4-BE49-F238E27FC236}">
              <a16:creationId xmlns:a16="http://schemas.microsoft.com/office/drawing/2014/main" id="{7E8F8288-E1F1-4FA8-A0FB-59285B7E2ED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430" name="AutoShape 12">
          <a:extLst>
            <a:ext uri="{FF2B5EF4-FFF2-40B4-BE49-F238E27FC236}">
              <a16:creationId xmlns:a16="http://schemas.microsoft.com/office/drawing/2014/main" id="{AA28D95B-AF20-4068-B34E-FD09C11FD91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431" name="AutoShape 12">
          <a:extLst>
            <a:ext uri="{FF2B5EF4-FFF2-40B4-BE49-F238E27FC236}">
              <a16:creationId xmlns:a16="http://schemas.microsoft.com/office/drawing/2014/main" id="{FB739650-AFA3-4ED7-9703-DD23B802F01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432" name="AutoShape 12">
          <a:extLst>
            <a:ext uri="{FF2B5EF4-FFF2-40B4-BE49-F238E27FC236}">
              <a16:creationId xmlns:a16="http://schemas.microsoft.com/office/drawing/2014/main" id="{FEFADFFA-318A-44F5-98BA-42FD0D17396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433" name="AutoShape 12">
          <a:extLst>
            <a:ext uri="{FF2B5EF4-FFF2-40B4-BE49-F238E27FC236}">
              <a16:creationId xmlns:a16="http://schemas.microsoft.com/office/drawing/2014/main" id="{B74DD972-D923-49C1-8867-64ADDF02EA0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434" name="AutoShape 12">
          <a:extLst>
            <a:ext uri="{FF2B5EF4-FFF2-40B4-BE49-F238E27FC236}">
              <a16:creationId xmlns:a16="http://schemas.microsoft.com/office/drawing/2014/main" id="{519C151A-36E4-40BA-AC23-69F19DF6C03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435" name="AutoShape 12">
          <a:extLst>
            <a:ext uri="{FF2B5EF4-FFF2-40B4-BE49-F238E27FC236}">
              <a16:creationId xmlns:a16="http://schemas.microsoft.com/office/drawing/2014/main" id="{9AB711F0-6D4F-4687-BB76-EB13ADDFF76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436" name="AutoShape 12">
          <a:extLst>
            <a:ext uri="{FF2B5EF4-FFF2-40B4-BE49-F238E27FC236}">
              <a16:creationId xmlns:a16="http://schemas.microsoft.com/office/drawing/2014/main" id="{AB2D9325-4BD6-4E2C-9993-674E3152154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437" name="AutoShape 12">
          <a:extLst>
            <a:ext uri="{FF2B5EF4-FFF2-40B4-BE49-F238E27FC236}">
              <a16:creationId xmlns:a16="http://schemas.microsoft.com/office/drawing/2014/main" id="{68A784FC-CC4E-47E6-9304-E45C2AEC676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438" name="AutoShape 12">
          <a:extLst>
            <a:ext uri="{FF2B5EF4-FFF2-40B4-BE49-F238E27FC236}">
              <a16:creationId xmlns:a16="http://schemas.microsoft.com/office/drawing/2014/main" id="{2F93D728-9584-4FF6-96E1-282D39802E7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439" name="AutoShape 12">
          <a:extLst>
            <a:ext uri="{FF2B5EF4-FFF2-40B4-BE49-F238E27FC236}">
              <a16:creationId xmlns:a16="http://schemas.microsoft.com/office/drawing/2014/main" id="{0F184A00-AB81-44FB-9B54-A3E758727DA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440" name="AutoShape 12">
          <a:extLst>
            <a:ext uri="{FF2B5EF4-FFF2-40B4-BE49-F238E27FC236}">
              <a16:creationId xmlns:a16="http://schemas.microsoft.com/office/drawing/2014/main" id="{AC08A714-8DE8-4FB4-8023-069F7076DDC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441" name="AutoShape 12">
          <a:extLst>
            <a:ext uri="{FF2B5EF4-FFF2-40B4-BE49-F238E27FC236}">
              <a16:creationId xmlns:a16="http://schemas.microsoft.com/office/drawing/2014/main" id="{37679635-C17C-4A44-B702-BC8D71DFD9E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442" name="AutoShape 12">
          <a:extLst>
            <a:ext uri="{FF2B5EF4-FFF2-40B4-BE49-F238E27FC236}">
              <a16:creationId xmlns:a16="http://schemas.microsoft.com/office/drawing/2014/main" id="{B48BB469-70E5-4740-8A0C-9D42802BE5B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443" name="AutoShape 12">
          <a:extLst>
            <a:ext uri="{FF2B5EF4-FFF2-40B4-BE49-F238E27FC236}">
              <a16:creationId xmlns:a16="http://schemas.microsoft.com/office/drawing/2014/main" id="{521ACCAB-CDEB-4C48-9C42-8A260F7ABC6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444" name="AutoShape 12">
          <a:extLst>
            <a:ext uri="{FF2B5EF4-FFF2-40B4-BE49-F238E27FC236}">
              <a16:creationId xmlns:a16="http://schemas.microsoft.com/office/drawing/2014/main" id="{6647DE34-5EBA-4897-BBC8-8432D41BF40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445" name="AutoShape 12">
          <a:extLst>
            <a:ext uri="{FF2B5EF4-FFF2-40B4-BE49-F238E27FC236}">
              <a16:creationId xmlns:a16="http://schemas.microsoft.com/office/drawing/2014/main" id="{C6500049-4672-4635-88FC-A0D8F8496E6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446" name="AutoShape 12">
          <a:extLst>
            <a:ext uri="{FF2B5EF4-FFF2-40B4-BE49-F238E27FC236}">
              <a16:creationId xmlns:a16="http://schemas.microsoft.com/office/drawing/2014/main" id="{FE42EEC6-0E83-4B75-A1FE-A7F8CF8BB88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447" name="AutoShape 12">
          <a:extLst>
            <a:ext uri="{FF2B5EF4-FFF2-40B4-BE49-F238E27FC236}">
              <a16:creationId xmlns:a16="http://schemas.microsoft.com/office/drawing/2014/main" id="{42189176-D72E-4E7A-BE29-A85FC48CDE3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448" name="AutoShape 12">
          <a:extLst>
            <a:ext uri="{FF2B5EF4-FFF2-40B4-BE49-F238E27FC236}">
              <a16:creationId xmlns:a16="http://schemas.microsoft.com/office/drawing/2014/main" id="{1EB040C5-0DCD-42C3-9149-D6A5C4D5B42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449" name="AutoShape 12">
          <a:extLst>
            <a:ext uri="{FF2B5EF4-FFF2-40B4-BE49-F238E27FC236}">
              <a16:creationId xmlns:a16="http://schemas.microsoft.com/office/drawing/2014/main" id="{E93C48AD-B5AD-4488-94B9-0EEDD5FBE3D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450" name="AutoShape 12">
          <a:extLst>
            <a:ext uri="{FF2B5EF4-FFF2-40B4-BE49-F238E27FC236}">
              <a16:creationId xmlns:a16="http://schemas.microsoft.com/office/drawing/2014/main" id="{D8149BAB-006C-4511-AC87-5B11AFB7AA3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451" name="AutoShape 12">
          <a:extLst>
            <a:ext uri="{FF2B5EF4-FFF2-40B4-BE49-F238E27FC236}">
              <a16:creationId xmlns:a16="http://schemas.microsoft.com/office/drawing/2014/main" id="{CA34FA89-B5F8-4F41-8A84-384489C4F74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452" name="AutoShape 12">
          <a:extLst>
            <a:ext uri="{FF2B5EF4-FFF2-40B4-BE49-F238E27FC236}">
              <a16:creationId xmlns:a16="http://schemas.microsoft.com/office/drawing/2014/main" id="{EF7A331A-7670-43EE-9D60-7443C5C32D8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453" name="AutoShape 12">
          <a:extLst>
            <a:ext uri="{FF2B5EF4-FFF2-40B4-BE49-F238E27FC236}">
              <a16:creationId xmlns:a16="http://schemas.microsoft.com/office/drawing/2014/main" id="{58ABA752-E3D6-4CF3-872C-A8A3472D1CD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454" name="AutoShape 12">
          <a:extLst>
            <a:ext uri="{FF2B5EF4-FFF2-40B4-BE49-F238E27FC236}">
              <a16:creationId xmlns:a16="http://schemas.microsoft.com/office/drawing/2014/main" id="{7BEA17BB-2B69-4BBA-86A8-DC354668473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455" name="AutoShape 12">
          <a:extLst>
            <a:ext uri="{FF2B5EF4-FFF2-40B4-BE49-F238E27FC236}">
              <a16:creationId xmlns:a16="http://schemas.microsoft.com/office/drawing/2014/main" id="{376CFAE9-6883-439E-B12A-81B3A3B43F7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456" name="AutoShape 12">
          <a:extLst>
            <a:ext uri="{FF2B5EF4-FFF2-40B4-BE49-F238E27FC236}">
              <a16:creationId xmlns:a16="http://schemas.microsoft.com/office/drawing/2014/main" id="{B55D7E1E-0F0A-4C61-A160-E106FB19D8E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457" name="AutoShape 12">
          <a:extLst>
            <a:ext uri="{FF2B5EF4-FFF2-40B4-BE49-F238E27FC236}">
              <a16:creationId xmlns:a16="http://schemas.microsoft.com/office/drawing/2014/main" id="{1C0A250D-F03F-4993-BB1A-E5163D3ABC2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458" name="AutoShape 12">
          <a:extLst>
            <a:ext uri="{FF2B5EF4-FFF2-40B4-BE49-F238E27FC236}">
              <a16:creationId xmlns:a16="http://schemas.microsoft.com/office/drawing/2014/main" id="{4E44D8A0-4725-4433-A89A-19B05EB2539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459" name="AutoShape 12">
          <a:extLst>
            <a:ext uri="{FF2B5EF4-FFF2-40B4-BE49-F238E27FC236}">
              <a16:creationId xmlns:a16="http://schemas.microsoft.com/office/drawing/2014/main" id="{31133E4E-784E-4BE1-AAF8-A2BA7C0005D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460" name="AutoShape 12">
          <a:extLst>
            <a:ext uri="{FF2B5EF4-FFF2-40B4-BE49-F238E27FC236}">
              <a16:creationId xmlns:a16="http://schemas.microsoft.com/office/drawing/2014/main" id="{7946AC22-B6D9-473D-9CF6-2C102CF3835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461" name="AutoShape 12">
          <a:extLst>
            <a:ext uri="{FF2B5EF4-FFF2-40B4-BE49-F238E27FC236}">
              <a16:creationId xmlns:a16="http://schemas.microsoft.com/office/drawing/2014/main" id="{0A5E43E7-0A79-4A4B-90D7-6628E7CC543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462" name="AutoShape 12">
          <a:extLst>
            <a:ext uri="{FF2B5EF4-FFF2-40B4-BE49-F238E27FC236}">
              <a16:creationId xmlns:a16="http://schemas.microsoft.com/office/drawing/2014/main" id="{D860379D-CEF8-4834-A1F6-F8DC1AB360E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463" name="AutoShape 12">
          <a:extLst>
            <a:ext uri="{FF2B5EF4-FFF2-40B4-BE49-F238E27FC236}">
              <a16:creationId xmlns:a16="http://schemas.microsoft.com/office/drawing/2014/main" id="{A06870F6-CE26-41C1-97EC-513D2355909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464" name="AutoShape 12">
          <a:extLst>
            <a:ext uri="{FF2B5EF4-FFF2-40B4-BE49-F238E27FC236}">
              <a16:creationId xmlns:a16="http://schemas.microsoft.com/office/drawing/2014/main" id="{4C08BEE6-533F-4A9D-A59B-CEE086BA25B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465" name="AutoShape 12">
          <a:extLst>
            <a:ext uri="{FF2B5EF4-FFF2-40B4-BE49-F238E27FC236}">
              <a16:creationId xmlns:a16="http://schemas.microsoft.com/office/drawing/2014/main" id="{753BBFDA-C87E-4ABA-9888-32CA3586094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466" name="AutoShape 12">
          <a:extLst>
            <a:ext uri="{FF2B5EF4-FFF2-40B4-BE49-F238E27FC236}">
              <a16:creationId xmlns:a16="http://schemas.microsoft.com/office/drawing/2014/main" id="{AA868CFC-C73B-4FBC-A031-06619D595C9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467" name="AutoShape 12">
          <a:extLst>
            <a:ext uri="{FF2B5EF4-FFF2-40B4-BE49-F238E27FC236}">
              <a16:creationId xmlns:a16="http://schemas.microsoft.com/office/drawing/2014/main" id="{DE260BC4-AE2D-4A34-9279-0A8963D90E0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468" name="AutoShape 12">
          <a:extLst>
            <a:ext uri="{FF2B5EF4-FFF2-40B4-BE49-F238E27FC236}">
              <a16:creationId xmlns:a16="http://schemas.microsoft.com/office/drawing/2014/main" id="{8E9F9775-AD9D-4189-A7F2-FF0AB8296D3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469" name="AutoShape 12">
          <a:extLst>
            <a:ext uri="{FF2B5EF4-FFF2-40B4-BE49-F238E27FC236}">
              <a16:creationId xmlns:a16="http://schemas.microsoft.com/office/drawing/2014/main" id="{CF3AE5B8-B960-4A71-A813-DAA80F689B1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470" name="AutoShape 12">
          <a:extLst>
            <a:ext uri="{FF2B5EF4-FFF2-40B4-BE49-F238E27FC236}">
              <a16:creationId xmlns:a16="http://schemas.microsoft.com/office/drawing/2014/main" id="{1EFD18A2-D4E4-4F42-8D10-3E6FF44F144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471" name="AutoShape 12">
          <a:extLst>
            <a:ext uri="{FF2B5EF4-FFF2-40B4-BE49-F238E27FC236}">
              <a16:creationId xmlns:a16="http://schemas.microsoft.com/office/drawing/2014/main" id="{E62DF4FD-3158-4422-9A95-8EBE7873E35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472" name="AutoShape 12">
          <a:extLst>
            <a:ext uri="{FF2B5EF4-FFF2-40B4-BE49-F238E27FC236}">
              <a16:creationId xmlns:a16="http://schemas.microsoft.com/office/drawing/2014/main" id="{0182FECB-55C4-4831-B4ED-E31E11DAEDB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473" name="AutoShape 12">
          <a:extLst>
            <a:ext uri="{FF2B5EF4-FFF2-40B4-BE49-F238E27FC236}">
              <a16:creationId xmlns:a16="http://schemas.microsoft.com/office/drawing/2014/main" id="{C1734D5A-F676-4C1F-95BA-CBD02F58768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474" name="AutoShape 12">
          <a:extLst>
            <a:ext uri="{FF2B5EF4-FFF2-40B4-BE49-F238E27FC236}">
              <a16:creationId xmlns:a16="http://schemas.microsoft.com/office/drawing/2014/main" id="{2582D8F1-E1EE-402C-8C6F-11CC790836E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475" name="AutoShape 12">
          <a:extLst>
            <a:ext uri="{FF2B5EF4-FFF2-40B4-BE49-F238E27FC236}">
              <a16:creationId xmlns:a16="http://schemas.microsoft.com/office/drawing/2014/main" id="{7FD3F7C9-3BCD-46C1-8A06-B37FA3313AC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476" name="AutoShape 12">
          <a:extLst>
            <a:ext uri="{FF2B5EF4-FFF2-40B4-BE49-F238E27FC236}">
              <a16:creationId xmlns:a16="http://schemas.microsoft.com/office/drawing/2014/main" id="{D144C228-C3C9-4344-9E17-439FD2A0BB8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477" name="AutoShape 12">
          <a:extLst>
            <a:ext uri="{FF2B5EF4-FFF2-40B4-BE49-F238E27FC236}">
              <a16:creationId xmlns:a16="http://schemas.microsoft.com/office/drawing/2014/main" id="{11DC4883-9A82-472A-AC70-65AA5B19EE5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478" name="AutoShape 12">
          <a:extLst>
            <a:ext uri="{FF2B5EF4-FFF2-40B4-BE49-F238E27FC236}">
              <a16:creationId xmlns:a16="http://schemas.microsoft.com/office/drawing/2014/main" id="{C88EEE3F-5EDE-4C54-BB3F-51C1CDA6BD3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479" name="AutoShape 12">
          <a:extLst>
            <a:ext uri="{FF2B5EF4-FFF2-40B4-BE49-F238E27FC236}">
              <a16:creationId xmlns:a16="http://schemas.microsoft.com/office/drawing/2014/main" id="{CD0F1320-B36E-47A2-9AEF-FC87F265125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480" name="AutoShape 12">
          <a:extLst>
            <a:ext uri="{FF2B5EF4-FFF2-40B4-BE49-F238E27FC236}">
              <a16:creationId xmlns:a16="http://schemas.microsoft.com/office/drawing/2014/main" id="{BDAC79CA-EEFB-4485-A0FA-8F3971EB32C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481" name="AutoShape 12">
          <a:extLst>
            <a:ext uri="{FF2B5EF4-FFF2-40B4-BE49-F238E27FC236}">
              <a16:creationId xmlns:a16="http://schemas.microsoft.com/office/drawing/2014/main" id="{44A40928-A37C-490D-9F2B-AB5DAFE613F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482" name="AutoShape 12">
          <a:extLst>
            <a:ext uri="{FF2B5EF4-FFF2-40B4-BE49-F238E27FC236}">
              <a16:creationId xmlns:a16="http://schemas.microsoft.com/office/drawing/2014/main" id="{8A0294A5-5E34-4D08-AF4E-A8CBC461B8D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483" name="AutoShape 12">
          <a:extLst>
            <a:ext uri="{FF2B5EF4-FFF2-40B4-BE49-F238E27FC236}">
              <a16:creationId xmlns:a16="http://schemas.microsoft.com/office/drawing/2014/main" id="{73A5C70B-B6F5-4678-958A-FB0B86ABEFC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484" name="AutoShape 12">
          <a:extLst>
            <a:ext uri="{FF2B5EF4-FFF2-40B4-BE49-F238E27FC236}">
              <a16:creationId xmlns:a16="http://schemas.microsoft.com/office/drawing/2014/main" id="{F1A7D3FA-BB3E-4576-8D71-13FD7EF0186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485" name="AutoShape 12">
          <a:extLst>
            <a:ext uri="{FF2B5EF4-FFF2-40B4-BE49-F238E27FC236}">
              <a16:creationId xmlns:a16="http://schemas.microsoft.com/office/drawing/2014/main" id="{1C3C88B8-DBBD-4638-9ACF-35AD62F6857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486" name="AutoShape 12">
          <a:extLst>
            <a:ext uri="{FF2B5EF4-FFF2-40B4-BE49-F238E27FC236}">
              <a16:creationId xmlns:a16="http://schemas.microsoft.com/office/drawing/2014/main" id="{97EC1523-700F-4B75-864F-A4818AF80F4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487" name="AutoShape 12">
          <a:extLst>
            <a:ext uri="{FF2B5EF4-FFF2-40B4-BE49-F238E27FC236}">
              <a16:creationId xmlns:a16="http://schemas.microsoft.com/office/drawing/2014/main" id="{6407DEB3-0FAC-4A10-8B68-E4C21336E7D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488" name="AutoShape 12">
          <a:extLst>
            <a:ext uri="{FF2B5EF4-FFF2-40B4-BE49-F238E27FC236}">
              <a16:creationId xmlns:a16="http://schemas.microsoft.com/office/drawing/2014/main" id="{706D0405-A60F-46AB-828C-2885BB935F9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489" name="AutoShape 12">
          <a:extLst>
            <a:ext uri="{FF2B5EF4-FFF2-40B4-BE49-F238E27FC236}">
              <a16:creationId xmlns:a16="http://schemas.microsoft.com/office/drawing/2014/main" id="{A0E3D2A7-4156-4D05-8D21-478D29482CB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490" name="AutoShape 12">
          <a:extLst>
            <a:ext uri="{FF2B5EF4-FFF2-40B4-BE49-F238E27FC236}">
              <a16:creationId xmlns:a16="http://schemas.microsoft.com/office/drawing/2014/main" id="{635450B5-2407-4ED3-BFA4-A48D3F66CB8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491" name="AutoShape 12">
          <a:extLst>
            <a:ext uri="{FF2B5EF4-FFF2-40B4-BE49-F238E27FC236}">
              <a16:creationId xmlns:a16="http://schemas.microsoft.com/office/drawing/2014/main" id="{B9A473AC-623D-4071-B480-17D05260EDE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492" name="AutoShape 12">
          <a:extLst>
            <a:ext uri="{FF2B5EF4-FFF2-40B4-BE49-F238E27FC236}">
              <a16:creationId xmlns:a16="http://schemas.microsoft.com/office/drawing/2014/main" id="{A34539B4-5061-404E-B08B-07A5F243DEC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493" name="AutoShape 12">
          <a:extLst>
            <a:ext uri="{FF2B5EF4-FFF2-40B4-BE49-F238E27FC236}">
              <a16:creationId xmlns:a16="http://schemas.microsoft.com/office/drawing/2014/main" id="{D9870485-C297-4D0B-9189-4DA6363B08F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494" name="AutoShape 12">
          <a:extLst>
            <a:ext uri="{FF2B5EF4-FFF2-40B4-BE49-F238E27FC236}">
              <a16:creationId xmlns:a16="http://schemas.microsoft.com/office/drawing/2014/main" id="{5CD4F8A2-32D6-4FD8-A4C8-9F98D0D0D34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495" name="AutoShape 12">
          <a:extLst>
            <a:ext uri="{FF2B5EF4-FFF2-40B4-BE49-F238E27FC236}">
              <a16:creationId xmlns:a16="http://schemas.microsoft.com/office/drawing/2014/main" id="{EE26295D-60B7-46BD-8FA8-EFE66D57EA4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496" name="AutoShape 12">
          <a:extLst>
            <a:ext uri="{FF2B5EF4-FFF2-40B4-BE49-F238E27FC236}">
              <a16:creationId xmlns:a16="http://schemas.microsoft.com/office/drawing/2014/main" id="{A06E1073-CE08-4B64-81AF-6A44297D1B5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497" name="AutoShape 12">
          <a:extLst>
            <a:ext uri="{FF2B5EF4-FFF2-40B4-BE49-F238E27FC236}">
              <a16:creationId xmlns:a16="http://schemas.microsoft.com/office/drawing/2014/main" id="{8B0A181F-F027-4F0D-B2CA-6D64B27CC51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498" name="AutoShape 12">
          <a:extLst>
            <a:ext uri="{FF2B5EF4-FFF2-40B4-BE49-F238E27FC236}">
              <a16:creationId xmlns:a16="http://schemas.microsoft.com/office/drawing/2014/main" id="{B60346CA-CEED-4E4E-895D-1EA09E80CCF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499" name="AutoShape 12">
          <a:extLst>
            <a:ext uri="{FF2B5EF4-FFF2-40B4-BE49-F238E27FC236}">
              <a16:creationId xmlns:a16="http://schemas.microsoft.com/office/drawing/2014/main" id="{EF961446-A2F8-4C0B-9120-B6F5E71AA33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500" name="AutoShape 12">
          <a:extLst>
            <a:ext uri="{FF2B5EF4-FFF2-40B4-BE49-F238E27FC236}">
              <a16:creationId xmlns:a16="http://schemas.microsoft.com/office/drawing/2014/main" id="{1CA94E6C-7EB9-4824-B97E-38C4C53282C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501" name="AutoShape 12">
          <a:extLst>
            <a:ext uri="{FF2B5EF4-FFF2-40B4-BE49-F238E27FC236}">
              <a16:creationId xmlns:a16="http://schemas.microsoft.com/office/drawing/2014/main" id="{EBC5ADBA-8A00-4D48-8641-7B9926BD641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502" name="AutoShape 12">
          <a:extLst>
            <a:ext uri="{FF2B5EF4-FFF2-40B4-BE49-F238E27FC236}">
              <a16:creationId xmlns:a16="http://schemas.microsoft.com/office/drawing/2014/main" id="{0052A0F1-BED6-4541-B3BD-0F2027AB768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503" name="AutoShape 12">
          <a:extLst>
            <a:ext uri="{FF2B5EF4-FFF2-40B4-BE49-F238E27FC236}">
              <a16:creationId xmlns:a16="http://schemas.microsoft.com/office/drawing/2014/main" id="{1EE82260-0B3F-4503-AADC-3D2AD5C7E11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504" name="AutoShape 12">
          <a:extLst>
            <a:ext uri="{FF2B5EF4-FFF2-40B4-BE49-F238E27FC236}">
              <a16:creationId xmlns:a16="http://schemas.microsoft.com/office/drawing/2014/main" id="{1D13EBD9-2F2D-4F04-B45A-A1B52B8FD93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505" name="AutoShape 12">
          <a:extLst>
            <a:ext uri="{FF2B5EF4-FFF2-40B4-BE49-F238E27FC236}">
              <a16:creationId xmlns:a16="http://schemas.microsoft.com/office/drawing/2014/main" id="{F60D15CC-7F5F-431D-9B4D-3B6C19852C6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506" name="AutoShape 12">
          <a:extLst>
            <a:ext uri="{FF2B5EF4-FFF2-40B4-BE49-F238E27FC236}">
              <a16:creationId xmlns:a16="http://schemas.microsoft.com/office/drawing/2014/main" id="{9677B4BA-8258-4D94-A981-F0898126A67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507" name="AutoShape 12">
          <a:extLst>
            <a:ext uri="{FF2B5EF4-FFF2-40B4-BE49-F238E27FC236}">
              <a16:creationId xmlns:a16="http://schemas.microsoft.com/office/drawing/2014/main" id="{12912614-88FC-4A57-9971-14DBB3585F3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508" name="AutoShape 12">
          <a:extLst>
            <a:ext uri="{FF2B5EF4-FFF2-40B4-BE49-F238E27FC236}">
              <a16:creationId xmlns:a16="http://schemas.microsoft.com/office/drawing/2014/main" id="{839F1568-5147-4C8F-9858-AC810C02384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509" name="AutoShape 12">
          <a:extLst>
            <a:ext uri="{FF2B5EF4-FFF2-40B4-BE49-F238E27FC236}">
              <a16:creationId xmlns:a16="http://schemas.microsoft.com/office/drawing/2014/main" id="{6A8F4003-25F5-409E-8071-595B5D76EC7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510" name="AutoShape 12">
          <a:extLst>
            <a:ext uri="{FF2B5EF4-FFF2-40B4-BE49-F238E27FC236}">
              <a16:creationId xmlns:a16="http://schemas.microsoft.com/office/drawing/2014/main" id="{609D6D5A-BED0-49EA-A34E-EE790F9E67E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511" name="AutoShape 12">
          <a:extLst>
            <a:ext uri="{FF2B5EF4-FFF2-40B4-BE49-F238E27FC236}">
              <a16:creationId xmlns:a16="http://schemas.microsoft.com/office/drawing/2014/main" id="{69E23CFC-773E-45C1-8D1C-C8341AE4F34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512" name="AutoShape 12">
          <a:extLst>
            <a:ext uri="{FF2B5EF4-FFF2-40B4-BE49-F238E27FC236}">
              <a16:creationId xmlns:a16="http://schemas.microsoft.com/office/drawing/2014/main" id="{06B329C9-56B1-464B-B451-BDA6120A89D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513" name="AutoShape 12">
          <a:extLst>
            <a:ext uri="{FF2B5EF4-FFF2-40B4-BE49-F238E27FC236}">
              <a16:creationId xmlns:a16="http://schemas.microsoft.com/office/drawing/2014/main" id="{463B30EB-DF58-4CC2-A83F-307A7D09257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514" name="AutoShape 12">
          <a:extLst>
            <a:ext uri="{FF2B5EF4-FFF2-40B4-BE49-F238E27FC236}">
              <a16:creationId xmlns:a16="http://schemas.microsoft.com/office/drawing/2014/main" id="{0A5B43E9-0452-4EC8-A4ED-48863681FB6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515" name="AutoShape 12">
          <a:extLst>
            <a:ext uri="{FF2B5EF4-FFF2-40B4-BE49-F238E27FC236}">
              <a16:creationId xmlns:a16="http://schemas.microsoft.com/office/drawing/2014/main" id="{25623A4F-BCFC-4E4C-BAE2-73B44A46725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516" name="AutoShape 12">
          <a:extLst>
            <a:ext uri="{FF2B5EF4-FFF2-40B4-BE49-F238E27FC236}">
              <a16:creationId xmlns:a16="http://schemas.microsoft.com/office/drawing/2014/main" id="{6091234A-5FAA-483C-985D-6EFCA5A175B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517" name="AutoShape 12">
          <a:extLst>
            <a:ext uri="{FF2B5EF4-FFF2-40B4-BE49-F238E27FC236}">
              <a16:creationId xmlns:a16="http://schemas.microsoft.com/office/drawing/2014/main" id="{871132EA-5195-4FDE-A7EA-B416D90CFDE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518" name="AutoShape 12">
          <a:extLst>
            <a:ext uri="{FF2B5EF4-FFF2-40B4-BE49-F238E27FC236}">
              <a16:creationId xmlns:a16="http://schemas.microsoft.com/office/drawing/2014/main" id="{2FB08BD1-DD8C-464B-B16B-0AB78317813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519" name="AutoShape 12">
          <a:extLst>
            <a:ext uri="{FF2B5EF4-FFF2-40B4-BE49-F238E27FC236}">
              <a16:creationId xmlns:a16="http://schemas.microsoft.com/office/drawing/2014/main" id="{2304DCB6-2F6B-47CE-AB70-E87FB3D59E5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520" name="AutoShape 12">
          <a:extLst>
            <a:ext uri="{FF2B5EF4-FFF2-40B4-BE49-F238E27FC236}">
              <a16:creationId xmlns:a16="http://schemas.microsoft.com/office/drawing/2014/main" id="{F8BD6448-13DB-4ACA-AC4E-34FB473573F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521" name="AutoShape 12">
          <a:extLst>
            <a:ext uri="{FF2B5EF4-FFF2-40B4-BE49-F238E27FC236}">
              <a16:creationId xmlns:a16="http://schemas.microsoft.com/office/drawing/2014/main" id="{C3317DCB-747B-4660-958B-76CE7CD8322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522" name="AutoShape 12">
          <a:extLst>
            <a:ext uri="{FF2B5EF4-FFF2-40B4-BE49-F238E27FC236}">
              <a16:creationId xmlns:a16="http://schemas.microsoft.com/office/drawing/2014/main" id="{F54BCBE2-1770-4017-9370-7DE03926FB9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523" name="AutoShape 12">
          <a:extLst>
            <a:ext uri="{FF2B5EF4-FFF2-40B4-BE49-F238E27FC236}">
              <a16:creationId xmlns:a16="http://schemas.microsoft.com/office/drawing/2014/main" id="{2DF55351-E3C0-4D28-B64E-C25F1896F53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524" name="AutoShape 12">
          <a:extLst>
            <a:ext uri="{FF2B5EF4-FFF2-40B4-BE49-F238E27FC236}">
              <a16:creationId xmlns:a16="http://schemas.microsoft.com/office/drawing/2014/main" id="{CA4D6748-9AC2-4C0F-AB30-3C72CA63858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525" name="AutoShape 12">
          <a:extLst>
            <a:ext uri="{FF2B5EF4-FFF2-40B4-BE49-F238E27FC236}">
              <a16:creationId xmlns:a16="http://schemas.microsoft.com/office/drawing/2014/main" id="{52B2A2A7-18EC-4716-AA99-C0BE1E74A6A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526" name="AutoShape 12">
          <a:extLst>
            <a:ext uri="{FF2B5EF4-FFF2-40B4-BE49-F238E27FC236}">
              <a16:creationId xmlns:a16="http://schemas.microsoft.com/office/drawing/2014/main" id="{133B35DD-E512-45BB-841F-F223E71F39A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527" name="AutoShape 12">
          <a:extLst>
            <a:ext uri="{FF2B5EF4-FFF2-40B4-BE49-F238E27FC236}">
              <a16:creationId xmlns:a16="http://schemas.microsoft.com/office/drawing/2014/main" id="{BB5B94BF-22C8-45A7-B2F6-13E56495864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528" name="AutoShape 12">
          <a:extLst>
            <a:ext uri="{FF2B5EF4-FFF2-40B4-BE49-F238E27FC236}">
              <a16:creationId xmlns:a16="http://schemas.microsoft.com/office/drawing/2014/main" id="{76C741D0-5F6C-4FAB-91CE-1124907290D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529" name="AutoShape 12">
          <a:extLst>
            <a:ext uri="{FF2B5EF4-FFF2-40B4-BE49-F238E27FC236}">
              <a16:creationId xmlns:a16="http://schemas.microsoft.com/office/drawing/2014/main" id="{1E83978C-EE9D-4345-9AD7-F773937F379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530" name="AutoShape 12">
          <a:extLst>
            <a:ext uri="{FF2B5EF4-FFF2-40B4-BE49-F238E27FC236}">
              <a16:creationId xmlns:a16="http://schemas.microsoft.com/office/drawing/2014/main" id="{6DAB1F8B-00C9-4AC0-A784-4E7FC51DEC1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531" name="AutoShape 12">
          <a:extLst>
            <a:ext uri="{FF2B5EF4-FFF2-40B4-BE49-F238E27FC236}">
              <a16:creationId xmlns:a16="http://schemas.microsoft.com/office/drawing/2014/main" id="{DBB2129A-3157-4641-B9E1-18C2AADDB7F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532" name="AutoShape 12">
          <a:extLst>
            <a:ext uri="{FF2B5EF4-FFF2-40B4-BE49-F238E27FC236}">
              <a16:creationId xmlns:a16="http://schemas.microsoft.com/office/drawing/2014/main" id="{1B15A768-C679-4086-9E6E-D3F77F5BE07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533" name="AutoShape 12">
          <a:extLst>
            <a:ext uri="{FF2B5EF4-FFF2-40B4-BE49-F238E27FC236}">
              <a16:creationId xmlns:a16="http://schemas.microsoft.com/office/drawing/2014/main" id="{B6DC1069-1BB9-411B-97AF-47B568C218F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534" name="AutoShape 12">
          <a:extLst>
            <a:ext uri="{FF2B5EF4-FFF2-40B4-BE49-F238E27FC236}">
              <a16:creationId xmlns:a16="http://schemas.microsoft.com/office/drawing/2014/main" id="{25B280B6-660C-4EF4-9197-7F26FB5C176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535" name="AutoShape 12">
          <a:extLst>
            <a:ext uri="{FF2B5EF4-FFF2-40B4-BE49-F238E27FC236}">
              <a16:creationId xmlns:a16="http://schemas.microsoft.com/office/drawing/2014/main" id="{5C1D1E95-93F5-4D9C-AFA2-643828917AF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536" name="AutoShape 12">
          <a:extLst>
            <a:ext uri="{FF2B5EF4-FFF2-40B4-BE49-F238E27FC236}">
              <a16:creationId xmlns:a16="http://schemas.microsoft.com/office/drawing/2014/main" id="{4637E799-0610-4357-B244-E563560170A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537" name="AutoShape 12">
          <a:extLst>
            <a:ext uri="{FF2B5EF4-FFF2-40B4-BE49-F238E27FC236}">
              <a16:creationId xmlns:a16="http://schemas.microsoft.com/office/drawing/2014/main" id="{D4C22D39-17D1-4ED6-A5F6-1F0658D6972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538" name="AutoShape 12">
          <a:extLst>
            <a:ext uri="{FF2B5EF4-FFF2-40B4-BE49-F238E27FC236}">
              <a16:creationId xmlns:a16="http://schemas.microsoft.com/office/drawing/2014/main" id="{C7CD623B-5980-487B-B25D-5EAF4639E91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539" name="AutoShape 12">
          <a:extLst>
            <a:ext uri="{FF2B5EF4-FFF2-40B4-BE49-F238E27FC236}">
              <a16:creationId xmlns:a16="http://schemas.microsoft.com/office/drawing/2014/main" id="{AD470263-D15B-4FBA-99E9-9AB2B7F2A74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540" name="AutoShape 12">
          <a:extLst>
            <a:ext uri="{FF2B5EF4-FFF2-40B4-BE49-F238E27FC236}">
              <a16:creationId xmlns:a16="http://schemas.microsoft.com/office/drawing/2014/main" id="{DA95A873-6DF7-422E-BE1A-1FE1C485B2E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541" name="AutoShape 12">
          <a:extLst>
            <a:ext uri="{FF2B5EF4-FFF2-40B4-BE49-F238E27FC236}">
              <a16:creationId xmlns:a16="http://schemas.microsoft.com/office/drawing/2014/main" id="{1163FA69-1ABD-4883-BFF4-5D9974D74FC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542" name="AutoShape 12">
          <a:extLst>
            <a:ext uri="{FF2B5EF4-FFF2-40B4-BE49-F238E27FC236}">
              <a16:creationId xmlns:a16="http://schemas.microsoft.com/office/drawing/2014/main" id="{4CFE219C-BA45-4B8B-BB63-0B12DC900D7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543" name="AutoShape 12">
          <a:extLst>
            <a:ext uri="{FF2B5EF4-FFF2-40B4-BE49-F238E27FC236}">
              <a16:creationId xmlns:a16="http://schemas.microsoft.com/office/drawing/2014/main" id="{F3CF736A-D795-4CB9-A67E-65586E367A8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544" name="AutoShape 12">
          <a:extLst>
            <a:ext uri="{FF2B5EF4-FFF2-40B4-BE49-F238E27FC236}">
              <a16:creationId xmlns:a16="http://schemas.microsoft.com/office/drawing/2014/main" id="{CF86833E-3AD4-4E67-9670-04E5BE9D967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545" name="AutoShape 12">
          <a:extLst>
            <a:ext uri="{FF2B5EF4-FFF2-40B4-BE49-F238E27FC236}">
              <a16:creationId xmlns:a16="http://schemas.microsoft.com/office/drawing/2014/main" id="{5BE0E507-1546-4C1C-B762-E107081080A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546" name="AutoShape 12">
          <a:extLst>
            <a:ext uri="{FF2B5EF4-FFF2-40B4-BE49-F238E27FC236}">
              <a16:creationId xmlns:a16="http://schemas.microsoft.com/office/drawing/2014/main" id="{745C4046-88D2-44FF-B585-2135FF5094C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547" name="AutoShape 12">
          <a:extLst>
            <a:ext uri="{FF2B5EF4-FFF2-40B4-BE49-F238E27FC236}">
              <a16:creationId xmlns:a16="http://schemas.microsoft.com/office/drawing/2014/main" id="{81D8259E-D0C4-4F5A-B2B1-DA0BEEF784E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548" name="AutoShape 12">
          <a:extLst>
            <a:ext uri="{FF2B5EF4-FFF2-40B4-BE49-F238E27FC236}">
              <a16:creationId xmlns:a16="http://schemas.microsoft.com/office/drawing/2014/main" id="{516D7440-6A42-454A-BB53-75BED7902D1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549" name="AutoShape 12">
          <a:extLst>
            <a:ext uri="{FF2B5EF4-FFF2-40B4-BE49-F238E27FC236}">
              <a16:creationId xmlns:a16="http://schemas.microsoft.com/office/drawing/2014/main" id="{CF5D377D-4512-4D3D-981D-170D41918B1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550" name="AutoShape 12">
          <a:extLst>
            <a:ext uri="{FF2B5EF4-FFF2-40B4-BE49-F238E27FC236}">
              <a16:creationId xmlns:a16="http://schemas.microsoft.com/office/drawing/2014/main" id="{BEAECB69-0A10-4DF0-A454-98FFC0B30D2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551" name="AutoShape 12">
          <a:extLst>
            <a:ext uri="{FF2B5EF4-FFF2-40B4-BE49-F238E27FC236}">
              <a16:creationId xmlns:a16="http://schemas.microsoft.com/office/drawing/2014/main" id="{1D94B321-0B6B-44B3-B34F-2FA05D3D7BD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552" name="AutoShape 12">
          <a:extLst>
            <a:ext uri="{FF2B5EF4-FFF2-40B4-BE49-F238E27FC236}">
              <a16:creationId xmlns:a16="http://schemas.microsoft.com/office/drawing/2014/main" id="{1649B038-4F74-46A1-B1D4-46E6C01D1FA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553" name="AutoShape 12">
          <a:extLst>
            <a:ext uri="{FF2B5EF4-FFF2-40B4-BE49-F238E27FC236}">
              <a16:creationId xmlns:a16="http://schemas.microsoft.com/office/drawing/2014/main" id="{8952BC0B-E71C-4DF2-A024-7EDC4254D1B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554" name="AutoShape 12">
          <a:extLst>
            <a:ext uri="{FF2B5EF4-FFF2-40B4-BE49-F238E27FC236}">
              <a16:creationId xmlns:a16="http://schemas.microsoft.com/office/drawing/2014/main" id="{0D8251FE-35D4-49FD-8AE9-103D67D1E8D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555" name="AutoShape 12">
          <a:extLst>
            <a:ext uri="{FF2B5EF4-FFF2-40B4-BE49-F238E27FC236}">
              <a16:creationId xmlns:a16="http://schemas.microsoft.com/office/drawing/2014/main" id="{8766CC6B-BA7A-4641-A903-62F93C2C718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556" name="AutoShape 12">
          <a:extLst>
            <a:ext uri="{FF2B5EF4-FFF2-40B4-BE49-F238E27FC236}">
              <a16:creationId xmlns:a16="http://schemas.microsoft.com/office/drawing/2014/main" id="{E3191E34-B690-40A8-AEF2-72CFE658815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557" name="AutoShape 12">
          <a:extLst>
            <a:ext uri="{FF2B5EF4-FFF2-40B4-BE49-F238E27FC236}">
              <a16:creationId xmlns:a16="http://schemas.microsoft.com/office/drawing/2014/main" id="{042E4B6D-80DB-47C8-AA50-0A4C1E567A3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558" name="AutoShape 12">
          <a:extLst>
            <a:ext uri="{FF2B5EF4-FFF2-40B4-BE49-F238E27FC236}">
              <a16:creationId xmlns:a16="http://schemas.microsoft.com/office/drawing/2014/main" id="{06B01C5E-E582-4E86-A989-668099100C4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559" name="AutoShape 12">
          <a:extLst>
            <a:ext uri="{FF2B5EF4-FFF2-40B4-BE49-F238E27FC236}">
              <a16:creationId xmlns:a16="http://schemas.microsoft.com/office/drawing/2014/main" id="{B86086B8-7242-4573-BCA9-61F419A644D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560" name="AutoShape 12">
          <a:extLst>
            <a:ext uri="{FF2B5EF4-FFF2-40B4-BE49-F238E27FC236}">
              <a16:creationId xmlns:a16="http://schemas.microsoft.com/office/drawing/2014/main" id="{FC76128B-8B2C-4887-8112-50F43C90CA6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561" name="AutoShape 12">
          <a:extLst>
            <a:ext uri="{FF2B5EF4-FFF2-40B4-BE49-F238E27FC236}">
              <a16:creationId xmlns:a16="http://schemas.microsoft.com/office/drawing/2014/main" id="{939CE63F-A675-4172-92F7-137032379CD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562" name="AutoShape 12">
          <a:extLst>
            <a:ext uri="{FF2B5EF4-FFF2-40B4-BE49-F238E27FC236}">
              <a16:creationId xmlns:a16="http://schemas.microsoft.com/office/drawing/2014/main" id="{1188A415-9D37-4058-ADA9-BA13057454D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563" name="AutoShape 12">
          <a:extLst>
            <a:ext uri="{FF2B5EF4-FFF2-40B4-BE49-F238E27FC236}">
              <a16:creationId xmlns:a16="http://schemas.microsoft.com/office/drawing/2014/main" id="{7C18B334-4A0F-4D1A-A885-A7CF2A395C9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564" name="AutoShape 12">
          <a:extLst>
            <a:ext uri="{FF2B5EF4-FFF2-40B4-BE49-F238E27FC236}">
              <a16:creationId xmlns:a16="http://schemas.microsoft.com/office/drawing/2014/main" id="{063E31AD-0D32-45D8-9B4F-B5FE32F1B9A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565" name="AutoShape 12">
          <a:extLst>
            <a:ext uri="{FF2B5EF4-FFF2-40B4-BE49-F238E27FC236}">
              <a16:creationId xmlns:a16="http://schemas.microsoft.com/office/drawing/2014/main" id="{BA0DC369-DC83-4C6E-B6E8-AAEF72CB581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566" name="AutoShape 12">
          <a:extLst>
            <a:ext uri="{FF2B5EF4-FFF2-40B4-BE49-F238E27FC236}">
              <a16:creationId xmlns:a16="http://schemas.microsoft.com/office/drawing/2014/main" id="{B0B3E4E2-E472-4731-A82F-609DF4A835C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567" name="AutoShape 12">
          <a:extLst>
            <a:ext uri="{FF2B5EF4-FFF2-40B4-BE49-F238E27FC236}">
              <a16:creationId xmlns:a16="http://schemas.microsoft.com/office/drawing/2014/main" id="{14E91A38-CE34-42F8-B5F0-F83DC68D8FD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568" name="AutoShape 12">
          <a:extLst>
            <a:ext uri="{FF2B5EF4-FFF2-40B4-BE49-F238E27FC236}">
              <a16:creationId xmlns:a16="http://schemas.microsoft.com/office/drawing/2014/main" id="{EC03C5FD-BAF7-4A6E-81ED-099BF53B2B6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569" name="AutoShape 12">
          <a:extLst>
            <a:ext uri="{FF2B5EF4-FFF2-40B4-BE49-F238E27FC236}">
              <a16:creationId xmlns:a16="http://schemas.microsoft.com/office/drawing/2014/main" id="{CCE93B70-F75F-4EC6-B7D6-7AECBD06E5B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570" name="AutoShape 12">
          <a:extLst>
            <a:ext uri="{FF2B5EF4-FFF2-40B4-BE49-F238E27FC236}">
              <a16:creationId xmlns:a16="http://schemas.microsoft.com/office/drawing/2014/main" id="{92CBF07C-3E12-4A00-B1C0-A7EEB310A26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571" name="AutoShape 12">
          <a:extLst>
            <a:ext uri="{FF2B5EF4-FFF2-40B4-BE49-F238E27FC236}">
              <a16:creationId xmlns:a16="http://schemas.microsoft.com/office/drawing/2014/main" id="{15C1E9AB-E380-429D-8123-5A9E99C3DDE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572" name="AutoShape 12">
          <a:extLst>
            <a:ext uri="{FF2B5EF4-FFF2-40B4-BE49-F238E27FC236}">
              <a16:creationId xmlns:a16="http://schemas.microsoft.com/office/drawing/2014/main" id="{BB895AC5-08E0-43FA-A507-E3670283A1E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573" name="AutoShape 12">
          <a:extLst>
            <a:ext uri="{FF2B5EF4-FFF2-40B4-BE49-F238E27FC236}">
              <a16:creationId xmlns:a16="http://schemas.microsoft.com/office/drawing/2014/main" id="{14BB1986-7CB7-45AE-BBC9-1585140C2EC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574" name="AutoShape 12">
          <a:extLst>
            <a:ext uri="{FF2B5EF4-FFF2-40B4-BE49-F238E27FC236}">
              <a16:creationId xmlns:a16="http://schemas.microsoft.com/office/drawing/2014/main" id="{57FCBB95-546A-4D6F-A95D-37C6F627967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575" name="AutoShape 12">
          <a:extLst>
            <a:ext uri="{FF2B5EF4-FFF2-40B4-BE49-F238E27FC236}">
              <a16:creationId xmlns:a16="http://schemas.microsoft.com/office/drawing/2014/main" id="{7A0052F6-EC3F-41C2-9810-10AE5E97A48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576" name="AutoShape 12">
          <a:extLst>
            <a:ext uri="{FF2B5EF4-FFF2-40B4-BE49-F238E27FC236}">
              <a16:creationId xmlns:a16="http://schemas.microsoft.com/office/drawing/2014/main" id="{459EE818-1D6D-4068-9440-F2465D10371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577" name="AutoShape 12">
          <a:extLst>
            <a:ext uri="{FF2B5EF4-FFF2-40B4-BE49-F238E27FC236}">
              <a16:creationId xmlns:a16="http://schemas.microsoft.com/office/drawing/2014/main" id="{D8ADE178-145B-4CF9-A56E-8C179D0AAE7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578" name="AutoShape 12">
          <a:extLst>
            <a:ext uri="{FF2B5EF4-FFF2-40B4-BE49-F238E27FC236}">
              <a16:creationId xmlns:a16="http://schemas.microsoft.com/office/drawing/2014/main" id="{3E4208A5-758E-4F11-91A5-06AEB201875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579" name="AutoShape 12">
          <a:extLst>
            <a:ext uri="{FF2B5EF4-FFF2-40B4-BE49-F238E27FC236}">
              <a16:creationId xmlns:a16="http://schemas.microsoft.com/office/drawing/2014/main" id="{17660576-F592-4FAA-B92F-B866A57BA2B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580" name="AutoShape 12">
          <a:extLst>
            <a:ext uri="{FF2B5EF4-FFF2-40B4-BE49-F238E27FC236}">
              <a16:creationId xmlns:a16="http://schemas.microsoft.com/office/drawing/2014/main" id="{DEE5F290-9AE1-4F15-BB9E-468381C1C81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581" name="AutoShape 12">
          <a:extLst>
            <a:ext uri="{FF2B5EF4-FFF2-40B4-BE49-F238E27FC236}">
              <a16:creationId xmlns:a16="http://schemas.microsoft.com/office/drawing/2014/main" id="{A59D86CE-4F7B-4056-ACBB-CE7E5F263D8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582" name="AutoShape 12">
          <a:extLst>
            <a:ext uri="{FF2B5EF4-FFF2-40B4-BE49-F238E27FC236}">
              <a16:creationId xmlns:a16="http://schemas.microsoft.com/office/drawing/2014/main" id="{2D237F47-4DDC-4483-8B7B-303948B99CA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583" name="AutoShape 12">
          <a:extLst>
            <a:ext uri="{FF2B5EF4-FFF2-40B4-BE49-F238E27FC236}">
              <a16:creationId xmlns:a16="http://schemas.microsoft.com/office/drawing/2014/main" id="{A5B4FF3E-86CA-4477-9291-1BCBF62A8E1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584" name="AutoShape 12">
          <a:extLst>
            <a:ext uri="{FF2B5EF4-FFF2-40B4-BE49-F238E27FC236}">
              <a16:creationId xmlns:a16="http://schemas.microsoft.com/office/drawing/2014/main" id="{134725F1-50A8-47BE-807D-EA472E55EFB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585" name="AutoShape 12">
          <a:extLst>
            <a:ext uri="{FF2B5EF4-FFF2-40B4-BE49-F238E27FC236}">
              <a16:creationId xmlns:a16="http://schemas.microsoft.com/office/drawing/2014/main" id="{F4BB4119-EE8D-4638-BFD9-C014C89613F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586" name="AutoShape 12">
          <a:extLst>
            <a:ext uri="{FF2B5EF4-FFF2-40B4-BE49-F238E27FC236}">
              <a16:creationId xmlns:a16="http://schemas.microsoft.com/office/drawing/2014/main" id="{2E21A773-9BFF-490F-8AE8-440918F8911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587" name="AutoShape 12">
          <a:extLst>
            <a:ext uri="{FF2B5EF4-FFF2-40B4-BE49-F238E27FC236}">
              <a16:creationId xmlns:a16="http://schemas.microsoft.com/office/drawing/2014/main" id="{90C80B16-1427-4817-9312-15965FE399C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588" name="AutoShape 12">
          <a:extLst>
            <a:ext uri="{FF2B5EF4-FFF2-40B4-BE49-F238E27FC236}">
              <a16:creationId xmlns:a16="http://schemas.microsoft.com/office/drawing/2014/main" id="{8F4EFBEF-70D7-4B46-97EB-2574522AE03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589" name="AutoShape 12">
          <a:extLst>
            <a:ext uri="{FF2B5EF4-FFF2-40B4-BE49-F238E27FC236}">
              <a16:creationId xmlns:a16="http://schemas.microsoft.com/office/drawing/2014/main" id="{1F5932AB-80A1-4906-B69C-49D52544E12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590" name="AutoShape 12">
          <a:extLst>
            <a:ext uri="{FF2B5EF4-FFF2-40B4-BE49-F238E27FC236}">
              <a16:creationId xmlns:a16="http://schemas.microsoft.com/office/drawing/2014/main" id="{B4B8F273-6A70-4EE9-AEB4-9206171B0DE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591" name="AutoShape 12">
          <a:extLst>
            <a:ext uri="{FF2B5EF4-FFF2-40B4-BE49-F238E27FC236}">
              <a16:creationId xmlns:a16="http://schemas.microsoft.com/office/drawing/2014/main" id="{13A9026A-B25A-489E-B281-B3B5359CD93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592" name="AutoShape 12">
          <a:extLst>
            <a:ext uri="{FF2B5EF4-FFF2-40B4-BE49-F238E27FC236}">
              <a16:creationId xmlns:a16="http://schemas.microsoft.com/office/drawing/2014/main" id="{86643EF2-E932-4D6B-9C44-B02852CFC24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593" name="AutoShape 12">
          <a:extLst>
            <a:ext uri="{FF2B5EF4-FFF2-40B4-BE49-F238E27FC236}">
              <a16:creationId xmlns:a16="http://schemas.microsoft.com/office/drawing/2014/main" id="{65DBD2FF-C93D-410A-8C96-BF467943A9F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594" name="AutoShape 12">
          <a:extLst>
            <a:ext uri="{FF2B5EF4-FFF2-40B4-BE49-F238E27FC236}">
              <a16:creationId xmlns:a16="http://schemas.microsoft.com/office/drawing/2014/main" id="{21F07380-2972-4AEE-857E-6E612D05ED7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595" name="AutoShape 12">
          <a:extLst>
            <a:ext uri="{FF2B5EF4-FFF2-40B4-BE49-F238E27FC236}">
              <a16:creationId xmlns:a16="http://schemas.microsoft.com/office/drawing/2014/main" id="{D0EADE19-9686-46F0-8516-1652C15A35D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596" name="AutoShape 12">
          <a:extLst>
            <a:ext uri="{FF2B5EF4-FFF2-40B4-BE49-F238E27FC236}">
              <a16:creationId xmlns:a16="http://schemas.microsoft.com/office/drawing/2014/main" id="{06BDBAA9-A8A0-4B49-8A62-058887AF4A7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597" name="AutoShape 12">
          <a:extLst>
            <a:ext uri="{FF2B5EF4-FFF2-40B4-BE49-F238E27FC236}">
              <a16:creationId xmlns:a16="http://schemas.microsoft.com/office/drawing/2014/main" id="{E07608EF-D68D-4982-911B-90F9618A3B6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598" name="AutoShape 12">
          <a:extLst>
            <a:ext uri="{FF2B5EF4-FFF2-40B4-BE49-F238E27FC236}">
              <a16:creationId xmlns:a16="http://schemas.microsoft.com/office/drawing/2014/main" id="{54CD21CF-3776-4B0E-A2D0-1D0124143C7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599" name="AutoShape 12">
          <a:extLst>
            <a:ext uri="{FF2B5EF4-FFF2-40B4-BE49-F238E27FC236}">
              <a16:creationId xmlns:a16="http://schemas.microsoft.com/office/drawing/2014/main" id="{562EF8D4-9FCA-4B3E-AF7C-4213295819B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600" name="AutoShape 12">
          <a:extLst>
            <a:ext uri="{FF2B5EF4-FFF2-40B4-BE49-F238E27FC236}">
              <a16:creationId xmlns:a16="http://schemas.microsoft.com/office/drawing/2014/main" id="{0E411CB8-D79B-4B42-9029-0B1C9641AF5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601" name="AutoShape 12">
          <a:extLst>
            <a:ext uri="{FF2B5EF4-FFF2-40B4-BE49-F238E27FC236}">
              <a16:creationId xmlns:a16="http://schemas.microsoft.com/office/drawing/2014/main" id="{0DD6F785-AC0A-4D2D-8037-C7FE87E4295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602" name="AutoShape 12">
          <a:extLst>
            <a:ext uri="{FF2B5EF4-FFF2-40B4-BE49-F238E27FC236}">
              <a16:creationId xmlns:a16="http://schemas.microsoft.com/office/drawing/2014/main" id="{69FBFB04-9DF5-4BB6-8245-4E0C2C8D143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603" name="AutoShape 12">
          <a:extLst>
            <a:ext uri="{FF2B5EF4-FFF2-40B4-BE49-F238E27FC236}">
              <a16:creationId xmlns:a16="http://schemas.microsoft.com/office/drawing/2014/main" id="{FEB2A0B9-8D70-4C97-B003-2FA73553176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604" name="AutoShape 12">
          <a:extLst>
            <a:ext uri="{FF2B5EF4-FFF2-40B4-BE49-F238E27FC236}">
              <a16:creationId xmlns:a16="http://schemas.microsoft.com/office/drawing/2014/main" id="{86541252-8FA5-42F4-A684-195D48F9227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605" name="AutoShape 12">
          <a:extLst>
            <a:ext uri="{FF2B5EF4-FFF2-40B4-BE49-F238E27FC236}">
              <a16:creationId xmlns:a16="http://schemas.microsoft.com/office/drawing/2014/main" id="{91424F72-9BD8-48E5-A804-DA2906E9149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606" name="AutoShape 12">
          <a:extLst>
            <a:ext uri="{FF2B5EF4-FFF2-40B4-BE49-F238E27FC236}">
              <a16:creationId xmlns:a16="http://schemas.microsoft.com/office/drawing/2014/main" id="{DD1E3D81-0971-4401-9F01-134EC1FB904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607" name="AutoShape 12">
          <a:extLst>
            <a:ext uri="{FF2B5EF4-FFF2-40B4-BE49-F238E27FC236}">
              <a16:creationId xmlns:a16="http://schemas.microsoft.com/office/drawing/2014/main" id="{02735AE9-FA1E-415B-AEC6-E9EA290FA1D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608" name="AutoShape 12">
          <a:extLst>
            <a:ext uri="{FF2B5EF4-FFF2-40B4-BE49-F238E27FC236}">
              <a16:creationId xmlns:a16="http://schemas.microsoft.com/office/drawing/2014/main" id="{1DE87503-D856-4E66-89C7-DC14BCEDC12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609" name="AutoShape 12">
          <a:extLst>
            <a:ext uri="{FF2B5EF4-FFF2-40B4-BE49-F238E27FC236}">
              <a16:creationId xmlns:a16="http://schemas.microsoft.com/office/drawing/2014/main" id="{B8E994BF-7A3F-4E20-A3E2-4D20BC088A0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610" name="AutoShape 12">
          <a:extLst>
            <a:ext uri="{FF2B5EF4-FFF2-40B4-BE49-F238E27FC236}">
              <a16:creationId xmlns:a16="http://schemas.microsoft.com/office/drawing/2014/main" id="{5B6828F7-A04A-47E7-92FF-B8C0D0CD5E6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611" name="AutoShape 12">
          <a:extLst>
            <a:ext uri="{FF2B5EF4-FFF2-40B4-BE49-F238E27FC236}">
              <a16:creationId xmlns:a16="http://schemas.microsoft.com/office/drawing/2014/main" id="{22C200B8-C8F0-47DA-A088-0140DF32313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612" name="AutoShape 12">
          <a:extLst>
            <a:ext uri="{FF2B5EF4-FFF2-40B4-BE49-F238E27FC236}">
              <a16:creationId xmlns:a16="http://schemas.microsoft.com/office/drawing/2014/main" id="{4D3CA0FB-9B44-4829-85D0-18B85062A64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613" name="AutoShape 12">
          <a:extLst>
            <a:ext uri="{FF2B5EF4-FFF2-40B4-BE49-F238E27FC236}">
              <a16:creationId xmlns:a16="http://schemas.microsoft.com/office/drawing/2014/main" id="{0B412461-6AD2-4224-90F5-F3858F4E31C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614" name="AutoShape 12">
          <a:extLst>
            <a:ext uri="{FF2B5EF4-FFF2-40B4-BE49-F238E27FC236}">
              <a16:creationId xmlns:a16="http://schemas.microsoft.com/office/drawing/2014/main" id="{D9097C61-AA97-4120-9BB5-69568935E01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615" name="AutoShape 12">
          <a:extLst>
            <a:ext uri="{FF2B5EF4-FFF2-40B4-BE49-F238E27FC236}">
              <a16:creationId xmlns:a16="http://schemas.microsoft.com/office/drawing/2014/main" id="{CE1CE0ED-2E0A-41C0-8A7F-3E25250438A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616" name="AutoShape 12">
          <a:extLst>
            <a:ext uri="{FF2B5EF4-FFF2-40B4-BE49-F238E27FC236}">
              <a16:creationId xmlns:a16="http://schemas.microsoft.com/office/drawing/2014/main" id="{C78CE195-1AE5-4420-B6EA-B2D3B199A09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617" name="AutoShape 12">
          <a:extLst>
            <a:ext uri="{FF2B5EF4-FFF2-40B4-BE49-F238E27FC236}">
              <a16:creationId xmlns:a16="http://schemas.microsoft.com/office/drawing/2014/main" id="{04C51E32-AD98-4D46-AD31-A866E4B6C7C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618" name="AutoShape 12">
          <a:extLst>
            <a:ext uri="{FF2B5EF4-FFF2-40B4-BE49-F238E27FC236}">
              <a16:creationId xmlns:a16="http://schemas.microsoft.com/office/drawing/2014/main" id="{7D88CF52-B9DD-4E5E-80E2-A0CE0DAB3C4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619" name="AutoShape 12">
          <a:extLst>
            <a:ext uri="{FF2B5EF4-FFF2-40B4-BE49-F238E27FC236}">
              <a16:creationId xmlns:a16="http://schemas.microsoft.com/office/drawing/2014/main" id="{E1DBEDE1-030E-4D1A-8FBA-884E18C1F3C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620" name="AutoShape 12">
          <a:extLst>
            <a:ext uri="{FF2B5EF4-FFF2-40B4-BE49-F238E27FC236}">
              <a16:creationId xmlns:a16="http://schemas.microsoft.com/office/drawing/2014/main" id="{9F42AE1D-F5AD-4574-841B-CD3D07450F2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621" name="AutoShape 12">
          <a:extLst>
            <a:ext uri="{FF2B5EF4-FFF2-40B4-BE49-F238E27FC236}">
              <a16:creationId xmlns:a16="http://schemas.microsoft.com/office/drawing/2014/main" id="{12623E56-D1D1-442B-B821-B31EC71D605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622" name="AutoShape 12">
          <a:extLst>
            <a:ext uri="{FF2B5EF4-FFF2-40B4-BE49-F238E27FC236}">
              <a16:creationId xmlns:a16="http://schemas.microsoft.com/office/drawing/2014/main" id="{D59E95FE-BABE-4565-A8E9-B98DDBC05D0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623" name="AutoShape 12">
          <a:extLst>
            <a:ext uri="{FF2B5EF4-FFF2-40B4-BE49-F238E27FC236}">
              <a16:creationId xmlns:a16="http://schemas.microsoft.com/office/drawing/2014/main" id="{FDF42014-D300-4F7A-85FC-51483F98EF5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624" name="AutoShape 12">
          <a:extLst>
            <a:ext uri="{FF2B5EF4-FFF2-40B4-BE49-F238E27FC236}">
              <a16:creationId xmlns:a16="http://schemas.microsoft.com/office/drawing/2014/main" id="{08FB40B0-DF4B-4307-87A5-9F6750CB360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625" name="AutoShape 12">
          <a:extLst>
            <a:ext uri="{FF2B5EF4-FFF2-40B4-BE49-F238E27FC236}">
              <a16:creationId xmlns:a16="http://schemas.microsoft.com/office/drawing/2014/main" id="{E13BF6DE-CFA1-49BC-9959-5133CB6A49E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626" name="AutoShape 12">
          <a:extLst>
            <a:ext uri="{FF2B5EF4-FFF2-40B4-BE49-F238E27FC236}">
              <a16:creationId xmlns:a16="http://schemas.microsoft.com/office/drawing/2014/main" id="{2BB0DD4E-323D-408F-BC4A-E1465A29506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627" name="AutoShape 12">
          <a:extLst>
            <a:ext uri="{FF2B5EF4-FFF2-40B4-BE49-F238E27FC236}">
              <a16:creationId xmlns:a16="http://schemas.microsoft.com/office/drawing/2014/main" id="{B52C26D2-99ED-4CD7-AEC6-C441DD6376D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628" name="AutoShape 12">
          <a:extLst>
            <a:ext uri="{FF2B5EF4-FFF2-40B4-BE49-F238E27FC236}">
              <a16:creationId xmlns:a16="http://schemas.microsoft.com/office/drawing/2014/main" id="{0C8BEAA2-C187-4BDA-AFD6-A966565A60B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629" name="AutoShape 12">
          <a:extLst>
            <a:ext uri="{FF2B5EF4-FFF2-40B4-BE49-F238E27FC236}">
              <a16:creationId xmlns:a16="http://schemas.microsoft.com/office/drawing/2014/main" id="{6295E6F6-CAC5-48FF-9562-600062BE5F4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630" name="AutoShape 12">
          <a:extLst>
            <a:ext uri="{FF2B5EF4-FFF2-40B4-BE49-F238E27FC236}">
              <a16:creationId xmlns:a16="http://schemas.microsoft.com/office/drawing/2014/main" id="{BBA4CF63-BB68-4BCA-A832-AC3C7710C7B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631" name="AutoShape 12">
          <a:extLst>
            <a:ext uri="{FF2B5EF4-FFF2-40B4-BE49-F238E27FC236}">
              <a16:creationId xmlns:a16="http://schemas.microsoft.com/office/drawing/2014/main" id="{5215E18D-D24B-49D7-824B-0E1B59CF288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632" name="AutoShape 12">
          <a:extLst>
            <a:ext uri="{FF2B5EF4-FFF2-40B4-BE49-F238E27FC236}">
              <a16:creationId xmlns:a16="http://schemas.microsoft.com/office/drawing/2014/main" id="{6B7CD253-DC44-4D57-B907-B4F70964F28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633" name="AutoShape 12">
          <a:extLst>
            <a:ext uri="{FF2B5EF4-FFF2-40B4-BE49-F238E27FC236}">
              <a16:creationId xmlns:a16="http://schemas.microsoft.com/office/drawing/2014/main" id="{EAE2FB83-E1A5-4E0C-B26E-93C5FE73C4F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634" name="AutoShape 12">
          <a:extLst>
            <a:ext uri="{FF2B5EF4-FFF2-40B4-BE49-F238E27FC236}">
              <a16:creationId xmlns:a16="http://schemas.microsoft.com/office/drawing/2014/main" id="{A1F53D7D-2DAF-42D0-A054-39027CBD414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635" name="AutoShape 12">
          <a:extLst>
            <a:ext uri="{FF2B5EF4-FFF2-40B4-BE49-F238E27FC236}">
              <a16:creationId xmlns:a16="http://schemas.microsoft.com/office/drawing/2014/main" id="{6EABF35C-DFB0-47AC-9BEB-65546AC6C57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636" name="AutoShape 12">
          <a:extLst>
            <a:ext uri="{FF2B5EF4-FFF2-40B4-BE49-F238E27FC236}">
              <a16:creationId xmlns:a16="http://schemas.microsoft.com/office/drawing/2014/main" id="{6BD277A8-4119-4964-8E5F-C907D264612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637" name="AutoShape 12">
          <a:extLst>
            <a:ext uri="{FF2B5EF4-FFF2-40B4-BE49-F238E27FC236}">
              <a16:creationId xmlns:a16="http://schemas.microsoft.com/office/drawing/2014/main" id="{85507429-88B4-4E21-A79D-117D744DDA6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638" name="AutoShape 12">
          <a:extLst>
            <a:ext uri="{FF2B5EF4-FFF2-40B4-BE49-F238E27FC236}">
              <a16:creationId xmlns:a16="http://schemas.microsoft.com/office/drawing/2014/main" id="{4F79FE5F-748B-49D3-AFB4-DEE94966758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639" name="AutoShape 12">
          <a:extLst>
            <a:ext uri="{FF2B5EF4-FFF2-40B4-BE49-F238E27FC236}">
              <a16:creationId xmlns:a16="http://schemas.microsoft.com/office/drawing/2014/main" id="{74C03DF4-4970-422D-A130-28C92A636A8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640" name="AutoShape 12">
          <a:extLst>
            <a:ext uri="{FF2B5EF4-FFF2-40B4-BE49-F238E27FC236}">
              <a16:creationId xmlns:a16="http://schemas.microsoft.com/office/drawing/2014/main" id="{354E803C-84DB-4931-89CC-0D6E26AEC6D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641" name="AutoShape 12">
          <a:extLst>
            <a:ext uri="{FF2B5EF4-FFF2-40B4-BE49-F238E27FC236}">
              <a16:creationId xmlns:a16="http://schemas.microsoft.com/office/drawing/2014/main" id="{9E600850-F8A0-4C21-A6DA-47B042EC308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642" name="AutoShape 12">
          <a:extLst>
            <a:ext uri="{FF2B5EF4-FFF2-40B4-BE49-F238E27FC236}">
              <a16:creationId xmlns:a16="http://schemas.microsoft.com/office/drawing/2014/main" id="{96A487F2-D004-47DA-A12B-67687210268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643" name="AutoShape 12">
          <a:extLst>
            <a:ext uri="{FF2B5EF4-FFF2-40B4-BE49-F238E27FC236}">
              <a16:creationId xmlns:a16="http://schemas.microsoft.com/office/drawing/2014/main" id="{637EC37D-BA03-4AAA-A87E-CB571A879CE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644" name="AutoShape 12">
          <a:extLst>
            <a:ext uri="{FF2B5EF4-FFF2-40B4-BE49-F238E27FC236}">
              <a16:creationId xmlns:a16="http://schemas.microsoft.com/office/drawing/2014/main" id="{E1152285-9C60-41C9-BD87-F3B0432907F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645" name="AutoShape 12">
          <a:extLst>
            <a:ext uri="{FF2B5EF4-FFF2-40B4-BE49-F238E27FC236}">
              <a16:creationId xmlns:a16="http://schemas.microsoft.com/office/drawing/2014/main" id="{1FAD40E3-FE02-4370-A067-5C97582144B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646" name="AutoShape 12">
          <a:extLst>
            <a:ext uri="{FF2B5EF4-FFF2-40B4-BE49-F238E27FC236}">
              <a16:creationId xmlns:a16="http://schemas.microsoft.com/office/drawing/2014/main" id="{28C797FD-6163-454D-9928-43977543CA3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647" name="AutoShape 12">
          <a:extLst>
            <a:ext uri="{FF2B5EF4-FFF2-40B4-BE49-F238E27FC236}">
              <a16:creationId xmlns:a16="http://schemas.microsoft.com/office/drawing/2014/main" id="{11273A39-ABCF-442A-B880-F78879858B0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648" name="AutoShape 12">
          <a:extLst>
            <a:ext uri="{FF2B5EF4-FFF2-40B4-BE49-F238E27FC236}">
              <a16:creationId xmlns:a16="http://schemas.microsoft.com/office/drawing/2014/main" id="{7E113D94-5CC5-4A9E-A907-E1FF589D8C3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649" name="AutoShape 12">
          <a:extLst>
            <a:ext uri="{FF2B5EF4-FFF2-40B4-BE49-F238E27FC236}">
              <a16:creationId xmlns:a16="http://schemas.microsoft.com/office/drawing/2014/main" id="{DA0759B1-4FC6-4C68-BF16-CC19A2138D4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650" name="AutoShape 12">
          <a:extLst>
            <a:ext uri="{FF2B5EF4-FFF2-40B4-BE49-F238E27FC236}">
              <a16:creationId xmlns:a16="http://schemas.microsoft.com/office/drawing/2014/main" id="{4DC26EA2-6F26-45EF-8720-1789DBCCA5A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651" name="AutoShape 12">
          <a:extLst>
            <a:ext uri="{FF2B5EF4-FFF2-40B4-BE49-F238E27FC236}">
              <a16:creationId xmlns:a16="http://schemas.microsoft.com/office/drawing/2014/main" id="{0F1EA401-83A9-4267-B790-69C33D90BF0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652" name="AutoShape 12">
          <a:extLst>
            <a:ext uri="{FF2B5EF4-FFF2-40B4-BE49-F238E27FC236}">
              <a16:creationId xmlns:a16="http://schemas.microsoft.com/office/drawing/2014/main" id="{D056910B-7DA5-42FE-93BF-DC2C60A47B2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653" name="AutoShape 12">
          <a:extLst>
            <a:ext uri="{FF2B5EF4-FFF2-40B4-BE49-F238E27FC236}">
              <a16:creationId xmlns:a16="http://schemas.microsoft.com/office/drawing/2014/main" id="{DB92796B-7EC0-4E96-89E1-A97081E4F80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654" name="AutoShape 12">
          <a:extLst>
            <a:ext uri="{FF2B5EF4-FFF2-40B4-BE49-F238E27FC236}">
              <a16:creationId xmlns:a16="http://schemas.microsoft.com/office/drawing/2014/main" id="{3CDBC9FD-4E63-41C4-A9E4-DB7B5443602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655" name="AutoShape 12">
          <a:extLst>
            <a:ext uri="{FF2B5EF4-FFF2-40B4-BE49-F238E27FC236}">
              <a16:creationId xmlns:a16="http://schemas.microsoft.com/office/drawing/2014/main" id="{C7496095-8E23-400A-91A9-621E3087A86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656" name="AutoShape 12">
          <a:extLst>
            <a:ext uri="{FF2B5EF4-FFF2-40B4-BE49-F238E27FC236}">
              <a16:creationId xmlns:a16="http://schemas.microsoft.com/office/drawing/2014/main" id="{28339960-9ECC-453F-83EA-C41F77496E1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657" name="AutoShape 12">
          <a:extLst>
            <a:ext uri="{FF2B5EF4-FFF2-40B4-BE49-F238E27FC236}">
              <a16:creationId xmlns:a16="http://schemas.microsoft.com/office/drawing/2014/main" id="{C9BE3028-7547-47CB-80CC-9512176C952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658" name="AutoShape 12">
          <a:extLst>
            <a:ext uri="{FF2B5EF4-FFF2-40B4-BE49-F238E27FC236}">
              <a16:creationId xmlns:a16="http://schemas.microsoft.com/office/drawing/2014/main" id="{90C731F8-E6F8-4D08-8E7C-2D13948F281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659" name="AutoShape 12">
          <a:extLst>
            <a:ext uri="{FF2B5EF4-FFF2-40B4-BE49-F238E27FC236}">
              <a16:creationId xmlns:a16="http://schemas.microsoft.com/office/drawing/2014/main" id="{1DD8BE96-1649-41D6-967A-DEAA422FDFA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660" name="AutoShape 12">
          <a:extLst>
            <a:ext uri="{FF2B5EF4-FFF2-40B4-BE49-F238E27FC236}">
              <a16:creationId xmlns:a16="http://schemas.microsoft.com/office/drawing/2014/main" id="{F3ED0E78-3FEE-4995-A5A7-C098912AF83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661" name="AutoShape 12">
          <a:extLst>
            <a:ext uri="{FF2B5EF4-FFF2-40B4-BE49-F238E27FC236}">
              <a16:creationId xmlns:a16="http://schemas.microsoft.com/office/drawing/2014/main" id="{77AC3493-9311-4F5C-851B-0A959E76181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662" name="AutoShape 12">
          <a:extLst>
            <a:ext uri="{FF2B5EF4-FFF2-40B4-BE49-F238E27FC236}">
              <a16:creationId xmlns:a16="http://schemas.microsoft.com/office/drawing/2014/main" id="{1C50016D-114C-493F-B0FB-1244A786DE2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663" name="AutoShape 12">
          <a:extLst>
            <a:ext uri="{FF2B5EF4-FFF2-40B4-BE49-F238E27FC236}">
              <a16:creationId xmlns:a16="http://schemas.microsoft.com/office/drawing/2014/main" id="{0D0F1497-BFA4-44EF-8AC9-9F2E5A9CCF3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664" name="AutoShape 12">
          <a:extLst>
            <a:ext uri="{FF2B5EF4-FFF2-40B4-BE49-F238E27FC236}">
              <a16:creationId xmlns:a16="http://schemas.microsoft.com/office/drawing/2014/main" id="{E22759C8-2549-450C-9A9E-9C174BF7887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665" name="AutoShape 12">
          <a:extLst>
            <a:ext uri="{FF2B5EF4-FFF2-40B4-BE49-F238E27FC236}">
              <a16:creationId xmlns:a16="http://schemas.microsoft.com/office/drawing/2014/main" id="{95FC07A6-DA20-4CDE-8AAF-201B7882B98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666" name="AutoShape 12">
          <a:extLst>
            <a:ext uri="{FF2B5EF4-FFF2-40B4-BE49-F238E27FC236}">
              <a16:creationId xmlns:a16="http://schemas.microsoft.com/office/drawing/2014/main" id="{62DD49C7-FED1-4CB9-815A-80C145240F3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667" name="AutoShape 12">
          <a:extLst>
            <a:ext uri="{FF2B5EF4-FFF2-40B4-BE49-F238E27FC236}">
              <a16:creationId xmlns:a16="http://schemas.microsoft.com/office/drawing/2014/main" id="{D9A5C3CE-E0A1-4CC4-A6BA-E4D5B008353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668" name="AutoShape 12">
          <a:extLst>
            <a:ext uri="{FF2B5EF4-FFF2-40B4-BE49-F238E27FC236}">
              <a16:creationId xmlns:a16="http://schemas.microsoft.com/office/drawing/2014/main" id="{F462EBE0-8092-4CB9-8459-71CE9B079E1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669" name="AutoShape 12">
          <a:extLst>
            <a:ext uri="{FF2B5EF4-FFF2-40B4-BE49-F238E27FC236}">
              <a16:creationId xmlns:a16="http://schemas.microsoft.com/office/drawing/2014/main" id="{58006C75-94D8-413C-B971-EFD58C97CAB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670" name="AutoShape 12">
          <a:extLst>
            <a:ext uri="{FF2B5EF4-FFF2-40B4-BE49-F238E27FC236}">
              <a16:creationId xmlns:a16="http://schemas.microsoft.com/office/drawing/2014/main" id="{45ECB03D-EF2E-420A-BA18-E929FAE9501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671" name="AutoShape 12">
          <a:extLst>
            <a:ext uri="{FF2B5EF4-FFF2-40B4-BE49-F238E27FC236}">
              <a16:creationId xmlns:a16="http://schemas.microsoft.com/office/drawing/2014/main" id="{0E580844-2782-4BC9-A6D8-C3AAD71C42D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672" name="AutoShape 12">
          <a:extLst>
            <a:ext uri="{FF2B5EF4-FFF2-40B4-BE49-F238E27FC236}">
              <a16:creationId xmlns:a16="http://schemas.microsoft.com/office/drawing/2014/main" id="{0739F275-F318-4853-A500-346C5A63EA6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673" name="AutoShape 12">
          <a:extLst>
            <a:ext uri="{FF2B5EF4-FFF2-40B4-BE49-F238E27FC236}">
              <a16:creationId xmlns:a16="http://schemas.microsoft.com/office/drawing/2014/main" id="{C9635467-8600-4DF0-92AE-FD50F6E150B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674" name="AutoShape 12">
          <a:extLst>
            <a:ext uri="{FF2B5EF4-FFF2-40B4-BE49-F238E27FC236}">
              <a16:creationId xmlns:a16="http://schemas.microsoft.com/office/drawing/2014/main" id="{99658ABF-86DF-4577-8DD4-D8BE661C5CF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675" name="AutoShape 12">
          <a:extLst>
            <a:ext uri="{FF2B5EF4-FFF2-40B4-BE49-F238E27FC236}">
              <a16:creationId xmlns:a16="http://schemas.microsoft.com/office/drawing/2014/main" id="{772D32DE-C041-4ABB-AF26-F48B464CB73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676" name="AutoShape 12">
          <a:extLst>
            <a:ext uri="{FF2B5EF4-FFF2-40B4-BE49-F238E27FC236}">
              <a16:creationId xmlns:a16="http://schemas.microsoft.com/office/drawing/2014/main" id="{E0E21256-08B4-4B4E-86BF-8A3ACF7CD53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677" name="AutoShape 12">
          <a:extLst>
            <a:ext uri="{FF2B5EF4-FFF2-40B4-BE49-F238E27FC236}">
              <a16:creationId xmlns:a16="http://schemas.microsoft.com/office/drawing/2014/main" id="{83178C42-3B12-410D-982A-F374304FB3E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678" name="AutoShape 12">
          <a:extLst>
            <a:ext uri="{FF2B5EF4-FFF2-40B4-BE49-F238E27FC236}">
              <a16:creationId xmlns:a16="http://schemas.microsoft.com/office/drawing/2014/main" id="{34970438-25A9-43ED-B440-182A99C66B0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679" name="AutoShape 12">
          <a:extLst>
            <a:ext uri="{FF2B5EF4-FFF2-40B4-BE49-F238E27FC236}">
              <a16:creationId xmlns:a16="http://schemas.microsoft.com/office/drawing/2014/main" id="{194A8265-32AA-4509-8897-85D3B63D47A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680" name="AutoShape 12">
          <a:extLst>
            <a:ext uri="{FF2B5EF4-FFF2-40B4-BE49-F238E27FC236}">
              <a16:creationId xmlns:a16="http://schemas.microsoft.com/office/drawing/2014/main" id="{AE09ABE9-2C02-4D5C-BF5C-EF398887082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681" name="AutoShape 12">
          <a:extLst>
            <a:ext uri="{FF2B5EF4-FFF2-40B4-BE49-F238E27FC236}">
              <a16:creationId xmlns:a16="http://schemas.microsoft.com/office/drawing/2014/main" id="{B70AAC18-EC60-481E-9317-89999FA574D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682" name="AutoShape 12">
          <a:extLst>
            <a:ext uri="{FF2B5EF4-FFF2-40B4-BE49-F238E27FC236}">
              <a16:creationId xmlns:a16="http://schemas.microsoft.com/office/drawing/2014/main" id="{F332C4BB-6E3B-4619-A3A1-0892EC705EF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683" name="AutoShape 12">
          <a:extLst>
            <a:ext uri="{FF2B5EF4-FFF2-40B4-BE49-F238E27FC236}">
              <a16:creationId xmlns:a16="http://schemas.microsoft.com/office/drawing/2014/main" id="{79C717E2-49F0-47F0-A8BB-9E39D6E1DF3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684" name="AutoShape 12">
          <a:extLst>
            <a:ext uri="{FF2B5EF4-FFF2-40B4-BE49-F238E27FC236}">
              <a16:creationId xmlns:a16="http://schemas.microsoft.com/office/drawing/2014/main" id="{E00AE554-877D-494F-9319-398B7A28C4F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685" name="AutoShape 12">
          <a:extLst>
            <a:ext uri="{FF2B5EF4-FFF2-40B4-BE49-F238E27FC236}">
              <a16:creationId xmlns:a16="http://schemas.microsoft.com/office/drawing/2014/main" id="{580DDC6D-C9F8-4FD3-9985-31300337F07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686" name="AutoShape 12">
          <a:extLst>
            <a:ext uri="{FF2B5EF4-FFF2-40B4-BE49-F238E27FC236}">
              <a16:creationId xmlns:a16="http://schemas.microsoft.com/office/drawing/2014/main" id="{6408E637-969B-475D-865D-7A1CD37425F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687" name="AutoShape 12">
          <a:extLst>
            <a:ext uri="{FF2B5EF4-FFF2-40B4-BE49-F238E27FC236}">
              <a16:creationId xmlns:a16="http://schemas.microsoft.com/office/drawing/2014/main" id="{D0D9DDD6-95B0-4DC7-8602-1EB587528B8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688" name="AutoShape 12">
          <a:extLst>
            <a:ext uri="{FF2B5EF4-FFF2-40B4-BE49-F238E27FC236}">
              <a16:creationId xmlns:a16="http://schemas.microsoft.com/office/drawing/2014/main" id="{48E7DD90-8986-483D-B0F3-0E27F573324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689" name="AutoShape 12">
          <a:extLst>
            <a:ext uri="{FF2B5EF4-FFF2-40B4-BE49-F238E27FC236}">
              <a16:creationId xmlns:a16="http://schemas.microsoft.com/office/drawing/2014/main" id="{E3C507EB-FB54-4B31-B412-5B3F7D56B28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690" name="AutoShape 12">
          <a:extLst>
            <a:ext uri="{FF2B5EF4-FFF2-40B4-BE49-F238E27FC236}">
              <a16:creationId xmlns:a16="http://schemas.microsoft.com/office/drawing/2014/main" id="{399EC3D2-11DE-40DB-A072-BDFC760F10A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691" name="AutoShape 12">
          <a:extLst>
            <a:ext uri="{FF2B5EF4-FFF2-40B4-BE49-F238E27FC236}">
              <a16:creationId xmlns:a16="http://schemas.microsoft.com/office/drawing/2014/main" id="{528DAC34-2712-4190-ACD7-CEFA3FB9783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85</xdr:row>
      <xdr:rowOff>0</xdr:rowOff>
    </xdr:from>
    <xdr:ext cx="304800" cy="304094"/>
    <xdr:sp macro="" textlink="">
      <xdr:nvSpPr>
        <xdr:cNvPr id="3692" name="AutoShape 12">
          <a:extLst>
            <a:ext uri="{FF2B5EF4-FFF2-40B4-BE49-F238E27FC236}">
              <a16:creationId xmlns:a16="http://schemas.microsoft.com/office/drawing/2014/main" id="{A5B4F0BA-9C2C-4DA3-8CA0-BABA522FF37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693" name="AutoShape 12">
          <a:extLst>
            <a:ext uri="{FF2B5EF4-FFF2-40B4-BE49-F238E27FC236}">
              <a16:creationId xmlns:a16="http://schemas.microsoft.com/office/drawing/2014/main" id="{FE00D4A4-C87A-4FD9-8B66-3F458AC2F2D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694" name="AutoShape 12">
          <a:extLst>
            <a:ext uri="{FF2B5EF4-FFF2-40B4-BE49-F238E27FC236}">
              <a16:creationId xmlns:a16="http://schemas.microsoft.com/office/drawing/2014/main" id="{C791883B-FC0C-4023-90BD-B0E4EBB5549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695" name="AutoShape 12">
          <a:extLst>
            <a:ext uri="{FF2B5EF4-FFF2-40B4-BE49-F238E27FC236}">
              <a16:creationId xmlns:a16="http://schemas.microsoft.com/office/drawing/2014/main" id="{E19BF21B-27D4-4F40-8C09-1505681BDCD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696" name="AutoShape 12">
          <a:extLst>
            <a:ext uri="{FF2B5EF4-FFF2-40B4-BE49-F238E27FC236}">
              <a16:creationId xmlns:a16="http://schemas.microsoft.com/office/drawing/2014/main" id="{5D104DFD-850C-4DD3-8B4C-A47D428D783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697" name="AutoShape 12">
          <a:extLst>
            <a:ext uri="{FF2B5EF4-FFF2-40B4-BE49-F238E27FC236}">
              <a16:creationId xmlns:a16="http://schemas.microsoft.com/office/drawing/2014/main" id="{9B8E5336-9DB0-4161-961D-4AB143D443A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698" name="AutoShape 12">
          <a:extLst>
            <a:ext uri="{FF2B5EF4-FFF2-40B4-BE49-F238E27FC236}">
              <a16:creationId xmlns:a16="http://schemas.microsoft.com/office/drawing/2014/main" id="{D44CB866-E8DD-417E-B204-C3D4437644E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699" name="AutoShape 12">
          <a:extLst>
            <a:ext uri="{FF2B5EF4-FFF2-40B4-BE49-F238E27FC236}">
              <a16:creationId xmlns:a16="http://schemas.microsoft.com/office/drawing/2014/main" id="{8A6F5DAF-7CEB-49B4-A30E-27CDF322D2B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700" name="AutoShape 12">
          <a:extLst>
            <a:ext uri="{FF2B5EF4-FFF2-40B4-BE49-F238E27FC236}">
              <a16:creationId xmlns:a16="http://schemas.microsoft.com/office/drawing/2014/main" id="{81D62D2D-DA38-4F23-A093-A02EACE4275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701" name="AutoShape 12">
          <a:extLst>
            <a:ext uri="{FF2B5EF4-FFF2-40B4-BE49-F238E27FC236}">
              <a16:creationId xmlns:a16="http://schemas.microsoft.com/office/drawing/2014/main" id="{0B6A58D7-3981-4C4F-B649-30D946D36F2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702" name="AutoShape 12">
          <a:extLst>
            <a:ext uri="{FF2B5EF4-FFF2-40B4-BE49-F238E27FC236}">
              <a16:creationId xmlns:a16="http://schemas.microsoft.com/office/drawing/2014/main" id="{A818BD40-4138-463E-92BF-8431C8A6C61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703" name="AutoShape 12">
          <a:extLst>
            <a:ext uri="{FF2B5EF4-FFF2-40B4-BE49-F238E27FC236}">
              <a16:creationId xmlns:a16="http://schemas.microsoft.com/office/drawing/2014/main" id="{3AC498CD-D311-4935-8FA0-10A9AF68C15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704" name="AutoShape 12">
          <a:extLst>
            <a:ext uri="{FF2B5EF4-FFF2-40B4-BE49-F238E27FC236}">
              <a16:creationId xmlns:a16="http://schemas.microsoft.com/office/drawing/2014/main" id="{5D9D7016-E7CE-449F-84C1-0B8454575B9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705" name="AutoShape 12">
          <a:extLst>
            <a:ext uri="{FF2B5EF4-FFF2-40B4-BE49-F238E27FC236}">
              <a16:creationId xmlns:a16="http://schemas.microsoft.com/office/drawing/2014/main" id="{24D49A91-C422-4CE3-AE0A-6B737E02B3C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706" name="AutoShape 12">
          <a:extLst>
            <a:ext uri="{FF2B5EF4-FFF2-40B4-BE49-F238E27FC236}">
              <a16:creationId xmlns:a16="http://schemas.microsoft.com/office/drawing/2014/main" id="{130ACBB2-5C7B-483C-8AB9-BE29DC2327B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707" name="AutoShape 12">
          <a:extLst>
            <a:ext uri="{FF2B5EF4-FFF2-40B4-BE49-F238E27FC236}">
              <a16:creationId xmlns:a16="http://schemas.microsoft.com/office/drawing/2014/main" id="{141F635A-C2E8-447F-A764-213F65854CB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708" name="AutoShape 12">
          <a:extLst>
            <a:ext uri="{FF2B5EF4-FFF2-40B4-BE49-F238E27FC236}">
              <a16:creationId xmlns:a16="http://schemas.microsoft.com/office/drawing/2014/main" id="{7E3DB89B-4F06-4F39-A6E0-0CF0FBBA2BC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709" name="AutoShape 12">
          <a:extLst>
            <a:ext uri="{FF2B5EF4-FFF2-40B4-BE49-F238E27FC236}">
              <a16:creationId xmlns:a16="http://schemas.microsoft.com/office/drawing/2014/main" id="{79F98823-8BA9-4082-9278-A8114E335E8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710" name="AutoShape 12">
          <a:extLst>
            <a:ext uri="{FF2B5EF4-FFF2-40B4-BE49-F238E27FC236}">
              <a16:creationId xmlns:a16="http://schemas.microsoft.com/office/drawing/2014/main" id="{A4965C5C-2D36-4E4C-B531-83AC96A7685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711" name="AutoShape 12">
          <a:extLst>
            <a:ext uri="{FF2B5EF4-FFF2-40B4-BE49-F238E27FC236}">
              <a16:creationId xmlns:a16="http://schemas.microsoft.com/office/drawing/2014/main" id="{8FB79D44-D5FE-4BC9-9E01-BCBA6CA663F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712" name="AutoShape 12">
          <a:extLst>
            <a:ext uri="{FF2B5EF4-FFF2-40B4-BE49-F238E27FC236}">
              <a16:creationId xmlns:a16="http://schemas.microsoft.com/office/drawing/2014/main" id="{0439DB55-2D72-421A-B013-F0278E512B9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713" name="AutoShape 12">
          <a:extLst>
            <a:ext uri="{FF2B5EF4-FFF2-40B4-BE49-F238E27FC236}">
              <a16:creationId xmlns:a16="http://schemas.microsoft.com/office/drawing/2014/main" id="{C91EDA92-837F-4672-BFEF-C2C4BEB1BC7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714" name="AutoShape 12">
          <a:extLst>
            <a:ext uri="{FF2B5EF4-FFF2-40B4-BE49-F238E27FC236}">
              <a16:creationId xmlns:a16="http://schemas.microsoft.com/office/drawing/2014/main" id="{848419E3-BB90-41BA-A65B-D072E6C8A80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715" name="AutoShape 12">
          <a:extLst>
            <a:ext uri="{FF2B5EF4-FFF2-40B4-BE49-F238E27FC236}">
              <a16:creationId xmlns:a16="http://schemas.microsoft.com/office/drawing/2014/main" id="{FD151135-92C8-4759-B9C1-ACF415535E5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716" name="AutoShape 12">
          <a:extLst>
            <a:ext uri="{FF2B5EF4-FFF2-40B4-BE49-F238E27FC236}">
              <a16:creationId xmlns:a16="http://schemas.microsoft.com/office/drawing/2014/main" id="{0D270E4E-D13F-4E9A-AAB9-8A802CF2462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717" name="AutoShape 12">
          <a:extLst>
            <a:ext uri="{FF2B5EF4-FFF2-40B4-BE49-F238E27FC236}">
              <a16:creationId xmlns:a16="http://schemas.microsoft.com/office/drawing/2014/main" id="{3FC10BF9-E2B7-4456-B004-8738073986E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718" name="AutoShape 12">
          <a:extLst>
            <a:ext uri="{FF2B5EF4-FFF2-40B4-BE49-F238E27FC236}">
              <a16:creationId xmlns:a16="http://schemas.microsoft.com/office/drawing/2014/main" id="{9F016017-6B4B-411D-A7E2-D7EE34ED643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719" name="AutoShape 12">
          <a:extLst>
            <a:ext uri="{FF2B5EF4-FFF2-40B4-BE49-F238E27FC236}">
              <a16:creationId xmlns:a16="http://schemas.microsoft.com/office/drawing/2014/main" id="{EC0AE1EA-F98B-45D3-92F9-480BCABC823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720" name="AutoShape 12">
          <a:extLst>
            <a:ext uri="{FF2B5EF4-FFF2-40B4-BE49-F238E27FC236}">
              <a16:creationId xmlns:a16="http://schemas.microsoft.com/office/drawing/2014/main" id="{D5C8788C-A808-4D07-B0CA-D0DF9257330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721" name="AutoShape 12">
          <a:extLst>
            <a:ext uri="{FF2B5EF4-FFF2-40B4-BE49-F238E27FC236}">
              <a16:creationId xmlns:a16="http://schemas.microsoft.com/office/drawing/2014/main" id="{FCD31BE0-AD08-41C2-84FB-842C9B57300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722" name="AutoShape 12">
          <a:extLst>
            <a:ext uri="{FF2B5EF4-FFF2-40B4-BE49-F238E27FC236}">
              <a16:creationId xmlns:a16="http://schemas.microsoft.com/office/drawing/2014/main" id="{7A36B9D2-ED9D-45C5-906F-1910C33FA17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723" name="AutoShape 12">
          <a:extLst>
            <a:ext uri="{FF2B5EF4-FFF2-40B4-BE49-F238E27FC236}">
              <a16:creationId xmlns:a16="http://schemas.microsoft.com/office/drawing/2014/main" id="{15083092-3CDC-4CF3-B79C-08E7DCC7336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724" name="AutoShape 12">
          <a:extLst>
            <a:ext uri="{FF2B5EF4-FFF2-40B4-BE49-F238E27FC236}">
              <a16:creationId xmlns:a16="http://schemas.microsoft.com/office/drawing/2014/main" id="{58E359AB-F1AA-408A-B55B-758DD88549C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725" name="AutoShape 12">
          <a:extLst>
            <a:ext uri="{FF2B5EF4-FFF2-40B4-BE49-F238E27FC236}">
              <a16:creationId xmlns:a16="http://schemas.microsoft.com/office/drawing/2014/main" id="{2C17F222-C649-42AA-ACCC-E519415E121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726" name="AutoShape 12">
          <a:extLst>
            <a:ext uri="{FF2B5EF4-FFF2-40B4-BE49-F238E27FC236}">
              <a16:creationId xmlns:a16="http://schemas.microsoft.com/office/drawing/2014/main" id="{A9E9BB94-27BB-4919-B7BD-C2BEDC53FD4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727" name="AutoShape 12">
          <a:extLst>
            <a:ext uri="{FF2B5EF4-FFF2-40B4-BE49-F238E27FC236}">
              <a16:creationId xmlns:a16="http://schemas.microsoft.com/office/drawing/2014/main" id="{C9EA7CA9-52EB-4327-982E-A87C88D77FC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728" name="AutoShape 12">
          <a:extLst>
            <a:ext uri="{FF2B5EF4-FFF2-40B4-BE49-F238E27FC236}">
              <a16:creationId xmlns:a16="http://schemas.microsoft.com/office/drawing/2014/main" id="{3D5425B9-CEB4-4CF1-BA4C-25F36074729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729" name="AutoShape 12">
          <a:extLst>
            <a:ext uri="{FF2B5EF4-FFF2-40B4-BE49-F238E27FC236}">
              <a16:creationId xmlns:a16="http://schemas.microsoft.com/office/drawing/2014/main" id="{5B243F05-F6D4-46CC-8BC5-7C3CA858857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730" name="AutoShape 12">
          <a:extLst>
            <a:ext uri="{FF2B5EF4-FFF2-40B4-BE49-F238E27FC236}">
              <a16:creationId xmlns:a16="http://schemas.microsoft.com/office/drawing/2014/main" id="{E2C09132-00EF-45BB-ACCC-1D2DFDDC670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731" name="AutoShape 12">
          <a:extLst>
            <a:ext uri="{FF2B5EF4-FFF2-40B4-BE49-F238E27FC236}">
              <a16:creationId xmlns:a16="http://schemas.microsoft.com/office/drawing/2014/main" id="{31BD5155-C058-4EB6-9DD8-CB8A0150B82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732" name="AutoShape 12">
          <a:extLst>
            <a:ext uri="{FF2B5EF4-FFF2-40B4-BE49-F238E27FC236}">
              <a16:creationId xmlns:a16="http://schemas.microsoft.com/office/drawing/2014/main" id="{B2288C70-4732-4BFA-99BC-5D57D608E13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733" name="AutoShape 12">
          <a:extLst>
            <a:ext uri="{FF2B5EF4-FFF2-40B4-BE49-F238E27FC236}">
              <a16:creationId xmlns:a16="http://schemas.microsoft.com/office/drawing/2014/main" id="{677B5016-A6B2-4E4F-8C9E-9F4B6527A91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734" name="AutoShape 12">
          <a:extLst>
            <a:ext uri="{FF2B5EF4-FFF2-40B4-BE49-F238E27FC236}">
              <a16:creationId xmlns:a16="http://schemas.microsoft.com/office/drawing/2014/main" id="{40A1D38D-51F3-4AA1-B80D-19B228BF2C2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735" name="AutoShape 12">
          <a:extLst>
            <a:ext uri="{FF2B5EF4-FFF2-40B4-BE49-F238E27FC236}">
              <a16:creationId xmlns:a16="http://schemas.microsoft.com/office/drawing/2014/main" id="{BE9AA0B3-9CAC-4009-8512-846B2ABA9EA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736" name="AutoShape 12">
          <a:extLst>
            <a:ext uri="{FF2B5EF4-FFF2-40B4-BE49-F238E27FC236}">
              <a16:creationId xmlns:a16="http://schemas.microsoft.com/office/drawing/2014/main" id="{1645C500-6AE5-4DC6-8904-0254ACC2F5D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737" name="AutoShape 12">
          <a:extLst>
            <a:ext uri="{FF2B5EF4-FFF2-40B4-BE49-F238E27FC236}">
              <a16:creationId xmlns:a16="http://schemas.microsoft.com/office/drawing/2014/main" id="{47ADB10F-D0D2-4490-8A7C-28472594CAA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738" name="AutoShape 12">
          <a:extLst>
            <a:ext uri="{FF2B5EF4-FFF2-40B4-BE49-F238E27FC236}">
              <a16:creationId xmlns:a16="http://schemas.microsoft.com/office/drawing/2014/main" id="{F480AF06-0F05-4E5D-A303-F4E9911A0E7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739" name="AutoShape 12">
          <a:extLst>
            <a:ext uri="{FF2B5EF4-FFF2-40B4-BE49-F238E27FC236}">
              <a16:creationId xmlns:a16="http://schemas.microsoft.com/office/drawing/2014/main" id="{9D82C460-836C-44BE-9DA7-113BE8A90B5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740" name="AutoShape 12">
          <a:extLst>
            <a:ext uri="{FF2B5EF4-FFF2-40B4-BE49-F238E27FC236}">
              <a16:creationId xmlns:a16="http://schemas.microsoft.com/office/drawing/2014/main" id="{6B5BD5CA-F114-4AF3-A9D2-0B231FF642F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741" name="AutoShape 12">
          <a:extLst>
            <a:ext uri="{FF2B5EF4-FFF2-40B4-BE49-F238E27FC236}">
              <a16:creationId xmlns:a16="http://schemas.microsoft.com/office/drawing/2014/main" id="{F032D0BB-ED5C-4376-B35B-4684F621023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742" name="AutoShape 12">
          <a:extLst>
            <a:ext uri="{FF2B5EF4-FFF2-40B4-BE49-F238E27FC236}">
              <a16:creationId xmlns:a16="http://schemas.microsoft.com/office/drawing/2014/main" id="{DADAE0FE-5AB5-4A2F-A1CC-62D5E88ECD9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743" name="AutoShape 12">
          <a:extLst>
            <a:ext uri="{FF2B5EF4-FFF2-40B4-BE49-F238E27FC236}">
              <a16:creationId xmlns:a16="http://schemas.microsoft.com/office/drawing/2014/main" id="{2325D9BA-C374-44C6-B905-298810345EE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744" name="AutoShape 12">
          <a:extLst>
            <a:ext uri="{FF2B5EF4-FFF2-40B4-BE49-F238E27FC236}">
              <a16:creationId xmlns:a16="http://schemas.microsoft.com/office/drawing/2014/main" id="{BBCFFCCC-44FE-473B-9A37-139D2D0E51E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745" name="AutoShape 12">
          <a:extLst>
            <a:ext uri="{FF2B5EF4-FFF2-40B4-BE49-F238E27FC236}">
              <a16:creationId xmlns:a16="http://schemas.microsoft.com/office/drawing/2014/main" id="{F1CA37BC-32BA-448F-946E-7960D9BDF1F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746" name="AutoShape 12">
          <a:extLst>
            <a:ext uri="{FF2B5EF4-FFF2-40B4-BE49-F238E27FC236}">
              <a16:creationId xmlns:a16="http://schemas.microsoft.com/office/drawing/2014/main" id="{6D3B7876-6935-44E2-B2B1-5068DAC1312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747" name="AutoShape 12">
          <a:extLst>
            <a:ext uri="{FF2B5EF4-FFF2-40B4-BE49-F238E27FC236}">
              <a16:creationId xmlns:a16="http://schemas.microsoft.com/office/drawing/2014/main" id="{C2D86D35-9611-4127-8F1D-873591053F0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748" name="AutoShape 12">
          <a:extLst>
            <a:ext uri="{FF2B5EF4-FFF2-40B4-BE49-F238E27FC236}">
              <a16:creationId xmlns:a16="http://schemas.microsoft.com/office/drawing/2014/main" id="{15B10DE6-38B9-4C4A-8FF9-A8241B30252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749" name="AutoShape 12">
          <a:extLst>
            <a:ext uri="{FF2B5EF4-FFF2-40B4-BE49-F238E27FC236}">
              <a16:creationId xmlns:a16="http://schemas.microsoft.com/office/drawing/2014/main" id="{DA97C7D7-3EF5-4941-914B-50C9A899302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750" name="AutoShape 12">
          <a:extLst>
            <a:ext uri="{FF2B5EF4-FFF2-40B4-BE49-F238E27FC236}">
              <a16:creationId xmlns:a16="http://schemas.microsoft.com/office/drawing/2014/main" id="{2C9BBE33-0172-4CC5-8A97-61E430D3041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751" name="AutoShape 12">
          <a:extLst>
            <a:ext uri="{FF2B5EF4-FFF2-40B4-BE49-F238E27FC236}">
              <a16:creationId xmlns:a16="http://schemas.microsoft.com/office/drawing/2014/main" id="{373346C3-254F-408C-B552-0BC7E868FF7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752" name="AutoShape 12">
          <a:extLst>
            <a:ext uri="{FF2B5EF4-FFF2-40B4-BE49-F238E27FC236}">
              <a16:creationId xmlns:a16="http://schemas.microsoft.com/office/drawing/2014/main" id="{20A068E2-D290-4ED0-9530-D84E8374EBD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753" name="AutoShape 12">
          <a:extLst>
            <a:ext uri="{FF2B5EF4-FFF2-40B4-BE49-F238E27FC236}">
              <a16:creationId xmlns:a16="http://schemas.microsoft.com/office/drawing/2014/main" id="{ACC798B8-AB89-4E81-B4C3-98ECEA9D304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754" name="AutoShape 12">
          <a:extLst>
            <a:ext uri="{FF2B5EF4-FFF2-40B4-BE49-F238E27FC236}">
              <a16:creationId xmlns:a16="http://schemas.microsoft.com/office/drawing/2014/main" id="{CD9916CA-9152-4D91-B4DF-A9A391F2FB8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755" name="AutoShape 12">
          <a:extLst>
            <a:ext uri="{FF2B5EF4-FFF2-40B4-BE49-F238E27FC236}">
              <a16:creationId xmlns:a16="http://schemas.microsoft.com/office/drawing/2014/main" id="{099C808C-0A57-4BD0-ABEF-99E33A53E21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756" name="AutoShape 12">
          <a:extLst>
            <a:ext uri="{FF2B5EF4-FFF2-40B4-BE49-F238E27FC236}">
              <a16:creationId xmlns:a16="http://schemas.microsoft.com/office/drawing/2014/main" id="{0CD6474F-DDD6-46FF-B77F-0C64CB3C2C0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757" name="AutoShape 12">
          <a:extLst>
            <a:ext uri="{FF2B5EF4-FFF2-40B4-BE49-F238E27FC236}">
              <a16:creationId xmlns:a16="http://schemas.microsoft.com/office/drawing/2014/main" id="{1CEF9859-BDC1-4873-B8AA-6B793BF99FA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758" name="AutoShape 12">
          <a:extLst>
            <a:ext uri="{FF2B5EF4-FFF2-40B4-BE49-F238E27FC236}">
              <a16:creationId xmlns:a16="http://schemas.microsoft.com/office/drawing/2014/main" id="{A7CE0994-E276-4D69-8516-54A91D0E88D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759" name="AutoShape 12">
          <a:extLst>
            <a:ext uri="{FF2B5EF4-FFF2-40B4-BE49-F238E27FC236}">
              <a16:creationId xmlns:a16="http://schemas.microsoft.com/office/drawing/2014/main" id="{43AE4DD0-E594-41AC-8355-477D7E0DD55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760" name="AutoShape 12">
          <a:extLst>
            <a:ext uri="{FF2B5EF4-FFF2-40B4-BE49-F238E27FC236}">
              <a16:creationId xmlns:a16="http://schemas.microsoft.com/office/drawing/2014/main" id="{FF92FB2A-C52F-4D19-B78B-291DF02AF55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761" name="AutoShape 12">
          <a:extLst>
            <a:ext uri="{FF2B5EF4-FFF2-40B4-BE49-F238E27FC236}">
              <a16:creationId xmlns:a16="http://schemas.microsoft.com/office/drawing/2014/main" id="{EBEE8C7F-44F6-4B6F-94D5-AF913C4F6A1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762" name="AutoShape 12">
          <a:extLst>
            <a:ext uri="{FF2B5EF4-FFF2-40B4-BE49-F238E27FC236}">
              <a16:creationId xmlns:a16="http://schemas.microsoft.com/office/drawing/2014/main" id="{D39C347F-1CB9-4764-97F1-F89EFEF3697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763" name="AutoShape 12">
          <a:extLst>
            <a:ext uri="{FF2B5EF4-FFF2-40B4-BE49-F238E27FC236}">
              <a16:creationId xmlns:a16="http://schemas.microsoft.com/office/drawing/2014/main" id="{39AFA358-ADCD-46DC-8615-A45036F3DCB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764" name="AutoShape 12">
          <a:extLst>
            <a:ext uri="{FF2B5EF4-FFF2-40B4-BE49-F238E27FC236}">
              <a16:creationId xmlns:a16="http://schemas.microsoft.com/office/drawing/2014/main" id="{87208D73-3C36-480E-85FE-7C86EBB8A6F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765" name="AutoShape 12">
          <a:extLst>
            <a:ext uri="{FF2B5EF4-FFF2-40B4-BE49-F238E27FC236}">
              <a16:creationId xmlns:a16="http://schemas.microsoft.com/office/drawing/2014/main" id="{3503315C-8AB4-4983-A562-5A240304C50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766" name="AutoShape 12">
          <a:extLst>
            <a:ext uri="{FF2B5EF4-FFF2-40B4-BE49-F238E27FC236}">
              <a16:creationId xmlns:a16="http://schemas.microsoft.com/office/drawing/2014/main" id="{903A7212-13AE-437B-B966-0FBABD748E2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767" name="AutoShape 12">
          <a:extLst>
            <a:ext uri="{FF2B5EF4-FFF2-40B4-BE49-F238E27FC236}">
              <a16:creationId xmlns:a16="http://schemas.microsoft.com/office/drawing/2014/main" id="{0ED871EC-A182-40EF-BE17-48EFB2A0F95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768" name="AutoShape 12">
          <a:extLst>
            <a:ext uri="{FF2B5EF4-FFF2-40B4-BE49-F238E27FC236}">
              <a16:creationId xmlns:a16="http://schemas.microsoft.com/office/drawing/2014/main" id="{E2474579-8622-41DC-A0E7-FCDC752BAA8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769" name="AutoShape 12">
          <a:extLst>
            <a:ext uri="{FF2B5EF4-FFF2-40B4-BE49-F238E27FC236}">
              <a16:creationId xmlns:a16="http://schemas.microsoft.com/office/drawing/2014/main" id="{6074FC6E-750A-4B5C-8D4B-0E7490F217F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770" name="AutoShape 12">
          <a:extLst>
            <a:ext uri="{FF2B5EF4-FFF2-40B4-BE49-F238E27FC236}">
              <a16:creationId xmlns:a16="http://schemas.microsoft.com/office/drawing/2014/main" id="{24E66EAE-AC43-4A3C-A32D-2822D065995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771" name="AutoShape 12">
          <a:extLst>
            <a:ext uri="{FF2B5EF4-FFF2-40B4-BE49-F238E27FC236}">
              <a16:creationId xmlns:a16="http://schemas.microsoft.com/office/drawing/2014/main" id="{B8E7161C-C188-4AE5-8B54-DE0413E083F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772" name="AutoShape 12">
          <a:extLst>
            <a:ext uri="{FF2B5EF4-FFF2-40B4-BE49-F238E27FC236}">
              <a16:creationId xmlns:a16="http://schemas.microsoft.com/office/drawing/2014/main" id="{C13C507E-5041-4245-BC23-4B253AD5F10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773" name="AutoShape 12">
          <a:extLst>
            <a:ext uri="{FF2B5EF4-FFF2-40B4-BE49-F238E27FC236}">
              <a16:creationId xmlns:a16="http://schemas.microsoft.com/office/drawing/2014/main" id="{39A05880-A846-4832-8BD9-1F8775B5E82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774" name="AutoShape 12">
          <a:extLst>
            <a:ext uri="{FF2B5EF4-FFF2-40B4-BE49-F238E27FC236}">
              <a16:creationId xmlns:a16="http://schemas.microsoft.com/office/drawing/2014/main" id="{506823B0-17E1-48B0-9103-6FD996AE0FB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775" name="AutoShape 12">
          <a:extLst>
            <a:ext uri="{FF2B5EF4-FFF2-40B4-BE49-F238E27FC236}">
              <a16:creationId xmlns:a16="http://schemas.microsoft.com/office/drawing/2014/main" id="{C821A301-0037-4034-8CA8-89EB376FBC5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776" name="AutoShape 12">
          <a:extLst>
            <a:ext uri="{FF2B5EF4-FFF2-40B4-BE49-F238E27FC236}">
              <a16:creationId xmlns:a16="http://schemas.microsoft.com/office/drawing/2014/main" id="{C4256A31-350C-469F-B9CC-464CBFD7EA4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777" name="AutoShape 12">
          <a:extLst>
            <a:ext uri="{FF2B5EF4-FFF2-40B4-BE49-F238E27FC236}">
              <a16:creationId xmlns:a16="http://schemas.microsoft.com/office/drawing/2014/main" id="{527CA94D-4126-4C21-8073-30802429D8D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778" name="AutoShape 12">
          <a:extLst>
            <a:ext uri="{FF2B5EF4-FFF2-40B4-BE49-F238E27FC236}">
              <a16:creationId xmlns:a16="http://schemas.microsoft.com/office/drawing/2014/main" id="{25DD99BA-78D1-4A0D-91B7-8FDC924530E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779" name="AutoShape 12">
          <a:extLst>
            <a:ext uri="{FF2B5EF4-FFF2-40B4-BE49-F238E27FC236}">
              <a16:creationId xmlns:a16="http://schemas.microsoft.com/office/drawing/2014/main" id="{4928987D-6C54-4B21-A00E-1DCA0D53336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780" name="AutoShape 12">
          <a:extLst>
            <a:ext uri="{FF2B5EF4-FFF2-40B4-BE49-F238E27FC236}">
              <a16:creationId xmlns:a16="http://schemas.microsoft.com/office/drawing/2014/main" id="{63F15C19-0786-4893-B8CA-7F0014B24E7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781" name="AutoShape 12">
          <a:extLst>
            <a:ext uri="{FF2B5EF4-FFF2-40B4-BE49-F238E27FC236}">
              <a16:creationId xmlns:a16="http://schemas.microsoft.com/office/drawing/2014/main" id="{4D2EA63C-2D1E-4725-9DFC-3337BF2329E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782" name="AutoShape 12">
          <a:extLst>
            <a:ext uri="{FF2B5EF4-FFF2-40B4-BE49-F238E27FC236}">
              <a16:creationId xmlns:a16="http://schemas.microsoft.com/office/drawing/2014/main" id="{B6B20FAD-CCC1-454B-8523-DBE353EA3E9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783" name="AutoShape 12">
          <a:extLst>
            <a:ext uri="{FF2B5EF4-FFF2-40B4-BE49-F238E27FC236}">
              <a16:creationId xmlns:a16="http://schemas.microsoft.com/office/drawing/2014/main" id="{B9A6EACC-143C-468E-8163-20BC71E7EA9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784" name="AutoShape 12">
          <a:extLst>
            <a:ext uri="{FF2B5EF4-FFF2-40B4-BE49-F238E27FC236}">
              <a16:creationId xmlns:a16="http://schemas.microsoft.com/office/drawing/2014/main" id="{563D2EC2-8149-4DE7-9E7F-0852C8470E6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785" name="AutoShape 12">
          <a:extLst>
            <a:ext uri="{FF2B5EF4-FFF2-40B4-BE49-F238E27FC236}">
              <a16:creationId xmlns:a16="http://schemas.microsoft.com/office/drawing/2014/main" id="{513A4D9B-2152-4DFA-AE63-7DCA3ACA9AD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786" name="AutoShape 12">
          <a:extLst>
            <a:ext uri="{FF2B5EF4-FFF2-40B4-BE49-F238E27FC236}">
              <a16:creationId xmlns:a16="http://schemas.microsoft.com/office/drawing/2014/main" id="{C315F873-04E0-48F9-9BE1-B965975BF87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787" name="AutoShape 12">
          <a:extLst>
            <a:ext uri="{FF2B5EF4-FFF2-40B4-BE49-F238E27FC236}">
              <a16:creationId xmlns:a16="http://schemas.microsoft.com/office/drawing/2014/main" id="{F446610E-147F-4F34-819B-AF68766AB49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788" name="AutoShape 12">
          <a:extLst>
            <a:ext uri="{FF2B5EF4-FFF2-40B4-BE49-F238E27FC236}">
              <a16:creationId xmlns:a16="http://schemas.microsoft.com/office/drawing/2014/main" id="{4428CD85-4B5F-42CA-BFCD-5332ECE8ADD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789" name="AutoShape 12">
          <a:extLst>
            <a:ext uri="{FF2B5EF4-FFF2-40B4-BE49-F238E27FC236}">
              <a16:creationId xmlns:a16="http://schemas.microsoft.com/office/drawing/2014/main" id="{BDE9F29E-C676-4B98-AF56-3033EAA1A09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790" name="AutoShape 12">
          <a:extLst>
            <a:ext uri="{FF2B5EF4-FFF2-40B4-BE49-F238E27FC236}">
              <a16:creationId xmlns:a16="http://schemas.microsoft.com/office/drawing/2014/main" id="{6F0BADD0-6262-41DC-9DE1-F1C0CC8696F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791" name="AutoShape 12">
          <a:extLst>
            <a:ext uri="{FF2B5EF4-FFF2-40B4-BE49-F238E27FC236}">
              <a16:creationId xmlns:a16="http://schemas.microsoft.com/office/drawing/2014/main" id="{F7AE4B47-8CF7-4A96-AA1A-16A6BB0BA5F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792" name="AutoShape 12">
          <a:extLst>
            <a:ext uri="{FF2B5EF4-FFF2-40B4-BE49-F238E27FC236}">
              <a16:creationId xmlns:a16="http://schemas.microsoft.com/office/drawing/2014/main" id="{848BF8FB-3406-4955-AE7B-9AA3E9A8BA5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793" name="AutoShape 12">
          <a:extLst>
            <a:ext uri="{FF2B5EF4-FFF2-40B4-BE49-F238E27FC236}">
              <a16:creationId xmlns:a16="http://schemas.microsoft.com/office/drawing/2014/main" id="{A9702A1A-CEB3-46C6-8407-0000F1D9152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794" name="AutoShape 12">
          <a:extLst>
            <a:ext uri="{FF2B5EF4-FFF2-40B4-BE49-F238E27FC236}">
              <a16:creationId xmlns:a16="http://schemas.microsoft.com/office/drawing/2014/main" id="{E20C4B52-CE72-4A8E-8ECA-4A0785F315A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795" name="AutoShape 12">
          <a:extLst>
            <a:ext uri="{FF2B5EF4-FFF2-40B4-BE49-F238E27FC236}">
              <a16:creationId xmlns:a16="http://schemas.microsoft.com/office/drawing/2014/main" id="{1AEEDE2C-2440-472F-B2E6-2BD4C0B24F4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796" name="AutoShape 12">
          <a:extLst>
            <a:ext uri="{FF2B5EF4-FFF2-40B4-BE49-F238E27FC236}">
              <a16:creationId xmlns:a16="http://schemas.microsoft.com/office/drawing/2014/main" id="{BB54D875-5A8D-4CE1-BDC5-916C726DFB8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797" name="AutoShape 12">
          <a:extLst>
            <a:ext uri="{FF2B5EF4-FFF2-40B4-BE49-F238E27FC236}">
              <a16:creationId xmlns:a16="http://schemas.microsoft.com/office/drawing/2014/main" id="{A96A6D2A-2E62-4985-977B-813A1AA3A65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798" name="AutoShape 12">
          <a:extLst>
            <a:ext uri="{FF2B5EF4-FFF2-40B4-BE49-F238E27FC236}">
              <a16:creationId xmlns:a16="http://schemas.microsoft.com/office/drawing/2014/main" id="{4F26FE00-6C21-4535-9ADB-3A4ECE6CB51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799" name="AutoShape 12">
          <a:extLst>
            <a:ext uri="{FF2B5EF4-FFF2-40B4-BE49-F238E27FC236}">
              <a16:creationId xmlns:a16="http://schemas.microsoft.com/office/drawing/2014/main" id="{311667B0-404B-440B-BE58-8EF4BA4D653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800" name="AutoShape 12">
          <a:extLst>
            <a:ext uri="{FF2B5EF4-FFF2-40B4-BE49-F238E27FC236}">
              <a16:creationId xmlns:a16="http://schemas.microsoft.com/office/drawing/2014/main" id="{A47DC5FA-47A1-48D8-B020-2611EA045A7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801" name="AutoShape 12">
          <a:extLst>
            <a:ext uri="{FF2B5EF4-FFF2-40B4-BE49-F238E27FC236}">
              <a16:creationId xmlns:a16="http://schemas.microsoft.com/office/drawing/2014/main" id="{D8CB2BC2-95FB-40AB-BC9C-674AA02954B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802" name="AutoShape 12">
          <a:extLst>
            <a:ext uri="{FF2B5EF4-FFF2-40B4-BE49-F238E27FC236}">
              <a16:creationId xmlns:a16="http://schemas.microsoft.com/office/drawing/2014/main" id="{86841E0D-7EED-4C1B-8CE2-5C5983A9B7F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803" name="AutoShape 12">
          <a:extLst>
            <a:ext uri="{FF2B5EF4-FFF2-40B4-BE49-F238E27FC236}">
              <a16:creationId xmlns:a16="http://schemas.microsoft.com/office/drawing/2014/main" id="{3A06C530-ABEB-4435-BC05-D14C64FDB57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804" name="AutoShape 12">
          <a:extLst>
            <a:ext uri="{FF2B5EF4-FFF2-40B4-BE49-F238E27FC236}">
              <a16:creationId xmlns:a16="http://schemas.microsoft.com/office/drawing/2014/main" id="{FCE3B5DB-831E-4B8F-BD29-1E73EB231CE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805" name="AutoShape 12">
          <a:extLst>
            <a:ext uri="{FF2B5EF4-FFF2-40B4-BE49-F238E27FC236}">
              <a16:creationId xmlns:a16="http://schemas.microsoft.com/office/drawing/2014/main" id="{9E978A52-CFA4-47E2-9DE4-95C8359E59C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806" name="AutoShape 12">
          <a:extLst>
            <a:ext uri="{FF2B5EF4-FFF2-40B4-BE49-F238E27FC236}">
              <a16:creationId xmlns:a16="http://schemas.microsoft.com/office/drawing/2014/main" id="{887B3C56-55B8-4DB5-9110-D0DB87B4A93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807" name="AutoShape 12">
          <a:extLst>
            <a:ext uri="{FF2B5EF4-FFF2-40B4-BE49-F238E27FC236}">
              <a16:creationId xmlns:a16="http://schemas.microsoft.com/office/drawing/2014/main" id="{A8C52E06-E286-41A5-8201-CE50C2100FD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808" name="AutoShape 12">
          <a:extLst>
            <a:ext uri="{FF2B5EF4-FFF2-40B4-BE49-F238E27FC236}">
              <a16:creationId xmlns:a16="http://schemas.microsoft.com/office/drawing/2014/main" id="{6675D432-1BE3-4DA4-9213-8F59CAC039C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809" name="AutoShape 12">
          <a:extLst>
            <a:ext uri="{FF2B5EF4-FFF2-40B4-BE49-F238E27FC236}">
              <a16:creationId xmlns:a16="http://schemas.microsoft.com/office/drawing/2014/main" id="{3978DA30-A5B9-4C92-91B3-05CE8534E56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810" name="AutoShape 12">
          <a:extLst>
            <a:ext uri="{FF2B5EF4-FFF2-40B4-BE49-F238E27FC236}">
              <a16:creationId xmlns:a16="http://schemas.microsoft.com/office/drawing/2014/main" id="{A844E302-782B-4913-AA90-6BDE865309E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811" name="AutoShape 12">
          <a:extLst>
            <a:ext uri="{FF2B5EF4-FFF2-40B4-BE49-F238E27FC236}">
              <a16:creationId xmlns:a16="http://schemas.microsoft.com/office/drawing/2014/main" id="{173619DB-34DA-41B7-87D6-C0AD869179D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812" name="AutoShape 12">
          <a:extLst>
            <a:ext uri="{FF2B5EF4-FFF2-40B4-BE49-F238E27FC236}">
              <a16:creationId xmlns:a16="http://schemas.microsoft.com/office/drawing/2014/main" id="{11FB1C41-2D1C-42BC-8FB0-F368669F806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813" name="AutoShape 12">
          <a:extLst>
            <a:ext uri="{FF2B5EF4-FFF2-40B4-BE49-F238E27FC236}">
              <a16:creationId xmlns:a16="http://schemas.microsoft.com/office/drawing/2014/main" id="{A13BD10D-F730-4035-A928-E75EA23E792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814" name="AutoShape 12">
          <a:extLst>
            <a:ext uri="{FF2B5EF4-FFF2-40B4-BE49-F238E27FC236}">
              <a16:creationId xmlns:a16="http://schemas.microsoft.com/office/drawing/2014/main" id="{72B0AD32-B22A-485A-9CE3-96855ADC82C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815" name="AutoShape 12">
          <a:extLst>
            <a:ext uri="{FF2B5EF4-FFF2-40B4-BE49-F238E27FC236}">
              <a16:creationId xmlns:a16="http://schemas.microsoft.com/office/drawing/2014/main" id="{60FB93A2-62C5-438E-BA5F-A9347629036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816" name="AutoShape 12">
          <a:extLst>
            <a:ext uri="{FF2B5EF4-FFF2-40B4-BE49-F238E27FC236}">
              <a16:creationId xmlns:a16="http://schemas.microsoft.com/office/drawing/2014/main" id="{87EE1240-BA38-4E4D-8A8E-B7FF21CB164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817" name="AutoShape 12">
          <a:extLst>
            <a:ext uri="{FF2B5EF4-FFF2-40B4-BE49-F238E27FC236}">
              <a16:creationId xmlns:a16="http://schemas.microsoft.com/office/drawing/2014/main" id="{86DDDD31-3699-4DBD-AB73-26521E36C6C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818" name="AutoShape 12">
          <a:extLst>
            <a:ext uri="{FF2B5EF4-FFF2-40B4-BE49-F238E27FC236}">
              <a16:creationId xmlns:a16="http://schemas.microsoft.com/office/drawing/2014/main" id="{E2FADB37-05DB-414C-9798-BC8B420CB41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819" name="AutoShape 12">
          <a:extLst>
            <a:ext uri="{FF2B5EF4-FFF2-40B4-BE49-F238E27FC236}">
              <a16:creationId xmlns:a16="http://schemas.microsoft.com/office/drawing/2014/main" id="{AC2ED6C8-4724-4146-9D6D-9F466F362C1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820" name="AutoShape 12">
          <a:extLst>
            <a:ext uri="{FF2B5EF4-FFF2-40B4-BE49-F238E27FC236}">
              <a16:creationId xmlns:a16="http://schemas.microsoft.com/office/drawing/2014/main" id="{058FEDAF-51DB-49E8-9321-601ACD98F65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821" name="AutoShape 12">
          <a:extLst>
            <a:ext uri="{FF2B5EF4-FFF2-40B4-BE49-F238E27FC236}">
              <a16:creationId xmlns:a16="http://schemas.microsoft.com/office/drawing/2014/main" id="{603EF36A-2115-4BB0-AAC7-BD8A69BF7ED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822" name="AutoShape 12">
          <a:extLst>
            <a:ext uri="{FF2B5EF4-FFF2-40B4-BE49-F238E27FC236}">
              <a16:creationId xmlns:a16="http://schemas.microsoft.com/office/drawing/2014/main" id="{868CBA11-285D-45A3-B9E2-28B7685A384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823" name="AutoShape 12">
          <a:extLst>
            <a:ext uri="{FF2B5EF4-FFF2-40B4-BE49-F238E27FC236}">
              <a16:creationId xmlns:a16="http://schemas.microsoft.com/office/drawing/2014/main" id="{CEB49531-E296-4650-9CBE-A9388FA17D5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824" name="AutoShape 12">
          <a:extLst>
            <a:ext uri="{FF2B5EF4-FFF2-40B4-BE49-F238E27FC236}">
              <a16:creationId xmlns:a16="http://schemas.microsoft.com/office/drawing/2014/main" id="{5DBED51C-2684-4B32-B941-9ACC9A12600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825" name="AutoShape 12">
          <a:extLst>
            <a:ext uri="{FF2B5EF4-FFF2-40B4-BE49-F238E27FC236}">
              <a16:creationId xmlns:a16="http://schemas.microsoft.com/office/drawing/2014/main" id="{DA75E65C-DF3B-4590-8176-DE4DEA77402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826" name="AutoShape 12">
          <a:extLst>
            <a:ext uri="{FF2B5EF4-FFF2-40B4-BE49-F238E27FC236}">
              <a16:creationId xmlns:a16="http://schemas.microsoft.com/office/drawing/2014/main" id="{6FD5A787-4D2E-4C57-9727-EA0210B0A45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827" name="AutoShape 12">
          <a:extLst>
            <a:ext uri="{FF2B5EF4-FFF2-40B4-BE49-F238E27FC236}">
              <a16:creationId xmlns:a16="http://schemas.microsoft.com/office/drawing/2014/main" id="{D9F71803-E1F3-4F88-9F72-8FECBB7E2A5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828" name="AutoShape 12">
          <a:extLst>
            <a:ext uri="{FF2B5EF4-FFF2-40B4-BE49-F238E27FC236}">
              <a16:creationId xmlns:a16="http://schemas.microsoft.com/office/drawing/2014/main" id="{AB34F97C-71C0-4E7D-9282-EE90E7C99B7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829" name="AutoShape 12">
          <a:extLst>
            <a:ext uri="{FF2B5EF4-FFF2-40B4-BE49-F238E27FC236}">
              <a16:creationId xmlns:a16="http://schemas.microsoft.com/office/drawing/2014/main" id="{83145665-0D95-4E38-9256-138D29DFE08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830" name="AutoShape 12">
          <a:extLst>
            <a:ext uri="{FF2B5EF4-FFF2-40B4-BE49-F238E27FC236}">
              <a16:creationId xmlns:a16="http://schemas.microsoft.com/office/drawing/2014/main" id="{0AF60844-3304-49A2-A0A0-4CD5FC461B7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831" name="AutoShape 12">
          <a:extLst>
            <a:ext uri="{FF2B5EF4-FFF2-40B4-BE49-F238E27FC236}">
              <a16:creationId xmlns:a16="http://schemas.microsoft.com/office/drawing/2014/main" id="{32CA164A-5714-4E92-90A9-BC4CC22E593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832" name="AutoShape 12">
          <a:extLst>
            <a:ext uri="{FF2B5EF4-FFF2-40B4-BE49-F238E27FC236}">
              <a16:creationId xmlns:a16="http://schemas.microsoft.com/office/drawing/2014/main" id="{E0BA3639-6902-4AA6-AED3-7345A34082A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833" name="AutoShape 12">
          <a:extLst>
            <a:ext uri="{FF2B5EF4-FFF2-40B4-BE49-F238E27FC236}">
              <a16:creationId xmlns:a16="http://schemas.microsoft.com/office/drawing/2014/main" id="{571BE858-C97C-42C2-AFC7-FEBD0601387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834" name="AutoShape 12">
          <a:extLst>
            <a:ext uri="{FF2B5EF4-FFF2-40B4-BE49-F238E27FC236}">
              <a16:creationId xmlns:a16="http://schemas.microsoft.com/office/drawing/2014/main" id="{C51CBDC5-4833-47D2-829A-DA0156EF81E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835" name="AutoShape 12">
          <a:extLst>
            <a:ext uri="{FF2B5EF4-FFF2-40B4-BE49-F238E27FC236}">
              <a16:creationId xmlns:a16="http://schemas.microsoft.com/office/drawing/2014/main" id="{4C700271-5386-45F1-8F4C-9FB3EFA6BDB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836" name="AutoShape 12">
          <a:extLst>
            <a:ext uri="{FF2B5EF4-FFF2-40B4-BE49-F238E27FC236}">
              <a16:creationId xmlns:a16="http://schemas.microsoft.com/office/drawing/2014/main" id="{04D42A41-DD19-4376-B20A-9445CF387BB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837" name="AutoShape 12">
          <a:extLst>
            <a:ext uri="{FF2B5EF4-FFF2-40B4-BE49-F238E27FC236}">
              <a16:creationId xmlns:a16="http://schemas.microsoft.com/office/drawing/2014/main" id="{8F0B2227-D21F-4C33-BE27-88724F37987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838" name="AutoShape 12">
          <a:extLst>
            <a:ext uri="{FF2B5EF4-FFF2-40B4-BE49-F238E27FC236}">
              <a16:creationId xmlns:a16="http://schemas.microsoft.com/office/drawing/2014/main" id="{48C79FC6-8544-437C-ACCD-2C6B019A6D4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839" name="AutoShape 12">
          <a:extLst>
            <a:ext uri="{FF2B5EF4-FFF2-40B4-BE49-F238E27FC236}">
              <a16:creationId xmlns:a16="http://schemas.microsoft.com/office/drawing/2014/main" id="{5B860B3D-B0AB-4670-A7BB-14EB92DE523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840" name="AutoShape 12">
          <a:extLst>
            <a:ext uri="{FF2B5EF4-FFF2-40B4-BE49-F238E27FC236}">
              <a16:creationId xmlns:a16="http://schemas.microsoft.com/office/drawing/2014/main" id="{88C9DD53-FE7A-4C50-A691-7EC85AB9193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841" name="AutoShape 12">
          <a:extLst>
            <a:ext uri="{FF2B5EF4-FFF2-40B4-BE49-F238E27FC236}">
              <a16:creationId xmlns:a16="http://schemas.microsoft.com/office/drawing/2014/main" id="{962730B1-90FC-46D3-AC5B-A406D94CE25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842" name="AutoShape 12">
          <a:extLst>
            <a:ext uri="{FF2B5EF4-FFF2-40B4-BE49-F238E27FC236}">
              <a16:creationId xmlns:a16="http://schemas.microsoft.com/office/drawing/2014/main" id="{FE098931-4EED-4D20-B7F3-CBA9D91FA54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843" name="AutoShape 12">
          <a:extLst>
            <a:ext uri="{FF2B5EF4-FFF2-40B4-BE49-F238E27FC236}">
              <a16:creationId xmlns:a16="http://schemas.microsoft.com/office/drawing/2014/main" id="{DDAEDA76-9743-4F72-898E-50F55BAEAF0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844" name="AutoShape 12">
          <a:extLst>
            <a:ext uri="{FF2B5EF4-FFF2-40B4-BE49-F238E27FC236}">
              <a16:creationId xmlns:a16="http://schemas.microsoft.com/office/drawing/2014/main" id="{394EC337-D930-4ECA-AE65-650A0AF0EA0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845" name="AutoShape 12">
          <a:extLst>
            <a:ext uri="{FF2B5EF4-FFF2-40B4-BE49-F238E27FC236}">
              <a16:creationId xmlns:a16="http://schemas.microsoft.com/office/drawing/2014/main" id="{50D110B3-4F63-4D15-93DC-5861236A583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846" name="AutoShape 12">
          <a:extLst>
            <a:ext uri="{FF2B5EF4-FFF2-40B4-BE49-F238E27FC236}">
              <a16:creationId xmlns:a16="http://schemas.microsoft.com/office/drawing/2014/main" id="{8C57D870-C69B-4BE3-8F24-76A1177F3E9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847" name="AutoShape 12">
          <a:extLst>
            <a:ext uri="{FF2B5EF4-FFF2-40B4-BE49-F238E27FC236}">
              <a16:creationId xmlns:a16="http://schemas.microsoft.com/office/drawing/2014/main" id="{6AE83271-09F6-4BC5-9E51-771424C692A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848" name="AutoShape 12">
          <a:extLst>
            <a:ext uri="{FF2B5EF4-FFF2-40B4-BE49-F238E27FC236}">
              <a16:creationId xmlns:a16="http://schemas.microsoft.com/office/drawing/2014/main" id="{23CAFFF7-9D71-4E96-A1EB-D94F9E67BC3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849" name="AutoShape 12">
          <a:extLst>
            <a:ext uri="{FF2B5EF4-FFF2-40B4-BE49-F238E27FC236}">
              <a16:creationId xmlns:a16="http://schemas.microsoft.com/office/drawing/2014/main" id="{0FF479E8-6EC4-4E07-97E0-084151218C3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850" name="AutoShape 12">
          <a:extLst>
            <a:ext uri="{FF2B5EF4-FFF2-40B4-BE49-F238E27FC236}">
              <a16:creationId xmlns:a16="http://schemas.microsoft.com/office/drawing/2014/main" id="{D360A74F-0455-4DDA-922F-441CBB39BDC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851" name="AutoShape 12">
          <a:extLst>
            <a:ext uri="{FF2B5EF4-FFF2-40B4-BE49-F238E27FC236}">
              <a16:creationId xmlns:a16="http://schemas.microsoft.com/office/drawing/2014/main" id="{3C4F33D7-8942-41A5-B2A6-7033DCB598F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852" name="AutoShape 12">
          <a:extLst>
            <a:ext uri="{FF2B5EF4-FFF2-40B4-BE49-F238E27FC236}">
              <a16:creationId xmlns:a16="http://schemas.microsoft.com/office/drawing/2014/main" id="{41A61BC2-5FA4-4049-B9A6-44157BA9089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853" name="AutoShape 12">
          <a:extLst>
            <a:ext uri="{FF2B5EF4-FFF2-40B4-BE49-F238E27FC236}">
              <a16:creationId xmlns:a16="http://schemas.microsoft.com/office/drawing/2014/main" id="{824F280E-7F99-4D68-808E-A44D407E8D8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854" name="AutoShape 12">
          <a:extLst>
            <a:ext uri="{FF2B5EF4-FFF2-40B4-BE49-F238E27FC236}">
              <a16:creationId xmlns:a16="http://schemas.microsoft.com/office/drawing/2014/main" id="{00096C3C-85AB-49BC-B130-4A1AA7DCA9E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855" name="AutoShape 12">
          <a:extLst>
            <a:ext uri="{FF2B5EF4-FFF2-40B4-BE49-F238E27FC236}">
              <a16:creationId xmlns:a16="http://schemas.microsoft.com/office/drawing/2014/main" id="{F537999C-3C3F-42CE-A8D7-D94582D198A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856" name="AutoShape 12">
          <a:extLst>
            <a:ext uri="{FF2B5EF4-FFF2-40B4-BE49-F238E27FC236}">
              <a16:creationId xmlns:a16="http://schemas.microsoft.com/office/drawing/2014/main" id="{2BCFDD1B-1E54-4D74-86F0-40CCEE38755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857" name="AutoShape 12">
          <a:extLst>
            <a:ext uri="{FF2B5EF4-FFF2-40B4-BE49-F238E27FC236}">
              <a16:creationId xmlns:a16="http://schemas.microsoft.com/office/drawing/2014/main" id="{30BD0798-E8DD-4983-A244-A5146E76B41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858" name="AutoShape 12">
          <a:extLst>
            <a:ext uri="{FF2B5EF4-FFF2-40B4-BE49-F238E27FC236}">
              <a16:creationId xmlns:a16="http://schemas.microsoft.com/office/drawing/2014/main" id="{45054E42-32FC-49BC-B192-3EE47992287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859" name="AutoShape 12">
          <a:extLst>
            <a:ext uri="{FF2B5EF4-FFF2-40B4-BE49-F238E27FC236}">
              <a16:creationId xmlns:a16="http://schemas.microsoft.com/office/drawing/2014/main" id="{3ECE51AB-3F39-4DE1-B9A6-7174667AFFC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860" name="AutoShape 12">
          <a:extLst>
            <a:ext uri="{FF2B5EF4-FFF2-40B4-BE49-F238E27FC236}">
              <a16:creationId xmlns:a16="http://schemas.microsoft.com/office/drawing/2014/main" id="{61FF59BA-94CB-4043-BE26-75045982974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861" name="AutoShape 12">
          <a:extLst>
            <a:ext uri="{FF2B5EF4-FFF2-40B4-BE49-F238E27FC236}">
              <a16:creationId xmlns:a16="http://schemas.microsoft.com/office/drawing/2014/main" id="{0A549FE2-76E0-47BF-B4A8-A37F496A6E1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862" name="AutoShape 12">
          <a:extLst>
            <a:ext uri="{FF2B5EF4-FFF2-40B4-BE49-F238E27FC236}">
              <a16:creationId xmlns:a16="http://schemas.microsoft.com/office/drawing/2014/main" id="{9990B070-3A35-428D-833C-B8E4F2D0E40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863" name="AutoShape 12">
          <a:extLst>
            <a:ext uri="{FF2B5EF4-FFF2-40B4-BE49-F238E27FC236}">
              <a16:creationId xmlns:a16="http://schemas.microsoft.com/office/drawing/2014/main" id="{BC8F60D5-9751-4800-A65A-B56462DC031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864" name="AutoShape 12">
          <a:extLst>
            <a:ext uri="{FF2B5EF4-FFF2-40B4-BE49-F238E27FC236}">
              <a16:creationId xmlns:a16="http://schemas.microsoft.com/office/drawing/2014/main" id="{C3BE70FA-FAF2-484B-B7AA-06C7845B00B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865" name="AutoShape 12">
          <a:extLst>
            <a:ext uri="{FF2B5EF4-FFF2-40B4-BE49-F238E27FC236}">
              <a16:creationId xmlns:a16="http://schemas.microsoft.com/office/drawing/2014/main" id="{9E5EBA0A-18EE-44D8-BBB9-0A0624B0863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866" name="AutoShape 12">
          <a:extLst>
            <a:ext uri="{FF2B5EF4-FFF2-40B4-BE49-F238E27FC236}">
              <a16:creationId xmlns:a16="http://schemas.microsoft.com/office/drawing/2014/main" id="{F5F244D6-6FBA-4613-9CC8-32AB0EA4D2B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867" name="AutoShape 12">
          <a:extLst>
            <a:ext uri="{FF2B5EF4-FFF2-40B4-BE49-F238E27FC236}">
              <a16:creationId xmlns:a16="http://schemas.microsoft.com/office/drawing/2014/main" id="{329423AF-179A-4657-AD9A-172BB53023E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868" name="AutoShape 12">
          <a:extLst>
            <a:ext uri="{FF2B5EF4-FFF2-40B4-BE49-F238E27FC236}">
              <a16:creationId xmlns:a16="http://schemas.microsoft.com/office/drawing/2014/main" id="{A913B970-8576-4EEB-B108-117663CE3F5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869" name="AutoShape 12">
          <a:extLst>
            <a:ext uri="{FF2B5EF4-FFF2-40B4-BE49-F238E27FC236}">
              <a16:creationId xmlns:a16="http://schemas.microsoft.com/office/drawing/2014/main" id="{4C9F8FB6-4FCD-4B81-987C-9856E22EC4F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870" name="AutoShape 12">
          <a:extLst>
            <a:ext uri="{FF2B5EF4-FFF2-40B4-BE49-F238E27FC236}">
              <a16:creationId xmlns:a16="http://schemas.microsoft.com/office/drawing/2014/main" id="{0577D88E-04EF-44B2-8403-B46131EC393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871" name="AutoShape 12">
          <a:extLst>
            <a:ext uri="{FF2B5EF4-FFF2-40B4-BE49-F238E27FC236}">
              <a16:creationId xmlns:a16="http://schemas.microsoft.com/office/drawing/2014/main" id="{E2A83826-7255-471C-B20D-72452B57D3D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872" name="AutoShape 12">
          <a:extLst>
            <a:ext uri="{FF2B5EF4-FFF2-40B4-BE49-F238E27FC236}">
              <a16:creationId xmlns:a16="http://schemas.microsoft.com/office/drawing/2014/main" id="{7D6B65C1-E262-423B-9D30-D224A221DCA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873" name="AutoShape 12">
          <a:extLst>
            <a:ext uri="{FF2B5EF4-FFF2-40B4-BE49-F238E27FC236}">
              <a16:creationId xmlns:a16="http://schemas.microsoft.com/office/drawing/2014/main" id="{00183EC7-0E1F-4D6A-86AA-A4DCDCB2F10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874" name="AutoShape 12">
          <a:extLst>
            <a:ext uri="{FF2B5EF4-FFF2-40B4-BE49-F238E27FC236}">
              <a16:creationId xmlns:a16="http://schemas.microsoft.com/office/drawing/2014/main" id="{9FBCEC8D-F821-4B37-9282-45216ED6AA4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875" name="AutoShape 12">
          <a:extLst>
            <a:ext uri="{FF2B5EF4-FFF2-40B4-BE49-F238E27FC236}">
              <a16:creationId xmlns:a16="http://schemas.microsoft.com/office/drawing/2014/main" id="{E185BEAC-CB98-493B-ADFC-50F5F9C9CE8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876" name="AutoShape 12">
          <a:extLst>
            <a:ext uri="{FF2B5EF4-FFF2-40B4-BE49-F238E27FC236}">
              <a16:creationId xmlns:a16="http://schemas.microsoft.com/office/drawing/2014/main" id="{4538046D-8CE6-4093-ADAC-D1FEA71C388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877" name="AutoShape 12">
          <a:extLst>
            <a:ext uri="{FF2B5EF4-FFF2-40B4-BE49-F238E27FC236}">
              <a16:creationId xmlns:a16="http://schemas.microsoft.com/office/drawing/2014/main" id="{7BBE09AE-836D-46CD-A80F-740FE825798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878" name="AutoShape 12">
          <a:extLst>
            <a:ext uri="{FF2B5EF4-FFF2-40B4-BE49-F238E27FC236}">
              <a16:creationId xmlns:a16="http://schemas.microsoft.com/office/drawing/2014/main" id="{EE5698C7-4688-4575-AD14-6FB673EBB1A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879" name="AutoShape 12">
          <a:extLst>
            <a:ext uri="{FF2B5EF4-FFF2-40B4-BE49-F238E27FC236}">
              <a16:creationId xmlns:a16="http://schemas.microsoft.com/office/drawing/2014/main" id="{901D8686-14C0-4434-981B-532CD957EF6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880" name="AutoShape 12">
          <a:extLst>
            <a:ext uri="{FF2B5EF4-FFF2-40B4-BE49-F238E27FC236}">
              <a16:creationId xmlns:a16="http://schemas.microsoft.com/office/drawing/2014/main" id="{3EB03D03-4697-464B-9226-842ADA7D27F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881" name="AutoShape 12">
          <a:extLst>
            <a:ext uri="{FF2B5EF4-FFF2-40B4-BE49-F238E27FC236}">
              <a16:creationId xmlns:a16="http://schemas.microsoft.com/office/drawing/2014/main" id="{B3955563-CFFD-4C22-9181-3C3DAF367A5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882" name="AutoShape 12">
          <a:extLst>
            <a:ext uri="{FF2B5EF4-FFF2-40B4-BE49-F238E27FC236}">
              <a16:creationId xmlns:a16="http://schemas.microsoft.com/office/drawing/2014/main" id="{5AF61D22-F084-46CF-9CD4-92FEC16603F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883" name="AutoShape 12">
          <a:extLst>
            <a:ext uri="{FF2B5EF4-FFF2-40B4-BE49-F238E27FC236}">
              <a16:creationId xmlns:a16="http://schemas.microsoft.com/office/drawing/2014/main" id="{17DFDB74-EF1F-456A-B9BC-84DC58BEC13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884" name="AutoShape 12">
          <a:extLst>
            <a:ext uri="{FF2B5EF4-FFF2-40B4-BE49-F238E27FC236}">
              <a16:creationId xmlns:a16="http://schemas.microsoft.com/office/drawing/2014/main" id="{314D2334-2D3F-4AFC-AE00-08D50326EDE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885" name="AutoShape 12">
          <a:extLst>
            <a:ext uri="{FF2B5EF4-FFF2-40B4-BE49-F238E27FC236}">
              <a16:creationId xmlns:a16="http://schemas.microsoft.com/office/drawing/2014/main" id="{DF080F2C-018A-4DD4-8D37-30910F229E8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886" name="AutoShape 12">
          <a:extLst>
            <a:ext uri="{FF2B5EF4-FFF2-40B4-BE49-F238E27FC236}">
              <a16:creationId xmlns:a16="http://schemas.microsoft.com/office/drawing/2014/main" id="{ABC84B97-E234-414B-8BDF-A8363D7A5B5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887" name="AutoShape 12">
          <a:extLst>
            <a:ext uri="{FF2B5EF4-FFF2-40B4-BE49-F238E27FC236}">
              <a16:creationId xmlns:a16="http://schemas.microsoft.com/office/drawing/2014/main" id="{FE5C0636-B61B-4219-A760-E497C74E322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888" name="AutoShape 12">
          <a:extLst>
            <a:ext uri="{FF2B5EF4-FFF2-40B4-BE49-F238E27FC236}">
              <a16:creationId xmlns:a16="http://schemas.microsoft.com/office/drawing/2014/main" id="{38BBB057-140F-4F09-9E86-B760D507124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889" name="AutoShape 12">
          <a:extLst>
            <a:ext uri="{FF2B5EF4-FFF2-40B4-BE49-F238E27FC236}">
              <a16:creationId xmlns:a16="http://schemas.microsoft.com/office/drawing/2014/main" id="{11A66064-9FE6-4C28-986D-F5BD1D47DC9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890" name="AutoShape 12">
          <a:extLst>
            <a:ext uri="{FF2B5EF4-FFF2-40B4-BE49-F238E27FC236}">
              <a16:creationId xmlns:a16="http://schemas.microsoft.com/office/drawing/2014/main" id="{AE0BAEB3-8186-4844-9045-CDC5076C5BB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891" name="AutoShape 12">
          <a:extLst>
            <a:ext uri="{FF2B5EF4-FFF2-40B4-BE49-F238E27FC236}">
              <a16:creationId xmlns:a16="http://schemas.microsoft.com/office/drawing/2014/main" id="{40E6770A-40BA-4841-AA70-E12049EB9AA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892" name="AutoShape 12">
          <a:extLst>
            <a:ext uri="{FF2B5EF4-FFF2-40B4-BE49-F238E27FC236}">
              <a16:creationId xmlns:a16="http://schemas.microsoft.com/office/drawing/2014/main" id="{5FD44B1C-C67A-4A56-B601-71C5305F1E8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893" name="AutoShape 12">
          <a:extLst>
            <a:ext uri="{FF2B5EF4-FFF2-40B4-BE49-F238E27FC236}">
              <a16:creationId xmlns:a16="http://schemas.microsoft.com/office/drawing/2014/main" id="{8AAA5E7A-63DF-42EF-89ED-598A563ECE5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894" name="AutoShape 12">
          <a:extLst>
            <a:ext uri="{FF2B5EF4-FFF2-40B4-BE49-F238E27FC236}">
              <a16:creationId xmlns:a16="http://schemas.microsoft.com/office/drawing/2014/main" id="{9AF8A78B-F727-4401-919F-0816F203157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895" name="AutoShape 12">
          <a:extLst>
            <a:ext uri="{FF2B5EF4-FFF2-40B4-BE49-F238E27FC236}">
              <a16:creationId xmlns:a16="http://schemas.microsoft.com/office/drawing/2014/main" id="{608FFD24-98BF-493F-8CC6-E039EC4D342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896" name="AutoShape 12">
          <a:extLst>
            <a:ext uri="{FF2B5EF4-FFF2-40B4-BE49-F238E27FC236}">
              <a16:creationId xmlns:a16="http://schemas.microsoft.com/office/drawing/2014/main" id="{BF9CC53F-C5AF-4695-8D51-E643611AC35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897" name="AutoShape 12">
          <a:extLst>
            <a:ext uri="{FF2B5EF4-FFF2-40B4-BE49-F238E27FC236}">
              <a16:creationId xmlns:a16="http://schemas.microsoft.com/office/drawing/2014/main" id="{D9E71DB6-EE68-455D-A0DA-D7253FFD087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898" name="AutoShape 12">
          <a:extLst>
            <a:ext uri="{FF2B5EF4-FFF2-40B4-BE49-F238E27FC236}">
              <a16:creationId xmlns:a16="http://schemas.microsoft.com/office/drawing/2014/main" id="{48744387-FB92-4C89-9301-E5B21A4F285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899" name="AutoShape 12">
          <a:extLst>
            <a:ext uri="{FF2B5EF4-FFF2-40B4-BE49-F238E27FC236}">
              <a16:creationId xmlns:a16="http://schemas.microsoft.com/office/drawing/2014/main" id="{AF7613D2-14B6-4CC9-8559-066ECCC8BD7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900" name="AutoShape 12">
          <a:extLst>
            <a:ext uri="{FF2B5EF4-FFF2-40B4-BE49-F238E27FC236}">
              <a16:creationId xmlns:a16="http://schemas.microsoft.com/office/drawing/2014/main" id="{1895B97F-3866-480B-8277-499D2FF4005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901" name="AutoShape 12">
          <a:extLst>
            <a:ext uri="{FF2B5EF4-FFF2-40B4-BE49-F238E27FC236}">
              <a16:creationId xmlns:a16="http://schemas.microsoft.com/office/drawing/2014/main" id="{D433489D-9E10-4603-84CF-8CFD9BB56F4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902" name="AutoShape 12">
          <a:extLst>
            <a:ext uri="{FF2B5EF4-FFF2-40B4-BE49-F238E27FC236}">
              <a16:creationId xmlns:a16="http://schemas.microsoft.com/office/drawing/2014/main" id="{CF6136F2-CA26-4A88-B3CE-A4E9C3A86B2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903" name="AutoShape 12">
          <a:extLst>
            <a:ext uri="{FF2B5EF4-FFF2-40B4-BE49-F238E27FC236}">
              <a16:creationId xmlns:a16="http://schemas.microsoft.com/office/drawing/2014/main" id="{36B1D985-A0BF-42B0-ADF2-BCC81199836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904" name="AutoShape 12">
          <a:extLst>
            <a:ext uri="{FF2B5EF4-FFF2-40B4-BE49-F238E27FC236}">
              <a16:creationId xmlns:a16="http://schemas.microsoft.com/office/drawing/2014/main" id="{7F7DCF16-358B-4781-9156-B001E7933E3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905" name="AutoShape 12">
          <a:extLst>
            <a:ext uri="{FF2B5EF4-FFF2-40B4-BE49-F238E27FC236}">
              <a16:creationId xmlns:a16="http://schemas.microsoft.com/office/drawing/2014/main" id="{5BBC04E7-7695-4A88-9D3B-71F38EA7FEB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906" name="AutoShape 12">
          <a:extLst>
            <a:ext uri="{FF2B5EF4-FFF2-40B4-BE49-F238E27FC236}">
              <a16:creationId xmlns:a16="http://schemas.microsoft.com/office/drawing/2014/main" id="{50107205-88BF-4F23-8FA2-B88D18A9F41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907" name="AutoShape 12">
          <a:extLst>
            <a:ext uri="{FF2B5EF4-FFF2-40B4-BE49-F238E27FC236}">
              <a16:creationId xmlns:a16="http://schemas.microsoft.com/office/drawing/2014/main" id="{37CD79A4-B46F-4805-A0C6-F7313C9B67B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908" name="AutoShape 12">
          <a:extLst>
            <a:ext uri="{FF2B5EF4-FFF2-40B4-BE49-F238E27FC236}">
              <a16:creationId xmlns:a16="http://schemas.microsoft.com/office/drawing/2014/main" id="{20336EF0-0E05-4066-BD19-EC031DAA202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909" name="AutoShape 12">
          <a:extLst>
            <a:ext uri="{FF2B5EF4-FFF2-40B4-BE49-F238E27FC236}">
              <a16:creationId xmlns:a16="http://schemas.microsoft.com/office/drawing/2014/main" id="{50047218-B5CF-4C1A-B394-AD4ED4AB9A0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910" name="AutoShape 12">
          <a:extLst>
            <a:ext uri="{FF2B5EF4-FFF2-40B4-BE49-F238E27FC236}">
              <a16:creationId xmlns:a16="http://schemas.microsoft.com/office/drawing/2014/main" id="{FA29C19F-14C7-4C3D-9FDA-AE147781D79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911" name="AutoShape 12">
          <a:extLst>
            <a:ext uri="{FF2B5EF4-FFF2-40B4-BE49-F238E27FC236}">
              <a16:creationId xmlns:a16="http://schemas.microsoft.com/office/drawing/2014/main" id="{E8E4AE85-F3D7-41FB-858C-EBCAF39D015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912" name="AutoShape 12">
          <a:extLst>
            <a:ext uri="{FF2B5EF4-FFF2-40B4-BE49-F238E27FC236}">
              <a16:creationId xmlns:a16="http://schemas.microsoft.com/office/drawing/2014/main" id="{2AC960C9-09FA-4158-9799-11F27A5CF3B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913" name="AutoShape 12">
          <a:extLst>
            <a:ext uri="{FF2B5EF4-FFF2-40B4-BE49-F238E27FC236}">
              <a16:creationId xmlns:a16="http://schemas.microsoft.com/office/drawing/2014/main" id="{FE24508E-76B5-4325-A4F2-79087AB50F0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914" name="AutoShape 12">
          <a:extLst>
            <a:ext uri="{FF2B5EF4-FFF2-40B4-BE49-F238E27FC236}">
              <a16:creationId xmlns:a16="http://schemas.microsoft.com/office/drawing/2014/main" id="{750A3A44-18FA-48AE-9B80-9D0D1826768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915" name="AutoShape 12">
          <a:extLst>
            <a:ext uri="{FF2B5EF4-FFF2-40B4-BE49-F238E27FC236}">
              <a16:creationId xmlns:a16="http://schemas.microsoft.com/office/drawing/2014/main" id="{F3ED95A1-DF5B-4B52-8F9E-BC623E2BA72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916" name="AutoShape 12">
          <a:extLst>
            <a:ext uri="{FF2B5EF4-FFF2-40B4-BE49-F238E27FC236}">
              <a16:creationId xmlns:a16="http://schemas.microsoft.com/office/drawing/2014/main" id="{4E3BCED3-43B7-4EEB-9BD6-28E3C0685CD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917" name="AutoShape 12">
          <a:extLst>
            <a:ext uri="{FF2B5EF4-FFF2-40B4-BE49-F238E27FC236}">
              <a16:creationId xmlns:a16="http://schemas.microsoft.com/office/drawing/2014/main" id="{6703E085-DD92-40BB-BB97-6250AB23659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918" name="AutoShape 12">
          <a:extLst>
            <a:ext uri="{FF2B5EF4-FFF2-40B4-BE49-F238E27FC236}">
              <a16:creationId xmlns:a16="http://schemas.microsoft.com/office/drawing/2014/main" id="{379736BD-7090-44B8-A1E5-7287E4368FE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919" name="AutoShape 12">
          <a:extLst>
            <a:ext uri="{FF2B5EF4-FFF2-40B4-BE49-F238E27FC236}">
              <a16:creationId xmlns:a16="http://schemas.microsoft.com/office/drawing/2014/main" id="{6B178E6E-4B5F-4C10-ABDD-71191527607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920" name="AutoShape 12">
          <a:extLst>
            <a:ext uri="{FF2B5EF4-FFF2-40B4-BE49-F238E27FC236}">
              <a16:creationId xmlns:a16="http://schemas.microsoft.com/office/drawing/2014/main" id="{8B8D06DC-74CA-443D-8C75-D813C0BFC3A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921" name="AutoShape 12">
          <a:extLst>
            <a:ext uri="{FF2B5EF4-FFF2-40B4-BE49-F238E27FC236}">
              <a16:creationId xmlns:a16="http://schemas.microsoft.com/office/drawing/2014/main" id="{FC2D1E70-D4B1-4484-8A00-E6EFFDA6E4D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922" name="AutoShape 12">
          <a:extLst>
            <a:ext uri="{FF2B5EF4-FFF2-40B4-BE49-F238E27FC236}">
              <a16:creationId xmlns:a16="http://schemas.microsoft.com/office/drawing/2014/main" id="{3D16BFCB-1CB4-4CFE-9909-F1BDC1486CD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923" name="AutoShape 12">
          <a:extLst>
            <a:ext uri="{FF2B5EF4-FFF2-40B4-BE49-F238E27FC236}">
              <a16:creationId xmlns:a16="http://schemas.microsoft.com/office/drawing/2014/main" id="{4ED0BE33-C5D6-449A-821F-87321F0D97F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924" name="AutoShape 12">
          <a:extLst>
            <a:ext uri="{FF2B5EF4-FFF2-40B4-BE49-F238E27FC236}">
              <a16:creationId xmlns:a16="http://schemas.microsoft.com/office/drawing/2014/main" id="{789465B2-9436-4EA5-98E9-A389477E72B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925" name="AutoShape 12">
          <a:extLst>
            <a:ext uri="{FF2B5EF4-FFF2-40B4-BE49-F238E27FC236}">
              <a16:creationId xmlns:a16="http://schemas.microsoft.com/office/drawing/2014/main" id="{97BC4FD1-CC9B-4565-B039-D91103156CE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926" name="AutoShape 12">
          <a:extLst>
            <a:ext uri="{FF2B5EF4-FFF2-40B4-BE49-F238E27FC236}">
              <a16:creationId xmlns:a16="http://schemas.microsoft.com/office/drawing/2014/main" id="{EFF44EA5-BE09-466D-B704-FB39D390FE4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927" name="AutoShape 12">
          <a:extLst>
            <a:ext uri="{FF2B5EF4-FFF2-40B4-BE49-F238E27FC236}">
              <a16:creationId xmlns:a16="http://schemas.microsoft.com/office/drawing/2014/main" id="{75B702B9-1156-4E7D-9C74-8FDBEAA9183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928" name="AutoShape 12">
          <a:extLst>
            <a:ext uri="{FF2B5EF4-FFF2-40B4-BE49-F238E27FC236}">
              <a16:creationId xmlns:a16="http://schemas.microsoft.com/office/drawing/2014/main" id="{CCE0F159-581D-4867-81BD-1154534E1A4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929" name="AutoShape 12">
          <a:extLst>
            <a:ext uri="{FF2B5EF4-FFF2-40B4-BE49-F238E27FC236}">
              <a16:creationId xmlns:a16="http://schemas.microsoft.com/office/drawing/2014/main" id="{C9B47061-D5B3-4DC3-819E-F40CD71C8EB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930" name="AutoShape 12">
          <a:extLst>
            <a:ext uri="{FF2B5EF4-FFF2-40B4-BE49-F238E27FC236}">
              <a16:creationId xmlns:a16="http://schemas.microsoft.com/office/drawing/2014/main" id="{CB596EA5-25DB-4AE5-B40F-B890A048773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931" name="AutoShape 12">
          <a:extLst>
            <a:ext uri="{FF2B5EF4-FFF2-40B4-BE49-F238E27FC236}">
              <a16:creationId xmlns:a16="http://schemas.microsoft.com/office/drawing/2014/main" id="{F940C505-92FB-4DBD-AE55-D0196F4ED55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932" name="AutoShape 12">
          <a:extLst>
            <a:ext uri="{FF2B5EF4-FFF2-40B4-BE49-F238E27FC236}">
              <a16:creationId xmlns:a16="http://schemas.microsoft.com/office/drawing/2014/main" id="{F3822729-3605-4252-B2C1-7B67D4790E7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933" name="AutoShape 12">
          <a:extLst>
            <a:ext uri="{FF2B5EF4-FFF2-40B4-BE49-F238E27FC236}">
              <a16:creationId xmlns:a16="http://schemas.microsoft.com/office/drawing/2014/main" id="{CCB566E0-B62B-47C6-B4D4-D37882FBBA8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934" name="AutoShape 12">
          <a:extLst>
            <a:ext uri="{FF2B5EF4-FFF2-40B4-BE49-F238E27FC236}">
              <a16:creationId xmlns:a16="http://schemas.microsoft.com/office/drawing/2014/main" id="{B25F2637-AC49-44C9-AA61-5B3B176C405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935" name="AutoShape 12">
          <a:extLst>
            <a:ext uri="{FF2B5EF4-FFF2-40B4-BE49-F238E27FC236}">
              <a16:creationId xmlns:a16="http://schemas.microsoft.com/office/drawing/2014/main" id="{26099EA4-5027-429C-98AC-B700F557399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936" name="AutoShape 12">
          <a:extLst>
            <a:ext uri="{FF2B5EF4-FFF2-40B4-BE49-F238E27FC236}">
              <a16:creationId xmlns:a16="http://schemas.microsoft.com/office/drawing/2014/main" id="{FE5CBD40-65FF-4D78-BDA8-8A77357B780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937" name="AutoShape 12">
          <a:extLst>
            <a:ext uri="{FF2B5EF4-FFF2-40B4-BE49-F238E27FC236}">
              <a16:creationId xmlns:a16="http://schemas.microsoft.com/office/drawing/2014/main" id="{8B464CBB-69E1-410D-9B96-F67718F9A7A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938" name="AutoShape 12">
          <a:extLst>
            <a:ext uri="{FF2B5EF4-FFF2-40B4-BE49-F238E27FC236}">
              <a16:creationId xmlns:a16="http://schemas.microsoft.com/office/drawing/2014/main" id="{69394CD5-1155-484D-BFCB-2FDD296114C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939" name="AutoShape 12">
          <a:extLst>
            <a:ext uri="{FF2B5EF4-FFF2-40B4-BE49-F238E27FC236}">
              <a16:creationId xmlns:a16="http://schemas.microsoft.com/office/drawing/2014/main" id="{38663866-084D-4C29-875F-97D00BC2174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940" name="AutoShape 12">
          <a:extLst>
            <a:ext uri="{FF2B5EF4-FFF2-40B4-BE49-F238E27FC236}">
              <a16:creationId xmlns:a16="http://schemas.microsoft.com/office/drawing/2014/main" id="{688C14B1-27D8-4F93-BB20-C4FA834FC35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941" name="AutoShape 12">
          <a:extLst>
            <a:ext uri="{FF2B5EF4-FFF2-40B4-BE49-F238E27FC236}">
              <a16:creationId xmlns:a16="http://schemas.microsoft.com/office/drawing/2014/main" id="{8449C8D9-3280-4FC0-B1F6-C1606664F96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942" name="AutoShape 12">
          <a:extLst>
            <a:ext uri="{FF2B5EF4-FFF2-40B4-BE49-F238E27FC236}">
              <a16:creationId xmlns:a16="http://schemas.microsoft.com/office/drawing/2014/main" id="{2CE9AE19-7586-4374-A84F-83A03AC9BCF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943" name="AutoShape 12">
          <a:extLst>
            <a:ext uri="{FF2B5EF4-FFF2-40B4-BE49-F238E27FC236}">
              <a16:creationId xmlns:a16="http://schemas.microsoft.com/office/drawing/2014/main" id="{646A629B-210F-46B4-8A75-226F307C431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944" name="AutoShape 12">
          <a:extLst>
            <a:ext uri="{FF2B5EF4-FFF2-40B4-BE49-F238E27FC236}">
              <a16:creationId xmlns:a16="http://schemas.microsoft.com/office/drawing/2014/main" id="{FD06C074-2C06-4703-AF8E-7C0408CE7AE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945" name="AutoShape 12">
          <a:extLst>
            <a:ext uri="{FF2B5EF4-FFF2-40B4-BE49-F238E27FC236}">
              <a16:creationId xmlns:a16="http://schemas.microsoft.com/office/drawing/2014/main" id="{1CA68C74-163B-4DE4-8EA7-32B0A8132EA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946" name="AutoShape 12">
          <a:extLst>
            <a:ext uri="{FF2B5EF4-FFF2-40B4-BE49-F238E27FC236}">
              <a16:creationId xmlns:a16="http://schemas.microsoft.com/office/drawing/2014/main" id="{C89043F0-A329-4EF6-A110-FC7AE7CA89A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947" name="AutoShape 12">
          <a:extLst>
            <a:ext uri="{FF2B5EF4-FFF2-40B4-BE49-F238E27FC236}">
              <a16:creationId xmlns:a16="http://schemas.microsoft.com/office/drawing/2014/main" id="{F67A7242-9266-4B5A-9561-5F5659CD277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948" name="AutoShape 12">
          <a:extLst>
            <a:ext uri="{FF2B5EF4-FFF2-40B4-BE49-F238E27FC236}">
              <a16:creationId xmlns:a16="http://schemas.microsoft.com/office/drawing/2014/main" id="{7A7E2E25-F4F4-47EE-9C76-3A4F3100973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949" name="AutoShape 12">
          <a:extLst>
            <a:ext uri="{FF2B5EF4-FFF2-40B4-BE49-F238E27FC236}">
              <a16:creationId xmlns:a16="http://schemas.microsoft.com/office/drawing/2014/main" id="{8503680B-624E-4344-B9F8-B4B6EDAE788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950" name="AutoShape 12">
          <a:extLst>
            <a:ext uri="{FF2B5EF4-FFF2-40B4-BE49-F238E27FC236}">
              <a16:creationId xmlns:a16="http://schemas.microsoft.com/office/drawing/2014/main" id="{843E14A1-68D1-4005-9C6B-23E7ED97F4E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951" name="AutoShape 12">
          <a:extLst>
            <a:ext uri="{FF2B5EF4-FFF2-40B4-BE49-F238E27FC236}">
              <a16:creationId xmlns:a16="http://schemas.microsoft.com/office/drawing/2014/main" id="{B6A35896-B018-4100-9408-2AFBF73A983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952" name="AutoShape 12">
          <a:extLst>
            <a:ext uri="{FF2B5EF4-FFF2-40B4-BE49-F238E27FC236}">
              <a16:creationId xmlns:a16="http://schemas.microsoft.com/office/drawing/2014/main" id="{87E04715-CFEA-4E8B-B5CB-225C5E3BD5C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953" name="AutoShape 12">
          <a:extLst>
            <a:ext uri="{FF2B5EF4-FFF2-40B4-BE49-F238E27FC236}">
              <a16:creationId xmlns:a16="http://schemas.microsoft.com/office/drawing/2014/main" id="{7D419658-4EFA-4470-8420-82F534F9FC1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954" name="AutoShape 12">
          <a:extLst>
            <a:ext uri="{FF2B5EF4-FFF2-40B4-BE49-F238E27FC236}">
              <a16:creationId xmlns:a16="http://schemas.microsoft.com/office/drawing/2014/main" id="{70C2D770-21F5-4241-A343-504DE27145D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955" name="AutoShape 12">
          <a:extLst>
            <a:ext uri="{FF2B5EF4-FFF2-40B4-BE49-F238E27FC236}">
              <a16:creationId xmlns:a16="http://schemas.microsoft.com/office/drawing/2014/main" id="{A33326CA-0106-46BC-A304-E04D2FA9B76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956" name="AutoShape 12">
          <a:extLst>
            <a:ext uri="{FF2B5EF4-FFF2-40B4-BE49-F238E27FC236}">
              <a16:creationId xmlns:a16="http://schemas.microsoft.com/office/drawing/2014/main" id="{1E204DFC-9E05-4A02-ABA6-A5C76070508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957" name="AutoShape 12">
          <a:extLst>
            <a:ext uri="{FF2B5EF4-FFF2-40B4-BE49-F238E27FC236}">
              <a16:creationId xmlns:a16="http://schemas.microsoft.com/office/drawing/2014/main" id="{C79CC838-FA1E-46D8-8E64-A0538F3FD53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958" name="AutoShape 12">
          <a:extLst>
            <a:ext uri="{FF2B5EF4-FFF2-40B4-BE49-F238E27FC236}">
              <a16:creationId xmlns:a16="http://schemas.microsoft.com/office/drawing/2014/main" id="{C4F12CBB-673F-4275-9964-363EAE34579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959" name="AutoShape 12">
          <a:extLst>
            <a:ext uri="{FF2B5EF4-FFF2-40B4-BE49-F238E27FC236}">
              <a16:creationId xmlns:a16="http://schemas.microsoft.com/office/drawing/2014/main" id="{B84F19FE-7741-4BBC-85F9-259A4DE44B2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960" name="AutoShape 12">
          <a:extLst>
            <a:ext uri="{FF2B5EF4-FFF2-40B4-BE49-F238E27FC236}">
              <a16:creationId xmlns:a16="http://schemas.microsoft.com/office/drawing/2014/main" id="{C9059CA6-6633-4EF5-ABBA-90EC26141CA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961" name="AutoShape 12">
          <a:extLst>
            <a:ext uri="{FF2B5EF4-FFF2-40B4-BE49-F238E27FC236}">
              <a16:creationId xmlns:a16="http://schemas.microsoft.com/office/drawing/2014/main" id="{21034938-2793-46EC-8E08-44067FC3AD6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962" name="AutoShape 12">
          <a:extLst>
            <a:ext uri="{FF2B5EF4-FFF2-40B4-BE49-F238E27FC236}">
              <a16:creationId xmlns:a16="http://schemas.microsoft.com/office/drawing/2014/main" id="{1A4D9882-0A2B-4D6A-AB55-FC53B4A3B22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963" name="AutoShape 12">
          <a:extLst>
            <a:ext uri="{FF2B5EF4-FFF2-40B4-BE49-F238E27FC236}">
              <a16:creationId xmlns:a16="http://schemas.microsoft.com/office/drawing/2014/main" id="{4C5FDC89-21F3-4FD9-9F1C-055F5F5AE01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964" name="AutoShape 12">
          <a:extLst>
            <a:ext uri="{FF2B5EF4-FFF2-40B4-BE49-F238E27FC236}">
              <a16:creationId xmlns:a16="http://schemas.microsoft.com/office/drawing/2014/main" id="{5F5BD815-45FD-41EB-9A20-D4CE099F097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965" name="AutoShape 12">
          <a:extLst>
            <a:ext uri="{FF2B5EF4-FFF2-40B4-BE49-F238E27FC236}">
              <a16:creationId xmlns:a16="http://schemas.microsoft.com/office/drawing/2014/main" id="{532E8C5D-FAB2-40A0-AB64-3514C130F4F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966" name="AutoShape 12">
          <a:extLst>
            <a:ext uri="{FF2B5EF4-FFF2-40B4-BE49-F238E27FC236}">
              <a16:creationId xmlns:a16="http://schemas.microsoft.com/office/drawing/2014/main" id="{7F185AFD-A8EB-4B65-8FC0-516789B3A85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967" name="AutoShape 12">
          <a:extLst>
            <a:ext uri="{FF2B5EF4-FFF2-40B4-BE49-F238E27FC236}">
              <a16:creationId xmlns:a16="http://schemas.microsoft.com/office/drawing/2014/main" id="{044701EC-C351-41A8-AC1B-ACB9BF5AC2F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968" name="AutoShape 12">
          <a:extLst>
            <a:ext uri="{FF2B5EF4-FFF2-40B4-BE49-F238E27FC236}">
              <a16:creationId xmlns:a16="http://schemas.microsoft.com/office/drawing/2014/main" id="{F956859D-12BC-46CE-9A89-94539579D7D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969" name="AutoShape 12">
          <a:extLst>
            <a:ext uri="{FF2B5EF4-FFF2-40B4-BE49-F238E27FC236}">
              <a16:creationId xmlns:a16="http://schemas.microsoft.com/office/drawing/2014/main" id="{A33C92F8-C6B6-4772-98CE-71E9820CAEC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970" name="AutoShape 12">
          <a:extLst>
            <a:ext uri="{FF2B5EF4-FFF2-40B4-BE49-F238E27FC236}">
              <a16:creationId xmlns:a16="http://schemas.microsoft.com/office/drawing/2014/main" id="{FD0F7D55-8C8E-4552-A04D-4F78CE618D4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971" name="AutoShape 12">
          <a:extLst>
            <a:ext uri="{FF2B5EF4-FFF2-40B4-BE49-F238E27FC236}">
              <a16:creationId xmlns:a16="http://schemas.microsoft.com/office/drawing/2014/main" id="{CCAF169C-9F2E-4641-97FB-9D261BD08BE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972" name="AutoShape 12">
          <a:extLst>
            <a:ext uri="{FF2B5EF4-FFF2-40B4-BE49-F238E27FC236}">
              <a16:creationId xmlns:a16="http://schemas.microsoft.com/office/drawing/2014/main" id="{F5F6D519-4B49-4B25-B525-3D9EF2814BC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973" name="AutoShape 12">
          <a:extLst>
            <a:ext uri="{FF2B5EF4-FFF2-40B4-BE49-F238E27FC236}">
              <a16:creationId xmlns:a16="http://schemas.microsoft.com/office/drawing/2014/main" id="{D959664C-E79B-4465-8911-B1B7F883934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974" name="AutoShape 12">
          <a:extLst>
            <a:ext uri="{FF2B5EF4-FFF2-40B4-BE49-F238E27FC236}">
              <a16:creationId xmlns:a16="http://schemas.microsoft.com/office/drawing/2014/main" id="{69BD1505-2C58-465A-8053-605B03B4237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975" name="AutoShape 12">
          <a:extLst>
            <a:ext uri="{FF2B5EF4-FFF2-40B4-BE49-F238E27FC236}">
              <a16:creationId xmlns:a16="http://schemas.microsoft.com/office/drawing/2014/main" id="{C11F1CF5-755B-4BD0-848B-4F8D3C668C3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976" name="AutoShape 12">
          <a:extLst>
            <a:ext uri="{FF2B5EF4-FFF2-40B4-BE49-F238E27FC236}">
              <a16:creationId xmlns:a16="http://schemas.microsoft.com/office/drawing/2014/main" id="{71B48A46-396E-4D5F-9B61-8F281B2B0E4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977" name="AutoShape 12">
          <a:extLst>
            <a:ext uri="{FF2B5EF4-FFF2-40B4-BE49-F238E27FC236}">
              <a16:creationId xmlns:a16="http://schemas.microsoft.com/office/drawing/2014/main" id="{0DF341A5-70F5-40E1-8921-4C0F7F97A8B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978" name="AutoShape 12">
          <a:extLst>
            <a:ext uri="{FF2B5EF4-FFF2-40B4-BE49-F238E27FC236}">
              <a16:creationId xmlns:a16="http://schemas.microsoft.com/office/drawing/2014/main" id="{02CF5A58-19DA-45CF-BBBD-C4F751F7F5E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102</xdr:row>
      <xdr:rowOff>0</xdr:rowOff>
    </xdr:from>
    <xdr:ext cx="304800" cy="304094"/>
    <xdr:sp macro="" textlink="">
      <xdr:nvSpPr>
        <xdr:cNvPr id="3979" name="AutoShape 12">
          <a:extLst>
            <a:ext uri="{FF2B5EF4-FFF2-40B4-BE49-F238E27FC236}">
              <a16:creationId xmlns:a16="http://schemas.microsoft.com/office/drawing/2014/main" id="{CDF1B7E1-F9ED-488F-ADAB-7FA525064E3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3980" name="AutoShape 12">
          <a:extLst>
            <a:ext uri="{FF2B5EF4-FFF2-40B4-BE49-F238E27FC236}">
              <a16:creationId xmlns:a16="http://schemas.microsoft.com/office/drawing/2014/main" id="{8BD21D4F-5F4A-48A6-9AC7-A863B084698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3981" name="AutoShape 12">
          <a:extLst>
            <a:ext uri="{FF2B5EF4-FFF2-40B4-BE49-F238E27FC236}">
              <a16:creationId xmlns:a16="http://schemas.microsoft.com/office/drawing/2014/main" id="{CFDA1833-B2F7-4E49-AFB3-2953324BB90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3982" name="AutoShape 12">
          <a:extLst>
            <a:ext uri="{FF2B5EF4-FFF2-40B4-BE49-F238E27FC236}">
              <a16:creationId xmlns:a16="http://schemas.microsoft.com/office/drawing/2014/main" id="{55ADE173-8616-4D22-9E87-7B99AF0DD8D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3983" name="AutoShape 12">
          <a:extLst>
            <a:ext uri="{FF2B5EF4-FFF2-40B4-BE49-F238E27FC236}">
              <a16:creationId xmlns:a16="http://schemas.microsoft.com/office/drawing/2014/main" id="{8113C89F-567F-4422-B4E3-D7D8D5420DB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3984" name="AutoShape 12">
          <a:extLst>
            <a:ext uri="{FF2B5EF4-FFF2-40B4-BE49-F238E27FC236}">
              <a16:creationId xmlns:a16="http://schemas.microsoft.com/office/drawing/2014/main" id="{FE5A570F-78DB-45D3-B184-F74E2ED53C4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3985" name="AutoShape 12">
          <a:extLst>
            <a:ext uri="{FF2B5EF4-FFF2-40B4-BE49-F238E27FC236}">
              <a16:creationId xmlns:a16="http://schemas.microsoft.com/office/drawing/2014/main" id="{0286DEB6-B750-469B-8898-731CE8CB622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3986" name="AutoShape 12">
          <a:extLst>
            <a:ext uri="{FF2B5EF4-FFF2-40B4-BE49-F238E27FC236}">
              <a16:creationId xmlns:a16="http://schemas.microsoft.com/office/drawing/2014/main" id="{F4BB2259-FB0B-42FD-A165-E95A4A03839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3987" name="AutoShape 12">
          <a:extLst>
            <a:ext uri="{FF2B5EF4-FFF2-40B4-BE49-F238E27FC236}">
              <a16:creationId xmlns:a16="http://schemas.microsoft.com/office/drawing/2014/main" id="{D4FDDA81-1ACA-4835-979D-F895A46F71F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3988" name="AutoShape 12">
          <a:extLst>
            <a:ext uri="{FF2B5EF4-FFF2-40B4-BE49-F238E27FC236}">
              <a16:creationId xmlns:a16="http://schemas.microsoft.com/office/drawing/2014/main" id="{C0F91B6D-AD3C-4A29-B967-551E089A3A6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3989" name="AutoShape 12">
          <a:extLst>
            <a:ext uri="{FF2B5EF4-FFF2-40B4-BE49-F238E27FC236}">
              <a16:creationId xmlns:a16="http://schemas.microsoft.com/office/drawing/2014/main" id="{CE95998E-1F5A-43DF-B2E2-4FA1ECB4FD4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3990" name="AutoShape 12">
          <a:extLst>
            <a:ext uri="{FF2B5EF4-FFF2-40B4-BE49-F238E27FC236}">
              <a16:creationId xmlns:a16="http://schemas.microsoft.com/office/drawing/2014/main" id="{C060825B-2A5A-4EB9-A0B5-C1B71C4B4D3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3991" name="AutoShape 12">
          <a:extLst>
            <a:ext uri="{FF2B5EF4-FFF2-40B4-BE49-F238E27FC236}">
              <a16:creationId xmlns:a16="http://schemas.microsoft.com/office/drawing/2014/main" id="{B8179F78-745B-4712-A30C-A86D915AB91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3992" name="AutoShape 12">
          <a:extLst>
            <a:ext uri="{FF2B5EF4-FFF2-40B4-BE49-F238E27FC236}">
              <a16:creationId xmlns:a16="http://schemas.microsoft.com/office/drawing/2014/main" id="{C9A6764E-9F48-45C7-B4F7-F0119268493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3993" name="AutoShape 12">
          <a:extLst>
            <a:ext uri="{FF2B5EF4-FFF2-40B4-BE49-F238E27FC236}">
              <a16:creationId xmlns:a16="http://schemas.microsoft.com/office/drawing/2014/main" id="{499FEE5A-1D12-4EEA-953C-4D994FC675F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3994" name="AutoShape 12">
          <a:extLst>
            <a:ext uri="{FF2B5EF4-FFF2-40B4-BE49-F238E27FC236}">
              <a16:creationId xmlns:a16="http://schemas.microsoft.com/office/drawing/2014/main" id="{770413B8-32F1-4D01-BFF4-04F918CD061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3995" name="AutoShape 12">
          <a:extLst>
            <a:ext uri="{FF2B5EF4-FFF2-40B4-BE49-F238E27FC236}">
              <a16:creationId xmlns:a16="http://schemas.microsoft.com/office/drawing/2014/main" id="{13000699-0887-425F-BC3C-858FAA7021F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3996" name="AutoShape 12">
          <a:extLst>
            <a:ext uri="{FF2B5EF4-FFF2-40B4-BE49-F238E27FC236}">
              <a16:creationId xmlns:a16="http://schemas.microsoft.com/office/drawing/2014/main" id="{07931B75-505B-4252-AFFB-DA5CCB1427A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3997" name="AutoShape 12">
          <a:extLst>
            <a:ext uri="{FF2B5EF4-FFF2-40B4-BE49-F238E27FC236}">
              <a16:creationId xmlns:a16="http://schemas.microsoft.com/office/drawing/2014/main" id="{A579498B-B79E-4E6A-A237-93EB8DC280E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3998" name="AutoShape 12">
          <a:extLst>
            <a:ext uri="{FF2B5EF4-FFF2-40B4-BE49-F238E27FC236}">
              <a16:creationId xmlns:a16="http://schemas.microsoft.com/office/drawing/2014/main" id="{ED13234A-DC20-417A-B19C-5F50A3FCD09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3999" name="AutoShape 12">
          <a:extLst>
            <a:ext uri="{FF2B5EF4-FFF2-40B4-BE49-F238E27FC236}">
              <a16:creationId xmlns:a16="http://schemas.microsoft.com/office/drawing/2014/main" id="{CFFA6DA2-A0DE-4660-BBA3-66ED21F2D3E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4000" name="AutoShape 12">
          <a:extLst>
            <a:ext uri="{FF2B5EF4-FFF2-40B4-BE49-F238E27FC236}">
              <a16:creationId xmlns:a16="http://schemas.microsoft.com/office/drawing/2014/main" id="{D2DCD05B-87CB-43A3-92EF-F95C4BC9C02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4001" name="AutoShape 12">
          <a:extLst>
            <a:ext uri="{FF2B5EF4-FFF2-40B4-BE49-F238E27FC236}">
              <a16:creationId xmlns:a16="http://schemas.microsoft.com/office/drawing/2014/main" id="{954F45DB-146C-4893-BF99-51D766EB611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4002" name="AutoShape 12">
          <a:extLst>
            <a:ext uri="{FF2B5EF4-FFF2-40B4-BE49-F238E27FC236}">
              <a16:creationId xmlns:a16="http://schemas.microsoft.com/office/drawing/2014/main" id="{79B21BAF-B043-4877-869D-D0FB72C4B33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4003" name="AutoShape 12">
          <a:extLst>
            <a:ext uri="{FF2B5EF4-FFF2-40B4-BE49-F238E27FC236}">
              <a16:creationId xmlns:a16="http://schemas.microsoft.com/office/drawing/2014/main" id="{C8124674-4F25-45BA-B87F-6002B6D6F46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4004" name="AutoShape 12">
          <a:extLst>
            <a:ext uri="{FF2B5EF4-FFF2-40B4-BE49-F238E27FC236}">
              <a16:creationId xmlns:a16="http://schemas.microsoft.com/office/drawing/2014/main" id="{7650DF03-022E-43E8-8AE2-B0AFDB955F0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4005" name="AutoShape 12">
          <a:extLst>
            <a:ext uri="{FF2B5EF4-FFF2-40B4-BE49-F238E27FC236}">
              <a16:creationId xmlns:a16="http://schemas.microsoft.com/office/drawing/2014/main" id="{E589CD2A-0B75-4201-A35C-7616AE2AE00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4006" name="AutoShape 12">
          <a:extLst>
            <a:ext uri="{FF2B5EF4-FFF2-40B4-BE49-F238E27FC236}">
              <a16:creationId xmlns:a16="http://schemas.microsoft.com/office/drawing/2014/main" id="{E7DBC512-345B-464C-A4A3-BEE89652B6E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4007" name="AutoShape 12">
          <a:extLst>
            <a:ext uri="{FF2B5EF4-FFF2-40B4-BE49-F238E27FC236}">
              <a16:creationId xmlns:a16="http://schemas.microsoft.com/office/drawing/2014/main" id="{7569B0E3-386F-4D0F-BCAF-E8CCEF91B08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4008" name="AutoShape 12">
          <a:extLst>
            <a:ext uri="{FF2B5EF4-FFF2-40B4-BE49-F238E27FC236}">
              <a16:creationId xmlns:a16="http://schemas.microsoft.com/office/drawing/2014/main" id="{6AA65731-FA84-4AD1-A1FC-436206F5A8A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4009" name="AutoShape 12">
          <a:extLst>
            <a:ext uri="{FF2B5EF4-FFF2-40B4-BE49-F238E27FC236}">
              <a16:creationId xmlns:a16="http://schemas.microsoft.com/office/drawing/2014/main" id="{F9AB8D97-636D-4427-A720-8908B36F4AC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4010" name="AutoShape 12">
          <a:extLst>
            <a:ext uri="{FF2B5EF4-FFF2-40B4-BE49-F238E27FC236}">
              <a16:creationId xmlns:a16="http://schemas.microsoft.com/office/drawing/2014/main" id="{1181BF2C-1960-4F93-B7D0-BB286E30F5B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4011" name="AutoShape 12">
          <a:extLst>
            <a:ext uri="{FF2B5EF4-FFF2-40B4-BE49-F238E27FC236}">
              <a16:creationId xmlns:a16="http://schemas.microsoft.com/office/drawing/2014/main" id="{1240FE4D-D374-4EDF-9218-24AEEE6FB54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4012" name="AutoShape 12">
          <a:extLst>
            <a:ext uri="{FF2B5EF4-FFF2-40B4-BE49-F238E27FC236}">
              <a16:creationId xmlns:a16="http://schemas.microsoft.com/office/drawing/2014/main" id="{6FF3930F-8B28-4DF8-AE34-FED0ADBED2C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4013" name="AutoShape 12">
          <a:extLst>
            <a:ext uri="{FF2B5EF4-FFF2-40B4-BE49-F238E27FC236}">
              <a16:creationId xmlns:a16="http://schemas.microsoft.com/office/drawing/2014/main" id="{8A68F5D5-89D5-4160-A00B-C0105C0D54F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4014" name="AutoShape 12">
          <a:extLst>
            <a:ext uri="{FF2B5EF4-FFF2-40B4-BE49-F238E27FC236}">
              <a16:creationId xmlns:a16="http://schemas.microsoft.com/office/drawing/2014/main" id="{C42B2DF6-A327-49D1-B63B-BED12748389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4015" name="AutoShape 12">
          <a:extLst>
            <a:ext uri="{FF2B5EF4-FFF2-40B4-BE49-F238E27FC236}">
              <a16:creationId xmlns:a16="http://schemas.microsoft.com/office/drawing/2014/main" id="{02764FAF-853E-4BFC-B53B-453E6ED227D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4016" name="AutoShape 12">
          <a:extLst>
            <a:ext uri="{FF2B5EF4-FFF2-40B4-BE49-F238E27FC236}">
              <a16:creationId xmlns:a16="http://schemas.microsoft.com/office/drawing/2014/main" id="{04AB069C-3E64-416D-9699-63E92838E68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4017" name="AutoShape 12">
          <a:extLst>
            <a:ext uri="{FF2B5EF4-FFF2-40B4-BE49-F238E27FC236}">
              <a16:creationId xmlns:a16="http://schemas.microsoft.com/office/drawing/2014/main" id="{4995787E-455B-4ADC-ADE9-F4148F1363D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4018" name="AutoShape 12">
          <a:extLst>
            <a:ext uri="{FF2B5EF4-FFF2-40B4-BE49-F238E27FC236}">
              <a16:creationId xmlns:a16="http://schemas.microsoft.com/office/drawing/2014/main" id="{28B6721A-40E7-4AE4-9AE8-F294560AF24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4019" name="AutoShape 12">
          <a:extLst>
            <a:ext uri="{FF2B5EF4-FFF2-40B4-BE49-F238E27FC236}">
              <a16:creationId xmlns:a16="http://schemas.microsoft.com/office/drawing/2014/main" id="{34F655D5-E669-499F-A5D4-F304F5D44E9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4020" name="AutoShape 12">
          <a:extLst>
            <a:ext uri="{FF2B5EF4-FFF2-40B4-BE49-F238E27FC236}">
              <a16:creationId xmlns:a16="http://schemas.microsoft.com/office/drawing/2014/main" id="{51DB2883-6AF6-4CD1-9575-DEAC50670C2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4021" name="AutoShape 12">
          <a:extLst>
            <a:ext uri="{FF2B5EF4-FFF2-40B4-BE49-F238E27FC236}">
              <a16:creationId xmlns:a16="http://schemas.microsoft.com/office/drawing/2014/main" id="{396C911C-54D3-4A6F-84C0-59A26946AEE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4022" name="AutoShape 12">
          <a:extLst>
            <a:ext uri="{FF2B5EF4-FFF2-40B4-BE49-F238E27FC236}">
              <a16:creationId xmlns:a16="http://schemas.microsoft.com/office/drawing/2014/main" id="{04A74BB0-4F44-463F-B52B-E3437DBAC30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4023" name="AutoShape 12">
          <a:extLst>
            <a:ext uri="{FF2B5EF4-FFF2-40B4-BE49-F238E27FC236}">
              <a16:creationId xmlns:a16="http://schemas.microsoft.com/office/drawing/2014/main" id="{B8F84E21-4330-4E5C-9436-D079AAA89AF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4024" name="AutoShape 12">
          <a:extLst>
            <a:ext uri="{FF2B5EF4-FFF2-40B4-BE49-F238E27FC236}">
              <a16:creationId xmlns:a16="http://schemas.microsoft.com/office/drawing/2014/main" id="{12DBACB3-77F7-4E12-B8DC-5B5B5B1356D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4025" name="AutoShape 12">
          <a:extLst>
            <a:ext uri="{FF2B5EF4-FFF2-40B4-BE49-F238E27FC236}">
              <a16:creationId xmlns:a16="http://schemas.microsoft.com/office/drawing/2014/main" id="{440418B1-443E-4045-9E06-BDD1998C2A3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4026" name="AutoShape 12">
          <a:extLst>
            <a:ext uri="{FF2B5EF4-FFF2-40B4-BE49-F238E27FC236}">
              <a16:creationId xmlns:a16="http://schemas.microsoft.com/office/drawing/2014/main" id="{B71691D0-869F-4538-A365-05B8ECDE4B5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4027" name="AutoShape 12">
          <a:extLst>
            <a:ext uri="{FF2B5EF4-FFF2-40B4-BE49-F238E27FC236}">
              <a16:creationId xmlns:a16="http://schemas.microsoft.com/office/drawing/2014/main" id="{A3D0130B-60BF-43FF-8268-BFFBD92B5F9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4028" name="AutoShape 12">
          <a:extLst>
            <a:ext uri="{FF2B5EF4-FFF2-40B4-BE49-F238E27FC236}">
              <a16:creationId xmlns:a16="http://schemas.microsoft.com/office/drawing/2014/main" id="{8CD883C0-C295-4435-A7A2-E7147A3AC77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4029" name="AutoShape 12">
          <a:extLst>
            <a:ext uri="{FF2B5EF4-FFF2-40B4-BE49-F238E27FC236}">
              <a16:creationId xmlns:a16="http://schemas.microsoft.com/office/drawing/2014/main" id="{40BEEB8D-F21C-4A6F-B4EC-FAFF5D95172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4030" name="AutoShape 12">
          <a:extLst>
            <a:ext uri="{FF2B5EF4-FFF2-40B4-BE49-F238E27FC236}">
              <a16:creationId xmlns:a16="http://schemas.microsoft.com/office/drawing/2014/main" id="{ABE48096-D289-4D8E-A6B6-07647171CC4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4031" name="AutoShape 12">
          <a:extLst>
            <a:ext uri="{FF2B5EF4-FFF2-40B4-BE49-F238E27FC236}">
              <a16:creationId xmlns:a16="http://schemas.microsoft.com/office/drawing/2014/main" id="{183D07BB-20D1-4D30-B62A-72FD23D5986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4032" name="AutoShape 12">
          <a:extLst>
            <a:ext uri="{FF2B5EF4-FFF2-40B4-BE49-F238E27FC236}">
              <a16:creationId xmlns:a16="http://schemas.microsoft.com/office/drawing/2014/main" id="{4F8A5FD9-BBA0-4C17-909D-079A6E27D41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4033" name="AutoShape 12">
          <a:extLst>
            <a:ext uri="{FF2B5EF4-FFF2-40B4-BE49-F238E27FC236}">
              <a16:creationId xmlns:a16="http://schemas.microsoft.com/office/drawing/2014/main" id="{5BF14ACC-9C60-42CB-BF46-1FB926BA91C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4034" name="AutoShape 12">
          <a:extLst>
            <a:ext uri="{FF2B5EF4-FFF2-40B4-BE49-F238E27FC236}">
              <a16:creationId xmlns:a16="http://schemas.microsoft.com/office/drawing/2014/main" id="{E5EF3F35-0435-46B1-A9EE-4367BE2087C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4035" name="AutoShape 12">
          <a:extLst>
            <a:ext uri="{FF2B5EF4-FFF2-40B4-BE49-F238E27FC236}">
              <a16:creationId xmlns:a16="http://schemas.microsoft.com/office/drawing/2014/main" id="{DC9F836F-DF63-4914-A9DA-2264D4712FB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4036" name="AutoShape 12">
          <a:extLst>
            <a:ext uri="{FF2B5EF4-FFF2-40B4-BE49-F238E27FC236}">
              <a16:creationId xmlns:a16="http://schemas.microsoft.com/office/drawing/2014/main" id="{D785FCBD-FFC0-4683-961F-4741649C638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4037" name="AutoShape 12">
          <a:extLst>
            <a:ext uri="{FF2B5EF4-FFF2-40B4-BE49-F238E27FC236}">
              <a16:creationId xmlns:a16="http://schemas.microsoft.com/office/drawing/2014/main" id="{EAD1201A-42FB-4864-A29B-B00D12CD199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4038" name="AutoShape 12">
          <a:extLst>
            <a:ext uri="{FF2B5EF4-FFF2-40B4-BE49-F238E27FC236}">
              <a16:creationId xmlns:a16="http://schemas.microsoft.com/office/drawing/2014/main" id="{F949D2B0-B258-4E5B-AC6F-E1E1E87B291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4039" name="AutoShape 12">
          <a:extLst>
            <a:ext uri="{FF2B5EF4-FFF2-40B4-BE49-F238E27FC236}">
              <a16:creationId xmlns:a16="http://schemas.microsoft.com/office/drawing/2014/main" id="{DF536B87-3992-4C64-8F47-0F4E22F5961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4040" name="AutoShape 12">
          <a:extLst>
            <a:ext uri="{FF2B5EF4-FFF2-40B4-BE49-F238E27FC236}">
              <a16:creationId xmlns:a16="http://schemas.microsoft.com/office/drawing/2014/main" id="{6B3961AE-EAA6-48BD-874E-17A00D3D519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4041" name="AutoShape 12">
          <a:extLst>
            <a:ext uri="{FF2B5EF4-FFF2-40B4-BE49-F238E27FC236}">
              <a16:creationId xmlns:a16="http://schemas.microsoft.com/office/drawing/2014/main" id="{DC3C0073-6498-45B5-9355-3D9911F957F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4042" name="AutoShape 12">
          <a:extLst>
            <a:ext uri="{FF2B5EF4-FFF2-40B4-BE49-F238E27FC236}">
              <a16:creationId xmlns:a16="http://schemas.microsoft.com/office/drawing/2014/main" id="{04B8E750-FFA8-4436-879F-4ABA4D4828B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4043" name="AutoShape 12">
          <a:extLst>
            <a:ext uri="{FF2B5EF4-FFF2-40B4-BE49-F238E27FC236}">
              <a16:creationId xmlns:a16="http://schemas.microsoft.com/office/drawing/2014/main" id="{345A6554-C363-442E-8237-809E89F25A7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4044" name="AutoShape 12">
          <a:extLst>
            <a:ext uri="{FF2B5EF4-FFF2-40B4-BE49-F238E27FC236}">
              <a16:creationId xmlns:a16="http://schemas.microsoft.com/office/drawing/2014/main" id="{9131D609-C201-45C2-A837-CC19937E1D6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4045" name="AutoShape 12">
          <a:extLst>
            <a:ext uri="{FF2B5EF4-FFF2-40B4-BE49-F238E27FC236}">
              <a16:creationId xmlns:a16="http://schemas.microsoft.com/office/drawing/2014/main" id="{5C390E2D-9AA4-40A8-A0D2-A105B46B251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4046" name="AutoShape 12">
          <a:extLst>
            <a:ext uri="{FF2B5EF4-FFF2-40B4-BE49-F238E27FC236}">
              <a16:creationId xmlns:a16="http://schemas.microsoft.com/office/drawing/2014/main" id="{025240D5-F694-42D0-B636-91784B79A46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4047" name="AutoShape 12">
          <a:extLst>
            <a:ext uri="{FF2B5EF4-FFF2-40B4-BE49-F238E27FC236}">
              <a16:creationId xmlns:a16="http://schemas.microsoft.com/office/drawing/2014/main" id="{BE3A1EDB-6084-4193-B62A-C3C665D0402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4048" name="AutoShape 12">
          <a:extLst>
            <a:ext uri="{FF2B5EF4-FFF2-40B4-BE49-F238E27FC236}">
              <a16:creationId xmlns:a16="http://schemas.microsoft.com/office/drawing/2014/main" id="{384A08E6-79C7-4C28-AA94-301869A379D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4049" name="AutoShape 12">
          <a:extLst>
            <a:ext uri="{FF2B5EF4-FFF2-40B4-BE49-F238E27FC236}">
              <a16:creationId xmlns:a16="http://schemas.microsoft.com/office/drawing/2014/main" id="{CE53D237-86EC-42B2-9BF8-9B273D5C5C6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4050" name="AutoShape 12">
          <a:extLst>
            <a:ext uri="{FF2B5EF4-FFF2-40B4-BE49-F238E27FC236}">
              <a16:creationId xmlns:a16="http://schemas.microsoft.com/office/drawing/2014/main" id="{B11C8492-476B-415D-A6CC-F12F4ADBD2E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4051" name="AutoShape 12">
          <a:extLst>
            <a:ext uri="{FF2B5EF4-FFF2-40B4-BE49-F238E27FC236}">
              <a16:creationId xmlns:a16="http://schemas.microsoft.com/office/drawing/2014/main" id="{42FEA2A3-273D-4F85-A3D7-827D61CC535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4052" name="AutoShape 12">
          <a:extLst>
            <a:ext uri="{FF2B5EF4-FFF2-40B4-BE49-F238E27FC236}">
              <a16:creationId xmlns:a16="http://schemas.microsoft.com/office/drawing/2014/main" id="{1659B45F-D7F6-4841-A723-D6B40E956E3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4053" name="AutoShape 12">
          <a:extLst>
            <a:ext uri="{FF2B5EF4-FFF2-40B4-BE49-F238E27FC236}">
              <a16:creationId xmlns:a16="http://schemas.microsoft.com/office/drawing/2014/main" id="{23A99E27-33CB-43F2-AA62-6D0DF5AF276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4054" name="AutoShape 12">
          <a:extLst>
            <a:ext uri="{FF2B5EF4-FFF2-40B4-BE49-F238E27FC236}">
              <a16:creationId xmlns:a16="http://schemas.microsoft.com/office/drawing/2014/main" id="{A3D76B5C-1BCE-4C3E-9617-65B8B63453B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4055" name="AutoShape 12">
          <a:extLst>
            <a:ext uri="{FF2B5EF4-FFF2-40B4-BE49-F238E27FC236}">
              <a16:creationId xmlns:a16="http://schemas.microsoft.com/office/drawing/2014/main" id="{DEC49AA0-E036-484D-ADF8-C149162A6C5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4056" name="AutoShape 12">
          <a:extLst>
            <a:ext uri="{FF2B5EF4-FFF2-40B4-BE49-F238E27FC236}">
              <a16:creationId xmlns:a16="http://schemas.microsoft.com/office/drawing/2014/main" id="{10F51DBF-75D8-4BE4-BD86-8E1CE89F198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4057" name="AutoShape 12">
          <a:extLst>
            <a:ext uri="{FF2B5EF4-FFF2-40B4-BE49-F238E27FC236}">
              <a16:creationId xmlns:a16="http://schemas.microsoft.com/office/drawing/2014/main" id="{5149FBF0-6DB7-41A8-BCA2-DE0F8E0E6B9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4058" name="AutoShape 12">
          <a:extLst>
            <a:ext uri="{FF2B5EF4-FFF2-40B4-BE49-F238E27FC236}">
              <a16:creationId xmlns:a16="http://schemas.microsoft.com/office/drawing/2014/main" id="{186FA4AB-30EF-4A68-8D9B-D80E042F287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4059" name="AutoShape 12">
          <a:extLst>
            <a:ext uri="{FF2B5EF4-FFF2-40B4-BE49-F238E27FC236}">
              <a16:creationId xmlns:a16="http://schemas.microsoft.com/office/drawing/2014/main" id="{B5C6D226-346E-47D5-818C-D54FC67F086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4060" name="AutoShape 12">
          <a:extLst>
            <a:ext uri="{FF2B5EF4-FFF2-40B4-BE49-F238E27FC236}">
              <a16:creationId xmlns:a16="http://schemas.microsoft.com/office/drawing/2014/main" id="{3324565E-2A11-4C20-9CE1-EB0A819F821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4061" name="AutoShape 12">
          <a:extLst>
            <a:ext uri="{FF2B5EF4-FFF2-40B4-BE49-F238E27FC236}">
              <a16:creationId xmlns:a16="http://schemas.microsoft.com/office/drawing/2014/main" id="{0C2B6670-E312-48BA-BDA4-6D6520B31B1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4062" name="AutoShape 12">
          <a:extLst>
            <a:ext uri="{FF2B5EF4-FFF2-40B4-BE49-F238E27FC236}">
              <a16:creationId xmlns:a16="http://schemas.microsoft.com/office/drawing/2014/main" id="{C722DA2B-FCAE-4F32-9707-AA89AEC9630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4063" name="AutoShape 12">
          <a:extLst>
            <a:ext uri="{FF2B5EF4-FFF2-40B4-BE49-F238E27FC236}">
              <a16:creationId xmlns:a16="http://schemas.microsoft.com/office/drawing/2014/main" id="{49721A66-9B69-45F0-8B18-4598CD5C48C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4064" name="AutoShape 12">
          <a:extLst>
            <a:ext uri="{FF2B5EF4-FFF2-40B4-BE49-F238E27FC236}">
              <a16:creationId xmlns:a16="http://schemas.microsoft.com/office/drawing/2014/main" id="{FE86563C-90A7-40CB-BB9A-0D8D8E955F9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4065" name="AutoShape 12">
          <a:extLst>
            <a:ext uri="{FF2B5EF4-FFF2-40B4-BE49-F238E27FC236}">
              <a16:creationId xmlns:a16="http://schemas.microsoft.com/office/drawing/2014/main" id="{6C738CC3-99F5-4348-BD58-F0BA8F3F951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4066" name="AutoShape 12">
          <a:extLst>
            <a:ext uri="{FF2B5EF4-FFF2-40B4-BE49-F238E27FC236}">
              <a16:creationId xmlns:a16="http://schemas.microsoft.com/office/drawing/2014/main" id="{561E47F0-7F42-431D-8865-AD433B55ABA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4067" name="AutoShape 12">
          <a:extLst>
            <a:ext uri="{FF2B5EF4-FFF2-40B4-BE49-F238E27FC236}">
              <a16:creationId xmlns:a16="http://schemas.microsoft.com/office/drawing/2014/main" id="{B7406F71-6AAB-4AC5-9D0B-9D47B56D0E7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4068" name="AutoShape 12">
          <a:extLst>
            <a:ext uri="{FF2B5EF4-FFF2-40B4-BE49-F238E27FC236}">
              <a16:creationId xmlns:a16="http://schemas.microsoft.com/office/drawing/2014/main" id="{612376EB-D370-4ABC-86AC-20DBF7DDEBD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4069" name="AutoShape 12">
          <a:extLst>
            <a:ext uri="{FF2B5EF4-FFF2-40B4-BE49-F238E27FC236}">
              <a16:creationId xmlns:a16="http://schemas.microsoft.com/office/drawing/2014/main" id="{B1899DEE-BEE5-4B59-86ED-ACD7EE1AF07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4070" name="AutoShape 12">
          <a:extLst>
            <a:ext uri="{FF2B5EF4-FFF2-40B4-BE49-F238E27FC236}">
              <a16:creationId xmlns:a16="http://schemas.microsoft.com/office/drawing/2014/main" id="{99C030E3-6E61-4E57-9957-B76D4D0FF63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4071" name="AutoShape 12">
          <a:extLst>
            <a:ext uri="{FF2B5EF4-FFF2-40B4-BE49-F238E27FC236}">
              <a16:creationId xmlns:a16="http://schemas.microsoft.com/office/drawing/2014/main" id="{424C1D8E-AEB5-49FF-822C-DB4837AE749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4072" name="AutoShape 12">
          <a:extLst>
            <a:ext uri="{FF2B5EF4-FFF2-40B4-BE49-F238E27FC236}">
              <a16:creationId xmlns:a16="http://schemas.microsoft.com/office/drawing/2014/main" id="{89660256-37B4-4A18-B2C4-033CB75103F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4073" name="AutoShape 12">
          <a:extLst>
            <a:ext uri="{FF2B5EF4-FFF2-40B4-BE49-F238E27FC236}">
              <a16:creationId xmlns:a16="http://schemas.microsoft.com/office/drawing/2014/main" id="{AF3B0F2B-CBBC-4528-82BF-A8C596349F8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4074" name="AutoShape 12">
          <a:extLst>
            <a:ext uri="{FF2B5EF4-FFF2-40B4-BE49-F238E27FC236}">
              <a16:creationId xmlns:a16="http://schemas.microsoft.com/office/drawing/2014/main" id="{4D5F0A45-8ED4-47E6-887A-A44C5D289E3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4075" name="AutoShape 12">
          <a:extLst>
            <a:ext uri="{FF2B5EF4-FFF2-40B4-BE49-F238E27FC236}">
              <a16:creationId xmlns:a16="http://schemas.microsoft.com/office/drawing/2014/main" id="{0417C67D-0CB3-4650-9FF0-4511EBA4808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4076" name="AutoShape 12">
          <a:extLst>
            <a:ext uri="{FF2B5EF4-FFF2-40B4-BE49-F238E27FC236}">
              <a16:creationId xmlns:a16="http://schemas.microsoft.com/office/drawing/2014/main" id="{78E801E3-6E25-43F1-859E-5456C64CA0B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4077" name="AutoShape 12">
          <a:extLst>
            <a:ext uri="{FF2B5EF4-FFF2-40B4-BE49-F238E27FC236}">
              <a16:creationId xmlns:a16="http://schemas.microsoft.com/office/drawing/2014/main" id="{CD2CE945-ADEF-4E3D-94DB-12B5266F6DE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4078" name="AutoShape 12">
          <a:extLst>
            <a:ext uri="{FF2B5EF4-FFF2-40B4-BE49-F238E27FC236}">
              <a16:creationId xmlns:a16="http://schemas.microsoft.com/office/drawing/2014/main" id="{D561B8E0-ED6D-4C22-BC8E-A6457270EC6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4079" name="AutoShape 12">
          <a:extLst>
            <a:ext uri="{FF2B5EF4-FFF2-40B4-BE49-F238E27FC236}">
              <a16:creationId xmlns:a16="http://schemas.microsoft.com/office/drawing/2014/main" id="{85CA1B62-85E7-42C9-8DBA-7AF7B321828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4080" name="AutoShape 12">
          <a:extLst>
            <a:ext uri="{FF2B5EF4-FFF2-40B4-BE49-F238E27FC236}">
              <a16:creationId xmlns:a16="http://schemas.microsoft.com/office/drawing/2014/main" id="{DDDE2182-B493-4A9E-93AA-E90E0789B05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4081" name="AutoShape 12">
          <a:extLst>
            <a:ext uri="{FF2B5EF4-FFF2-40B4-BE49-F238E27FC236}">
              <a16:creationId xmlns:a16="http://schemas.microsoft.com/office/drawing/2014/main" id="{CF0DD621-731E-4A10-8987-9DE5D51816A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4082" name="AutoShape 12">
          <a:extLst>
            <a:ext uri="{FF2B5EF4-FFF2-40B4-BE49-F238E27FC236}">
              <a16:creationId xmlns:a16="http://schemas.microsoft.com/office/drawing/2014/main" id="{0FF5BE5A-C3D7-411F-8CF2-DE74EA33850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4083" name="AutoShape 12">
          <a:extLst>
            <a:ext uri="{FF2B5EF4-FFF2-40B4-BE49-F238E27FC236}">
              <a16:creationId xmlns:a16="http://schemas.microsoft.com/office/drawing/2014/main" id="{5EBD87C9-3B41-4EF4-BC74-B4DE14DABDB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4084" name="AutoShape 12">
          <a:extLst>
            <a:ext uri="{FF2B5EF4-FFF2-40B4-BE49-F238E27FC236}">
              <a16:creationId xmlns:a16="http://schemas.microsoft.com/office/drawing/2014/main" id="{6E3133F2-B283-4398-90E5-D6464089474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4085" name="AutoShape 12">
          <a:extLst>
            <a:ext uri="{FF2B5EF4-FFF2-40B4-BE49-F238E27FC236}">
              <a16:creationId xmlns:a16="http://schemas.microsoft.com/office/drawing/2014/main" id="{46AA781F-619A-4BF0-8931-945B251589D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4086" name="AutoShape 12">
          <a:extLst>
            <a:ext uri="{FF2B5EF4-FFF2-40B4-BE49-F238E27FC236}">
              <a16:creationId xmlns:a16="http://schemas.microsoft.com/office/drawing/2014/main" id="{29ED3A8A-145D-4B6F-A157-9DE5B351880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4087" name="AutoShape 12">
          <a:extLst>
            <a:ext uri="{FF2B5EF4-FFF2-40B4-BE49-F238E27FC236}">
              <a16:creationId xmlns:a16="http://schemas.microsoft.com/office/drawing/2014/main" id="{33A206EF-3783-438A-B3CE-5E344920793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4088" name="AutoShape 12">
          <a:extLst>
            <a:ext uri="{FF2B5EF4-FFF2-40B4-BE49-F238E27FC236}">
              <a16:creationId xmlns:a16="http://schemas.microsoft.com/office/drawing/2014/main" id="{9B8A8BBF-9E9E-41AE-A5A7-C41520C4858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4089" name="AutoShape 12">
          <a:extLst>
            <a:ext uri="{FF2B5EF4-FFF2-40B4-BE49-F238E27FC236}">
              <a16:creationId xmlns:a16="http://schemas.microsoft.com/office/drawing/2014/main" id="{AE6E3F63-8350-4D9C-B895-6F4E94942BC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4090" name="AutoShape 12">
          <a:extLst>
            <a:ext uri="{FF2B5EF4-FFF2-40B4-BE49-F238E27FC236}">
              <a16:creationId xmlns:a16="http://schemas.microsoft.com/office/drawing/2014/main" id="{3924623C-F686-49BE-8021-2BDB0FA4754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4091" name="AutoShape 12">
          <a:extLst>
            <a:ext uri="{FF2B5EF4-FFF2-40B4-BE49-F238E27FC236}">
              <a16:creationId xmlns:a16="http://schemas.microsoft.com/office/drawing/2014/main" id="{9978C75A-B017-43AE-9FD0-D3F93C53C6E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4092" name="AutoShape 12">
          <a:extLst>
            <a:ext uri="{FF2B5EF4-FFF2-40B4-BE49-F238E27FC236}">
              <a16:creationId xmlns:a16="http://schemas.microsoft.com/office/drawing/2014/main" id="{1C33D98E-0D1D-46D1-9ABB-DAFD607980A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4093" name="AutoShape 12">
          <a:extLst>
            <a:ext uri="{FF2B5EF4-FFF2-40B4-BE49-F238E27FC236}">
              <a16:creationId xmlns:a16="http://schemas.microsoft.com/office/drawing/2014/main" id="{90464F84-57A2-4B36-B4A5-289525E0B90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4094" name="AutoShape 12">
          <a:extLst>
            <a:ext uri="{FF2B5EF4-FFF2-40B4-BE49-F238E27FC236}">
              <a16:creationId xmlns:a16="http://schemas.microsoft.com/office/drawing/2014/main" id="{26E35ACA-47A7-45CE-8F6D-3ABF074A517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4095" name="AutoShape 12">
          <a:extLst>
            <a:ext uri="{FF2B5EF4-FFF2-40B4-BE49-F238E27FC236}">
              <a16:creationId xmlns:a16="http://schemas.microsoft.com/office/drawing/2014/main" id="{1D898B3F-8DBE-49EF-9035-61188286355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4096" name="AutoShape 12">
          <a:extLst>
            <a:ext uri="{FF2B5EF4-FFF2-40B4-BE49-F238E27FC236}">
              <a16:creationId xmlns:a16="http://schemas.microsoft.com/office/drawing/2014/main" id="{7EB0C00C-E131-4AC6-83DB-872AA9BFEA2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4097" name="AutoShape 12">
          <a:extLst>
            <a:ext uri="{FF2B5EF4-FFF2-40B4-BE49-F238E27FC236}">
              <a16:creationId xmlns:a16="http://schemas.microsoft.com/office/drawing/2014/main" id="{FB989938-416E-40BA-BF43-56D25A451BA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4098" name="AutoShape 12">
          <a:extLst>
            <a:ext uri="{FF2B5EF4-FFF2-40B4-BE49-F238E27FC236}">
              <a16:creationId xmlns:a16="http://schemas.microsoft.com/office/drawing/2014/main" id="{9E56C358-E2F2-4B6A-87AC-393D5D434AB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4099" name="AutoShape 12">
          <a:extLst>
            <a:ext uri="{FF2B5EF4-FFF2-40B4-BE49-F238E27FC236}">
              <a16:creationId xmlns:a16="http://schemas.microsoft.com/office/drawing/2014/main" id="{ED994EA3-473E-45F1-8227-27395EA0E2F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4100" name="AutoShape 12">
          <a:extLst>
            <a:ext uri="{FF2B5EF4-FFF2-40B4-BE49-F238E27FC236}">
              <a16:creationId xmlns:a16="http://schemas.microsoft.com/office/drawing/2014/main" id="{847E4367-0D24-43D6-8072-040A1E16F39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4101" name="AutoShape 12">
          <a:extLst>
            <a:ext uri="{FF2B5EF4-FFF2-40B4-BE49-F238E27FC236}">
              <a16:creationId xmlns:a16="http://schemas.microsoft.com/office/drawing/2014/main" id="{57F6E361-EED5-4553-B78D-6FB1E1C05DC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4102" name="AutoShape 12">
          <a:extLst>
            <a:ext uri="{FF2B5EF4-FFF2-40B4-BE49-F238E27FC236}">
              <a16:creationId xmlns:a16="http://schemas.microsoft.com/office/drawing/2014/main" id="{5CF67884-C2E1-4E42-AD6D-29450F95F74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4103" name="AutoShape 12">
          <a:extLst>
            <a:ext uri="{FF2B5EF4-FFF2-40B4-BE49-F238E27FC236}">
              <a16:creationId xmlns:a16="http://schemas.microsoft.com/office/drawing/2014/main" id="{17F16BCC-0A69-4255-B86C-59D30F3162B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4104" name="AutoShape 12">
          <a:extLst>
            <a:ext uri="{FF2B5EF4-FFF2-40B4-BE49-F238E27FC236}">
              <a16:creationId xmlns:a16="http://schemas.microsoft.com/office/drawing/2014/main" id="{9F9F5C5F-4F80-4EA5-8752-FC5AA5D9A59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4105" name="AutoShape 12">
          <a:extLst>
            <a:ext uri="{FF2B5EF4-FFF2-40B4-BE49-F238E27FC236}">
              <a16:creationId xmlns:a16="http://schemas.microsoft.com/office/drawing/2014/main" id="{06FB2A0B-F0F5-4F9C-9AA7-127E5C07F47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4106" name="AutoShape 12">
          <a:extLst>
            <a:ext uri="{FF2B5EF4-FFF2-40B4-BE49-F238E27FC236}">
              <a16:creationId xmlns:a16="http://schemas.microsoft.com/office/drawing/2014/main" id="{46E547F6-ED5A-4CB5-A650-2C0F77F995D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4107" name="AutoShape 12">
          <a:extLst>
            <a:ext uri="{FF2B5EF4-FFF2-40B4-BE49-F238E27FC236}">
              <a16:creationId xmlns:a16="http://schemas.microsoft.com/office/drawing/2014/main" id="{7486DFB0-1EAE-4878-988A-E86A1668658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4108" name="AutoShape 12">
          <a:extLst>
            <a:ext uri="{FF2B5EF4-FFF2-40B4-BE49-F238E27FC236}">
              <a16:creationId xmlns:a16="http://schemas.microsoft.com/office/drawing/2014/main" id="{6F6D9F41-AC42-4CE4-A5B6-6D6294B353B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4109" name="AutoShape 12">
          <a:extLst>
            <a:ext uri="{FF2B5EF4-FFF2-40B4-BE49-F238E27FC236}">
              <a16:creationId xmlns:a16="http://schemas.microsoft.com/office/drawing/2014/main" id="{F38E1255-5FCF-4FB1-99B7-2083BC73B5F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4110" name="AutoShape 12">
          <a:extLst>
            <a:ext uri="{FF2B5EF4-FFF2-40B4-BE49-F238E27FC236}">
              <a16:creationId xmlns:a16="http://schemas.microsoft.com/office/drawing/2014/main" id="{16AC7445-7E2D-4819-B4F8-CEF169979D3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4111" name="AutoShape 12">
          <a:extLst>
            <a:ext uri="{FF2B5EF4-FFF2-40B4-BE49-F238E27FC236}">
              <a16:creationId xmlns:a16="http://schemas.microsoft.com/office/drawing/2014/main" id="{CC9317A1-83AC-4351-9E07-BE0A186EA08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4112" name="AutoShape 12">
          <a:extLst>
            <a:ext uri="{FF2B5EF4-FFF2-40B4-BE49-F238E27FC236}">
              <a16:creationId xmlns:a16="http://schemas.microsoft.com/office/drawing/2014/main" id="{EE83D44D-B64B-41F5-9C49-16488686FCF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4113" name="AutoShape 12">
          <a:extLst>
            <a:ext uri="{FF2B5EF4-FFF2-40B4-BE49-F238E27FC236}">
              <a16:creationId xmlns:a16="http://schemas.microsoft.com/office/drawing/2014/main" id="{4E9B8A99-41A3-4B02-AA30-C7F6FE54ABE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4114" name="AutoShape 12">
          <a:extLst>
            <a:ext uri="{FF2B5EF4-FFF2-40B4-BE49-F238E27FC236}">
              <a16:creationId xmlns:a16="http://schemas.microsoft.com/office/drawing/2014/main" id="{BAD0A120-BD50-4049-B798-BC7141C9D13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4115" name="AutoShape 12">
          <a:extLst>
            <a:ext uri="{FF2B5EF4-FFF2-40B4-BE49-F238E27FC236}">
              <a16:creationId xmlns:a16="http://schemas.microsoft.com/office/drawing/2014/main" id="{B6884D43-D25B-4934-B257-871479A4E9F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4116" name="AutoShape 12">
          <a:extLst>
            <a:ext uri="{FF2B5EF4-FFF2-40B4-BE49-F238E27FC236}">
              <a16:creationId xmlns:a16="http://schemas.microsoft.com/office/drawing/2014/main" id="{DF9F8A27-835A-4928-A273-DB06625C7EE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4117" name="AutoShape 12">
          <a:extLst>
            <a:ext uri="{FF2B5EF4-FFF2-40B4-BE49-F238E27FC236}">
              <a16:creationId xmlns:a16="http://schemas.microsoft.com/office/drawing/2014/main" id="{D6164ED4-1C81-4040-A07F-EB7631D0923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4118" name="AutoShape 12">
          <a:extLst>
            <a:ext uri="{FF2B5EF4-FFF2-40B4-BE49-F238E27FC236}">
              <a16:creationId xmlns:a16="http://schemas.microsoft.com/office/drawing/2014/main" id="{6B4965F1-C7FA-4055-901F-B3676046CE6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4119" name="AutoShape 12">
          <a:extLst>
            <a:ext uri="{FF2B5EF4-FFF2-40B4-BE49-F238E27FC236}">
              <a16:creationId xmlns:a16="http://schemas.microsoft.com/office/drawing/2014/main" id="{48DDE758-C443-4993-9E7F-3FC50727056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4120" name="AutoShape 12">
          <a:extLst>
            <a:ext uri="{FF2B5EF4-FFF2-40B4-BE49-F238E27FC236}">
              <a16:creationId xmlns:a16="http://schemas.microsoft.com/office/drawing/2014/main" id="{FD05BFBF-D1A2-4178-AC08-4417A38CA13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4121" name="AutoShape 12">
          <a:extLst>
            <a:ext uri="{FF2B5EF4-FFF2-40B4-BE49-F238E27FC236}">
              <a16:creationId xmlns:a16="http://schemas.microsoft.com/office/drawing/2014/main" id="{F62E5F41-9E6C-4DA5-AA4D-D20DE64C9D1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4122" name="AutoShape 12">
          <a:extLst>
            <a:ext uri="{FF2B5EF4-FFF2-40B4-BE49-F238E27FC236}">
              <a16:creationId xmlns:a16="http://schemas.microsoft.com/office/drawing/2014/main" id="{4EC42DDE-96B1-49F0-B4F3-E4939319646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4123" name="AutoShape 12">
          <a:extLst>
            <a:ext uri="{FF2B5EF4-FFF2-40B4-BE49-F238E27FC236}">
              <a16:creationId xmlns:a16="http://schemas.microsoft.com/office/drawing/2014/main" id="{2F2E165A-31B4-42C2-B84D-94950FEBD8C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4124" name="AutoShape 12">
          <a:extLst>
            <a:ext uri="{FF2B5EF4-FFF2-40B4-BE49-F238E27FC236}">
              <a16:creationId xmlns:a16="http://schemas.microsoft.com/office/drawing/2014/main" id="{548E1116-547A-4445-9860-DDD47842B68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4125" name="AutoShape 12">
          <a:extLst>
            <a:ext uri="{FF2B5EF4-FFF2-40B4-BE49-F238E27FC236}">
              <a16:creationId xmlns:a16="http://schemas.microsoft.com/office/drawing/2014/main" id="{266A0E2B-304E-4B8F-AD7C-50AD7258384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4126" name="AutoShape 12">
          <a:extLst>
            <a:ext uri="{FF2B5EF4-FFF2-40B4-BE49-F238E27FC236}">
              <a16:creationId xmlns:a16="http://schemas.microsoft.com/office/drawing/2014/main" id="{88F9C045-566A-4C33-B218-518DEE60831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4127" name="AutoShape 12">
          <a:extLst>
            <a:ext uri="{FF2B5EF4-FFF2-40B4-BE49-F238E27FC236}">
              <a16:creationId xmlns:a16="http://schemas.microsoft.com/office/drawing/2014/main" id="{C7E9BE4E-BED1-4F79-AABB-875946C6D5F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4128" name="AutoShape 12">
          <a:extLst>
            <a:ext uri="{FF2B5EF4-FFF2-40B4-BE49-F238E27FC236}">
              <a16:creationId xmlns:a16="http://schemas.microsoft.com/office/drawing/2014/main" id="{126F3A1C-D5AA-45DC-AB45-CFE0A44CB7F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4129" name="AutoShape 12">
          <a:extLst>
            <a:ext uri="{FF2B5EF4-FFF2-40B4-BE49-F238E27FC236}">
              <a16:creationId xmlns:a16="http://schemas.microsoft.com/office/drawing/2014/main" id="{4CC72385-A267-42E8-AAEB-F2D981D5179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4130" name="AutoShape 12">
          <a:extLst>
            <a:ext uri="{FF2B5EF4-FFF2-40B4-BE49-F238E27FC236}">
              <a16:creationId xmlns:a16="http://schemas.microsoft.com/office/drawing/2014/main" id="{CA7B236D-88AF-4977-92A4-837D913EE81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4131" name="AutoShape 12">
          <a:extLst>
            <a:ext uri="{FF2B5EF4-FFF2-40B4-BE49-F238E27FC236}">
              <a16:creationId xmlns:a16="http://schemas.microsoft.com/office/drawing/2014/main" id="{FB09D089-B924-403F-BEEC-A29D33DD75E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4132" name="AutoShape 12">
          <a:extLst>
            <a:ext uri="{FF2B5EF4-FFF2-40B4-BE49-F238E27FC236}">
              <a16:creationId xmlns:a16="http://schemas.microsoft.com/office/drawing/2014/main" id="{FDF88F59-298A-43D6-8F34-917A35C7810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4133" name="AutoShape 12">
          <a:extLst>
            <a:ext uri="{FF2B5EF4-FFF2-40B4-BE49-F238E27FC236}">
              <a16:creationId xmlns:a16="http://schemas.microsoft.com/office/drawing/2014/main" id="{E7CCEEC2-17A4-4D46-8171-574E5F7D523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4134" name="AutoShape 12">
          <a:extLst>
            <a:ext uri="{FF2B5EF4-FFF2-40B4-BE49-F238E27FC236}">
              <a16:creationId xmlns:a16="http://schemas.microsoft.com/office/drawing/2014/main" id="{8A1946DD-922F-4E41-9FA0-88D1C2DC509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4135" name="AutoShape 12">
          <a:extLst>
            <a:ext uri="{FF2B5EF4-FFF2-40B4-BE49-F238E27FC236}">
              <a16:creationId xmlns:a16="http://schemas.microsoft.com/office/drawing/2014/main" id="{70AE858D-2A05-4DDB-815D-EA747828C49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4136" name="AutoShape 12">
          <a:extLst>
            <a:ext uri="{FF2B5EF4-FFF2-40B4-BE49-F238E27FC236}">
              <a16:creationId xmlns:a16="http://schemas.microsoft.com/office/drawing/2014/main" id="{97C23BC9-D850-49B3-91C1-8D1235BBE2E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4137" name="AutoShape 12">
          <a:extLst>
            <a:ext uri="{FF2B5EF4-FFF2-40B4-BE49-F238E27FC236}">
              <a16:creationId xmlns:a16="http://schemas.microsoft.com/office/drawing/2014/main" id="{281768A8-BD11-46A5-B918-6BCF5E05592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4138" name="AutoShape 12">
          <a:extLst>
            <a:ext uri="{FF2B5EF4-FFF2-40B4-BE49-F238E27FC236}">
              <a16:creationId xmlns:a16="http://schemas.microsoft.com/office/drawing/2014/main" id="{EBB75957-5474-49D0-99C2-0A1ABBFA030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4139" name="AutoShape 12">
          <a:extLst>
            <a:ext uri="{FF2B5EF4-FFF2-40B4-BE49-F238E27FC236}">
              <a16:creationId xmlns:a16="http://schemas.microsoft.com/office/drawing/2014/main" id="{395CD464-6D4D-40EA-861E-1B735E4BDC1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4140" name="AutoShape 12">
          <a:extLst>
            <a:ext uri="{FF2B5EF4-FFF2-40B4-BE49-F238E27FC236}">
              <a16:creationId xmlns:a16="http://schemas.microsoft.com/office/drawing/2014/main" id="{43464DA8-ECE9-42E9-84AA-0E0E270E425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4141" name="AutoShape 12">
          <a:extLst>
            <a:ext uri="{FF2B5EF4-FFF2-40B4-BE49-F238E27FC236}">
              <a16:creationId xmlns:a16="http://schemas.microsoft.com/office/drawing/2014/main" id="{92623893-2356-4395-BDEE-F916B46103E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4142" name="AutoShape 12">
          <a:extLst>
            <a:ext uri="{FF2B5EF4-FFF2-40B4-BE49-F238E27FC236}">
              <a16:creationId xmlns:a16="http://schemas.microsoft.com/office/drawing/2014/main" id="{1801D5C5-3B98-4915-BB3A-7B3EF03FBC8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4143" name="AutoShape 12">
          <a:extLst>
            <a:ext uri="{FF2B5EF4-FFF2-40B4-BE49-F238E27FC236}">
              <a16:creationId xmlns:a16="http://schemas.microsoft.com/office/drawing/2014/main" id="{23A4E3BE-7F79-4810-AD03-963459AA801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4144" name="AutoShape 12">
          <a:extLst>
            <a:ext uri="{FF2B5EF4-FFF2-40B4-BE49-F238E27FC236}">
              <a16:creationId xmlns:a16="http://schemas.microsoft.com/office/drawing/2014/main" id="{A028C70D-1AF6-4E55-865F-7746035DD4F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4145" name="AutoShape 12">
          <a:extLst>
            <a:ext uri="{FF2B5EF4-FFF2-40B4-BE49-F238E27FC236}">
              <a16:creationId xmlns:a16="http://schemas.microsoft.com/office/drawing/2014/main" id="{73D2B3EF-B79D-4DC9-8AA5-DF11D47551E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4146" name="AutoShape 12">
          <a:extLst>
            <a:ext uri="{FF2B5EF4-FFF2-40B4-BE49-F238E27FC236}">
              <a16:creationId xmlns:a16="http://schemas.microsoft.com/office/drawing/2014/main" id="{07D48ED6-D407-4410-B3A6-E8DAB2AC89A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4147" name="AutoShape 12">
          <a:extLst>
            <a:ext uri="{FF2B5EF4-FFF2-40B4-BE49-F238E27FC236}">
              <a16:creationId xmlns:a16="http://schemas.microsoft.com/office/drawing/2014/main" id="{45B5950E-C343-45DE-9FBC-871D87E2645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4148" name="AutoShape 12">
          <a:extLst>
            <a:ext uri="{FF2B5EF4-FFF2-40B4-BE49-F238E27FC236}">
              <a16:creationId xmlns:a16="http://schemas.microsoft.com/office/drawing/2014/main" id="{80F423D0-3ABF-465E-9B15-223F15CC0EB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4149" name="AutoShape 12">
          <a:extLst>
            <a:ext uri="{FF2B5EF4-FFF2-40B4-BE49-F238E27FC236}">
              <a16:creationId xmlns:a16="http://schemas.microsoft.com/office/drawing/2014/main" id="{25E489C6-9E82-4C35-90EC-2F311EEFCA4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4150" name="AutoShape 12">
          <a:extLst>
            <a:ext uri="{FF2B5EF4-FFF2-40B4-BE49-F238E27FC236}">
              <a16:creationId xmlns:a16="http://schemas.microsoft.com/office/drawing/2014/main" id="{04FA0FCA-EC93-4C31-A64E-E250F3473B8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4151" name="AutoShape 12">
          <a:extLst>
            <a:ext uri="{FF2B5EF4-FFF2-40B4-BE49-F238E27FC236}">
              <a16:creationId xmlns:a16="http://schemas.microsoft.com/office/drawing/2014/main" id="{BA36C404-9DCD-4732-94F4-7BEC75E6A7D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4152" name="AutoShape 12">
          <a:extLst>
            <a:ext uri="{FF2B5EF4-FFF2-40B4-BE49-F238E27FC236}">
              <a16:creationId xmlns:a16="http://schemas.microsoft.com/office/drawing/2014/main" id="{91AC6F2D-9326-4013-A5D7-BF71CC770C5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4153" name="AutoShape 12">
          <a:extLst>
            <a:ext uri="{FF2B5EF4-FFF2-40B4-BE49-F238E27FC236}">
              <a16:creationId xmlns:a16="http://schemas.microsoft.com/office/drawing/2014/main" id="{6B839B70-380B-4340-B79A-9EF331510C1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4154" name="AutoShape 12">
          <a:extLst>
            <a:ext uri="{FF2B5EF4-FFF2-40B4-BE49-F238E27FC236}">
              <a16:creationId xmlns:a16="http://schemas.microsoft.com/office/drawing/2014/main" id="{960F3BF5-905B-4055-8306-7BF54D2319B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4155" name="AutoShape 12">
          <a:extLst>
            <a:ext uri="{FF2B5EF4-FFF2-40B4-BE49-F238E27FC236}">
              <a16:creationId xmlns:a16="http://schemas.microsoft.com/office/drawing/2014/main" id="{EB794C61-D91B-441C-AACF-081F7425BFF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4156" name="AutoShape 12">
          <a:extLst>
            <a:ext uri="{FF2B5EF4-FFF2-40B4-BE49-F238E27FC236}">
              <a16:creationId xmlns:a16="http://schemas.microsoft.com/office/drawing/2014/main" id="{1E782D47-9ED2-4DBB-B6C2-6629F2B6E29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4157" name="AutoShape 12">
          <a:extLst>
            <a:ext uri="{FF2B5EF4-FFF2-40B4-BE49-F238E27FC236}">
              <a16:creationId xmlns:a16="http://schemas.microsoft.com/office/drawing/2014/main" id="{5C607225-370A-43B9-AE38-4A2A3DF198D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4158" name="AutoShape 12">
          <a:extLst>
            <a:ext uri="{FF2B5EF4-FFF2-40B4-BE49-F238E27FC236}">
              <a16:creationId xmlns:a16="http://schemas.microsoft.com/office/drawing/2014/main" id="{3EECEC16-4B4D-40F8-A258-697B4E1F9F7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4159" name="AutoShape 12">
          <a:extLst>
            <a:ext uri="{FF2B5EF4-FFF2-40B4-BE49-F238E27FC236}">
              <a16:creationId xmlns:a16="http://schemas.microsoft.com/office/drawing/2014/main" id="{03F06902-E1CB-4D37-B273-2D38A2C9DFB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4160" name="AutoShape 12">
          <a:extLst>
            <a:ext uri="{FF2B5EF4-FFF2-40B4-BE49-F238E27FC236}">
              <a16:creationId xmlns:a16="http://schemas.microsoft.com/office/drawing/2014/main" id="{3C6C8051-D625-4A27-A634-403E098E47A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4161" name="AutoShape 12">
          <a:extLst>
            <a:ext uri="{FF2B5EF4-FFF2-40B4-BE49-F238E27FC236}">
              <a16:creationId xmlns:a16="http://schemas.microsoft.com/office/drawing/2014/main" id="{E4A0B6DD-7165-4DF8-AA1D-8B9AFEA1D8A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4162" name="AutoShape 12">
          <a:extLst>
            <a:ext uri="{FF2B5EF4-FFF2-40B4-BE49-F238E27FC236}">
              <a16:creationId xmlns:a16="http://schemas.microsoft.com/office/drawing/2014/main" id="{53C8A9D4-A3CE-4331-A0FE-16B5FF99797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4163" name="AutoShape 12">
          <a:extLst>
            <a:ext uri="{FF2B5EF4-FFF2-40B4-BE49-F238E27FC236}">
              <a16:creationId xmlns:a16="http://schemas.microsoft.com/office/drawing/2014/main" id="{90C534A8-6FB2-4FB3-BE6B-E5D9C33B987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4164" name="AutoShape 12">
          <a:extLst>
            <a:ext uri="{FF2B5EF4-FFF2-40B4-BE49-F238E27FC236}">
              <a16:creationId xmlns:a16="http://schemas.microsoft.com/office/drawing/2014/main" id="{A0511E67-3A67-4AF8-B5F8-86F1AE545ED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4165" name="AutoShape 12">
          <a:extLst>
            <a:ext uri="{FF2B5EF4-FFF2-40B4-BE49-F238E27FC236}">
              <a16:creationId xmlns:a16="http://schemas.microsoft.com/office/drawing/2014/main" id="{933B98B0-F2A0-4D81-99E8-18662DE2415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4166" name="AutoShape 12">
          <a:extLst>
            <a:ext uri="{FF2B5EF4-FFF2-40B4-BE49-F238E27FC236}">
              <a16:creationId xmlns:a16="http://schemas.microsoft.com/office/drawing/2014/main" id="{E309D369-93E0-4C0C-B47F-95A9EEC6DA0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4167" name="AutoShape 12">
          <a:extLst>
            <a:ext uri="{FF2B5EF4-FFF2-40B4-BE49-F238E27FC236}">
              <a16:creationId xmlns:a16="http://schemas.microsoft.com/office/drawing/2014/main" id="{744E01F0-E94C-4FB7-95AB-A7005E1369D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4168" name="AutoShape 12">
          <a:extLst>
            <a:ext uri="{FF2B5EF4-FFF2-40B4-BE49-F238E27FC236}">
              <a16:creationId xmlns:a16="http://schemas.microsoft.com/office/drawing/2014/main" id="{520BDEDF-E3B7-4778-AF86-F6035586A46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4169" name="AutoShape 12">
          <a:extLst>
            <a:ext uri="{FF2B5EF4-FFF2-40B4-BE49-F238E27FC236}">
              <a16:creationId xmlns:a16="http://schemas.microsoft.com/office/drawing/2014/main" id="{84CA5A6F-0A6A-439F-B701-0CF43139AC0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4170" name="AutoShape 12">
          <a:extLst>
            <a:ext uri="{FF2B5EF4-FFF2-40B4-BE49-F238E27FC236}">
              <a16:creationId xmlns:a16="http://schemas.microsoft.com/office/drawing/2014/main" id="{31D1B5E5-B6F6-4B59-ABE4-46E66D98D3A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4171" name="AutoShape 12">
          <a:extLst>
            <a:ext uri="{FF2B5EF4-FFF2-40B4-BE49-F238E27FC236}">
              <a16:creationId xmlns:a16="http://schemas.microsoft.com/office/drawing/2014/main" id="{8F237257-2B29-4E41-853A-F7CFFA9BAEE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4172" name="AutoShape 12">
          <a:extLst>
            <a:ext uri="{FF2B5EF4-FFF2-40B4-BE49-F238E27FC236}">
              <a16:creationId xmlns:a16="http://schemas.microsoft.com/office/drawing/2014/main" id="{83D05563-16BF-45C0-8DDF-430C246763F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4173" name="AutoShape 12">
          <a:extLst>
            <a:ext uri="{FF2B5EF4-FFF2-40B4-BE49-F238E27FC236}">
              <a16:creationId xmlns:a16="http://schemas.microsoft.com/office/drawing/2014/main" id="{96233407-A62A-4830-B4C5-B15E235F634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4174" name="AutoShape 12">
          <a:extLst>
            <a:ext uri="{FF2B5EF4-FFF2-40B4-BE49-F238E27FC236}">
              <a16:creationId xmlns:a16="http://schemas.microsoft.com/office/drawing/2014/main" id="{5478C62A-F804-4C1E-905F-F5A19647055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4175" name="AutoShape 12">
          <a:extLst>
            <a:ext uri="{FF2B5EF4-FFF2-40B4-BE49-F238E27FC236}">
              <a16:creationId xmlns:a16="http://schemas.microsoft.com/office/drawing/2014/main" id="{E260B276-FC74-4B83-8A1B-67232AACB82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4176" name="AutoShape 12">
          <a:extLst>
            <a:ext uri="{FF2B5EF4-FFF2-40B4-BE49-F238E27FC236}">
              <a16:creationId xmlns:a16="http://schemas.microsoft.com/office/drawing/2014/main" id="{1E2FE923-EBA3-4AC2-A48A-AF86D5539B3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4177" name="AutoShape 12">
          <a:extLst>
            <a:ext uri="{FF2B5EF4-FFF2-40B4-BE49-F238E27FC236}">
              <a16:creationId xmlns:a16="http://schemas.microsoft.com/office/drawing/2014/main" id="{EA8F6C24-DB6A-4277-8A7A-E74815E2316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4178" name="AutoShape 12">
          <a:extLst>
            <a:ext uri="{FF2B5EF4-FFF2-40B4-BE49-F238E27FC236}">
              <a16:creationId xmlns:a16="http://schemas.microsoft.com/office/drawing/2014/main" id="{8772E86A-271C-43AE-BA8D-C71A83D31F7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4179" name="AutoShape 12">
          <a:extLst>
            <a:ext uri="{FF2B5EF4-FFF2-40B4-BE49-F238E27FC236}">
              <a16:creationId xmlns:a16="http://schemas.microsoft.com/office/drawing/2014/main" id="{708A95C9-0F6C-4D54-B6FB-09477E9E0BB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4180" name="AutoShape 12">
          <a:extLst>
            <a:ext uri="{FF2B5EF4-FFF2-40B4-BE49-F238E27FC236}">
              <a16:creationId xmlns:a16="http://schemas.microsoft.com/office/drawing/2014/main" id="{771945A9-C672-4991-81FE-F668888C269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4181" name="AutoShape 12">
          <a:extLst>
            <a:ext uri="{FF2B5EF4-FFF2-40B4-BE49-F238E27FC236}">
              <a16:creationId xmlns:a16="http://schemas.microsoft.com/office/drawing/2014/main" id="{7AA05476-2797-4F87-8D43-1F7C87FF2DE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4182" name="AutoShape 12">
          <a:extLst>
            <a:ext uri="{FF2B5EF4-FFF2-40B4-BE49-F238E27FC236}">
              <a16:creationId xmlns:a16="http://schemas.microsoft.com/office/drawing/2014/main" id="{F5A882C4-6CAA-487C-8492-0FD9F5F293E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4183" name="AutoShape 12">
          <a:extLst>
            <a:ext uri="{FF2B5EF4-FFF2-40B4-BE49-F238E27FC236}">
              <a16:creationId xmlns:a16="http://schemas.microsoft.com/office/drawing/2014/main" id="{EF68829F-CAE4-47A7-B666-A754FB36EE4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4184" name="AutoShape 12">
          <a:extLst>
            <a:ext uri="{FF2B5EF4-FFF2-40B4-BE49-F238E27FC236}">
              <a16:creationId xmlns:a16="http://schemas.microsoft.com/office/drawing/2014/main" id="{2A89E193-A9C5-4422-B419-03D18CB066A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4185" name="AutoShape 12">
          <a:extLst>
            <a:ext uri="{FF2B5EF4-FFF2-40B4-BE49-F238E27FC236}">
              <a16:creationId xmlns:a16="http://schemas.microsoft.com/office/drawing/2014/main" id="{8F312C6E-A1D7-4A4A-8C62-34BA1914AE9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4186" name="AutoShape 12">
          <a:extLst>
            <a:ext uri="{FF2B5EF4-FFF2-40B4-BE49-F238E27FC236}">
              <a16:creationId xmlns:a16="http://schemas.microsoft.com/office/drawing/2014/main" id="{7BEC7403-3F29-4288-95B3-42896A398EC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4187" name="AutoShape 12">
          <a:extLst>
            <a:ext uri="{FF2B5EF4-FFF2-40B4-BE49-F238E27FC236}">
              <a16:creationId xmlns:a16="http://schemas.microsoft.com/office/drawing/2014/main" id="{82813F7D-58BE-4E7B-96EE-812C5ED723A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4188" name="AutoShape 12">
          <a:extLst>
            <a:ext uri="{FF2B5EF4-FFF2-40B4-BE49-F238E27FC236}">
              <a16:creationId xmlns:a16="http://schemas.microsoft.com/office/drawing/2014/main" id="{2733B19C-02F6-47DA-ACBB-8DDF3F54AFB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4189" name="AutoShape 12">
          <a:extLst>
            <a:ext uri="{FF2B5EF4-FFF2-40B4-BE49-F238E27FC236}">
              <a16:creationId xmlns:a16="http://schemas.microsoft.com/office/drawing/2014/main" id="{8981FE85-38AD-4134-9131-A0DE110676C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4190" name="AutoShape 12">
          <a:extLst>
            <a:ext uri="{FF2B5EF4-FFF2-40B4-BE49-F238E27FC236}">
              <a16:creationId xmlns:a16="http://schemas.microsoft.com/office/drawing/2014/main" id="{3B78612B-E8B0-458B-BECE-E2DC450EB76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4191" name="AutoShape 12">
          <a:extLst>
            <a:ext uri="{FF2B5EF4-FFF2-40B4-BE49-F238E27FC236}">
              <a16:creationId xmlns:a16="http://schemas.microsoft.com/office/drawing/2014/main" id="{D959B0A5-97C2-4EAF-A5E0-7A1FA5B5886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4192" name="AutoShape 12">
          <a:extLst>
            <a:ext uri="{FF2B5EF4-FFF2-40B4-BE49-F238E27FC236}">
              <a16:creationId xmlns:a16="http://schemas.microsoft.com/office/drawing/2014/main" id="{2AA95859-DCEB-4CD3-ABAC-6FFE52BB321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4193" name="AutoShape 12">
          <a:extLst>
            <a:ext uri="{FF2B5EF4-FFF2-40B4-BE49-F238E27FC236}">
              <a16:creationId xmlns:a16="http://schemas.microsoft.com/office/drawing/2014/main" id="{D4C4BBBC-36B7-46AE-AA91-01BBD1D8864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4194" name="AutoShape 12">
          <a:extLst>
            <a:ext uri="{FF2B5EF4-FFF2-40B4-BE49-F238E27FC236}">
              <a16:creationId xmlns:a16="http://schemas.microsoft.com/office/drawing/2014/main" id="{8F534BA9-9FFC-4099-9FEA-0920E0CDB85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4195" name="AutoShape 12">
          <a:extLst>
            <a:ext uri="{FF2B5EF4-FFF2-40B4-BE49-F238E27FC236}">
              <a16:creationId xmlns:a16="http://schemas.microsoft.com/office/drawing/2014/main" id="{B0656431-85AE-4597-AFC7-FF00EB2CBC8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4196" name="AutoShape 12">
          <a:extLst>
            <a:ext uri="{FF2B5EF4-FFF2-40B4-BE49-F238E27FC236}">
              <a16:creationId xmlns:a16="http://schemas.microsoft.com/office/drawing/2014/main" id="{B92BEB12-F65D-4EC9-B3DF-6C944D04BFC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4197" name="AutoShape 12">
          <a:extLst>
            <a:ext uri="{FF2B5EF4-FFF2-40B4-BE49-F238E27FC236}">
              <a16:creationId xmlns:a16="http://schemas.microsoft.com/office/drawing/2014/main" id="{2490CFEA-94F8-4DA1-9F3B-8BBF1FB4DB6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4198" name="AutoShape 12">
          <a:extLst>
            <a:ext uri="{FF2B5EF4-FFF2-40B4-BE49-F238E27FC236}">
              <a16:creationId xmlns:a16="http://schemas.microsoft.com/office/drawing/2014/main" id="{B048565F-B1A4-499D-AE69-1B0B2241541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4199" name="AutoShape 12">
          <a:extLst>
            <a:ext uri="{FF2B5EF4-FFF2-40B4-BE49-F238E27FC236}">
              <a16:creationId xmlns:a16="http://schemas.microsoft.com/office/drawing/2014/main" id="{444FFF8B-C621-4CD7-935A-4658A162C7F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4200" name="AutoShape 12">
          <a:extLst>
            <a:ext uri="{FF2B5EF4-FFF2-40B4-BE49-F238E27FC236}">
              <a16:creationId xmlns:a16="http://schemas.microsoft.com/office/drawing/2014/main" id="{8043B56E-DEA8-4E12-A5B3-9412D9151FC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4201" name="AutoShape 12">
          <a:extLst>
            <a:ext uri="{FF2B5EF4-FFF2-40B4-BE49-F238E27FC236}">
              <a16:creationId xmlns:a16="http://schemas.microsoft.com/office/drawing/2014/main" id="{91F32B41-97DC-41DD-B8FB-6A880AE777C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4202" name="AutoShape 12">
          <a:extLst>
            <a:ext uri="{FF2B5EF4-FFF2-40B4-BE49-F238E27FC236}">
              <a16:creationId xmlns:a16="http://schemas.microsoft.com/office/drawing/2014/main" id="{62639C83-7480-4B63-A92A-2569EB0EE49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4203" name="AutoShape 12">
          <a:extLst>
            <a:ext uri="{FF2B5EF4-FFF2-40B4-BE49-F238E27FC236}">
              <a16:creationId xmlns:a16="http://schemas.microsoft.com/office/drawing/2014/main" id="{9B52187B-1790-4FA4-8990-00EEE5C24C8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4204" name="AutoShape 12">
          <a:extLst>
            <a:ext uri="{FF2B5EF4-FFF2-40B4-BE49-F238E27FC236}">
              <a16:creationId xmlns:a16="http://schemas.microsoft.com/office/drawing/2014/main" id="{C5DC674D-BDA5-4564-9169-893704B9D04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4205" name="AutoShape 12">
          <a:extLst>
            <a:ext uri="{FF2B5EF4-FFF2-40B4-BE49-F238E27FC236}">
              <a16:creationId xmlns:a16="http://schemas.microsoft.com/office/drawing/2014/main" id="{639C7094-82E6-4B72-B9CB-51567B78867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4206" name="AutoShape 12">
          <a:extLst>
            <a:ext uri="{FF2B5EF4-FFF2-40B4-BE49-F238E27FC236}">
              <a16:creationId xmlns:a16="http://schemas.microsoft.com/office/drawing/2014/main" id="{108630FA-8A95-4B0E-8FBB-BE62C13DC25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4207" name="AutoShape 12">
          <a:extLst>
            <a:ext uri="{FF2B5EF4-FFF2-40B4-BE49-F238E27FC236}">
              <a16:creationId xmlns:a16="http://schemas.microsoft.com/office/drawing/2014/main" id="{2F23BC6A-5985-4DCE-80F4-B5188EF6F78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4208" name="AutoShape 12">
          <a:extLst>
            <a:ext uri="{FF2B5EF4-FFF2-40B4-BE49-F238E27FC236}">
              <a16:creationId xmlns:a16="http://schemas.microsoft.com/office/drawing/2014/main" id="{4D55CEB7-913A-46C4-96FC-DA95AAD5B84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4209" name="AutoShape 12">
          <a:extLst>
            <a:ext uri="{FF2B5EF4-FFF2-40B4-BE49-F238E27FC236}">
              <a16:creationId xmlns:a16="http://schemas.microsoft.com/office/drawing/2014/main" id="{CC21AAD9-5FF5-48A3-A54C-62157414BD3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4210" name="AutoShape 12">
          <a:extLst>
            <a:ext uri="{FF2B5EF4-FFF2-40B4-BE49-F238E27FC236}">
              <a16:creationId xmlns:a16="http://schemas.microsoft.com/office/drawing/2014/main" id="{D609766B-7815-471C-93B3-5CD3E3DE75A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4211" name="AutoShape 12">
          <a:extLst>
            <a:ext uri="{FF2B5EF4-FFF2-40B4-BE49-F238E27FC236}">
              <a16:creationId xmlns:a16="http://schemas.microsoft.com/office/drawing/2014/main" id="{70BAA969-5015-4984-B58E-58C961B5FEA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4212" name="AutoShape 12">
          <a:extLst>
            <a:ext uri="{FF2B5EF4-FFF2-40B4-BE49-F238E27FC236}">
              <a16:creationId xmlns:a16="http://schemas.microsoft.com/office/drawing/2014/main" id="{EB8A1C91-5A85-4AF2-AD02-C2C843FFF86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4213" name="AutoShape 12">
          <a:extLst>
            <a:ext uri="{FF2B5EF4-FFF2-40B4-BE49-F238E27FC236}">
              <a16:creationId xmlns:a16="http://schemas.microsoft.com/office/drawing/2014/main" id="{0D9E352A-41EF-4DF7-9F2F-1F5EAE7A13F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4214" name="AutoShape 12">
          <a:extLst>
            <a:ext uri="{FF2B5EF4-FFF2-40B4-BE49-F238E27FC236}">
              <a16:creationId xmlns:a16="http://schemas.microsoft.com/office/drawing/2014/main" id="{5C3CA438-99E2-4657-9F5D-AA832E61D53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4215" name="AutoShape 12">
          <a:extLst>
            <a:ext uri="{FF2B5EF4-FFF2-40B4-BE49-F238E27FC236}">
              <a16:creationId xmlns:a16="http://schemas.microsoft.com/office/drawing/2014/main" id="{0A60BC0F-6F4B-4A24-99D7-E6251D1D25A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4216" name="AutoShape 12">
          <a:extLst>
            <a:ext uri="{FF2B5EF4-FFF2-40B4-BE49-F238E27FC236}">
              <a16:creationId xmlns:a16="http://schemas.microsoft.com/office/drawing/2014/main" id="{0C587BDC-D488-4DFB-8A3F-D36D7467925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4217" name="AutoShape 12">
          <a:extLst>
            <a:ext uri="{FF2B5EF4-FFF2-40B4-BE49-F238E27FC236}">
              <a16:creationId xmlns:a16="http://schemas.microsoft.com/office/drawing/2014/main" id="{2AFBCDDE-10A1-4636-A90B-0FCF68BD1B9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4218" name="AutoShape 12">
          <a:extLst>
            <a:ext uri="{FF2B5EF4-FFF2-40B4-BE49-F238E27FC236}">
              <a16:creationId xmlns:a16="http://schemas.microsoft.com/office/drawing/2014/main" id="{761B6C4E-E6A1-425C-9E3E-4A72DFB20A5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4219" name="AutoShape 12">
          <a:extLst>
            <a:ext uri="{FF2B5EF4-FFF2-40B4-BE49-F238E27FC236}">
              <a16:creationId xmlns:a16="http://schemas.microsoft.com/office/drawing/2014/main" id="{64031AA5-B377-42F4-B705-BE1C4F43F78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4220" name="AutoShape 12">
          <a:extLst>
            <a:ext uri="{FF2B5EF4-FFF2-40B4-BE49-F238E27FC236}">
              <a16:creationId xmlns:a16="http://schemas.microsoft.com/office/drawing/2014/main" id="{2CC96325-278E-4EE5-A28E-220DF901CF8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4221" name="AutoShape 12">
          <a:extLst>
            <a:ext uri="{FF2B5EF4-FFF2-40B4-BE49-F238E27FC236}">
              <a16:creationId xmlns:a16="http://schemas.microsoft.com/office/drawing/2014/main" id="{D8A4E17F-6911-4056-A2B7-32CE7865979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4222" name="AutoShape 12">
          <a:extLst>
            <a:ext uri="{FF2B5EF4-FFF2-40B4-BE49-F238E27FC236}">
              <a16:creationId xmlns:a16="http://schemas.microsoft.com/office/drawing/2014/main" id="{D4FF3BAB-9765-4087-9AD3-D23E4A2C2D4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4223" name="AutoShape 12">
          <a:extLst>
            <a:ext uri="{FF2B5EF4-FFF2-40B4-BE49-F238E27FC236}">
              <a16:creationId xmlns:a16="http://schemas.microsoft.com/office/drawing/2014/main" id="{FD249010-0522-4068-A6B9-02D3EB69EEF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4224" name="AutoShape 12">
          <a:extLst>
            <a:ext uri="{FF2B5EF4-FFF2-40B4-BE49-F238E27FC236}">
              <a16:creationId xmlns:a16="http://schemas.microsoft.com/office/drawing/2014/main" id="{66C8A558-4746-471C-920D-CDA63C3CE0B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4225" name="AutoShape 12">
          <a:extLst>
            <a:ext uri="{FF2B5EF4-FFF2-40B4-BE49-F238E27FC236}">
              <a16:creationId xmlns:a16="http://schemas.microsoft.com/office/drawing/2014/main" id="{48C68F65-1BFE-49E3-8CEF-D70E497B60E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4226" name="AutoShape 12">
          <a:extLst>
            <a:ext uri="{FF2B5EF4-FFF2-40B4-BE49-F238E27FC236}">
              <a16:creationId xmlns:a16="http://schemas.microsoft.com/office/drawing/2014/main" id="{B9BB7731-1241-49B3-A651-7C3DBC791B3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4227" name="AutoShape 12">
          <a:extLst>
            <a:ext uri="{FF2B5EF4-FFF2-40B4-BE49-F238E27FC236}">
              <a16:creationId xmlns:a16="http://schemas.microsoft.com/office/drawing/2014/main" id="{3441927B-42EF-4D0F-8B88-4E89FE80C54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4228" name="AutoShape 12">
          <a:extLst>
            <a:ext uri="{FF2B5EF4-FFF2-40B4-BE49-F238E27FC236}">
              <a16:creationId xmlns:a16="http://schemas.microsoft.com/office/drawing/2014/main" id="{42FF5D35-1E95-4E19-91C0-A1CAF2DB584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4229" name="AutoShape 12">
          <a:extLst>
            <a:ext uri="{FF2B5EF4-FFF2-40B4-BE49-F238E27FC236}">
              <a16:creationId xmlns:a16="http://schemas.microsoft.com/office/drawing/2014/main" id="{FC2587B4-9FC4-4CF3-9300-4CC88230C62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4230" name="AutoShape 12">
          <a:extLst>
            <a:ext uri="{FF2B5EF4-FFF2-40B4-BE49-F238E27FC236}">
              <a16:creationId xmlns:a16="http://schemas.microsoft.com/office/drawing/2014/main" id="{F2A80FCC-C000-4BC9-BE19-AD811D4CBD8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4231" name="AutoShape 12">
          <a:extLst>
            <a:ext uri="{FF2B5EF4-FFF2-40B4-BE49-F238E27FC236}">
              <a16:creationId xmlns:a16="http://schemas.microsoft.com/office/drawing/2014/main" id="{857CC1BE-6C85-49D1-B157-CFFFC3985A8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4232" name="AutoShape 12">
          <a:extLst>
            <a:ext uri="{FF2B5EF4-FFF2-40B4-BE49-F238E27FC236}">
              <a16:creationId xmlns:a16="http://schemas.microsoft.com/office/drawing/2014/main" id="{EFEB49CC-59CC-449A-984F-5E0394E0FF2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4233" name="AutoShape 12">
          <a:extLst>
            <a:ext uri="{FF2B5EF4-FFF2-40B4-BE49-F238E27FC236}">
              <a16:creationId xmlns:a16="http://schemas.microsoft.com/office/drawing/2014/main" id="{51389F1F-4FB7-4955-A209-58F67732C50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4234" name="AutoShape 12">
          <a:extLst>
            <a:ext uri="{FF2B5EF4-FFF2-40B4-BE49-F238E27FC236}">
              <a16:creationId xmlns:a16="http://schemas.microsoft.com/office/drawing/2014/main" id="{EF2EABCC-79D3-4CC5-B47F-ADF6E8353E7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4235" name="AutoShape 12">
          <a:extLst>
            <a:ext uri="{FF2B5EF4-FFF2-40B4-BE49-F238E27FC236}">
              <a16:creationId xmlns:a16="http://schemas.microsoft.com/office/drawing/2014/main" id="{32E65DCA-C41E-4D81-8FBF-21162410404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4236" name="AutoShape 12">
          <a:extLst>
            <a:ext uri="{FF2B5EF4-FFF2-40B4-BE49-F238E27FC236}">
              <a16:creationId xmlns:a16="http://schemas.microsoft.com/office/drawing/2014/main" id="{F296C42B-3679-44A2-96A3-E055C4C2B75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4237" name="AutoShape 12">
          <a:extLst>
            <a:ext uri="{FF2B5EF4-FFF2-40B4-BE49-F238E27FC236}">
              <a16:creationId xmlns:a16="http://schemas.microsoft.com/office/drawing/2014/main" id="{E4001F2C-FA8D-41A0-9030-49B0FF61604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4238" name="AutoShape 12">
          <a:extLst>
            <a:ext uri="{FF2B5EF4-FFF2-40B4-BE49-F238E27FC236}">
              <a16:creationId xmlns:a16="http://schemas.microsoft.com/office/drawing/2014/main" id="{1DBB9DCD-1844-4656-A450-3E49AE96368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4239" name="AutoShape 12">
          <a:extLst>
            <a:ext uri="{FF2B5EF4-FFF2-40B4-BE49-F238E27FC236}">
              <a16:creationId xmlns:a16="http://schemas.microsoft.com/office/drawing/2014/main" id="{5E538F1F-86C3-42F7-B1B6-64EDAB97368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4240" name="AutoShape 12">
          <a:extLst>
            <a:ext uri="{FF2B5EF4-FFF2-40B4-BE49-F238E27FC236}">
              <a16:creationId xmlns:a16="http://schemas.microsoft.com/office/drawing/2014/main" id="{564A4113-29E5-4419-9931-AEA8567D93A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4241" name="AutoShape 12">
          <a:extLst>
            <a:ext uri="{FF2B5EF4-FFF2-40B4-BE49-F238E27FC236}">
              <a16:creationId xmlns:a16="http://schemas.microsoft.com/office/drawing/2014/main" id="{8C8F2D59-D8A5-4902-AE10-C1099BF0E14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4242" name="AutoShape 12">
          <a:extLst>
            <a:ext uri="{FF2B5EF4-FFF2-40B4-BE49-F238E27FC236}">
              <a16:creationId xmlns:a16="http://schemas.microsoft.com/office/drawing/2014/main" id="{9F8C34A1-163E-4D4C-B610-9F6BA3EF484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4243" name="AutoShape 12">
          <a:extLst>
            <a:ext uri="{FF2B5EF4-FFF2-40B4-BE49-F238E27FC236}">
              <a16:creationId xmlns:a16="http://schemas.microsoft.com/office/drawing/2014/main" id="{4D999EE6-CC11-4D68-93D5-4A4392C8971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4244" name="AutoShape 12">
          <a:extLst>
            <a:ext uri="{FF2B5EF4-FFF2-40B4-BE49-F238E27FC236}">
              <a16:creationId xmlns:a16="http://schemas.microsoft.com/office/drawing/2014/main" id="{6BABF542-5577-4372-BC33-83CB5529FAE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4245" name="AutoShape 12">
          <a:extLst>
            <a:ext uri="{FF2B5EF4-FFF2-40B4-BE49-F238E27FC236}">
              <a16:creationId xmlns:a16="http://schemas.microsoft.com/office/drawing/2014/main" id="{C1DFA208-C941-45D3-BFA7-C16679D5EE1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4246" name="AutoShape 12">
          <a:extLst>
            <a:ext uri="{FF2B5EF4-FFF2-40B4-BE49-F238E27FC236}">
              <a16:creationId xmlns:a16="http://schemas.microsoft.com/office/drawing/2014/main" id="{7964E6E7-6572-4851-B37D-17151BCF2AA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4247" name="AutoShape 12">
          <a:extLst>
            <a:ext uri="{FF2B5EF4-FFF2-40B4-BE49-F238E27FC236}">
              <a16:creationId xmlns:a16="http://schemas.microsoft.com/office/drawing/2014/main" id="{80251376-5E03-4124-B87D-BA7B7797637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4248" name="AutoShape 12">
          <a:extLst>
            <a:ext uri="{FF2B5EF4-FFF2-40B4-BE49-F238E27FC236}">
              <a16:creationId xmlns:a16="http://schemas.microsoft.com/office/drawing/2014/main" id="{18F86086-64C1-412B-8873-53677D99543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4249" name="AutoShape 12">
          <a:extLst>
            <a:ext uri="{FF2B5EF4-FFF2-40B4-BE49-F238E27FC236}">
              <a16:creationId xmlns:a16="http://schemas.microsoft.com/office/drawing/2014/main" id="{2C5665B5-CE9D-431F-B65F-6C20A034D40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4250" name="AutoShape 12">
          <a:extLst>
            <a:ext uri="{FF2B5EF4-FFF2-40B4-BE49-F238E27FC236}">
              <a16:creationId xmlns:a16="http://schemas.microsoft.com/office/drawing/2014/main" id="{89E90760-A4A2-4A55-B123-47422D27C36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4251" name="AutoShape 12">
          <a:extLst>
            <a:ext uri="{FF2B5EF4-FFF2-40B4-BE49-F238E27FC236}">
              <a16:creationId xmlns:a16="http://schemas.microsoft.com/office/drawing/2014/main" id="{5CB499F6-927E-4B3B-815E-3805645FC4C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4252" name="AutoShape 12">
          <a:extLst>
            <a:ext uri="{FF2B5EF4-FFF2-40B4-BE49-F238E27FC236}">
              <a16:creationId xmlns:a16="http://schemas.microsoft.com/office/drawing/2014/main" id="{44688096-2695-4716-B78E-CB7884536DC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4253" name="AutoShape 12">
          <a:extLst>
            <a:ext uri="{FF2B5EF4-FFF2-40B4-BE49-F238E27FC236}">
              <a16:creationId xmlns:a16="http://schemas.microsoft.com/office/drawing/2014/main" id="{B3AED155-5E7C-45DA-8E3B-89B27EA0FD2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4254" name="AutoShape 12">
          <a:extLst>
            <a:ext uri="{FF2B5EF4-FFF2-40B4-BE49-F238E27FC236}">
              <a16:creationId xmlns:a16="http://schemas.microsoft.com/office/drawing/2014/main" id="{CE8E70D8-1B9C-42FF-9FDC-1CCBDA78D0D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4255" name="AutoShape 12">
          <a:extLst>
            <a:ext uri="{FF2B5EF4-FFF2-40B4-BE49-F238E27FC236}">
              <a16:creationId xmlns:a16="http://schemas.microsoft.com/office/drawing/2014/main" id="{ABBDB77B-C4EF-4E63-8564-1288B72611B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4256" name="AutoShape 12">
          <a:extLst>
            <a:ext uri="{FF2B5EF4-FFF2-40B4-BE49-F238E27FC236}">
              <a16:creationId xmlns:a16="http://schemas.microsoft.com/office/drawing/2014/main" id="{9D12B028-366A-4AAB-976F-958577A4DDB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4257" name="AutoShape 12">
          <a:extLst>
            <a:ext uri="{FF2B5EF4-FFF2-40B4-BE49-F238E27FC236}">
              <a16:creationId xmlns:a16="http://schemas.microsoft.com/office/drawing/2014/main" id="{389D9975-4218-4F60-A70A-6F02B75A39B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4258" name="AutoShape 12">
          <a:extLst>
            <a:ext uri="{FF2B5EF4-FFF2-40B4-BE49-F238E27FC236}">
              <a16:creationId xmlns:a16="http://schemas.microsoft.com/office/drawing/2014/main" id="{199615DA-FC2B-4AE5-8C0E-129F0880387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4259" name="AutoShape 12">
          <a:extLst>
            <a:ext uri="{FF2B5EF4-FFF2-40B4-BE49-F238E27FC236}">
              <a16:creationId xmlns:a16="http://schemas.microsoft.com/office/drawing/2014/main" id="{A886BBB3-D0B7-4218-90DC-0ED58300AC1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4260" name="AutoShape 12">
          <a:extLst>
            <a:ext uri="{FF2B5EF4-FFF2-40B4-BE49-F238E27FC236}">
              <a16:creationId xmlns:a16="http://schemas.microsoft.com/office/drawing/2014/main" id="{3E7DA62A-BF50-4155-AF59-67AD04CAFA7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4261" name="AutoShape 12">
          <a:extLst>
            <a:ext uri="{FF2B5EF4-FFF2-40B4-BE49-F238E27FC236}">
              <a16:creationId xmlns:a16="http://schemas.microsoft.com/office/drawing/2014/main" id="{1AF4C3D4-A697-4A7B-913F-68B59D314FD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4262" name="AutoShape 12">
          <a:extLst>
            <a:ext uri="{FF2B5EF4-FFF2-40B4-BE49-F238E27FC236}">
              <a16:creationId xmlns:a16="http://schemas.microsoft.com/office/drawing/2014/main" id="{8786DAD9-8F39-4FF0-89EF-CEE3F98461F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4263" name="AutoShape 12">
          <a:extLst>
            <a:ext uri="{FF2B5EF4-FFF2-40B4-BE49-F238E27FC236}">
              <a16:creationId xmlns:a16="http://schemas.microsoft.com/office/drawing/2014/main" id="{E11CE5D9-99DB-4D66-910D-B86CC9052C0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4264" name="AutoShape 12">
          <a:extLst>
            <a:ext uri="{FF2B5EF4-FFF2-40B4-BE49-F238E27FC236}">
              <a16:creationId xmlns:a16="http://schemas.microsoft.com/office/drawing/2014/main" id="{BB574172-9295-40A1-8A9B-CB8A54FD877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4265" name="AutoShape 12">
          <a:extLst>
            <a:ext uri="{FF2B5EF4-FFF2-40B4-BE49-F238E27FC236}">
              <a16:creationId xmlns:a16="http://schemas.microsoft.com/office/drawing/2014/main" id="{5E3F3E55-EC16-4C24-AD0F-E0D488B2300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179</xdr:row>
      <xdr:rowOff>0</xdr:rowOff>
    </xdr:from>
    <xdr:ext cx="304800" cy="304094"/>
    <xdr:sp macro="" textlink="">
      <xdr:nvSpPr>
        <xdr:cNvPr id="4266" name="AutoShape 12">
          <a:extLst>
            <a:ext uri="{FF2B5EF4-FFF2-40B4-BE49-F238E27FC236}">
              <a16:creationId xmlns:a16="http://schemas.microsoft.com/office/drawing/2014/main" id="{CAAD7855-73CE-4305-90F3-64800B68816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267" name="AutoShape 12">
          <a:extLst>
            <a:ext uri="{FF2B5EF4-FFF2-40B4-BE49-F238E27FC236}">
              <a16:creationId xmlns:a16="http://schemas.microsoft.com/office/drawing/2014/main" id="{5187BD4E-9F04-42FA-A3C4-5B2472F986B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268" name="AutoShape 12">
          <a:extLst>
            <a:ext uri="{FF2B5EF4-FFF2-40B4-BE49-F238E27FC236}">
              <a16:creationId xmlns:a16="http://schemas.microsoft.com/office/drawing/2014/main" id="{A401BD63-32EA-4A1C-BD2D-9DBFED9A280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269" name="AutoShape 12">
          <a:extLst>
            <a:ext uri="{FF2B5EF4-FFF2-40B4-BE49-F238E27FC236}">
              <a16:creationId xmlns:a16="http://schemas.microsoft.com/office/drawing/2014/main" id="{BC9C41D2-98FA-45BC-99B6-D5C58A97257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270" name="AutoShape 12">
          <a:extLst>
            <a:ext uri="{FF2B5EF4-FFF2-40B4-BE49-F238E27FC236}">
              <a16:creationId xmlns:a16="http://schemas.microsoft.com/office/drawing/2014/main" id="{FFEE695C-2A61-4563-A2AB-7C42DFB3CE5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271" name="AutoShape 12">
          <a:extLst>
            <a:ext uri="{FF2B5EF4-FFF2-40B4-BE49-F238E27FC236}">
              <a16:creationId xmlns:a16="http://schemas.microsoft.com/office/drawing/2014/main" id="{60578C22-AE09-4A44-9D94-70810F257C6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272" name="AutoShape 12">
          <a:extLst>
            <a:ext uri="{FF2B5EF4-FFF2-40B4-BE49-F238E27FC236}">
              <a16:creationId xmlns:a16="http://schemas.microsoft.com/office/drawing/2014/main" id="{83C330FA-F432-4624-BFF1-B2EE9E2DD37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273" name="AutoShape 12">
          <a:extLst>
            <a:ext uri="{FF2B5EF4-FFF2-40B4-BE49-F238E27FC236}">
              <a16:creationId xmlns:a16="http://schemas.microsoft.com/office/drawing/2014/main" id="{3C02AB20-545E-47AD-B10F-370A7F3ACAC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274" name="AutoShape 12">
          <a:extLst>
            <a:ext uri="{FF2B5EF4-FFF2-40B4-BE49-F238E27FC236}">
              <a16:creationId xmlns:a16="http://schemas.microsoft.com/office/drawing/2014/main" id="{9B3F7CAD-4329-4D94-B1A6-1BE81A05821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275" name="AutoShape 12">
          <a:extLst>
            <a:ext uri="{FF2B5EF4-FFF2-40B4-BE49-F238E27FC236}">
              <a16:creationId xmlns:a16="http://schemas.microsoft.com/office/drawing/2014/main" id="{12CD5635-4B34-49E6-B3E2-E4D9953FF1A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276" name="AutoShape 12">
          <a:extLst>
            <a:ext uri="{FF2B5EF4-FFF2-40B4-BE49-F238E27FC236}">
              <a16:creationId xmlns:a16="http://schemas.microsoft.com/office/drawing/2014/main" id="{D14641BE-BEE3-4C78-8420-5338BC000D6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277" name="AutoShape 12">
          <a:extLst>
            <a:ext uri="{FF2B5EF4-FFF2-40B4-BE49-F238E27FC236}">
              <a16:creationId xmlns:a16="http://schemas.microsoft.com/office/drawing/2014/main" id="{CAD40BA8-679E-44E6-87D0-5846AC9F838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278" name="AutoShape 12">
          <a:extLst>
            <a:ext uri="{FF2B5EF4-FFF2-40B4-BE49-F238E27FC236}">
              <a16:creationId xmlns:a16="http://schemas.microsoft.com/office/drawing/2014/main" id="{DAA05E5E-B7C2-4018-A959-F91700DAC6B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279" name="AutoShape 12">
          <a:extLst>
            <a:ext uri="{FF2B5EF4-FFF2-40B4-BE49-F238E27FC236}">
              <a16:creationId xmlns:a16="http://schemas.microsoft.com/office/drawing/2014/main" id="{AE9FD984-E96A-4AE0-BE8A-F59174691BF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280" name="AutoShape 12">
          <a:extLst>
            <a:ext uri="{FF2B5EF4-FFF2-40B4-BE49-F238E27FC236}">
              <a16:creationId xmlns:a16="http://schemas.microsoft.com/office/drawing/2014/main" id="{3CF3A131-C5BE-4071-9CE0-228C89B875A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281" name="AutoShape 12">
          <a:extLst>
            <a:ext uri="{FF2B5EF4-FFF2-40B4-BE49-F238E27FC236}">
              <a16:creationId xmlns:a16="http://schemas.microsoft.com/office/drawing/2014/main" id="{777D527B-F1A8-45D1-A017-6F0654B77D0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282" name="AutoShape 12">
          <a:extLst>
            <a:ext uri="{FF2B5EF4-FFF2-40B4-BE49-F238E27FC236}">
              <a16:creationId xmlns:a16="http://schemas.microsoft.com/office/drawing/2014/main" id="{AF04CE6B-5E8B-4F61-898C-0368F43FE72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283" name="AutoShape 12">
          <a:extLst>
            <a:ext uri="{FF2B5EF4-FFF2-40B4-BE49-F238E27FC236}">
              <a16:creationId xmlns:a16="http://schemas.microsoft.com/office/drawing/2014/main" id="{9DDB284B-9A04-4F82-A7D9-DDA2D89588A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284" name="AutoShape 12">
          <a:extLst>
            <a:ext uri="{FF2B5EF4-FFF2-40B4-BE49-F238E27FC236}">
              <a16:creationId xmlns:a16="http://schemas.microsoft.com/office/drawing/2014/main" id="{A831FC21-1A02-4853-A404-5C2773AC427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285" name="AutoShape 12">
          <a:extLst>
            <a:ext uri="{FF2B5EF4-FFF2-40B4-BE49-F238E27FC236}">
              <a16:creationId xmlns:a16="http://schemas.microsoft.com/office/drawing/2014/main" id="{2411C86C-A354-4E40-BACE-11CADFA089E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286" name="AutoShape 12">
          <a:extLst>
            <a:ext uri="{FF2B5EF4-FFF2-40B4-BE49-F238E27FC236}">
              <a16:creationId xmlns:a16="http://schemas.microsoft.com/office/drawing/2014/main" id="{07ACEA6F-97FF-48F6-98F9-C0DB5D03519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287" name="AutoShape 12">
          <a:extLst>
            <a:ext uri="{FF2B5EF4-FFF2-40B4-BE49-F238E27FC236}">
              <a16:creationId xmlns:a16="http://schemas.microsoft.com/office/drawing/2014/main" id="{C6290704-DEFE-4F24-B895-6A86C45C76B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288" name="AutoShape 12">
          <a:extLst>
            <a:ext uri="{FF2B5EF4-FFF2-40B4-BE49-F238E27FC236}">
              <a16:creationId xmlns:a16="http://schemas.microsoft.com/office/drawing/2014/main" id="{6817BE33-1BC4-4A6E-BA8B-E63848EB75B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289" name="AutoShape 12">
          <a:extLst>
            <a:ext uri="{FF2B5EF4-FFF2-40B4-BE49-F238E27FC236}">
              <a16:creationId xmlns:a16="http://schemas.microsoft.com/office/drawing/2014/main" id="{F987EB44-4262-4943-A94F-32A57183577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290" name="AutoShape 12">
          <a:extLst>
            <a:ext uri="{FF2B5EF4-FFF2-40B4-BE49-F238E27FC236}">
              <a16:creationId xmlns:a16="http://schemas.microsoft.com/office/drawing/2014/main" id="{966137C9-7CA3-462F-A8A1-B864C30682F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291" name="AutoShape 12">
          <a:extLst>
            <a:ext uri="{FF2B5EF4-FFF2-40B4-BE49-F238E27FC236}">
              <a16:creationId xmlns:a16="http://schemas.microsoft.com/office/drawing/2014/main" id="{82231570-FF38-4EEA-BB94-F930F4F86C6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292" name="AutoShape 12">
          <a:extLst>
            <a:ext uri="{FF2B5EF4-FFF2-40B4-BE49-F238E27FC236}">
              <a16:creationId xmlns:a16="http://schemas.microsoft.com/office/drawing/2014/main" id="{523376CA-77FD-4809-8AEF-CE9419EA7BA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293" name="AutoShape 12">
          <a:extLst>
            <a:ext uri="{FF2B5EF4-FFF2-40B4-BE49-F238E27FC236}">
              <a16:creationId xmlns:a16="http://schemas.microsoft.com/office/drawing/2014/main" id="{C178DC0F-6786-4E28-9700-58DCCAF0437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294" name="AutoShape 12">
          <a:extLst>
            <a:ext uri="{FF2B5EF4-FFF2-40B4-BE49-F238E27FC236}">
              <a16:creationId xmlns:a16="http://schemas.microsoft.com/office/drawing/2014/main" id="{CBE34222-AEF9-4DC5-8907-B37081C1D80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295" name="AutoShape 12">
          <a:extLst>
            <a:ext uri="{FF2B5EF4-FFF2-40B4-BE49-F238E27FC236}">
              <a16:creationId xmlns:a16="http://schemas.microsoft.com/office/drawing/2014/main" id="{2CC71B50-81CA-4703-AD10-7CBBA7CF87E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296" name="AutoShape 12">
          <a:extLst>
            <a:ext uri="{FF2B5EF4-FFF2-40B4-BE49-F238E27FC236}">
              <a16:creationId xmlns:a16="http://schemas.microsoft.com/office/drawing/2014/main" id="{744A5FA7-0263-4483-9450-1B5C7D7403B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297" name="AutoShape 12">
          <a:extLst>
            <a:ext uri="{FF2B5EF4-FFF2-40B4-BE49-F238E27FC236}">
              <a16:creationId xmlns:a16="http://schemas.microsoft.com/office/drawing/2014/main" id="{9B8C3CCE-E1B1-4028-8038-1DF9CBD3D10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298" name="AutoShape 12">
          <a:extLst>
            <a:ext uri="{FF2B5EF4-FFF2-40B4-BE49-F238E27FC236}">
              <a16:creationId xmlns:a16="http://schemas.microsoft.com/office/drawing/2014/main" id="{B5F5A1C5-D669-42B1-8508-6E0CFA350CF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299" name="AutoShape 12">
          <a:extLst>
            <a:ext uri="{FF2B5EF4-FFF2-40B4-BE49-F238E27FC236}">
              <a16:creationId xmlns:a16="http://schemas.microsoft.com/office/drawing/2014/main" id="{0FC327E1-2028-4B0F-B7CF-9E55E337CD4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300" name="AutoShape 12">
          <a:extLst>
            <a:ext uri="{FF2B5EF4-FFF2-40B4-BE49-F238E27FC236}">
              <a16:creationId xmlns:a16="http://schemas.microsoft.com/office/drawing/2014/main" id="{EC5DC848-F5B3-4596-898A-35E79ED4F9F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301" name="AutoShape 12">
          <a:extLst>
            <a:ext uri="{FF2B5EF4-FFF2-40B4-BE49-F238E27FC236}">
              <a16:creationId xmlns:a16="http://schemas.microsoft.com/office/drawing/2014/main" id="{8E925ACB-4CCE-4E84-A2AF-DE67254E040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302" name="AutoShape 12">
          <a:extLst>
            <a:ext uri="{FF2B5EF4-FFF2-40B4-BE49-F238E27FC236}">
              <a16:creationId xmlns:a16="http://schemas.microsoft.com/office/drawing/2014/main" id="{B39B153C-5C2A-466E-958A-03E1B03555B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303" name="AutoShape 12">
          <a:extLst>
            <a:ext uri="{FF2B5EF4-FFF2-40B4-BE49-F238E27FC236}">
              <a16:creationId xmlns:a16="http://schemas.microsoft.com/office/drawing/2014/main" id="{307DFE82-C74D-4CA7-AF3D-8B6877E5A0E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304" name="AutoShape 12">
          <a:extLst>
            <a:ext uri="{FF2B5EF4-FFF2-40B4-BE49-F238E27FC236}">
              <a16:creationId xmlns:a16="http://schemas.microsoft.com/office/drawing/2014/main" id="{405378DF-9074-4FE7-B894-889B616215A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305" name="AutoShape 12">
          <a:extLst>
            <a:ext uri="{FF2B5EF4-FFF2-40B4-BE49-F238E27FC236}">
              <a16:creationId xmlns:a16="http://schemas.microsoft.com/office/drawing/2014/main" id="{A67239DB-E42B-40A1-8C78-1A4A1C6CEA3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306" name="AutoShape 12">
          <a:extLst>
            <a:ext uri="{FF2B5EF4-FFF2-40B4-BE49-F238E27FC236}">
              <a16:creationId xmlns:a16="http://schemas.microsoft.com/office/drawing/2014/main" id="{596899FB-64DE-4B24-A079-E3583CE4A08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307" name="AutoShape 12">
          <a:extLst>
            <a:ext uri="{FF2B5EF4-FFF2-40B4-BE49-F238E27FC236}">
              <a16:creationId xmlns:a16="http://schemas.microsoft.com/office/drawing/2014/main" id="{515E0EBD-46F4-4140-A844-82129D6E3B4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308" name="AutoShape 12">
          <a:extLst>
            <a:ext uri="{FF2B5EF4-FFF2-40B4-BE49-F238E27FC236}">
              <a16:creationId xmlns:a16="http://schemas.microsoft.com/office/drawing/2014/main" id="{56410B44-1BD5-4F12-9CFB-5568EED1150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309" name="AutoShape 12">
          <a:extLst>
            <a:ext uri="{FF2B5EF4-FFF2-40B4-BE49-F238E27FC236}">
              <a16:creationId xmlns:a16="http://schemas.microsoft.com/office/drawing/2014/main" id="{D6705101-A33B-4FEF-B5B6-EFE17046969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310" name="AutoShape 12">
          <a:extLst>
            <a:ext uri="{FF2B5EF4-FFF2-40B4-BE49-F238E27FC236}">
              <a16:creationId xmlns:a16="http://schemas.microsoft.com/office/drawing/2014/main" id="{BDE9C111-42B9-42C7-BE86-8AC3289C8E6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311" name="AutoShape 12">
          <a:extLst>
            <a:ext uri="{FF2B5EF4-FFF2-40B4-BE49-F238E27FC236}">
              <a16:creationId xmlns:a16="http://schemas.microsoft.com/office/drawing/2014/main" id="{A67154F8-F46B-463D-A265-92E7380B52B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312" name="AutoShape 12">
          <a:extLst>
            <a:ext uri="{FF2B5EF4-FFF2-40B4-BE49-F238E27FC236}">
              <a16:creationId xmlns:a16="http://schemas.microsoft.com/office/drawing/2014/main" id="{CC38701C-EEB7-45F2-A72B-A05C0ADC409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313" name="AutoShape 12">
          <a:extLst>
            <a:ext uri="{FF2B5EF4-FFF2-40B4-BE49-F238E27FC236}">
              <a16:creationId xmlns:a16="http://schemas.microsoft.com/office/drawing/2014/main" id="{38ED68C8-4E74-4032-A511-AEBB62A9A7B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314" name="AutoShape 12">
          <a:extLst>
            <a:ext uri="{FF2B5EF4-FFF2-40B4-BE49-F238E27FC236}">
              <a16:creationId xmlns:a16="http://schemas.microsoft.com/office/drawing/2014/main" id="{84304A4F-144A-4F7D-AEC0-CBA22AF5E1A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315" name="AutoShape 12">
          <a:extLst>
            <a:ext uri="{FF2B5EF4-FFF2-40B4-BE49-F238E27FC236}">
              <a16:creationId xmlns:a16="http://schemas.microsoft.com/office/drawing/2014/main" id="{D39D2845-2DE5-4DC0-BAC2-29DE7156130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316" name="AutoShape 12">
          <a:extLst>
            <a:ext uri="{FF2B5EF4-FFF2-40B4-BE49-F238E27FC236}">
              <a16:creationId xmlns:a16="http://schemas.microsoft.com/office/drawing/2014/main" id="{ADB65329-6DD9-42FC-A855-564B83EDEF9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317" name="AutoShape 12">
          <a:extLst>
            <a:ext uri="{FF2B5EF4-FFF2-40B4-BE49-F238E27FC236}">
              <a16:creationId xmlns:a16="http://schemas.microsoft.com/office/drawing/2014/main" id="{799E3B84-CF11-48B0-A00C-69947FDE011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318" name="AutoShape 12">
          <a:extLst>
            <a:ext uri="{FF2B5EF4-FFF2-40B4-BE49-F238E27FC236}">
              <a16:creationId xmlns:a16="http://schemas.microsoft.com/office/drawing/2014/main" id="{13F7EC63-3C35-482E-9F81-66555EB5084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319" name="AutoShape 12">
          <a:extLst>
            <a:ext uri="{FF2B5EF4-FFF2-40B4-BE49-F238E27FC236}">
              <a16:creationId xmlns:a16="http://schemas.microsoft.com/office/drawing/2014/main" id="{23CA62DF-A656-4C38-A994-0C07C929A53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320" name="AutoShape 12">
          <a:extLst>
            <a:ext uri="{FF2B5EF4-FFF2-40B4-BE49-F238E27FC236}">
              <a16:creationId xmlns:a16="http://schemas.microsoft.com/office/drawing/2014/main" id="{20FA9081-1BB5-4ACB-AB8B-6D4A4BE8740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321" name="AutoShape 12">
          <a:extLst>
            <a:ext uri="{FF2B5EF4-FFF2-40B4-BE49-F238E27FC236}">
              <a16:creationId xmlns:a16="http://schemas.microsoft.com/office/drawing/2014/main" id="{69CF329F-2048-409E-B019-D0E7361A107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322" name="AutoShape 12">
          <a:extLst>
            <a:ext uri="{FF2B5EF4-FFF2-40B4-BE49-F238E27FC236}">
              <a16:creationId xmlns:a16="http://schemas.microsoft.com/office/drawing/2014/main" id="{CB94AE96-EF7D-4C05-BDFC-810FBAB3C32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323" name="AutoShape 12">
          <a:extLst>
            <a:ext uri="{FF2B5EF4-FFF2-40B4-BE49-F238E27FC236}">
              <a16:creationId xmlns:a16="http://schemas.microsoft.com/office/drawing/2014/main" id="{6F7DEAD3-BEF2-4E3E-9BE1-F3C2401FB71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324" name="AutoShape 12">
          <a:extLst>
            <a:ext uri="{FF2B5EF4-FFF2-40B4-BE49-F238E27FC236}">
              <a16:creationId xmlns:a16="http://schemas.microsoft.com/office/drawing/2014/main" id="{B41613D1-46A4-41DF-9A10-420AD3B59B1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325" name="AutoShape 12">
          <a:extLst>
            <a:ext uri="{FF2B5EF4-FFF2-40B4-BE49-F238E27FC236}">
              <a16:creationId xmlns:a16="http://schemas.microsoft.com/office/drawing/2014/main" id="{C8554B0B-D5B2-4686-B835-845DF2FC0AD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326" name="AutoShape 12">
          <a:extLst>
            <a:ext uri="{FF2B5EF4-FFF2-40B4-BE49-F238E27FC236}">
              <a16:creationId xmlns:a16="http://schemas.microsoft.com/office/drawing/2014/main" id="{10BB89C4-A7AD-46B4-A920-83FBFBF3804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327" name="AutoShape 12">
          <a:extLst>
            <a:ext uri="{FF2B5EF4-FFF2-40B4-BE49-F238E27FC236}">
              <a16:creationId xmlns:a16="http://schemas.microsoft.com/office/drawing/2014/main" id="{B7D5D5FA-97D4-4DBC-A57D-AC9E3A7E4F7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328" name="AutoShape 12">
          <a:extLst>
            <a:ext uri="{FF2B5EF4-FFF2-40B4-BE49-F238E27FC236}">
              <a16:creationId xmlns:a16="http://schemas.microsoft.com/office/drawing/2014/main" id="{3D0CF37F-1329-4E23-A093-158BF89BA79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329" name="AutoShape 12">
          <a:extLst>
            <a:ext uri="{FF2B5EF4-FFF2-40B4-BE49-F238E27FC236}">
              <a16:creationId xmlns:a16="http://schemas.microsoft.com/office/drawing/2014/main" id="{4409F6DE-710A-493E-B30C-63E4E089F9F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330" name="AutoShape 12">
          <a:extLst>
            <a:ext uri="{FF2B5EF4-FFF2-40B4-BE49-F238E27FC236}">
              <a16:creationId xmlns:a16="http://schemas.microsoft.com/office/drawing/2014/main" id="{DD650809-E4E1-43AC-9344-0103E542685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331" name="AutoShape 12">
          <a:extLst>
            <a:ext uri="{FF2B5EF4-FFF2-40B4-BE49-F238E27FC236}">
              <a16:creationId xmlns:a16="http://schemas.microsoft.com/office/drawing/2014/main" id="{DAF03C83-84C6-4630-B5D4-732F5185B97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332" name="AutoShape 12">
          <a:extLst>
            <a:ext uri="{FF2B5EF4-FFF2-40B4-BE49-F238E27FC236}">
              <a16:creationId xmlns:a16="http://schemas.microsoft.com/office/drawing/2014/main" id="{4E0A17F1-8810-4B6C-B679-310AF6856F0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333" name="AutoShape 12">
          <a:extLst>
            <a:ext uri="{FF2B5EF4-FFF2-40B4-BE49-F238E27FC236}">
              <a16:creationId xmlns:a16="http://schemas.microsoft.com/office/drawing/2014/main" id="{F4069029-A519-47FE-9327-6E9B107C25A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334" name="AutoShape 12">
          <a:extLst>
            <a:ext uri="{FF2B5EF4-FFF2-40B4-BE49-F238E27FC236}">
              <a16:creationId xmlns:a16="http://schemas.microsoft.com/office/drawing/2014/main" id="{E6012E5A-15F4-4C9C-AF33-5BD7D0A9E8C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335" name="AutoShape 12">
          <a:extLst>
            <a:ext uri="{FF2B5EF4-FFF2-40B4-BE49-F238E27FC236}">
              <a16:creationId xmlns:a16="http://schemas.microsoft.com/office/drawing/2014/main" id="{D698A4B4-10A4-47C8-AB25-8084442BC95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336" name="AutoShape 12">
          <a:extLst>
            <a:ext uri="{FF2B5EF4-FFF2-40B4-BE49-F238E27FC236}">
              <a16:creationId xmlns:a16="http://schemas.microsoft.com/office/drawing/2014/main" id="{8813BD1D-F1E6-4BE7-BCC4-81663E5376F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337" name="AutoShape 12">
          <a:extLst>
            <a:ext uri="{FF2B5EF4-FFF2-40B4-BE49-F238E27FC236}">
              <a16:creationId xmlns:a16="http://schemas.microsoft.com/office/drawing/2014/main" id="{441183E3-69C6-4A58-AF3A-D90719D4575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338" name="AutoShape 12">
          <a:extLst>
            <a:ext uri="{FF2B5EF4-FFF2-40B4-BE49-F238E27FC236}">
              <a16:creationId xmlns:a16="http://schemas.microsoft.com/office/drawing/2014/main" id="{8CFD4E59-3C39-42D7-BCE6-C74C899B16B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339" name="AutoShape 12">
          <a:extLst>
            <a:ext uri="{FF2B5EF4-FFF2-40B4-BE49-F238E27FC236}">
              <a16:creationId xmlns:a16="http://schemas.microsoft.com/office/drawing/2014/main" id="{A0ADC567-1321-40F5-BAB8-16D3465A21B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340" name="AutoShape 12">
          <a:extLst>
            <a:ext uri="{FF2B5EF4-FFF2-40B4-BE49-F238E27FC236}">
              <a16:creationId xmlns:a16="http://schemas.microsoft.com/office/drawing/2014/main" id="{C3ACF6A9-B936-4C54-B7FB-B1538E60BAE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341" name="AutoShape 12">
          <a:extLst>
            <a:ext uri="{FF2B5EF4-FFF2-40B4-BE49-F238E27FC236}">
              <a16:creationId xmlns:a16="http://schemas.microsoft.com/office/drawing/2014/main" id="{CF1DDB92-4DCB-4F4C-83BA-EA63CE955B3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342" name="AutoShape 12">
          <a:extLst>
            <a:ext uri="{FF2B5EF4-FFF2-40B4-BE49-F238E27FC236}">
              <a16:creationId xmlns:a16="http://schemas.microsoft.com/office/drawing/2014/main" id="{9573360A-78BE-4582-8BDA-CA395E93ED3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343" name="AutoShape 12">
          <a:extLst>
            <a:ext uri="{FF2B5EF4-FFF2-40B4-BE49-F238E27FC236}">
              <a16:creationId xmlns:a16="http://schemas.microsoft.com/office/drawing/2014/main" id="{726598D3-B106-4433-A654-17F1C19D9DE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344" name="AutoShape 12">
          <a:extLst>
            <a:ext uri="{FF2B5EF4-FFF2-40B4-BE49-F238E27FC236}">
              <a16:creationId xmlns:a16="http://schemas.microsoft.com/office/drawing/2014/main" id="{1A99A2EA-0C99-4DF1-B8C7-8761A7C4DEA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345" name="AutoShape 12">
          <a:extLst>
            <a:ext uri="{FF2B5EF4-FFF2-40B4-BE49-F238E27FC236}">
              <a16:creationId xmlns:a16="http://schemas.microsoft.com/office/drawing/2014/main" id="{66C19BEB-57AA-44F0-B8FF-1CE729B76D5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346" name="AutoShape 12">
          <a:extLst>
            <a:ext uri="{FF2B5EF4-FFF2-40B4-BE49-F238E27FC236}">
              <a16:creationId xmlns:a16="http://schemas.microsoft.com/office/drawing/2014/main" id="{E6F8B765-65F7-4831-AA5A-27D1C597233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347" name="AutoShape 12">
          <a:extLst>
            <a:ext uri="{FF2B5EF4-FFF2-40B4-BE49-F238E27FC236}">
              <a16:creationId xmlns:a16="http://schemas.microsoft.com/office/drawing/2014/main" id="{5EF159F2-FFC1-45E0-98F8-7A29B9E603C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348" name="AutoShape 12">
          <a:extLst>
            <a:ext uri="{FF2B5EF4-FFF2-40B4-BE49-F238E27FC236}">
              <a16:creationId xmlns:a16="http://schemas.microsoft.com/office/drawing/2014/main" id="{55851674-5609-49D2-8E93-51E8BE836A5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349" name="AutoShape 12">
          <a:extLst>
            <a:ext uri="{FF2B5EF4-FFF2-40B4-BE49-F238E27FC236}">
              <a16:creationId xmlns:a16="http://schemas.microsoft.com/office/drawing/2014/main" id="{18FC56FF-5C32-4A4C-95FF-057500609A7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350" name="AutoShape 12">
          <a:extLst>
            <a:ext uri="{FF2B5EF4-FFF2-40B4-BE49-F238E27FC236}">
              <a16:creationId xmlns:a16="http://schemas.microsoft.com/office/drawing/2014/main" id="{D8715AB0-89EF-4C5F-8B79-A7FD234DF52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351" name="AutoShape 12">
          <a:extLst>
            <a:ext uri="{FF2B5EF4-FFF2-40B4-BE49-F238E27FC236}">
              <a16:creationId xmlns:a16="http://schemas.microsoft.com/office/drawing/2014/main" id="{D45E2AA5-AF09-4AF3-9B1A-796AAA1EF43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352" name="AutoShape 12">
          <a:extLst>
            <a:ext uri="{FF2B5EF4-FFF2-40B4-BE49-F238E27FC236}">
              <a16:creationId xmlns:a16="http://schemas.microsoft.com/office/drawing/2014/main" id="{0C214EBB-DE82-493A-9EA8-1B9A9447893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353" name="AutoShape 12">
          <a:extLst>
            <a:ext uri="{FF2B5EF4-FFF2-40B4-BE49-F238E27FC236}">
              <a16:creationId xmlns:a16="http://schemas.microsoft.com/office/drawing/2014/main" id="{EA73F516-FBE5-4768-9E67-F2F4D95AE5F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354" name="AutoShape 12">
          <a:extLst>
            <a:ext uri="{FF2B5EF4-FFF2-40B4-BE49-F238E27FC236}">
              <a16:creationId xmlns:a16="http://schemas.microsoft.com/office/drawing/2014/main" id="{DC509FD6-1D25-4E08-BADE-ADD6B4FAE25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355" name="AutoShape 12">
          <a:extLst>
            <a:ext uri="{FF2B5EF4-FFF2-40B4-BE49-F238E27FC236}">
              <a16:creationId xmlns:a16="http://schemas.microsoft.com/office/drawing/2014/main" id="{DDFA3E85-73B2-4C01-B51A-9ABEB1C23D6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356" name="AutoShape 12">
          <a:extLst>
            <a:ext uri="{FF2B5EF4-FFF2-40B4-BE49-F238E27FC236}">
              <a16:creationId xmlns:a16="http://schemas.microsoft.com/office/drawing/2014/main" id="{9F6FEEB8-9563-4F34-985E-4239EDC1FD3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357" name="AutoShape 12">
          <a:extLst>
            <a:ext uri="{FF2B5EF4-FFF2-40B4-BE49-F238E27FC236}">
              <a16:creationId xmlns:a16="http://schemas.microsoft.com/office/drawing/2014/main" id="{7BA38904-5A3B-4013-87A2-D5CC851ECBE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358" name="AutoShape 12">
          <a:extLst>
            <a:ext uri="{FF2B5EF4-FFF2-40B4-BE49-F238E27FC236}">
              <a16:creationId xmlns:a16="http://schemas.microsoft.com/office/drawing/2014/main" id="{A1A25F92-91A8-47DB-8F3C-5591D23EAA9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359" name="AutoShape 12">
          <a:extLst>
            <a:ext uri="{FF2B5EF4-FFF2-40B4-BE49-F238E27FC236}">
              <a16:creationId xmlns:a16="http://schemas.microsoft.com/office/drawing/2014/main" id="{F51EA746-BE36-4B09-B274-A98426AFE57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360" name="AutoShape 12">
          <a:extLst>
            <a:ext uri="{FF2B5EF4-FFF2-40B4-BE49-F238E27FC236}">
              <a16:creationId xmlns:a16="http://schemas.microsoft.com/office/drawing/2014/main" id="{B1C85F46-4DF8-44B4-806E-A6BBF99F7BA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361" name="AutoShape 12">
          <a:extLst>
            <a:ext uri="{FF2B5EF4-FFF2-40B4-BE49-F238E27FC236}">
              <a16:creationId xmlns:a16="http://schemas.microsoft.com/office/drawing/2014/main" id="{B55702ED-B7A6-4EF4-BC54-AB4B172F79B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362" name="AutoShape 12">
          <a:extLst>
            <a:ext uri="{FF2B5EF4-FFF2-40B4-BE49-F238E27FC236}">
              <a16:creationId xmlns:a16="http://schemas.microsoft.com/office/drawing/2014/main" id="{EF171423-7FCE-4A75-8B10-0A6575B4105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363" name="AutoShape 12">
          <a:extLst>
            <a:ext uri="{FF2B5EF4-FFF2-40B4-BE49-F238E27FC236}">
              <a16:creationId xmlns:a16="http://schemas.microsoft.com/office/drawing/2014/main" id="{3A2CD6A8-D3FF-4789-A22B-626F129BB49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364" name="AutoShape 12">
          <a:extLst>
            <a:ext uri="{FF2B5EF4-FFF2-40B4-BE49-F238E27FC236}">
              <a16:creationId xmlns:a16="http://schemas.microsoft.com/office/drawing/2014/main" id="{06295A24-8A1A-4AF7-A58D-DC84AC3CD28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365" name="AutoShape 12">
          <a:extLst>
            <a:ext uri="{FF2B5EF4-FFF2-40B4-BE49-F238E27FC236}">
              <a16:creationId xmlns:a16="http://schemas.microsoft.com/office/drawing/2014/main" id="{075913D6-5E19-4AD1-AA32-93E8BD78CF1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366" name="AutoShape 12">
          <a:extLst>
            <a:ext uri="{FF2B5EF4-FFF2-40B4-BE49-F238E27FC236}">
              <a16:creationId xmlns:a16="http://schemas.microsoft.com/office/drawing/2014/main" id="{000F83C3-5C2E-43A0-A5B2-DB137B18069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367" name="AutoShape 12">
          <a:extLst>
            <a:ext uri="{FF2B5EF4-FFF2-40B4-BE49-F238E27FC236}">
              <a16:creationId xmlns:a16="http://schemas.microsoft.com/office/drawing/2014/main" id="{96E1E0C0-DFA9-45B2-B98E-47CD0B3E7CC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368" name="AutoShape 12">
          <a:extLst>
            <a:ext uri="{FF2B5EF4-FFF2-40B4-BE49-F238E27FC236}">
              <a16:creationId xmlns:a16="http://schemas.microsoft.com/office/drawing/2014/main" id="{297D6176-4E65-4C3A-8794-FD53540CEB1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369" name="AutoShape 12">
          <a:extLst>
            <a:ext uri="{FF2B5EF4-FFF2-40B4-BE49-F238E27FC236}">
              <a16:creationId xmlns:a16="http://schemas.microsoft.com/office/drawing/2014/main" id="{82EF7BAB-AF30-462F-9557-D3575B662F7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370" name="AutoShape 12">
          <a:extLst>
            <a:ext uri="{FF2B5EF4-FFF2-40B4-BE49-F238E27FC236}">
              <a16:creationId xmlns:a16="http://schemas.microsoft.com/office/drawing/2014/main" id="{397C7106-8434-405E-B12A-FF58AE2A285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371" name="AutoShape 12">
          <a:extLst>
            <a:ext uri="{FF2B5EF4-FFF2-40B4-BE49-F238E27FC236}">
              <a16:creationId xmlns:a16="http://schemas.microsoft.com/office/drawing/2014/main" id="{5321621E-E496-4592-8D3F-BE08A3D04C9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372" name="AutoShape 12">
          <a:extLst>
            <a:ext uri="{FF2B5EF4-FFF2-40B4-BE49-F238E27FC236}">
              <a16:creationId xmlns:a16="http://schemas.microsoft.com/office/drawing/2014/main" id="{21D86296-3E75-41F9-9BFE-EBE352BF2B0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373" name="AutoShape 12">
          <a:extLst>
            <a:ext uri="{FF2B5EF4-FFF2-40B4-BE49-F238E27FC236}">
              <a16:creationId xmlns:a16="http://schemas.microsoft.com/office/drawing/2014/main" id="{8C505A41-CA3F-4FBD-BDE4-1586D84BB8B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374" name="AutoShape 12">
          <a:extLst>
            <a:ext uri="{FF2B5EF4-FFF2-40B4-BE49-F238E27FC236}">
              <a16:creationId xmlns:a16="http://schemas.microsoft.com/office/drawing/2014/main" id="{3E39A3B6-2363-4140-B827-368E3509C2A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375" name="AutoShape 12">
          <a:extLst>
            <a:ext uri="{FF2B5EF4-FFF2-40B4-BE49-F238E27FC236}">
              <a16:creationId xmlns:a16="http://schemas.microsoft.com/office/drawing/2014/main" id="{C53A2A9A-24AF-4800-B7A2-F0595714518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376" name="AutoShape 12">
          <a:extLst>
            <a:ext uri="{FF2B5EF4-FFF2-40B4-BE49-F238E27FC236}">
              <a16:creationId xmlns:a16="http://schemas.microsoft.com/office/drawing/2014/main" id="{6E0F3B4A-047C-400E-8225-00240E28E26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377" name="AutoShape 12">
          <a:extLst>
            <a:ext uri="{FF2B5EF4-FFF2-40B4-BE49-F238E27FC236}">
              <a16:creationId xmlns:a16="http://schemas.microsoft.com/office/drawing/2014/main" id="{70777EFF-AE95-44CE-81C7-1304CE96441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378" name="AutoShape 12">
          <a:extLst>
            <a:ext uri="{FF2B5EF4-FFF2-40B4-BE49-F238E27FC236}">
              <a16:creationId xmlns:a16="http://schemas.microsoft.com/office/drawing/2014/main" id="{96470DA6-6D59-48AA-9F38-818E8965551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379" name="AutoShape 12">
          <a:extLst>
            <a:ext uri="{FF2B5EF4-FFF2-40B4-BE49-F238E27FC236}">
              <a16:creationId xmlns:a16="http://schemas.microsoft.com/office/drawing/2014/main" id="{B55FA209-2F02-4447-BCF4-527709D6F68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380" name="AutoShape 12">
          <a:extLst>
            <a:ext uri="{FF2B5EF4-FFF2-40B4-BE49-F238E27FC236}">
              <a16:creationId xmlns:a16="http://schemas.microsoft.com/office/drawing/2014/main" id="{4191F60C-0F60-429A-89B4-A818324CFF9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381" name="AutoShape 12">
          <a:extLst>
            <a:ext uri="{FF2B5EF4-FFF2-40B4-BE49-F238E27FC236}">
              <a16:creationId xmlns:a16="http://schemas.microsoft.com/office/drawing/2014/main" id="{2EC799FB-4318-4261-AD4E-727D33FC623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382" name="AutoShape 12">
          <a:extLst>
            <a:ext uri="{FF2B5EF4-FFF2-40B4-BE49-F238E27FC236}">
              <a16:creationId xmlns:a16="http://schemas.microsoft.com/office/drawing/2014/main" id="{9E1F65B9-A12D-4410-B525-B34305A8363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383" name="AutoShape 12">
          <a:extLst>
            <a:ext uri="{FF2B5EF4-FFF2-40B4-BE49-F238E27FC236}">
              <a16:creationId xmlns:a16="http://schemas.microsoft.com/office/drawing/2014/main" id="{3BFC45BA-086A-49AE-B464-1C9DC237C0C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384" name="AutoShape 12">
          <a:extLst>
            <a:ext uri="{FF2B5EF4-FFF2-40B4-BE49-F238E27FC236}">
              <a16:creationId xmlns:a16="http://schemas.microsoft.com/office/drawing/2014/main" id="{C8BD0BFD-A770-43E5-8C1F-D49E7804D43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385" name="AutoShape 12">
          <a:extLst>
            <a:ext uri="{FF2B5EF4-FFF2-40B4-BE49-F238E27FC236}">
              <a16:creationId xmlns:a16="http://schemas.microsoft.com/office/drawing/2014/main" id="{964E9CE0-2499-4E74-B131-9A5995DE6C2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386" name="AutoShape 12">
          <a:extLst>
            <a:ext uri="{FF2B5EF4-FFF2-40B4-BE49-F238E27FC236}">
              <a16:creationId xmlns:a16="http://schemas.microsoft.com/office/drawing/2014/main" id="{FC1405C3-342D-41D1-B4C0-75B4366B05C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387" name="AutoShape 12">
          <a:extLst>
            <a:ext uri="{FF2B5EF4-FFF2-40B4-BE49-F238E27FC236}">
              <a16:creationId xmlns:a16="http://schemas.microsoft.com/office/drawing/2014/main" id="{CDAB1C1E-0F0A-4FB1-B7FA-C506F43384B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388" name="AutoShape 12">
          <a:extLst>
            <a:ext uri="{FF2B5EF4-FFF2-40B4-BE49-F238E27FC236}">
              <a16:creationId xmlns:a16="http://schemas.microsoft.com/office/drawing/2014/main" id="{5D8CBF31-A5A0-4282-88F2-75E54B9D938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389" name="AutoShape 12">
          <a:extLst>
            <a:ext uri="{FF2B5EF4-FFF2-40B4-BE49-F238E27FC236}">
              <a16:creationId xmlns:a16="http://schemas.microsoft.com/office/drawing/2014/main" id="{ABBBA1B7-C0E0-4CC3-A5E3-E50F46981CE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390" name="AutoShape 12">
          <a:extLst>
            <a:ext uri="{FF2B5EF4-FFF2-40B4-BE49-F238E27FC236}">
              <a16:creationId xmlns:a16="http://schemas.microsoft.com/office/drawing/2014/main" id="{CA0CE3FF-BD1B-459D-BF76-DD3770B4051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391" name="AutoShape 12">
          <a:extLst>
            <a:ext uri="{FF2B5EF4-FFF2-40B4-BE49-F238E27FC236}">
              <a16:creationId xmlns:a16="http://schemas.microsoft.com/office/drawing/2014/main" id="{F1A4FA0E-CA6D-4042-9B6D-AB834A658E4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392" name="AutoShape 12">
          <a:extLst>
            <a:ext uri="{FF2B5EF4-FFF2-40B4-BE49-F238E27FC236}">
              <a16:creationId xmlns:a16="http://schemas.microsoft.com/office/drawing/2014/main" id="{EC721A27-3E23-4B1C-B9B8-327FB8ACED4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393" name="AutoShape 12">
          <a:extLst>
            <a:ext uri="{FF2B5EF4-FFF2-40B4-BE49-F238E27FC236}">
              <a16:creationId xmlns:a16="http://schemas.microsoft.com/office/drawing/2014/main" id="{9A99880A-7AEE-4A71-8F5E-1D051F39C2D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394" name="AutoShape 12">
          <a:extLst>
            <a:ext uri="{FF2B5EF4-FFF2-40B4-BE49-F238E27FC236}">
              <a16:creationId xmlns:a16="http://schemas.microsoft.com/office/drawing/2014/main" id="{0D987230-768D-4BCD-9EB5-4FFE3DCE58C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395" name="AutoShape 12">
          <a:extLst>
            <a:ext uri="{FF2B5EF4-FFF2-40B4-BE49-F238E27FC236}">
              <a16:creationId xmlns:a16="http://schemas.microsoft.com/office/drawing/2014/main" id="{F97A0B0D-8A70-4130-BF41-4ABC7E11CEA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396" name="AutoShape 12">
          <a:extLst>
            <a:ext uri="{FF2B5EF4-FFF2-40B4-BE49-F238E27FC236}">
              <a16:creationId xmlns:a16="http://schemas.microsoft.com/office/drawing/2014/main" id="{D7A0244A-292A-403A-B9D0-8FA745228AF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397" name="AutoShape 12">
          <a:extLst>
            <a:ext uri="{FF2B5EF4-FFF2-40B4-BE49-F238E27FC236}">
              <a16:creationId xmlns:a16="http://schemas.microsoft.com/office/drawing/2014/main" id="{69866C8F-A103-4070-A979-A0E07E774C9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398" name="AutoShape 12">
          <a:extLst>
            <a:ext uri="{FF2B5EF4-FFF2-40B4-BE49-F238E27FC236}">
              <a16:creationId xmlns:a16="http://schemas.microsoft.com/office/drawing/2014/main" id="{77C9AFE8-C8A1-4982-A8F5-A08C065DCA8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399" name="AutoShape 12">
          <a:extLst>
            <a:ext uri="{FF2B5EF4-FFF2-40B4-BE49-F238E27FC236}">
              <a16:creationId xmlns:a16="http://schemas.microsoft.com/office/drawing/2014/main" id="{6B0809C2-807C-44DE-842F-65C2CC7FD99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400" name="AutoShape 12">
          <a:extLst>
            <a:ext uri="{FF2B5EF4-FFF2-40B4-BE49-F238E27FC236}">
              <a16:creationId xmlns:a16="http://schemas.microsoft.com/office/drawing/2014/main" id="{7625E09F-C702-4D34-860B-1F0D433183E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401" name="AutoShape 12">
          <a:extLst>
            <a:ext uri="{FF2B5EF4-FFF2-40B4-BE49-F238E27FC236}">
              <a16:creationId xmlns:a16="http://schemas.microsoft.com/office/drawing/2014/main" id="{5F669B15-14EA-4627-9FA9-B632353E12B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402" name="AutoShape 12">
          <a:extLst>
            <a:ext uri="{FF2B5EF4-FFF2-40B4-BE49-F238E27FC236}">
              <a16:creationId xmlns:a16="http://schemas.microsoft.com/office/drawing/2014/main" id="{4B3CA5C1-D95A-4E80-B9F6-12A29915D37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403" name="AutoShape 12">
          <a:extLst>
            <a:ext uri="{FF2B5EF4-FFF2-40B4-BE49-F238E27FC236}">
              <a16:creationId xmlns:a16="http://schemas.microsoft.com/office/drawing/2014/main" id="{2FD48E02-F82F-4C9D-9508-612F028EE6A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404" name="AutoShape 12">
          <a:extLst>
            <a:ext uri="{FF2B5EF4-FFF2-40B4-BE49-F238E27FC236}">
              <a16:creationId xmlns:a16="http://schemas.microsoft.com/office/drawing/2014/main" id="{3AE8B458-5E89-42C6-95B4-4BBFADDADEB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405" name="AutoShape 12">
          <a:extLst>
            <a:ext uri="{FF2B5EF4-FFF2-40B4-BE49-F238E27FC236}">
              <a16:creationId xmlns:a16="http://schemas.microsoft.com/office/drawing/2014/main" id="{272857EA-1DC4-4C05-9A6B-C450A93EA13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406" name="AutoShape 12">
          <a:extLst>
            <a:ext uri="{FF2B5EF4-FFF2-40B4-BE49-F238E27FC236}">
              <a16:creationId xmlns:a16="http://schemas.microsoft.com/office/drawing/2014/main" id="{E25D46EE-69E1-412C-A94F-77A88F2685E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407" name="AutoShape 12">
          <a:extLst>
            <a:ext uri="{FF2B5EF4-FFF2-40B4-BE49-F238E27FC236}">
              <a16:creationId xmlns:a16="http://schemas.microsoft.com/office/drawing/2014/main" id="{B56752DA-4BCF-48EE-98C9-F5AE3820438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408" name="AutoShape 12">
          <a:extLst>
            <a:ext uri="{FF2B5EF4-FFF2-40B4-BE49-F238E27FC236}">
              <a16:creationId xmlns:a16="http://schemas.microsoft.com/office/drawing/2014/main" id="{7AF660DE-F583-48BA-8920-7449E0A0A75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409" name="AutoShape 12">
          <a:extLst>
            <a:ext uri="{FF2B5EF4-FFF2-40B4-BE49-F238E27FC236}">
              <a16:creationId xmlns:a16="http://schemas.microsoft.com/office/drawing/2014/main" id="{14F1C1F6-100C-436D-A889-2B43EC3EF81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410" name="AutoShape 12">
          <a:extLst>
            <a:ext uri="{FF2B5EF4-FFF2-40B4-BE49-F238E27FC236}">
              <a16:creationId xmlns:a16="http://schemas.microsoft.com/office/drawing/2014/main" id="{FC9A7261-87A7-4BAC-B2C1-22D4305F6CD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411" name="AutoShape 12">
          <a:extLst>
            <a:ext uri="{FF2B5EF4-FFF2-40B4-BE49-F238E27FC236}">
              <a16:creationId xmlns:a16="http://schemas.microsoft.com/office/drawing/2014/main" id="{465A1A18-650A-485F-BDF0-D00792062E2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412" name="AutoShape 12">
          <a:extLst>
            <a:ext uri="{FF2B5EF4-FFF2-40B4-BE49-F238E27FC236}">
              <a16:creationId xmlns:a16="http://schemas.microsoft.com/office/drawing/2014/main" id="{F4300A7F-E82C-4A80-BD03-1A4557062CC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413" name="AutoShape 12">
          <a:extLst>
            <a:ext uri="{FF2B5EF4-FFF2-40B4-BE49-F238E27FC236}">
              <a16:creationId xmlns:a16="http://schemas.microsoft.com/office/drawing/2014/main" id="{C03FE24C-D70A-44FC-A3EF-049FAD632A2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414" name="AutoShape 12">
          <a:extLst>
            <a:ext uri="{FF2B5EF4-FFF2-40B4-BE49-F238E27FC236}">
              <a16:creationId xmlns:a16="http://schemas.microsoft.com/office/drawing/2014/main" id="{C18F405B-AC87-4C11-9433-E17BA8170F8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415" name="AutoShape 12">
          <a:extLst>
            <a:ext uri="{FF2B5EF4-FFF2-40B4-BE49-F238E27FC236}">
              <a16:creationId xmlns:a16="http://schemas.microsoft.com/office/drawing/2014/main" id="{0E1142BD-2B8C-460D-9A64-AE93E5709F4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416" name="AutoShape 12">
          <a:extLst>
            <a:ext uri="{FF2B5EF4-FFF2-40B4-BE49-F238E27FC236}">
              <a16:creationId xmlns:a16="http://schemas.microsoft.com/office/drawing/2014/main" id="{14430504-B611-4FBD-9E65-B21F2576D8A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417" name="AutoShape 12">
          <a:extLst>
            <a:ext uri="{FF2B5EF4-FFF2-40B4-BE49-F238E27FC236}">
              <a16:creationId xmlns:a16="http://schemas.microsoft.com/office/drawing/2014/main" id="{DE9DF924-0B08-4C8B-AFFD-23456FC5AFB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418" name="AutoShape 12">
          <a:extLst>
            <a:ext uri="{FF2B5EF4-FFF2-40B4-BE49-F238E27FC236}">
              <a16:creationId xmlns:a16="http://schemas.microsoft.com/office/drawing/2014/main" id="{43F9DF53-2B7A-431A-A815-99AC90FD7A7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419" name="AutoShape 12">
          <a:extLst>
            <a:ext uri="{FF2B5EF4-FFF2-40B4-BE49-F238E27FC236}">
              <a16:creationId xmlns:a16="http://schemas.microsoft.com/office/drawing/2014/main" id="{479D1847-05D0-4415-9760-11BF1C23241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420" name="AutoShape 12">
          <a:extLst>
            <a:ext uri="{FF2B5EF4-FFF2-40B4-BE49-F238E27FC236}">
              <a16:creationId xmlns:a16="http://schemas.microsoft.com/office/drawing/2014/main" id="{9324134A-9434-4FF1-9150-EFF543D1548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421" name="AutoShape 12">
          <a:extLst>
            <a:ext uri="{FF2B5EF4-FFF2-40B4-BE49-F238E27FC236}">
              <a16:creationId xmlns:a16="http://schemas.microsoft.com/office/drawing/2014/main" id="{C0288FC3-8106-434A-9882-6064596461F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422" name="AutoShape 12">
          <a:extLst>
            <a:ext uri="{FF2B5EF4-FFF2-40B4-BE49-F238E27FC236}">
              <a16:creationId xmlns:a16="http://schemas.microsoft.com/office/drawing/2014/main" id="{6570C414-7F18-479D-9D40-ACB0D966F52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423" name="AutoShape 12">
          <a:extLst>
            <a:ext uri="{FF2B5EF4-FFF2-40B4-BE49-F238E27FC236}">
              <a16:creationId xmlns:a16="http://schemas.microsoft.com/office/drawing/2014/main" id="{81D17DF5-B06B-4858-AC81-8F683C9F787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424" name="AutoShape 12">
          <a:extLst>
            <a:ext uri="{FF2B5EF4-FFF2-40B4-BE49-F238E27FC236}">
              <a16:creationId xmlns:a16="http://schemas.microsoft.com/office/drawing/2014/main" id="{FBA8DD3F-2A21-492F-BAB7-A80FE5BC795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425" name="AutoShape 12">
          <a:extLst>
            <a:ext uri="{FF2B5EF4-FFF2-40B4-BE49-F238E27FC236}">
              <a16:creationId xmlns:a16="http://schemas.microsoft.com/office/drawing/2014/main" id="{64F34C57-87C3-4AD0-8B34-59141E6958B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426" name="AutoShape 12">
          <a:extLst>
            <a:ext uri="{FF2B5EF4-FFF2-40B4-BE49-F238E27FC236}">
              <a16:creationId xmlns:a16="http://schemas.microsoft.com/office/drawing/2014/main" id="{FB7B7E90-AEEE-4C32-91F1-406111ED907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427" name="AutoShape 12">
          <a:extLst>
            <a:ext uri="{FF2B5EF4-FFF2-40B4-BE49-F238E27FC236}">
              <a16:creationId xmlns:a16="http://schemas.microsoft.com/office/drawing/2014/main" id="{65B95AA4-42E4-4E3D-99AB-1F3137CC029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428" name="AutoShape 12">
          <a:extLst>
            <a:ext uri="{FF2B5EF4-FFF2-40B4-BE49-F238E27FC236}">
              <a16:creationId xmlns:a16="http://schemas.microsoft.com/office/drawing/2014/main" id="{5D8A9CFC-8CF4-4D88-A482-561EAC7F633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429" name="AutoShape 12">
          <a:extLst>
            <a:ext uri="{FF2B5EF4-FFF2-40B4-BE49-F238E27FC236}">
              <a16:creationId xmlns:a16="http://schemas.microsoft.com/office/drawing/2014/main" id="{96D1AA7E-51FE-490F-8599-0414414CDDC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430" name="AutoShape 12">
          <a:extLst>
            <a:ext uri="{FF2B5EF4-FFF2-40B4-BE49-F238E27FC236}">
              <a16:creationId xmlns:a16="http://schemas.microsoft.com/office/drawing/2014/main" id="{86A9F3A7-D6C2-4B8D-8F1E-EE7D7541930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431" name="AutoShape 12">
          <a:extLst>
            <a:ext uri="{FF2B5EF4-FFF2-40B4-BE49-F238E27FC236}">
              <a16:creationId xmlns:a16="http://schemas.microsoft.com/office/drawing/2014/main" id="{905F005B-68E9-40D3-8EC7-D7D3C3CF406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432" name="AutoShape 12">
          <a:extLst>
            <a:ext uri="{FF2B5EF4-FFF2-40B4-BE49-F238E27FC236}">
              <a16:creationId xmlns:a16="http://schemas.microsoft.com/office/drawing/2014/main" id="{157AA22F-B8F3-4C54-BADC-039C1C5066C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433" name="AutoShape 12">
          <a:extLst>
            <a:ext uri="{FF2B5EF4-FFF2-40B4-BE49-F238E27FC236}">
              <a16:creationId xmlns:a16="http://schemas.microsoft.com/office/drawing/2014/main" id="{274490E2-67BD-4EF2-A1E9-0AA10382EDD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434" name="AutoShape 12">
          <a:extLst>
            <a:ext uri="{FF2B5EF4-FFF2-40B4-BE49-F238E27FC236}">
              <a16:creationId xmlns:a16="http://schemas.microsoft.com/office/drawing/2014/main" id="{2EEB6311-A6BE-4155-97A1-7B7BED315BE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435" name="AutoShape 12">
          <a:extLst>
            <a:ext uri="{FF2B5EF4-FFF2-40B4-BE49-F238E27FC236}">
              <a16:creationId xmlns:a16="http://schemas.microsoft.com/office/drawing/2014/main" id="{71FB6464-5191-4A60-A6A3-74E0FC5B8BC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436" name="AutoShape 12">
          <a:extLst>
            <a:ext uri="{FF2B5EF4-FFF2-40B4-BE49-F238E27FC236}">
              <a16:creationId xmlns:a16="http://schemas.microsoft.com/office/drawing/2014/main" id="{A3762162-8E7F-4F6C-9912-699D17BB63B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437" name="AutoShape 12">
          <a:extLst>
            <a:ext uri="{FF2B5EF4-FFF2-40B4-BE49-F238E27FC236}">
              <a16:creationId xmlns:a16="http://schemas.microsoft.com/office/drawing/2014/main" id="{16782DC2-7B49-45D7-A7F9-9162AA132CB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438" name="AutoShape 12">
          <a:extLst>
            <a:ext uri="{FF2B5EF4-FFF2-40B4-BE49-F238E27FC236}">
              <a16:creationId xmlns:a16="http://schemas.microsoft.com/office/drawing/2014/main" id="{4147290A-D896-48CD-8761-1877C4D38CB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439" name="AutoShape 12">
          <a:extLst>
            <a:ext uri="{FF2B5EF4-FFF2-40B4-BE49-F238E27FC236}">
              <a16:creationId xmlns:a16="http://schemas.microsoft.com/office/drawing/2014/main" id="{7F8836AF-2BAC-4E28-9496-89133EBA499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440" name="AutoShape 12">
          <a:extLst>
            <a:ext uri="{FF2B5EF4-FFF2-40B4-BE49-F238E27FC236}">
              <a16:creationId xmlns:a16="http://schemas.microsoft.com/office/drawing/2014/main" id="{E6E12824-EB77-437D-B398-E4650CF25EC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441" name="AutoShape 12">
          <a:extLst>
            <a:ext uri="{FF2B5EF4-FFF2-40B4-BE49-F238E27FC236}">
              <a16:creationId xmlns:a16="http://schemas.microsoft.com/office/drawing/2014/main" id="{95ADB882-D2C2-4B30-A3A8-B364C4FC95A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442" name="AutoShape 12">
          <a:extLst>
            <a:ext uri="{FF2B5EF4-FFF2-40B4-BE49-F238E27FC236}">
              <a16:creationId xmlns:a16="http://schemas.microsoft.com/office/drawing/2014/main" id="{25502968-CEBA-41B1-B7CB-2A80ED005DB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443" name="AutoShape 12">
          <a:extLst>
            <a:ext uri="{FF2B5EF4-FFF2-40B4-BE49-F238E27FC236}">
              <a16:creationId xmlns:a16="http://schemas.microsoft.com/office/drawing/2014/main" id="{6A6BD458-AD43-4273-82AE-B333324DC25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444" name="AutoShape 12">
          <a:extLst>
            <a:ext uri="{FF2B5EF4-FFF2-40B4-BE49-F238E27FC236}">
              <a16:creationId xmlns:a16="http://schemas.microsoft.com/office/drawing/2014/main" id="{0FBF3094-74CB-4163-98BB-277F28FF1A1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445" name="AutoShape 12">
          <a:extLst>
            <a:ext uri="{FF2B5EF4-FFF2-40B4-BE49-F238E27FC236}">
              <a16:creationId xmlns:a16="http://schemas.microsoft.com/office/drawing/2014/main" id="{210BA0E4-078F-49C6-A7F3-A78885A50E5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446" name="AutoShape 12">
          <a:extLst>
            <a:ext uri="{FF2B5EF4-FFF2-40B4-BE49-F238E27FC236}">
              <a16:creationId xmlns:a16="http://schemas.microsoft.com/office/drawing/2014/main" id="{4EF2837E-EF26-4CE0-BE0E-1785B6B280C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447" name="AutoShape 12">
          <a:extLst>
            <a:ext uri="{FF2B5EF4-FFF2-40B4-BE49-F238E27FC236}">
              <a16:creationId xmlns:a16="http://schemas.microsoft.com/office/drawing/2014/main" id="{5C647A8B-C17F-486B-93D5-45CFE4566CC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448" name="AutoShape 12">
          <a:extLst>
            <a:ext uri="{FF2B5EF4-FFF2-40B4-BE49-F238E27FC236}">
              <a16:creationId xmlns:a16="http://schemas.microsoft.com/office/drawing/2014/main" id="{798C97DB-F961-4533-B87F-CBBEFCF4210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449" name="AutoShape 12">
          <a:extLst>
            <a:ext uri="{FF2B5EF4-FFF2-40B4-BE49-F238E27FC236}">
              <a16:creationId xmlns:a16="http://schemas.microsoft.com/office/drawing/2014/main" id="{48AF9C8E-4694-4ED8-B140-5D14229C47A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450" name="AutoShape 12">
          <a:extLst>
            <a:ext uri="{FF2B5EF4-FFF2-40B4-BE49-F238E27FC236}">
              <a16:creationId xmlns:a16="http://schemas.microsoft.com/office/drawing/2014/main" id="{5624CBDC-37F3-4214-BF80-CAF9402020C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451" name="AutoShape 12">
          <a:extLst>
            <a:ext uri="{FF2B5EF4-FFF2-40B4-BE49-F238E27FC236}">
              <a16:creationId xmlns:a16="http://schemas.microsoft.com/office/drawing/2014/main" id="{E6BA79F4-CA37-4F8E-8A5A-7A2F8CE30A5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452" name="AutoShape 12">
          <a:extLst>
            <a:ext uri="{FF2B5EF4-FFF2-40B4-BE49-F238E27FC236}">
              <a16:creationId xmlns:a16="http://schemas.microsoft.com/office/drawing/2014/main" id="{1B124BC1-42F6-4235-8C9E-BBFAD58E4F4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453" name="AutoShape 12">
          <a:extLst>
            <a:ext uri="{FF2B5EF4-FFF2-40B4-BE49-F238E27FC236}">
              <a16:creationId xmlns:a16="http://schemas.microsoft.com/office/drawing/2014/main" id="{A92E7C48-A220-4E2B-B9DE-A94A712E408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454" name="AutoShape 12">
          <a:extLst>
            <a:ext uri="{FF2B5EF4-FFF2-40B4-BE49-F238E27FC236}">
              <a16:creationId xmlns:a16="http://schemas.microsoft.com/office/drawing/2014/main" id="{DF6CA66E-1A9A-4E19-9B4C-79F3FCBAB21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455" name="AutoShape 12">
          <a:extLst>
            <a:ext uri="{FF2B5EF4-FFF2-40B4-BE49-F238E27FC236}">
              <a16:creationId xmlns:a16="http://schemas.microsoft.com/office/drawing/2014/main" id="{EA7C5477-A022-4D53-976A-05562527DCB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456" name="AutoShape 12">
          <a:extLst>
            <a:ext uri="{FF2B5EF4-FFF2-40B4-BE49-F238E27FC236}">
              <a16:creationId xmlns:a16="http://schemas.microsoft.com/office/drawing/2014/main" id="{86DBED91-38E8-48E7-81A0-6930A0B2CC5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457" name="AutoShape 12">
          <a:extLst>
            <a:ext uri="{FF2B5EF4-FFF2-40B4-BE49-F238E27FC236}">
              <a16:creationId xmlns:a16="http://schemas.microsoft.com/office/drawing/2014/main" id="{54876052-8665-43DF-B156-B15B48233DB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458" name="AutoShape 12">
          <a:extLst>
            <a:ext uri="{FF2B5EF4-FFF2-40B4-BE49-F238E27FC236}">
              <a16:creationId xmlns:a16="http://schemas.microsoft.com/office/drawing/2014/main" id="{134349E0-D14F-4174-8E4B-0BD0DEDFD4F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459" name="AutoShape 12">
          <a:extLst>
            <a:ext uri="{FF2B5EF4-FFF2-40B4-BE49-F238E27FC236}">
              <a16:creationId xmlns:a16="http://schemas.microsoft.com/office/drawing/2014/main" id="{D972542F-7ED7-4C08-84E0-A579A8689B8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460" name="AutoShape 12">
          <a:extLst>
            <a:ext uri="{FF2B5EF4-FFF2-40B4-BE49-F238E27FC236}">
              <a16:creationId xmlns:a16="http://schemas.microsoft.com/office/drawing/2014/main" id="{7A81F102-9373-4F5F-9DEF-70D93E5EBEF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461" name="AutoShape 12">
          <a:extLst>
            <a:ext uri="{FF2B5EF4-FFF2-40B4-BE49-F238E27FC236}">
              <a16:creationId xmlns:a16="http://schemas.microsoft.com/office/drawing/2014/main" id="{E8D41E0F-1E1D-4021-9D1C-DDF1F0E1ADB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462" name="AutoShape 12">
          <a:extLst>
            <a:ext uri="{FF2B5EF4-FFF2-40B4-BE49-F238E27FC236}">
              <a16:creationId xmlns:a16="http://schemas.microsoft.com/office/drawing/2014/main" id="{08F2190F-9867-4902-91EB-3B93A621F9B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463" name="AutoShape 12">
          <a:extLst>
            <a:ext uri="{FF2B5EF4-FFF2-40B4-BE49-F238E27FC236}">
              <a16:creationId xmlns:a16="http://schemas.microsoft.com/office/drawing/2014/main" id="{D885969D-A285-49A1-908D-105216837DB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464" name="AutoShape 12">
          <a:extLst>
            <a:ext uri="{FF2B5EF4-FFF2-40B4-BE49-F238E27FC236}">
              <a16:creationId xmlns:a16="http://schemas.microsoft.com/office/drawing/2014/main" id="{7ADAF2FF-A2ED-44C0-A33C-479EBD342E1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465" name="AutoShape 12">
          <a:extLst>
            <a:ext uri="{FF2B5EF4-FFF2-40B4-BE49-F238E27FC236}">
              <a16:creationId xmlns:a16="http://schemas.microsoft.com/office/drawing/2014/main" id="{C23204BD-E6A2-4A1C-99DE-C1586A867E3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466" name="AutoShape 12">
          <a:extLst>
            <a:ext uri="{FF2B5EF4-FFF2-40B4-BE49-F238E27FC236}">
              <a16:creationId xmlns:a16="http://schemas.microsoft.com/office/drawing/2014/main" id="{BE3E7A65-D0AB-421C-B5C0-ED827015248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467" name="AutoShape 12">
          <a:extLst>
            <a:ext uri="{FF2B5EF4-FFF2-40B4-BE49-F238E27FC236}">
              <a16:creationId xmlns:a16="http://schemas.microsoft.com/office/drawing/2014/main" id="{AD44B570-F415-42C6-B103-18DE80277F9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468" name="AutoShape 12">
          <a:extLst>
            <a:ext uri="{FF2B5EF4-FFF2-40B4-BE49-F238E27FC236}">
              <a16:creationId xmlns:a16="http://schemas.microsoft.com/office/drawing/2014/main" id="{3F0710EF-40D9-4F46-959D-80E645B9494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469" name="AutoShape 12">
          <a:extLst>
            <a:ext uri="{FF2B5EF4-FFF2-40B4-BE49-F238E27FC236}">
              <a16:creationId xmlns:a16="http://schemas.microsoft.com/office/drawing/2014/main" id="{27D7A658-D41C-43D8-9A23-9EE4B65ED95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470" name="AutoShape 12">
          <a:extLst>
            <a:ext uri="{FF2B5EF4-FFF2-40B4-BE49-F238E27FC236}">
              <a16:creationId xmlns:a16="http://schemas.microsoft.com/office/drawing/2014/main" id="{A84BDBBA-9137-4D8B-BF1A-09BDDF1EAD5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471" name="AutoShape 12">
          <a:extLst>
            <a:ext uri="{FF2B5EF4-FFF2-40B4-BE49-F238E27FC236}">
              <a16:creationId xmlns:a16="http://schemas.microsoft.com/office/drawing/2014/main" id="{2A8896B5-C4B1-456F-9192-19E8CF06CBC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472" name="AutoShape 12">
          <a:extLst>
            <a:ext uri="{FF2B5EF4-FFF2-40B4-BE49-F238E27FC236}">
              <a16:creationId xmlns:a16="http://schemas.microsoft.com/office/drawing/2014/main" id="{3B3D56A8-5C37-405D-904A-13B16EAC3CE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473" name="AutoShape 12">
          <a:extLst>
            <a:ext uri="{FF2B5EF4-FFF2-40B4-BE49-F238E27FC236}">
              <a16:creationId xmlns:a16="http://schemas.microsoft.com/office/drawing/2014/main" id="{7D4C7E68-F307-4C78-BE85-D4EE4DE5610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474" name="AutoShape 12">
          <a:extLst>
            <a:ext uri="{FF2B5EF4-FFF2-40B4-BE49-F238E27FC236}">
              <a16:creationId xmlns:a16="http://schemas.microsoft.com/office/drawing/2014/main" id="{A15D5528-BE73-45DD-94A4-375379B999B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475" name="AutoShape 12">
          <a:extLst>
            <a:ext uri="{FF2B5EF4-FFF2-40B4-BE49-F238E27FC236}">
              <a16:creationId xmlns:a16="http://schemas.microsoft.com/office/drawing/2014/main" id="{CA6DBAD9-D98A-49E2-831C-FA17192928B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476" name="AutoShape 12">
          <a:extLst>
            <a:ext uri="{FF2B5EF4-FFF2-40B4-BE49-F238E27FC236}">
              <a16:creationId xmlns:a16="http://schemas.microsoft.com/office/drawing/2014/main" id="{19F72FB8-F055-496F-9359-D3210AA5A0B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477" name="AutoShape 12">
          <a:extLst>
            <a:ext uri="{FF2B5EF4-FFF2-40B4-BE49-F238E27FC236}">
              <a16:creationId xmlns:a16="http://schemas.microsoft.com/office/drawing/2014/main" id="{FE642E2C-D3DF-41F2-BDE7-9BF4F9A5F0D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478" name="AutoShape 12">
          <a:extLst>
            <a:ext uri="{FF2B5EF4-FFF2-40B4-BE49-F238E27FC236}">
              <a16:creationId xmlns:a16="http://schemas.microsoft.com/office/drawing/2014/main" id="{541D3C87-D9DA-4A22-9765-B7EFE4CC608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479" name="AutoShape 12">
          <a:extLst>
            <a:ext uri="{FF2B5EF4-FFF2-40B4-BE49-F238E27FC236}">
              <a16:creationId xmlns:a16="http://schemas.microsoft.com/office/drawing/2014/main" id="{E9D1ADC3-4CD5-4E8A-9BDA-620A3EFCE55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480" name="AutoShape 12">
          <a:extLst>
            <a:ext uri="{FF2B5EF4-FFF2-40B4-BE49-F238E27FC236}">
              <a16:creationId xmlns:a16="http://schemas.microsoft.com/office/drawing/2014/main" id="{B2C415D9-1135-4251-B968-7F989FC6F46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481" name="AutoShape 12">
          <a:extLst>
            <a:ext uri="{FF2B5EF4-FFF2-40B4-BE49-F238E27FC236}">
              <a16:creationId xmlns:a16="http://schemas.microsoft.com/office/drawing/2014/main" id="{234ABB3C-87D3-4386-B543-9F9DD3CC383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482" name="AutoShape 12">
          <a:extLst>
            <a:ext uri="{FF2B5EF4-FFF2-40B4-BE49-F238E27FC236}">
              <a16:creationId xmlns:a16="http://schemas.microsoft.com/office/drawing/2014/main" id="{610536D0-3F97-40A3-A86F-6C80267E6EF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483" name="AutoShape 12">
          <a:extLst>
            <a:ext uri="{FF2B5EF4-FFF2-40B4-BE49-F238E27FC236}">
              <a16:creationId xmlns:a16="http://schemas.microsoft.com/office/drawing/2014/main" id="{F21A8BCC-3F47-48C3-B9F5-0AB1EA4D3AF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484" name="AutoShape 12">
          <a:extLst>
            <a:ext uri="{FF2B5EF4-FFF2-40B4-BE49-F238E27FC236}">
              <a16:creationId xmlns:a16="http://schemas.microsoft.com/office/drawing/2014/main" id="{5AF3DF51-AE19-42FF-AF45-397DA76E323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485" name="AutoShape 12">
          <a:extLst>
            <a:ext uri="{FF2B5EF4-FFF2-40B4-BE49-F238E27FC236}">
              <a16:creationId xmlns:a16="http://schemas.microsoft.com/office/drawing/2014/main" id="{C2D9213B-0B06-46DC-AF1B-6278E11A95F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486" name="AutoShape 12">
          <a:extLst>
            <a:ext uri="{FF2B5EF4-FFF2-40B4-BE49-F238E27FC236}">
              <a16:creationId xmlns:a16="http://schemas.microsoft.com/office/drawing/2014/main" id="{3318BF22-D5AF-4A46-BD4D-8B94D94D48B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487" name="AutoShape 12">
          <a:extLst>
            <a:ext uri="{FF2B5EF4-FFF2-40B4-BE49-F238E27FC236}">
              <a16:creationId xmlns:a16="http://schemas.microsoft.com/office/drawing/2014/main" id="{59282448-2D2F-4C9E-83D9-809D933A96E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488" name="AutoShape 12">
          <a:extLst>
            <a:ext uri="{FF2B5EF4-FFF2-40B4-BE49-F238E27FC236}">
              <a16:creationId xmlns:a16="http://schemas.microsoft.com/office/drawing/2014/main" id="{768995D0-7E6C-4784-A882-7C2D6FE95AF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489" name="AutoShape 12">
          <a:extLst>
            <a:ext uri="{FF2B5EF4-FFF2-40B4-BE49-F238E27FC236}">
              <a16:creationId xmlns:a16="http://schemas.microsoft.com/office/drawing/2014/main" id="{FDF0BDA1-C47E-481F-993A-63BAE9EA76F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490" name="AutoShape 12">
          <a:extLst>
            <a:ext uri="{FF2B5EF4-FFF2-40B4-BE49-F238E27FC236}">
              <a16:creationId xmlns:a16="http://schemas.microsoft.com/office/drawing/2014/main" id="{2903BAE9-6B0F-4C80-B02C-4D31EEE5723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491" name="AutoShape 12">
          <a:extLst>
            <a:ext uri="{FF2B5EF4-FFF2-40B4-BE49-F238E27FC236}">
              <a16:creationId xmlns:a16="http://schemas.microsoft.com/office/drawing/2014/main" id="{6F2A9465-A717-4A3C-B8CA-2F9F03ACE9F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492" name="AutoShape 12">
          <a:extLst>
            <a:ext uri="{FF2B5EF4-FFF2-40B4-BE49-F238E27FC236}">
              <a16:creationId xmlns:a16="http://schemas.microsoft.com/office/drawing/2014/main" id="{BC2BBCF9-9534-41A6-9B52-EB0E5C1426B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493" name="AutoShape 12">
          <a:extLst>
            <a:ext uri="{FF2B5EF4-FFF2-40B4-BE49-F238E27FC236}">
              <a16:creationId xmlns:a16="http://schemas.microsoft.com/office/drawing/2014/main" id="{675B1741-F02B-466F-B351-9EA5D34FF61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494" name="AutoShape 12">
          <a:extLst>
            <a:ext uri="{FF2B5EF4-FFF2-40B4-BE49-F238E27FC236}">
              <a16:creationId xmlns:a16="http://schemas.microsoft.com/office/drawing/2014/main" id="{0300630B-0B26-4121-B5C3-CCC2BB2C3B5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495" name="AutoShape 12">
          <a:extLst>
            <a:ext uri="{FF2B5EF4-FFF2-40B4-BE49-F238E27FC236}">
              <a16:creationId xmlns:a16="http://schemas.microsoft.com/office/drawing/2014/main" id="{7C14D582-EF49-4A9D-91BD-5019D104F8B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496" name="AutoShape 12">
          <a:extLst>
            <a:ext uri="{FF2B5EF4-FFF2-40B4-BE49-F238E27FC236}">
              <a16:creationId xmlns:a16="http://schemas.microsoft.com/office/drawing/2014/main" id="{0491DA57-706A-42A9-B15B-AD41F8B9186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497" name="AutoShape 12">
          <a:extLst>
            <a:ext uri="{FF2B5EF4-FFF2-40B4-BE49-F238E27FC236}">
              <a16:creationId xmlns:a16="http://schemas.microsoft.com/office/drawing/2014/main" id="{9E5B4A26-80C5-4B76-81B2-67D96787B55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498" name="AutoShape 12">
          <a:extLst>
            <a:ext uri="{FF2B5EF4-FFF2-40B4-BE49-F238E27FC236}">
              <a16:creationId xmlns:a16="http://schemas.microsoft.com/office/drawing/2014/main" id="{20BC65D4-4573-4044-B930-8D6BA3BC703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499" name="AutoShape 12">
          <a:extLst>
            <a:ext uri="{FF2B5EF4-FFF2-40B4-BE49-F238E27FC236}">
              <a16:creationId xmlns:a16="http://schemas.microsoft.com/office/drawing/2014/main" id="{1B1965BA-294F-4EFF-B7FF-95D90FA9096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500" name="AutoShape 12">
          <a:extLst>
            <a:ext uri="{FF2B5EF4-FFF2-40B4-BE49-F238E27FC236}">
              <a16:creationId xmlns:a16="http://schemas.microsoft.com/office/drawing/2014/main" id="{C0D6C6B7-F48C-4100-BEB8-6ED1474F944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501" name="AutoShape 12">
          <a:extLst>
            <a:ext uri="{FF2B5EF4-FFF2-40B4-BE49-F238E27FC236}">
              <a16:creationId xmlns:a16="http://schemas.microsoft.com/office/drawing/2014/main" id="{002733B1-E0A3-437A-A85D-AE39F61DD8C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502" name="AutoShape 12">
          <a:extLst>
            <a:ext uri="{FF2B5EF4-FFF2-40B4-BE49-F238E27FC236}">
              <a16:creationId xmlns:a16="http://schemas.microsoft.com/office/drawing/2014/main" id="{D9E1575C-0A35-4837-818C-EEC81EB5363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503" name="AutoShape 12">
          <a:extLst>
            <a:ext uri="{FF2B5EF4-FFF2-40B4-BE49-F238E27FC236}">
              <a16:creationId xmlns:a16="http://schemas.microsoft.com/office/drawing/2014/main" id="{43423E18-68E7-414C-A8A6-7720C543B88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504" name="AutoShape 12">
          <a:extLst>
            <a:ext uri="{FF2B5EF4-FFF2-40B4-BE49-F238E27FC236}">
              <a16:creationId xmlns:a16="http://schemas.microsoft.com/office/drawing/2014/main" id="{1D1E5D09-0657-4BB3-82BD-C0B725B5F1E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505" name="AutoShape 12">
          <a:extLst>
            <a:ext uri="{FF2B5EF4-FFF2-40B4-BE49-F238E27FC236}">
              <a16:creationId xmlns:a16="http://schemas.microsoft.com/office/drawing/2014/main" id="{2E3EA774-B7DB-46ED-9E4C-2DD65B40EEA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506" name="AutoShape 12">
          <a:extLst>
            <a:ext uri="{FF2B5EF4-FFF2-40B4-BE49-F238E27FC236}">
              <a16:creationId xmlns:a16="http://schemas.microsoft.com/office/drawing/2014/main" id="{4D56D272-2FC7-478E-B747-7C3E74B55D5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507" name="AutoShape 12">
          <a:extLst>
            <a:ext uri="{FF2B5EF4-FFF2-40B4-BE49-F238E27FC236}">
              <a16:creationId xmlns:a16="http://schemas.microsoft.com/office/drawing/2014/main" id="{1CF4F0EE-C6B5-455D-8920-5931A406514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508" name="AutoShape 12">
          <a:extLst>
            <a:ext uri="{FF2B5EF4-FFF2-40B4-BE49-F238E27FC236}">
              <a16:creationId xmlns:a16="http://schemas.microsoft.com/office/drawing/2014/main" id="{B9F7070D-EF05-4C13-8624-0686375943F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509" name="AutoShape 12">
          <a:extLst>
            <a:ext uri="{FF2B5EF4-FFF2-40B4-BE49-F238E27FC236}">
              <a16:creationId xmlns:a16="http://schemas.microsoft.com/office/drawing/2014/main" id="{AF97683E-F35B-4D6C-A6D6-1AEB7167F60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510" name="AutoShape 12">
          <a:extLst>
            <a:ext uri="{FF2B5EF4-FFF2-40B4-BE49-F238E27FC236}">
              <a16:creationId xmlns:a16="http://schemas.microsoft.com/office/drawing/2014/main" id="{D344BE9A-18AA-4C97-9DA9-56DE566FC90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511" name="AutoShape 12">
          <a:extLst>
            <a:ext uri="{FF2B5EF4-FFF2-40B4-BE49-F238E27FC236}">
              <a16:creationId xmlns:a16="http://schemas.microsoft.com/office/drawing/2014/main" id="{55572FF9-C861-452B-A662-523AC29D4EF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512" name="AutoShape 12">
          <a:extLst>
            <a:ext uri="{FF2B5EF4-FFF2-40B4-BE49-F238E27FC236}">
              <a16:creationId xmlns:a16="http://schemas.microsoft.com/office/drawing/2014/main" id="{90E3A44D-11A4-46D1-8C2A-8D7BF3BAB84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513" name="AutoShape 12">
          <a:extLst>
            <a:ext uri="{FF2B5EF4-FFF2-40B4-BE49-F238E27FC236}">
              <a16:creationId xmlns:a16="http://schemas.microsoft.com/office/drawing/2014/main" id="{27CAC881-F2AE-408C-9F52-C94D19B705B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514" name="AutoShape 12">
          <a:extLst>
            <a:ext uri="{FF2B5EF4-FFF2-40B4-BE49-F238E27FC236}">
              <a16:creationId xmlns:a16="http://schemas.microsoft.com/office/drawing/2014/main" id="{AA00898B-20CC-41DD-B108-0D9E1309807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515" name="AutoShape 12">
          <a:extLst>
            <a:ext uri="{FF2B5EF4-FFF2-40B4-BE49-F238E27FC236}">
              <a16:creationId xmlns:a16="http://schemas.microsoft.com/office/drawing/2014/main" id="{4CC44D42-A100-4062-A644-2068D4CAA2D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516" name="AutoShape 12">
          <a:extLst>
            <a:ext uri="{FF2B5EF4-FFF2-40B4-BE49-F238E27FC236}">
              <a16:creationId xmlns:a16="http://schemas.microsoft.com/office/drawing/2014/main" id="{38C5F481-17C8-4482-A1BE-7099C4F266D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517" name="AutoShape 12">
          <a:extLst>
            <a:ext uri="{FF2B5EF4-FFF2-40B4-BE49-F238E27FC236}">
              <a16:creationId xmlns:a16="http://schemas.microsoft.com/office/drawing/2014/main" id="{3DE5BB81-AD07-425F-94AE-AB5361C0427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518" name="AutoShape 12">
          <a:extLst>
            <a:ext uri="{FF2B5EF4-FFF2-40B4-BE49-F238E27FC236}">
              <a16:creationId xmlns:a16="http://schemas.microsoft.com/office/drawing/2014/main" id="{D9BA09BF-1F88-4E83-99AD-73A818BD539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519" name="AutoShape 12">
          <a:extLst>
            <a:ext uri="{FF2B5EF4-FFF2-40B4-BE49-F238E27FC236}">
              <a16:creationId xmlns:a16="http://schemas.microsoft.com/office/drawing/2014/main" id="{5D9EAB09-1689-4ED0-BFDE-63B75CAD89A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520" name="AutoShape 12">
          <a:extLst>
            <a:ext uri="{FF2B5EF4-FFF2-40B4-BE49-F238E27FC236}">
              <a16:creationId xmlns:a16="http://schemas.microsoft.com/office/drawing/2014/main" id="{0550B843-E02C-4F9C-A9E9-0C9F88D70F0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521" name="AutoShape 12">
          <a:extLst>
            <a:ext uri="{FF2B5EF4-FFF2-40B4-BE49-F238E27FC236}">
              <a16:creationId xmlns:a16="http://schemas.microsoft.com/office/drawing/2014/main" id="{FD936A9D-D241-4A90-8386-015A10119AD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522" name="AutoShape 12">
          <a:extLst>
            <a:ext uri="{FF2B5EF4-FFF2-40B4-BE49-F238E27FC236}">
              <a16:creationId xmlns:a16="http://schemas.microsoft.com/office/drawing/2014/main" id="{157C00D6-1DD1-4EC9-8AD7-850F96DECE0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523" name="AutoShape 12">
          <a:extLst>
            <a:ext uri="{FF2B5EF4-FFF2-40B4-BE49-F238E27FC236}">
              <a16:creationId xmlns:a16="http://schemas.microsoft.com/office/drawing/2014/main" id="{472358B2-A357-4824-92AD-C2D06277040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524" name="AutoShape 12">
          <a:extLst>
            <a:ext uri="{FF2B5EF4-FFF2-40B4-BE49-F238E27FC236}">
              <a16:creationId xmlns:a16="http://schemas.microsoft.com/office/drawing/2014/main" id="{4ED4B0C0-6357-44E9-B453-56202BBA292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525" name="AutoShape 12">
          <a:extLst>
            <a:ext uri="{FF2B5EF4-FFF2-40B4-BE49-F238E27FC236}">
              <a16:creationId xmlns:a16="http://schemas.microsoft.com/office/drawing/2014/main" id="{CD0454AA-48A5-4CD8-8CD5-8FC047D29F8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526" name="AutoShape 12">
          <a:extLst>
            <a:ext uri="{FF2B5EF4-FFF2-40B4-BE49-F238E27FC236}">
              <a16:creationId xmlns:a16="http://schemas.microsoft.com/office/drawing/2014/main" id="{914F87F9-CAD3-4A65-A453-7F6A4C60C39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527" name="AutoShape 12">
          <a:extLst>
            <a:ext uri="{FF2B5EF4-FFF2-40B4-BE49-F238E27FC236}">
              <a16:creationId xmlns:a16="http://schemas.microsoft.com/office/drawing/2014/main" id="{9FA0900C-79E5-48CC-A2D4-A01B78EBCBC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528" name="AutoShape 12">
          <a:extLst>
            <a:ext uri="{FF2B5EF4-FFF2-40B4-BE49-F238E27FC236}">
              <a16:creationId xmlns:a16="http://schemas.microsoft.com/office/drawing/2014/main" id="{06A998B8-39EC-459E-AC40-BED44DC76FB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529" name="AutoShape 12">
          <a:extLst>
            <a:ext uri="{FF2B5EF4-FFF2-40B4-BE49-F238E27FC236}">
              <a16:creationId xmlns:a16="http://schemas.microsoft.com/office/drawing/2014/main" id="{CEC37B25-C9CC-4760-82E6-35E57DF18B0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530" name="AutoShape 12">
          <a:extLst>
            <a:ext uri="{FF2B5EF4-FFF2-40B4-BE49-F238E27FC236}">
              <a16:creationId xmlns:a16="http://schemas.microsoft.com/office/drawing/2014/main" id="{4FD5C0DA-375E-4DDB-98A0-DC0667DDB5A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531" name="AutoShape 12">
          <a:extLst>
            <a:ext uri="{FF2B5EF4-FFF2-40B4-BE49-F238E27FC236}">
              <a16:creationId xmlns:a16="http://schemas.microsoft.com/office/drawing/2014/main" id="{52DA3FFD-D433-428C-B5F3-C678EB07C05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532" name="AutoShape 12">
          <a:extLst>
            <a:ext uri="{FF2B5EF4-FFF2-40B4-BE49-F238E27FC236}">
              <a16:creationId xmlns:a16="http://schemas.microsoft.com/office/drawing/2014/main" id="{77C5863D-5F0A-4766-AC5B-0027B06C1F6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533" name="AutoShape 12">
          <a:extLst>
            <a:ext uri="{FF2B5EF4-FFF2-40B4-BE49-F238E27FC236}">
              <a16:creationId xmlns:a16="http://schemas.microsoft.com/office/drawing/2014/main" id="{C414E66F-DD6C-4BC6-999A-C6A735BE02D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534" name="AutoShape 12">
          <a:extLst>
            <a:ext uri="{FF2B5EF4-FFF2-40B4-BE49-F238E27FC236}">
              <a16:creationId xmlns:a16="http://schemas.microsoft.com/office/drawing/2014/main" id="{800D8580-5D42-4954-8A2B-990E9EBCD5A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535" name="AutoShape 12">
          <a:extLst>
            <a:ext uri="{FF2B5EF4-FFF2-40B4-BE49-F238E27FC236}">
              <a16:creationId xmlns:a16="http://schemas.microsoft.com/office/drawing/2014/main" id="{DF885F0B-A7B1-4858-B87A-B3B086E117A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536" name="AutoShape 12">
          <a:extLst>
            <a:ext uri="{FF2B5EF4-FFF2-40B4-BE49-F238E27FC236}">
              <a16:creationId xmlns:a16="http://schemas.microsoft.com/office/drawing/2014/main" id="{335FAA48-F0D0-4858-B11A-E8FD4BE3368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537" name="AutoShape 12">
          <a:extLst>
            <a:ext uri="{FF2B5EF4-FFF2-40B4-BE49-F238E27FC236}">
              <a16:creationId xmlns:a16="http://schemas.microsoft.com/office/drawing/2014/main" id="{15BC2D3C-688C-4889-AED0-4DA3FE2C58A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538" name="AutoShape 12">
          <a:extLst>
            <a:ext uri="{FF2B5EF4-FFF2-40B4-BE49-F238E27FC236}">
              <a16:creationId xmlns:a16="http://schemas.microsoft.com/office/drawing/2014/main" id="{CA9D117D-0A8D-4319-B5DD-84ED9C5005E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539" name="AutoShape 12">
          <a:extLst>
            <a:ext uri="{FF2B5EF4-FFF2-40B4-BE49-F238E27FC236}">
              <a16:creationId xmlns:a16="http://schemas.microsoft.com/office/drawing/2014/main" id="{A64C2291-2DE5-46FF-B1A3-E2B3AC1BAE0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540" name="AutoShape 12">
          <a:extLst>
            <a:ext uri="{FF2B5EF4-FFF2-40B4-BE49-F238E27FC236}">
              <a16:creationId xmlns:a16="http://schemas.microsoft.com/office/drawing/2014/main" id="{7CC6F653-E111-422B-9647-54F7780C476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541" name="AutoShape 12">
          <a:extLst>
            <a:ext uri="{FF2B5EF4-FFF2-40B4-BE49-F238E27FC236}">
              <a16:creationId xmlns:a16="http://schemas.microsoft.com/office/drawing/2014/main" id="{9D974F72-6D12-47DD-9408-C52786EEF44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542" name="AutoShape 12">
          <a:extLst>
            <a:ext uri="{FF2B5EF4-FFF2-40B4-BE49-F238E27FC236}">
              <a16:creationId xmlns:a16="http://schemas.microsoft.com/office/drawing/2014/main" id="{6CE03D08-9C33-4263-8721-049A5811AE8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543" name="AutoShape 12">
          <a:extLst>
            <a:ext uri="{FF2B5EF4-FFF2-40B4-BE49-F238E27FC236}">
              <a16:creationId xmlns:a16="http://schemas.microsoft.com/office/drawing/2014/main" id="{5393E383-40DD-40F8-ABC4-DFF9E3A2A14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544" name="AutoShape 12">
          <a:extLst>
            <a:ext uri="{FF2B5EF4-FFF2-40B4-BE49-F238E27FC236}">
              <a16:creationId xmlns:a16="http://schemas.microsoft.com/office/drawing/2014/main" id="{8F8E789C-DF7C-46F2-857C-9B74E0937A6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545" name="AutoShape 12">
          <a:extLst>
            <a:ext uri="{FF2B5EF4-FFF2-40B4-BE49-F238E27FC236}">
              <a16:creationId xmlns:a16="http://schemas.microsoft.com/office/drawing/2014/main" id="{3FAEC370-80A2-43DF-8B0D-4196CB8EB31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546" name="AutoShape 12">
          <a:extLst>
            <a:ext uri="{FF2B5EF4-FFF2-40B4-BE49-F238E27FC236}">
              <a16:creationId xmlns:a16="http://schemas.microsoft.com/office/drawing/2014/main" id="{B9AD74B3-5C8F-489C-85EA-FC8B182468C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547" name="AutoShape 12">
          <a:extLst>
            <a:ext uri="{FF2B5EF4-FFF2-40B4-BE49-F238E27FC236}">
              <a16:creationId xmlns:a16="http://schemas.microsoft.com/office/drawing/2014/main" id="{CFB2DE07-0F02-40B9-B6F3-E300D4E3A79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548" name="AutoShape 12">
          <a:extLst>
            <a:ext uri="{FF2B5EF4-FFF2-40B4-BE49-F238E27FC236}">
              <a16:creationId xmlns:a16="http://schemas.microsoft.com/office/drawing/2014/main" id="{B193C956-92D4-42B7-A312-8879B78B8CD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549" name="AutoShape 12">
          <a:extLst>
            <a:ext uri="{FF2B5EF4-FFF2-40B4-BE49-F238E27FC236}">
              <a16:creationId xmlns:a16="http://schemas.microsoft.com/office/drawing/2014/main" id="{EE6F1461-6C12-46A8-9269-1C6CAF3ABCC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550" name="AutoShape 12">
          <a:extLst>
            <a:ext uri="{FF2B5EF4-FFF2-40B4-BE49-F238E27FC236}">
              <a16:creationId xmlns:a16="http://schemas.microsoft.com/office/drawing/2014/main" id="{11A3CFC7-49DD-425A-802B-5F12ED4BC7F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551" name="AutoShape 12">
          <a:extLst>
            <a:ext uri="{FF2B5EF4-FFF2-40B4-BE49-F238E27FC236}">
              <a16:creationId xmlns:a16="http://schemas.microsoft.com/office/drawing/2014/main" id="{BF8A14B3-C5BC-44DE-BE1F-3B83F3A78ED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552" name="AutoShape 12">
          <a:extLst>
            <a:ext uri="{FF2B5EF4-FFF2-40B4-BE49-F238E27FC236}">
              <a16:creationId xmlns:a16="http://schemas.microsoft.com/office/drawing/2014/main" id="{701988F8-6390-4030-B24A-825A7574B1E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180</xdr:row>
      <xdr:rowOff>0</xdr:rowOff>
    </xdr:from>
    <xdr:ext cx="304800" cy="304094"/>
    <xdr:sp macro="" textlink="">
      <xdr:nvSpPr>
        <xdr:cNvPr id="4553" name="AutoShape 12">
          <a:extLst>
            <a:ext uri="{FF2B5EF4-FFF2-40B4-BE49-F238E27FC236}">
              <a16:creationId xmlns:a16="http://schemas.microsoft.com/office/drawing/2014/main" id="{3B0D518C-72F3-4770-97C7-6B61EC45C04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554" name="AutoShape 12">
          <a:extLst>
            <a:ext uri="{FF2B5EF4-FFF2-40B4-BE49-F238E27FC236}">
              <a16:creationId xmlns:a16="http://schemas.microsoft.com/office/drawing/2014/main" id="{E3246A76-3A19-429C-8855-4A76E4A3A4D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555" name="AutoShape 12">
          <a:extLst>
            <a:ext uri="{FF2B5EF4-FFF2-40B4-BE49-F238E27FC236}">
              <a16:creationId xmlns:a16="http://schemas.microsoft.com/office/drawing/2014/main" id="{B42AACF5-6B53-4F20-97A1-791C25F6FC3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556" name="AutoShape 12">
          <a:extLst>
            <a:ext uri="{FF2B5EF4-FFF2-40B4-BE49-F238E27FC236}">
              <a16:creationId xmlns:a16="http://schemas.microsoft.com/office/drawing/2014/main" id="{212E4EC1-1E14-4B2E-9ECF-85F6D97977E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557" name="AutoShape 12">
          <a:extLst>
            <a:ext uri="{FF2B5EF4-FFF2-40B4-BE49-F238E27FC236}">
              <a16:creationId xmlns:a16="http://schemas.microsoft.com/office/drawing/2014/main" id="{6C65BA8F-4BBF-436A-9444-4650027CD57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558" name="AutoShape 12">
          <a:extLst>
            <a:ext uri="{FF2B5EF4-FFF2-40B4-BE49-F238E27FC236}">
              <a16:creationId xmlns:a16="http://schemas.microsoft.com/office/drawing/2014/main" id="{1D972534-4016-4503-B3EC-039A5A9079C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559" name="AutoShape 12">
          <a:extLst>
            <a:ext uri="{FF2B5EF4-FFF2-40B4-BE49-F238E27FC236}">
              <a16:creationId xmlns:a16="http://schemas.microsoft.com/office/drawing/2014/main" id="{DF9CBFB7-9B97-4DB7-87E8-13594DDD3D8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560" name="AutoShape 12">
          <a:extLst>
            <a:ext uri="{FF2B5EF4-FFF2-40B4-BE49-F238E27FC236}">
              <a16:creationId xmlns:a16="http://schemas.microsoft.com/office/drawing/2014/main" id="{73F568A1-79EE-4F17-8BCE-3ACA07B767D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561" name="AutoShape 12">
          <a:extLst>
            <a:ext uri="{FF2B5EF4-FFF2-40B4-BE49-F238E27FC236}">
              <a16:creationId xmlns:a16="http://schemas.microsoft.com/office/drawing/2014/main" id="{114F6BDC-0237-4A23-A0CF-9BB7878DEC2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562" name="AutoShape 12">
          <a:extLst>
            <a:ext uri="{FF2B5EF4-FFF2-40B4-BE49-F238E27FC236}">
              <a16:creationId xmlns:a16="http://schemas.microsoft.com/office/drawing/2014/main" id="{4ECFC94E-0314-40B0-B278-DBC256FFD23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563" name="AutoShape 12">
          <a:extLst>
            <a:ext uri="{FF2B5EF4-FFF2-40B4-BE49-F238E27FC236}">
              <a16:creationId xmlns:a16="http://schemas.microsoft.com/office/drawing/2014/main" id="{A14329A5-E83B-42B7-9360-4A4D3448DB3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564" name="AutoShape 12">
          <a:extLst>
            <a:ext uri="{FF2B5EF4-FFF2-40B4-BE49-F238E27FC236}">
              <a16:creationId xmlns:a16="http://schemas.microsoft.com/office/drawing/2014/main" id="{D89DC655-192A-4299-BF75-03403102EBF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565" name="AutoShape 12">
          <a:extLst>
            <a:ext uri="{FF2B5EF4-FFF2-40B4-BE49-F238E27FC236}">
              <a16:creationId xmlns:a16="http://schemas.microsoft.com/office/drawing/2014/main" id="{2BCE70E1-CD0B-4F3C-9C0D-5C40C5641AA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566" name="AutoShape 12">
          <a:extLst>
            <a:ext uri="{FF2B5EF4-FFF2-40B4-BE49-F238E27FC236}">
              <a16:creationId xmlns:a16="http://schemas.microsoft.com/office/drawing/2014/main" id="{7ED345DA-0BC5-440E-B0F2-C573A08C928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567" name="AutoShape 12">
          <a:extLst>
            <a:ext uri="{FF2B5EF4-FFF2-40B4-BE49-F238E27FC236}">
              <a16:creationId xmlns:a16="http://schemas.microsoft.com/office/drawing/2014/main" id="{0DDFDEF4-6D45-4836-8D51-B658F93C317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568" name="AutoShape 12">
          <a:extLst>
            <a:ext uri="{FF2B5EF4-FFF2-40B4-BE49-F238E27FC236}">
              <a16:creationId xmlns:a16="http://schemas.microsoft.com/office/drawing/2014/main" id="{E1C35F6B-EAC1-4377-825C-C479773FD5E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569" name="AutoShape 12">
          <a:extLst>
            <a:ext uri="{FF2B5EF4-FFF2-40B4-BE49-F238E27FC236}">
              <a16:creationId xmlns:a16="http://schemas.microsoft.com/office/drawing/2014/main" id="{DF333E0E-A44D-4AAF-9062-D99E899BA79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570" name="AutoShape 12">
          <a:extLst>
            <a:ext uri="{FF2B5EF4-FFF2-40B4-BE49-F238E27FC236}">
              <a16:creationId xmlns:a16="http://schemas.microsoft.com/office/drawing/2014/main" id="{D9B7678F-59EE-49D3-8C9E-901344F8739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571" name="AutoShape 12">
          <a:extLst>
            <a:ext uri="{FF2B5EF4-FFF2-40B4-BE49-F238E27FC236}">
              <a16:creationId xmlns:a16="http://schemas.microsoft.com/office/drawing/2014/main" id="{BAA637A2-CF64-4D3A-ABCE-351DAAA80DC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572" name="AutoShape 12">
          <a:extLst>
            <a:ext uri="{FF2B5EF4-FFF2-40B4-BE49-F238E27FC236}">
              <a16:creationId xmlns:a16="http://schemas.microsoft.com/office/drawing/2014/main" id="{751886D6-40F7-47D9-AFED-E901B5917D8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573" name="AutoShape 12">
          <a:extLst>
            <a:ext uri="{FF2B5EF4-FFF2-40B4-BE49-F238E27FC236}">
              <a16:creationId xmlns:a16="http://schemas.microsoft.com/office/drawing/2014/main" id="{54CED92B-ED06-443F-B583-2DE65D6B132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574" name="AutoShape 12">
          <a:extLst>
            <a:ext uri="{FF2B5EF4-FFF2-40B4-BE49-F238E27FC236}">
              <a16:creationId xmlns:a16="http://schemas.microsoft.com/office/drawing/2014/main" id="{5E3D8B47-F9D4-4252-844F-789CF7510A3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575" name="AutoShape 12">
          <a:extLst>
            <a:ext uri="{FF2B5EF4-FFF2-40B4-BE49-F238E27FC236}">
              <a16:creationId xmlns:a16="http://schemas.microsoft.com/office/drawing/2014/main" id="{0A2D7CA8-F09C-4242-9F2F-0C36EFE5CB6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576" name="AutoShape 12">
          <a:extLst>
            <a:ext uri="{FF2B5EF4-FFF2-40B4-BE49-F238E27FC236}">
              <a16:creationId xmlns:a16="http://schemas.microsoft.com/office/drawing/2014/main" id="{6D7713F6-62FA-45F1-B031-E0C49E5FDC1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577" name="AutoShape 12">
          <a:extLst>
            <a:ext uri="{FF2B5EF4-FFF2-40B4-BE49-F238E27FC236}">
              <a16:creationId xmlns:a16="http://schemas.microsoft.com/office/drawing/2014/main" id="{4A3253E7-D18F-42B1-8034-96E45D2334C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578" name="AutoShape 12">
          <a:extLst>
            <a:ext uri="{FF2B5EF4-FFF2-40B4-BE49-F238E27FC236}">
              <a16:creationId xmlns:a16="http://schemas.microsoft.com/office/drawing/2014/main" id="{63248014-7688-4622-90C2-C56F75A949E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579" name="AutoShape 12">
          <a:extLst>
            <a:ext uri="{FF2B5EF4-FFF2-40B4-BE49-F238E27FC236}">
              <a16:creationId xmlns:a16="http://schemas.microsoft.com/office/drawing/2014/main" id="{03E8D731-B112-464C-BE0C-716F83AAB5A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580" name="AutoShape 12">
          <a:extLst>
            <a:ext uri="{FF2B5EF4-FFF2-40B4-BE49-F238E27FC236}">
              <a16:creationId xmlns:a16="http://schemas.microsoft.com/office/drawing/2014/main" id="{F508CA75-46B2-46FC-A4ED-F6ABC0DAC9F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581" name="AutoShape 12">
          <a:extLst>
            <a:ext uri="{FF2B5EF4-FFF2-40B4-BE49-F238E27FC236}">
              <a16:creationId xmlns:a16="http://schemas.microsoft.com/office/drawing/2014/main" id="{069F1B72-E066-4E7E-B633-1074B9D48B8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582" name="AutoShape 12">
          <a:extLst>
            <a:ext uri="{FF2B5EF4-FFF2-40B4-BE49-F238E27FC236}">
              <a16:creationId xmlns:a16="http://schemas.microsoft.com/office/drawing/2014/main" id="{807F8B74-746E-4965-B61A-4CA2E5D0CBF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583" name="AutoShape 12">
          <a:extLst>
            <a:ext uri="{FF2B5EF4-FFF2-40B4-BE49-F238E27FC236}">
              <a16:creationId xmlns:a16="http://schemas.microsoft.com/office/drawing/2014/main" id="{250754C6-2017-4B50-8154-F23165FF987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584" name="AutoShape 12">
          <a:extLst>
            <a:ext uri="{FF2B5EF4-FFF2-40B4-BE49-F238E27FC236}">
              <a16:creationId xmlns:a16="http://schemas.microsoft.com/office/drawing/2014/main" id="{D9AAB66B-D384-4AA0-B27F-77C124B919C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585" name="AutoShape 12">
          <a:extLst>
            <a:ext uri="{FF2B5EF4-FFF2-40B4-BE49-F238E27FC236}">
              <a16:creationId xmlns:a16="http://schemas.microsoft.com/office/drawing/2014/main" id="{1E7769FC-F228-4578-ADE7-60809230A60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586" name="AutoShape 12">
          <a:extLst>
            <a:ext uri="{FF2B5EF4-FFF2-40B4-BE49-F238E27FC236}">
              <a16:creationId xmlns:a16="http://schemas.microsoft.com/office/drawing/2014/main" id="{74DC42DF-0E46-44C5-BD5A-A1E70818E8A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587" name="AutoShape 12">
          <a:extLst>
            <a:ext uri="{FF2B5EF4-FFF2-40B4-BE49-F238E27FC236}">
              <a16:creationId xmlns:a16="http://schemas.microsoft.com/office/drawing/2014/main" id="{302A18B3-F73C-4AA6-8F61-6E2A1E6589A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588" name="AutoShape 12">
          <a:extLst>
            <a:ext uri="{FF2B5EF4-FFF2-40B4-BE49-F238E27FC236}">
              <a16:creationId xmlns:a16="http://schemas.microsoft.com/office/drawing/2014/main" id="{B9CCEB37-5B24-4F33-B4A4-A3B11250F15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589" name="AutoShape 12">
          <a:extLst>
            <a:ext uri="{FF2B5EF4-FFF2-40B4-BE49-F238E27FC236}">
              <a16:creationId xmlns:a16="http://schemas.microsoft.com/office/drawing/2014/main" id="{39A3009D-217B-4810-9F86-B9A216DC748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590" name="AutoShape 12">
          <a:extLst>
            <a:ext uri="{FF2B5EF4-FFF2-40B4-BE49-F238E27FC236}">
              <a16:creationId xmlns:a16="http://schemas.microsoft.com/office/drawing/2014/main" id="{68B7A06F-1C09-4A78-9021-B8686B0FF21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591" name="AutoShape 12">
          <a:extLst>
            <a:ext uri="{FF2B5EF4-FFF2-40B4-BE49-F238E27FC236}">
              <a16:creationId xmlns:a16="http://schemas.microsoft.com/office/drawing/2014/main" id="{9377F42B-C8FF-4507-AB90-4B35652F52A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592" name="AutoShape 12">
          <a:extLst>
            <a:ext uri="{FF2B5EF4-FFF2-40B4-BE49-F238E27FC236}">
              <a16:creationId xmlns:a16="http://schemas.microsoft.com/office/drawing/2014/main" id="{C6E7C966-9CAB-4DC3-AA24-A5CB283CD34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593" name="AutoShape 12">
          <a:extLst>
            <a:ext uri="{FF2B5EF4-FFF2-40B4-BE49-F238E27FC236}">
              <a16:creationId xmlns:a16="http://schemas.microsoft.com/office/drawing/2014/main" id="{422BFBDA-A2C4-4128-B813-B9D84A80D5A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594" name="AutoShape 12">
          <a:extLst>
            <a:ext uri="{FF2B5EF4-FFF2-40B4-BE49-F238E27FC236}">
              <a16:creationId xmlns:a16="http://schemas.microsoft.com/office/drawing/2014/main" id="{08C5CEA1-E560-427E-B8B2-DD7ECB18E6B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595" name="AutoShape 12">
          <a:extLst>
            <a:ext uri="{FF2B5EF4-FFF2-40B4-BE49-F238E27FC236}">
              <a16:creationId xmlns:a16="http://schemas.microsoft.com/office/drawing/2014/main" id="{7AFF56D1-FE39-4B05-9EA4-0072EEF3C14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596" name="AutoShape 12">
          <a:extLst>
            <a:ext uri="{FF2B5EF4-FFF2-40B4-BE49-F238E27FC236}">
              <a16:creationId xmlns:a16="http://schemas.microsoft.com/office/drawing/2014/main" id="{2C30E7BB-2C69-4BA4-B093-93DB7B9907A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597" name="AutoShape 12">
          <a:extLst>
            <a:ext uri="{FF2B5EF4-FFF2-40B4-BE49-F238E27FC236}">
              <a16:creationId xmlns:a16="http://schemas.microsoft.com/office/drawing/2014/main" id="{947A4794-1A9C-46AC-B76A-E2C506DF6A6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598" name="AutoShape 12">
          <a:extLst>
            <a:ext uri="{FF2B5EF4-FFF2-40B4-BE49-F238E27FC236}">
              <a16:creationId xmlns:a16="http://schemas.microsoft.com/office/drawing/2014/main" id="{4323972F-B4DE-44D7-8709-872A44E7D25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599" name="AutoShape 12">
          <a:extLst>
            <a:ext uri="{FF2B5EF4-FFF2-40B4-BE49-F238E27FC236}">
              <a16:creationId xmlns:a16="http://schemas.microsoft.com/office/drawing/2014/main" id="{3B159D17-6620-4D73-85DD-3D0EAE726F4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600" name="AutoShape 12">
          <a:extLst>
            <a:ext uri="{FF2B5EF4-FFF2-40B4-BE49-F238E27FC236}">
              <a16:creationId xmlns:a16="http://schemas.microsoft.com/office/drawing/2014/main" id="{B0D4AB49-15DE-4E44-9304-B215F4F5B24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601" name="AutoShape 12">
          <a:extLst>
            <a:ext uri="{FF2B5EF4-FFF2-40B4-BE49-F238E27FC236}">
              <a16:creationId xmlns:a16="http://schemas.microsoft.com/office/drawing/2014/main" id="{57209393-1797-4D70-851E-AC25DC01176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602" name="AutoShape 12">
          <a:extLst>
            <a:ext uri="{FF2B5EF4-FFF2-40B4-BE49-F238E27FC236}">
              <a16:creationId xmlns:a16="http://schemas.microsoft.com/office/drawing/2014/main" id="{6D7C1648-6729-435E-B691-3AFD8A3069D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603" name="AutoShape 12">
          <a:extLst>
            <a:ext uri="{FF2B5EF4-FFF2-40B4-BE49-F238E27FC236}">
              <a16:creationId xmlns:a16="http://schemas.microsoft.com/office/drawing/2014/main" id="{740987FD-124D-47CE-A32B-367DA7AD468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604" name="AutoShape 12">
          <a:extLst>
            <a:ext uri="{FF2B5EF4-FFF2-40B4-BE49-F238E27FC236}">
              <a16:creationId xmlns:a16="http://schemas.microsoft.com/office/drawing/2014/main" id="{8DDF8B4C-FA3F-4B51-B8C6-A16EE5D7F6E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605" name="AutoShape 12">
          <a:extLst>
            <a:ext uri="{FF2B5EF4-FFF2-40B4-BE49-F238E27FC236}">
              <a16:creationId xmlns:a16="http://schemas.microsoft.com/office/drawing/2014/main" id="{24085147-96A8-4C3B-9F6E-549B7FCAB86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606" name="AutoShape 12">
          <a:extLst>
            <a:ext uri="{FF2B5EF4-FFF2-40B4-BE49-F238E27FC236}">
              <a16:creationId xmlns:a16="http://schemas.microsoft.com/office/drawing/2014/main" id="{5CAC2B7C-7141-465F-9D03-ABFAFC8AAE5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607" name="AutoShape 12">
          <a:extLst>
            <a:ext uri="{FF2B5EF4-FFF2-40B4-BE49-F238E27FC236}">
              <a16:creationId xmlns:a16="http://schemas.microsoft.com/office/drawing/2014/main" id="{F199547B-1CA3-4697-BF35-021D7B7F908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608" name="AutoShape 12">
          <a:extLst>
            <a:ext uri="{FF2B5EF4-FFF2-40B4-BE49-F238E27FC236}">
              <a16:creationId xmlns:a16="http://schemas.microsoft.com/office/drawing/2014/main" id="{D393FA19-268B-4837-8354-7A776D59A24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609" name="AutoShape 12">
          <a:extLst>
            <a:ext uri="{FF2B5EF4-FFF2-40B4-BE49-F238E27FC236}">
              <a16:creationId xmlns:a16="http://schemas.microsoft.com/office/drawing/2014/main" id="{371024D7-DEE0-4C9D-97AC-79CFFCCA22D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610" name="AutoShape 12">
          <a:extLst>
            <a:ext uri="{FF2B5EF4-FFF2-40B4-BE49-F238E27FC236}">
              <a16:creationId xmlns:a16="http://schemas.microsoft.com/office/drawing/2014/main" id="{90E94553-B467-4789-A53C-BBC7A757088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611" name="AutoShape 12">
          <a:extLst>
            <a:ext uri="{FF2B5EF4-FFF2-40B4-BE49-F238E27FC236}">
              <a16:creationId xmlns:a16="http://schemas.microsoft.com/office/drawing/2014/main" id="{E32446B6-BD6A-47D5-B70A-1712FA84956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612" name="AutoShape 12">
          <a:extLst>
            <a:ext uri="{FF2B5EF4-FFF2-40B4-BE49-F238E27FC236}">
              <a16:creationId xmlns:a16="http://schemas.microsoft.com/office/drawing/2014/main" id="{4F6A69B7-54C9-46AA-9B18-4BD76830656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613" name="AutoShape 12">
          <a:extLst>
            <a:ext uri="{FF2B5EF4-FFF2-40B4-BE49-F238E27FC236}">
              <a16:creationId xmlns:a16="http://schemas.microsoft.com/office/drawing/2014/main" id="{071A30BD-184B-4D62-B1DD-4117B3196EB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614" name="AutoShape 12">
          <a:extLst>
            <a:ext uri="{FF2B5EF4-FFF2-40B4-BE49-F238E27FC236}">
              <a16:creationId xmlns:a16="http://schemas.microsoft.com/office/drawing/2014/main" id="{99AA514B-F1D7-4D1E-AE8B-30C1AEA1AF0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615" name="AutoShape 12">
          <a:extLst>
            <a:ext uri="{FF2B5EF4-FFF2-40B4-BE49-F238E27FC236}">
              <a16:creationId xmlns:a16="http://schemas.microsoft.com/office/drawing/2014/main" id="{7AB27BCE-C94D-47C2-812E-05435D0C479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616" name="AutoShape 12">
          <a:extLst>
            <a:ext uri="{FF2B5EF4-FFF2-40B4-BE49-F238E27FC236}">
              <a16:creationId xmlns:a16="http://schemas.microsoft.com/office/drawing/2014/main" id="{819ADD80-B134-4C70-BE98-2930130E54D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617" name="AutoShape 12">
          <a:extLst>
            <a:ext uri="{FF2B5EF4-FFF2-40B4-BE49-F238E27FC236}">
              <a16:creationId xmlns:a16="http://schemas.microsoft.com/office/drawing/2014/main" id="{B2D33D51-7E21-4EFD-B1B5-DCB3E797BC4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618" name="AutoShape 12">
          <a:extLst>
            <a:ext uri="{FF2B5EF4-FFF2-40B4-BE49-F238E27FC236}">
              <a16:creationId xmlns:a16="http://schemas.microsoft.com/office/drawing/2014/main" id="{0D1D8387-6AC8-4223-9F79-63EF2AEE1AC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619" name="AutoShape 12">
          <a:extLst>
            <a:ext uri="{FF2B5EF4-FFF2-40B4-BE49-F238E27FC236}">
              <a16:creationId xmlns:a16="http://schemas.microsoft.com/office/drawing/2014/main" id="{E7948765-D492-40F3-9B2D-6E2C9444912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620" name="AutoShape 12">
          <a:extLst>
            <a:ext uri="{FF2B5EF4-FFF2-40B4-BE49-F238E27FC236}">
              <a16:creationId xmlns:a16="http://schemas.microsoft.com/office/drawing/2014/main" id="{B09CC96F-11FF-40D7-A051-17C8C12E759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621" name="AutoShape 12">
          <a:extLst>
            <a:ext uri="{FF2B5EF4-FFF2-40B4-BE49-F238E27FC236}">
              <a16:creationId xmlns:a16="http://schemas.microsoft.com/office/drawing/2014/main" id="{838FE79F-2A5A-4FDE-A473-9FC0462D922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622" name="AutoShape 12">
          <a:extLst>
            <a:ext uri="{FF2B5EF4-FFF2-40B4-BE49-F238E27FC236}">
              <a16:creationId xmlns:a16="http://schemas.microsoft.com/office/drawing/2014/main" id="{187B8C90-2618-4A58-8372-873B273B6E9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623" name="AutoShape 12">
          <a:extLst>
            <a:ext uri="{FF2B5EF4-FFF2-40B4-BE49-F238E27FC236}">
              <a16:creationId xmlns:a16="http://schemas.microsoft.com/office/drawing/2014/main" id="{EDC7A54E-7234-4407-A1FF-3702A8A3D31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624" name="AutoShape 12">
          <a:extLst>
            <a:ext uri="{FF2B5EF4-FFF2-40B4-BE49-F238E27FC236}">
              <a16:creationId xmlns:a16="http://schemas.microsoft.com/office/drawing/2014/main" id="{54B629AB-0BE2-42FA-8C0B-240DFE95B08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625" name="AutoShape 12">
          <a:extLst>
            <a:ext uri="{FF2B5EF4-FFF2-40B4-BE49-F238E27FC236}">
              <a16:creationId xmlns:a16="http://schemas.microsoft.com/office/drawing/2014/main" id="{49FE2673-ACA4-41AE-97FC-B40487942C8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626" name="AutoShape 12">
          <a:extLst>
            <a:ext uri="{FF2B5EF4-FFF2-40B4-BE49-F238E27FC236}">
              <a16:creationId xmlns:a16="http://schemas.microsoft.com/office/drawing/2014/main" id="{302AFC82-8651-4390-B44E-11A26898D3F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627" name="AutoShape 12">
          <a:extLst>
            <a:ext uri="{FF2B5EF4-FFF2-40B4-BE49-F238E27FC236}">
              <a16:creationId xmlns:a16="http://schemas.microsoft.com/office/drawing/2014/main" id="{30D1BD88-082B-4000-850E-F5937583F0C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628" name="AutoShape 12">
          <a:extLst>
            <a:ext uri="{FF2B5EF4-FFF2-40B4-BE49-F238E27FC236}">
              <a16:creationId xmlns:a16="http://schemas.microsoft.com/office/drawing/2014/main" id="{CA97DFA2-F1FD-4922-9515-E4F83A49657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629" name="AutoShape 12">
          <a:extLst>
            <a:ext uri="{FF2B5EF4-FFF2-40B4-BE49-F238E27FC236}">
              <a16:creationId xmlns:a16="http://schemas.microsoft.com/office/drawing/2014/main" id="{6B774F31-59DB-44CF-B8BB-427FAB81CEF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630" name="AutoShape 12">
          <a:extLst>
            <a:ext uri="{FF2B5EF4-FFF2-40B4-BE49-F238E27FC236}">
              <a16:creationId xmlns:a16="http://schemas.microsoft.com/office/drawing/2014/main" id="{92BD53A7-B7AE-466C-849F-31C81051849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631" name="AutoShape 12">
          <a:extLst>
            <a:ext uri="{FF2B5EF4-FFF2-40B4-BE49-F238E27FC236}">
              <a16:creationId xmlns:a16="http://schemas.microsoft.com/office/drawing/2014/main" id="{5D44DCEC-0183-4C1A-906A-3582BDD8B14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632" name="AutoShape 12">
          <a:extLst>
            <a:ext uri="{FF2B5EF4-FFF2-40B4-BE49-F238E27FC236}">
              <a16:creationId xmlns:a16="http://schemas.microsoft.com/office/drawing/2014/main" id="{AABA93D0-E20A-48BF-9DB2-53170F0E849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633" name="AutoShape 12">
          <a:extLst>
            <a:ext uri="{FF2B5EF4-FFF2-40B4-BE49-F238E27FC236}">
              <a16:creationId xmlns:a16="http://schemas.microsoft.com/office/drawing/2014/main" id="{6583FEB0-9259-4FF7-A3E0-9DB20BD4C5A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634" name="AutoShape 12">
          <a:extLst>
            <a:ext uri="{FF2B5EF4-FFF2-40B4-BE49-F238E27FC236}">
              <a16:creationId xmlns:a16="http://schemas.microsoft.com/office/drawing/2014/main" id="{F1FFB4F8-BFC4-4ACC-AD21-9DE0A3D9104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635" name="AutoShape 12">
          <a:extLst>
            <a:ext uri="{FF2B5EF4-FFF2-40B4-BE49-F238E27FC236}">
              <a16:creationId xmlns:a16="http://schemas.microsoft.com/office/drawing/2014/main" id="{43F79E93-6AA8-4AEA-880D-272BB7B940D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636" name="AutoShape 12">
          <a:extLst>
            <a:ext uri="{FF2B5EF4-FFF2-40B4-BE49-F238E27FC236}">
              <a16:creationId xmlns:a16="http://schemas.microsoft.com/office/drawing/2014/main" id="{45C804F7-D2FB-44B1-9370-17BAA51590B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637" name="AutoShape 12">
          <a:extLst>
            <a:ext uri="{FF2B5EF4-FFF2-40B4-BE49-F238E27FC236}">
              <a16:creationId xmlns:a16="http://schemas.microsoft.com/office/drawing/2014/main" id="{CAEB2C10-A738-4AEB-8642-10BE4DACA6E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638" name="AutoShape 12">
          <a:extLst>
            <a:ext uri="{FF2B5EF4-FFF2-40B4-BE49-F238E27FC236}">
              <a16:creationId xmlns:a16="http://schemas.microsoft.com/office/drawing/2014/main" id="{025A007F-6BAB-4F71-80D2-8A1B9251FA8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639" name="AutoShape 12">
          <a:extLst>
            <a:ext uri="{FF2B5EF4-FFF2-40B4-BE49-F238E27FC236}">
              <a16:creationId xmlns:a16="http://schemas.microsoft.com/office/drawing/2014/main" id="{4F75AD73-7C3D-485B-917C-4574799B89E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640" name="AutoShape 12">
          <a:extLst>
            <a:ext uri="{FF2B5EF4-FFF2-40B4-BE49-F238E27FC236}">
              <a16:creationId xmlns:a16="http://schemas.microsoft.com/office/drawing/2014/main" id="{887E027C-598A-419D-A84E-AE75F8D4D41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641" name="AutoShape 12">
          <a:extLst>
            <a:ext uri="{FF2B5EF4-FFF2-40B4-BE49-F238E27FC236}">
              <a16:creationId xmlns:a16="http://schemas.microsoft.com/office/drawing/2014/main" id="{FCE474BD-50E7-40CF-A349-DD1BE8A9ACE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642" name="AutoShape 12">
          <a:extLst>
            <a:ext uri="{FF2B5EF4-FFF2-40B4-BE49-F238E27FC236}">
              <a16:creationId xmlns:a16="http://schemas.microsoft.com/office/drawing/2014/main" id="{029BD03D-EDBA-4B49-BFDF-9D74097DC6B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643" name="AutoShape 12">
          <a:extLst>
            <a:ext uri="{FF2B5EF4-FFF2-40B4-BE49-F238E27FC236}">
              <a16:creationId xmlns:a16="http://schemas.microsoft.com/office/drawing/2014/main" id="{9FEC50E9-69B5-492C-AE55-1E792D24A47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644" name="AutoShape 12">
          <a:extLst>
            <a:ext uri="{FF2B5EF4-FFF2-40B4-BE49-F238E27FC236}">
              <a16:creationId xmlns:a16="http://schemas.microsoft.com/office/drawing/2014/main" id="{F431ADE2-A412-4FC1-BD6C-E16F5D989D2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645" name="AutoShape 12">
          <a:extLst>
            <a:ext uri="{FF2B5EF4-FFF2-40B4-BE49-F238E27FC236}">
              <a16:creationId xmlns:a16="http://schemas.microsoft.com/office/drawing/2014/main" id="{645EAAED-D5A9-44BD-B7E7-DF7C0EFAD41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646" name="AutoShape 12">
          <a:extLst>
            <a:ext uri="{FF2B5EF4-FFF2-40B4-BE49-F238E27FC236}">
              <a16:creationId xmlns:a16="http://schemas.microsoft.com/office/drawing/2014/main" id="{F26838BE-AB68-41BC-9874-F339523A417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647" name="AutoShape 12">
          <a:extLst>
            <a:ext uri="{FF2B5EF4-FFF2-40B4-BE49-F238E27FC236}">
              <a16:creationId xmlns:a16="http://schemas.microsoft.com/office/drawing/2014/main" id="{82311720-F2B6-4101-A8CD-D2DB5E93FEF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648" name="AutoShape 12">
          <a:extLst>
            <a:ext uri="{FF2B5EF4-FFF2-40B4-BE49-F238E27FC236}">
              <a16:creationId xmlns:a16="http://schemas.microsoft.com/office/drawing/2014/main" id="{2B7503CB-1576-4618-8189-2B045332FC6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649" name="AutoShape 12">
          <a:extLst>
            <a:ext uri="{FF2B5EF4-FFF2-40B4-BE49-F238E27FC236}">
              <a16:creationId xmlns:a16="http://schemas.microsoft.com/office/drawing/2014/main" id="{8C7E47B8-B061-4047-ADEC-55F4E61DDA6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650" name="AutoShape 12">
          <a:extLst>
            <a:ext uri="{FF2B5EF4-FFF2-40B4-BE49-F238E27FC236}">
              <a16:creationId xmlns:a16="http://schemas.microsoft.com/office/drawing/2014/main" id="{044DDD66-9822-479A-B6EE-7D1E53C4D97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651" name="AutoShape 12">
          <a:extLst>
            <a:ext uri="{FF2B5EF4-FFF2-40B4-BE49-F238E27FC236}">
              <a16:creationId xmlns:a16="http://schemas.microsoft.com/office/drawing/2014/main" id="{E9D26071-A5E1-46B9-940A-C9FECB44598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652" name="AutoShape 12">
          <a:extLst>
            <a:ext uri="{FF2B5EF4-FFF2-40B4-BE49-F238E27FC236}">
              <a16:creationId xmlns:a16="http://schemas.microsoft.com/office/drawing/2014/main" id="{E405A054-50F0-441B-833D-126A2A436A3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653" name="AutoShape 12">
          <a:extLst>
            <a:ext uri="{FF2B5EF4-FFF2-40B4-BE49-F238E27FC236}">
              <a16:creationId xmlns:a16="http://schemas.microsoft.com/office/drawing/2014/main" id="{4E75EC0B-539A-439C-A0D9-63052B26F56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654" name="AutoShape 12">
          <a:extLst>
            <a:ext uri="{FF2B5EF4-FFF2-40B4-BE49-F238E27FC236}">
              <a16:creationId xmlns:a16="http://schemas.microsoft.com/office/drawing/2014/main" id="{3C866AF5-46E9-43D9-AC74-D6AD85CB268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655" name="AutoShape 12">
          <a:extLst>
            <a:ext uri="{FF2B5EF4-FFF2-40B4-BE49-F238E27FC236}">
              <a16:creationId xmlns:a16="http://schemas.microsoft.com/office/drawing/2014/main" id="{DC75606B-0FFB-4EB1-9D08-64E12925271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656" name="AutoShape 12">
          <a:extLst>
            <a:ext uri="{FF2B5EF4-FFF2-40B4-BE49-F238E27FC236}">
              <a16:creationId xmlns:a16="http://schemas.microsoft.com/office/drawing/2014/main" id="{4D598312-B083-4116-866C-1DF3CF4E0E0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657" name="AutoShape 12">
          <a:extLst>
            <a:ext uri="{FF2B5EF4-FFF2-40B4-BE49-F238E27FC236}">
              <a16:creationId xmlns:a16="http://schemas.microsoft.com/office/drawing/2014/main" id="{0BC87919-0EEE-4C06-89E1-2AFCF73C3AE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658" name="AutoShape 12">
          <a:extLst>
            <a:ext uri="{FF2B5EF4-FFF2-40B4-BE49-F238E27FC236}">
              <a16:creationId xmlns:a16="http://schemas.microsoft.com/office/drawing/2014/main" id="{D9B77081-2CA4-4BA2-A46E-CE6D3CB0640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659" name="AutoShape 12">
          <a:extLst>
            <a:ext uri="{FF2B5EF4-FFF2-40B4-BE49-F238E27FC236}">
              <a16:creationId xmlns:a16="http://schemas.microsoft.com/office/drawing/2014/main" id="{A589A3A1-E5A1-4C8D-8363-9E22F757AA1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660" name="AutoShape 12">
          <a:extLst>
            <a:ext uri="{FF2B5EF4-FFF2-40B4-BE49-F238E27FC236}">
              <a16:creationId xmlns:a16="http://schemas.microsoft.com/office/drawing/2014/main" id="{1D030001-D6F3-4C05-84F4-0C2AE8CEE33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661" name="AutoShape 12">
          <a:extLst>
            <a:ext uri="{FF2B5EF4-FFF2-40B4-BE49-F238E27FC236}">
              <a16:creationId xmlns:a16="http://schemas.microsoft.com/office/drawing/2014/main" id="{AFA2E229-FA8B-49F8-8227-108E9115018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662" name="AutoShape 12">
          <a:extLst>
            <a:ext uri="{FF2B5EF4-FFF2-40B4-BE49-F238E27FC236}">
              <a16:creationId xmlns:a16="http://schemas.microsoft.com/office/drawing/2014/main" id="{4295F0D5-2E93-4E7F-ABCC-F58B7849845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663" name="AutoShape 12">
          <a:extLst>
            <a:ext uri="{FF2B5EF4-FFF2-40B4-BE49-F238E27FC236}">
              <a16:creationId xmlns:a16="http://schemas.microsoft.com/office/drawing/2014/main" id="{59B9BCFB-4270-4791-8746-EDF368B8BC4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664" name="AutoShape 12">
          <a:extLst>
            <a:ext uri="{FF2B5EF4-FFF2-40B4-BE49-F238E27FC236}">
              <a16:creationId xmlns:a16="http://schemas.microsoft.com/office/drawing/2014/main" id="{68B5E443-9C6B-4B41-9558-6C0EB10887A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665" name="AutoShape 12">
          <a:extLst>
            <a:ext uri="{FF2B5EF4-FFF2-40B4-BE49-F238E27FC236}">
              <a16:creationId xmlns:a16="http://schemas.microsoft.com/office/drawing/2014/main" id="{913606B8-F3D1-4C95-8272-A584A0F7440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666" name="AutoShape 12">
          <a:extLst>
            <a:ext uri="{FF2B5EF4-FFF2-40B4-BE49-F238E27FC236}">
              <a16:creationId xmlns:a16="http://schemas.microsoft.com/office/drawing/2014/main" id="{C2C9B19D-07FB-4CC5-A03E-FCCD897B01B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667" name="AutoShape 12">
          <a:extLst>
            <a:ext uri="{FF2B5EF4-FFF2-40B4-BE49-F238E27FC236}">
              <a16:creationId xmlns:a16="http://schemas.microsoft.com/office/drawing/2014/main" id="{D515F4B6-C4AF-436D-A301-FC5AD4510C5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668" name="AutoShape 12">
          <a:extLst>
            <a:ext uri="{FF2B5EF4-FFF2-40B4-BE49-F238E27FC236}">
              <a16:creationId xmlns:a16="http://schemas.microsoft.com/office/drawing/2014/main" id="{67DDEE1E-A79F-407D-A741-4FE160249E5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669" name="AutoShape 12">
          <a:extLst>
            <a:ext uri="{FF2B5EF4-FFF2-40B4-BE49-F238E27FC236}">
              <a16:creationId xmlns:a16="http://schemas.microsoft.com/office/drawing/2014/main" id="{B3628B52-D58F-49E8-9E69-D8AFFD1E398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670" name="AutoShape 12">
          <a:extLst>
            <a:ext uri="{FF2B5EF4-FFF2-40B4-BE49-F238E27FC236}">
              <a16:creationId xmlns:a16="http://schemas.microsoft.com/office/drawing/2014/main" id="{BD416556-A630-4A12-B2EB-88165263B5A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671" name="AutoShape 12">
          <a:extLst>
            <a:ext uri="{FF2B5EF4-FFF2-40B4-BE49-F238E27FC236}">
              <a16:creationId xmlns:a16="http://schemas.microsoft.com/office/drawing/2014/main" id="{55950FBD-E75E-4043-98F3-3C3BA0F0CD2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672" name="AutoShape 12">
          <a:extLst>
            <a:ext uri="{FF2B5EF4-FFF2-40B4-BE49-F238E27FC236}">
              <a16:creationId xmlns:a16="http://schemas.microsoft.com/office/drawing/2014/main" id="{82DE5552-D064-4E68-A437-81D6C0BB4D9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673" name="AutoShape 12">
          <a:extLst>
            <a:ext uri="{FF2B5EF4-FFF2-40B4-BE49-F238E27FC236}">
              <a16:creationId xmlns:a16="http://schemas.microsoft.com/office/drawing/2014/main" id="{DCA48240-9039-4663-B5ED-8636B37F0E8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674" name="AutoShape 12">
          <a:extLst>
            <a:ext uri="{FF2B5EF4-FFF2-40B4-BE49-F238E27FC236}">
              <a16:creationId xmlns:a16="http://schemas.microsoft.com/office/drawing/2014/main" id="{8B36E842-EC48-4BE3-99EF-6D42BB57819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675" name="AutoShape 12">
          <a:extLst>
            <a:ext uri="{FF2B5EF4-FFF2-40B4-BE49-F238E27FC236}">
              <a16:creationId xmlns:a16="http://schemas.microsoft.com/office/drawing/2014/main" id="{F516F139-00FE-4FA7-AB4D-6E16BCE173B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676" name="AutoShape 12">
          <a:extLst>
            <a:ext uri="{FF2B5EF4-FFF2-40B4-BE49-F238E27FC236}">
              <a16:creationId xmlns:a16="http://schemas.microsoft.com/office/drawing/2014/main" id="{B186C345-26BC-4204-B4F3-B550B0E2135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677" name="AutoShape 12">
          <a:extLst>
            <a:ext uri="{FF2B5EF4-FFF2-40B4-BE49-F238E27FC236}">
              <a16:creationId xmlns:a16="http://schemas.microsoft.com/office/drawing/2014/main" id="{4E6E41B2-1015-4B77-BEA2-21F3CD2A0C0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678" name="AutoShape 12">
          <a:extLst>
            <a:ext uri="{FF2B5EF4-FFF2-40B4-BE49-F238E27FC236}">
              <a16:creationId xmlns:a16="http://schemas.microsoft.com/office/drawing/2014/main" id="{916B4E92-1594-4206-BDE9-384BDC6A216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679" name="AutoShape 12">
          <a:extLst>
            <a:ext uri="{FF2B5EF4-FFF2-40B4-BE49-F238E27FC236}">
              <a16:creationId xmlns:a16="http://schemas.microsoft.com/office/drawing/2014/main" id="{D529B303-91CF-4692-9148-8E238E77582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680" name="AutoShape 12">
          <a:extLst>
            <a:ext uri="{FF2B5EF4-FFF2-40B4-BE49-F238E27FC236}">
              <a16:creationId xmlns:a16="http://schemas.microsoft.com/office/drawing/2014/main" id="{732CD433-E9ED-4F3D-A9C6-718B726D17C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681" name="AutoShape 12">
          <a:extLst>
            <a:ext uri="{FF2B5EF4-FFF2-40B4-BE49-F238E27FC236}">
              <a16:creationId xmlns:a16="http://schemas.microsoft.com/office/drawing/2014/main" id="{121D7BF5-73B7-4D58-8AF5-1529ED1611C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682" name="AutoShape 12">
          <a:extLst>
            <a:ext uri="{FF2B5EF4-FFF2-40B4-BE49-F238E27FC236}">
              <a16:creationId xmlns:a16="http://schemas.microsoft.com/office/drawing/2014/main" id="{67FDAEBD-E07F-4817-BE84-BED3E6DEDD4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683" name="AutoShape 12">
          <a:extLst>
            <a:ext uri="{FF2B5EF4-FFF2-40B4-BE49-F238E27FC236}">
              <a16:creationId xmlns:a16="http://schemas.microsoft.com/office/drawing/2014/main" id="{2628AEA3-D08C-4B15-A149-405DAEE84E2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684" name="AutoShape 12">
          <a:extLst>
            <a:ext uri="{FF2B5EF4-FFF2-40B4-BE49-F238E27FC236}">
              <a16:creationId xmlns:a16="http://schemas.microsoft.com/office/drawing/2014/main" id="{1EAFBBA0-C2C5-4FD3-89EE-7E7138B0A83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685" name="AutoShape 12">
          <a:extLst>
            <a:ext uri="{FF2B5EF4-FFF2-40B4-BE49-F238E27FC236}">
              <a16:creationId xmlns:a16="http://schemas.microsoft.com/office/drawing/2014/main" id="{441E8AFA-82A9-47A6-8714-2E187216D1E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686" name="AutoShape 12">
          <a:extLst>
            <a:ext uri="{FF2B5EF4-FFF2-40B4-BE49-F238E27FC236}">
              <a16:creationId xmlns:a16="http://schemas.microsoft.com/office/drawing/2014/main" id="{8099BFF1-5952-411A-B27E-77AECB201C7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687" name="AutoShape 12">
          <a:extLst>
            <a:ext uri="{FF2B5EF4-FFF2-40B4-BE49-F238E27FC236}">
              <a16:creationId xmlns:a16="http://schemas.microsoft.com/office/drawing/2014/main" id="{96A2654B-2A6E-4E2C-B357-568792E9915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688" name="AutoShape 12">
          <a:extLst>
            <a:ext uri="{FF2B5EF4-FFF2-40B4-BE49-F238E27FC236}">
              <a16:creationId xmlns:a16="http://schemas.microsoft.com/office/drawing/2014/main" id="{316B393B-4705-4254-9FB4-6D809338CF3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689" name="AutoShape 12">
          <a:extLst>
            <a:ext uri="{FF2B5EF4-FFF2-40B4-BE49-F238E27FC236}">
              <a16:creationId xmlns:a16="http://schemas.microsoft.com/office/drawing/2014/main" id="{43B3B3D1-F737-4281-BCBF-86312E4AFE7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690" name="AutoShape 12">
          <a:extLst>
            <a:ext uri="{FF2B5EF4-FFF2-40B4-BE49-F238E27FC236}">
              <a16:creationId xmlns:a16="http://schemas.microsoft.com/office/drawing/2014/main" id="{EF42694A-F03A-47F3-B791-66E9948A03D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691" name="AutoShape 12">
          <a:extLst>
            <a:ext uri="{FF2B5EF4-FFF2-40B4-BE49-F238E27FC236}">
              <a16:creationId xmlns:a16="http://schemas.microsoft.com/office/drawing/2014/main" id="{9E50F6F6-CAEA-40FA-8AD7-E98EB17992F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692" name="AutoShape 12">
          <a:extLst>
            <a:ext uri="{FF2B5EF4-FFF2-40B4-BE49-F238E27FC236}">
              <a16:creationId xmlns:a16="http://schemas.microsoft.com/office/drawing/2014/main" id="{1A28E094-5E33-4B07-92A7-3E32D26DFCC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693" name="AutoShape 12">
          <a:extLst>
            <a:ext uri="{FF2B5EF4-FFF2-40B4-BE49-F238E27FC236}">
              <a16:creationId xmlns:a16="http://schemas.microsoft.com/office/drawing/2014/main" id="{8EC9139F-8ADE-4D29-BADD-6CBA15D5BD8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694" name="AutoShape 12">
          <a:extLst>
            <a:ext uri="{FF2B5EF4-FFF2-40B4-BE49-F238E27FC236}">
              <a16:creationId xmlns:a16="http://schemas.microsoft.com/office/drawing/2014/main" id="{48FF8BB5-C6BC-406E-9776-0CF86FAA384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695" name="AutoShape 12">
          <a:extLst>
            <a:ext uri="{FF2B5EF4-FFF2-40B4-BE49-F238E27FC236}">
              <a16:creationId xmlns:a16="http://schemas.microsoft.com/office/drawing/2014/main" id="{3BA76C6F-AFAE-42A2-A86A-03FFE3F93C4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696" name="AutoShape 12">
          <a:extLst>
            <a:ext uri="{FF2B5EF4-FFF2-40B4-BE49-F238E27FC236}">
              <a16:creationId xmlns:a16="http://schemas.microsoft.com/office/drawing/2014/main" id="{56534739-2B5A-44B9-988D-5D4BD8C6A18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697" name="AutoShape 12">
          <a:extLst>
            <a:ext uri="{FF2B5EF4-FFF2-40B4-BE49-F238E27FC236}">
              <a16:creationId xmlns:a16="http://schemas.microsoft.com/office/drawing/2014/main" id="{DFD44E7F-39C2-4B52-9512-94C49DBB719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698" name="AutoShape 12">
          <a:extLst>
            <a:ext uri="{FF2B5EF4-FFF2-40B4-BE49-F238E27FC236}">
              <a16:creationId xmlns:a16="http://schemas.microsoft.com/office/drawing/2014/main" id="{46464DF4-3A25-4A86-8D0B-734B8CA71E9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699" name="AutoShape 12">
          <a:extLst>
            <a:ext uri="{FF2B5EF4-FFF2-40B4-BE49-F238E27FC236}">
              <a16:creationId xmlns:a16="http://schemas.microsoft.com/office/drawing/2014/main" id="{AAA05F2D-7330-493E-AECF-07C57B3D60F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700" name="AutoShape 12">
          <a:extLst>
            <a:ext uri="{FF2B5EF4-FFF2-40B4-BE49-F238E27FC236}">
              <a16:creationId xmlns:a16="http://schemas.microsoft.com/office/drawing/2014/main" id="{77C694D7-09ED-4076-934D-1937FB96A04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701" name="AutoShape 12">
          <a:extLst>
            <a:ext uri="{FF2B5EF4-FFF2-40B4-BE49-F238E27FC236}">
              <a16:creationId xmlns:a16="http://schemas.microsoft.com/office/drawing/2014/main" id="{9A293D87-C28A-4D1A-9FA6-D4BECB84B93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702" name="AutoShape 12">
          <a:extLst>
            <a:ext uri="{FF2B5EF4-FFF2-40B4-BE49-F238E27FC236}">
              <a16:creationId xmlns:a16="http://schemas.microsoft.com/office/drawing/2014/main" id="{0F2AEA35-DA0D-48E8-B36F-ED7125157FD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703" name="AutoShape 12">
          <a:extLst>
            <a:ext uri="{FF2B5EF4-FFF2-40B4-BE49-F238E27FC236}">
              <a16:creationId xmlns:a16="http://schemas.microsoft.com/office/drawing/2014/main" id="{2C6BA658-5190-4C02-828C-F4963250399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704" name="AutoShape 12">
          <a:extLst>
            <a:ext uri="{FF2B5EF4-FFF2-40B4-BE49-F238E27FC236}">
              <a16:creationId xmlns:a16="http://schemas.microsoft.com/office/drawing/2014/main" id="{5E2E4030-288C-49F6-B836-EB50C8E01EC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705" name="AutoShape 12">
          <a:extLst>
            <a:ext uri="{FF2B5EF4-FFF2-40B4-BE49-F238E27FC236}">
              <a16:creationId xmlns:a16="http://schemas.microsoft.com/office/drawing/2014/main" id="{05A1C039-12D6-4860-B6F2-00A7D4B94F3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706" name="AutoShape 12">
          <a:extLst>
            <a:ext uri="{FF2B5EF4-FFF2-40B4-BE49-F238E27FC236}">
              <a16:creationId xmlns:a16="http://schemas.microsoft.com/office/drawing/2014/main" id="{001F3A5A-2586-499F-9FFD-CC761E512DD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707" name="AutoShape 12">
          <a:extLst>
            <a:ext uri="{FF2B5EF4-FFF2-40B4-BE49-F238E27FC236}">
              <a16:creationId xmlns:a16="http://schemas.microsoft.com/office/drawing/2014/main" id="{34BCECE5-3135-4B71-8CC2-A0F26C11022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708" name="AutoShape 12">
          <a:extLst>
            <a:ext uri="{FF2B5EF4-FFF2-40B4-BE49-F238E27FC236}">
              <a16:creationId xmlns:a16="http://schemas.microsoft.com/office/drawing/2014/main" id="{73E3EF7A-1570-4716-80B9-E2FD55B96FB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709" name="AutoShape 12">
          <a:extLst>
            <a:ext uri="{FF2B5EF4-FFF2-40B4-BE49-F238E27FC236}">
              <a16:creationId xmlns:a16="http://schemas.microsoft.com/office/drawing/2014/main" id="{4EBDFBAA-55D9-4AB9-9B86-749A68A23F0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710" name="AutoShape 12">
          <a:extLst>
            <a:ext uri="{FF2B5EF4-FFF2-40B4-BE49-F238E27FC236}">
              <a16:creationId xmlns:a16="http://schemas.microsoft.com/office/drawing/2014/main" id="{D8E8ECA4-E157-406E-A399-3740632C520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711" name="AutoShape 12">
          <a:extLst>
            <a:ext uri="{FF2B5EF4-FFF2-40B4-BE49-F238E27FC236}">
              <a16:creationId xmlns:a16="http://schemas.microsoft.com/office/drawing/2014/main" id="{2B3B45E9-3525-4418-AC65-6CAAEFCA40F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712" name="AutoShape 12">
          <a:extLst>
            <a:ext uri="{FF2B5EF4-FFF2-40B4-BE49-F238E27FC236}">
              <a16:creationId xmlns:a16="http://schemas.microsoft.com/office/drawing/2014/main" id="{F228EB7C-0029-408C-AAEB-EA4E0928607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713" name="AutoShape 12">
          <a:extLst>
            <a:ext uri="{FF2B5EF4-FFF2-40B4-BE49-F238E27FC236}">
              <a16:creationId xmlns:a16="http://schemas.microsoft.com/office/drawing/2014/main" id="{A57BC2FC-FD72-4BAF-8FCD-4BD0A2F9D7B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714" name="AutoShape 12">
          <a:extLst>
            <a:ext uri="{FF2B5EF4-FFF2-40B4-BE49-F238E27FC236}">
              <a16:creationId xmlns:a16="http://schemas.microsoft.com/office/drawing/2014/main" id="{74883450-41FA-406E-8D46-C7BD189C7D0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715" name="AutoShape 12">
          <a:extLst>
            <a:ext uri="{FF2B5EF4-FFF2-40B4-BE49-F238E27FC236}">
              <a16:creationId xmlns:a16="http://schemas.microsoft.com/office/drawing/2014/main" id="{A83B365E-51FB-4F38-AE07-5B5050C885B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716" name="AutoShape 12">
          <a:extLst>
            <a:ext uri="{FF2B5EF4-FFF2-40B4-BE49-F238E27FC236}">
              <a16:creationId xmlns:a16="http://schemas.microsoft.com/office/drawing/2014/main" id="{EC0C4430-AAB5-497F-8915-F8D3935AA91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717" name="AutoShape 12">
          <a:extLst>
            <a:ext uri="{FF2B5EF4-FFF2-40B4-BE49-F238E27FC236}">
              <a16:creationId xmlns:a16="http://schemas.microsoft.com/office/drawing/2014/main" id="{A67B659C-5218-4511-AFCB-C5EA8E175EA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718" name="AutoShape 12">
          <a:extLst>
            <a:ext uri="{FF2B5EF4-FFF2-40B4-BE49-F238E27FC236}">
              <a16:creationId xmlns:a16="http://schemas.microsoft.com/office/drawing/2014/main" id="{4A5FDA52-1664-4A3D-856C-DF3F609CB9A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719" name="AutoShape 12">
          <a:extLst>
            <a:ext uri="{FF2B5EF4-FFF2-40B4-BE49-F238E27FC236}">
              <a16:creationId xmlns:a16="http://schemas.microsoft.com/office/drawing/2014/main" id="{B2286033-1EFE-4BB6-9E6D-1237CC98110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720" name="AutoShape 12">
          <a:extLst>
            <a:ext uri="{FF2B5EF4-FFF2-40B4-BE49-F238E27FC236}">
              <a16:creationId xmlns:a16="http://schemas.microsoft.com/office/drawing/2014/main" id="{C297A7C9-42D6-4D7A-8545-EAC694424F8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721" name="AutoShape 12">
          <a:extLst>
            <a:ext uri="{FF2B5EF4-FFF2-40B4-BE49-F238E27FC236}">
              <a16:creationId xmlns:a16="http://schemas.microsoft.com/office/drawing/2014/main" id="{4D149D94-9309-4CD6-8158-5BF61C5C174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722" name="AutoShape 12">
          <a:extLst>
            <a:ext uri="{FF2B5EF4-FFF2-40B4-BE49-F238E27FC236}">
              <a16:creationId xmlns:a16="http://schemas.microsoft.com/office/drawing/2014/main" id="{45EF6C56-7DD0-4BBF-9306-D8F247E0648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723" name="AutoShape 12">
          <a:extLst>
            <a:ext uri="{FF2B5EF4-FFF2-40B4-BE49-F238E27FC236}">
              <a16:creationId xmlns:a16="http://schemas.microsoft.com/office/drawing/2014/main" id="{C05F415A-E902-4CDE-81FD-ADCC582667A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724" name="AutoShape 12">
          <a:extLst>
            <a:ext uri="{FF2B5EF4-FFF2-40B4-BE49-F238E27FC236}">
              <a16:creationId xmlns:a16="http://schemas.microsoft.com/office/drawing/2014/main" id="{901F3623-33EA-4CCF-AB53-59CB92E0433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725" name="AutoShape 12">
          <a:extLst>
            <a:ext uri="{FF2B5EF4-FFF2-40B4-BE49-F238E27FC236}">
              <a16:creationId xmlns:a16="http://schemas.microsoft.com/office/drawing/2014/main" id="{BABEAF3E-E070-4266-87D4-7DBBC436F6B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726" name="AutoShape 12">
          <a:extLst>
            <a:ext uri="{FF2B5EF4-FFF2-40B4-BE49-F238E27FC236}">
              <a16:creationId xmlns:a16="http://schemas.microsoft.com/office/drawing/2014/main" id="{75BA91DA-12CB-41D0-A6B9-47E92AE3F62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727" name="AutoShape 12">
          <a:extLst>
            <a:ext uri="{FF2B5EF4-FFF2-40B4-BE49-F238E27FC236}">
              <a16:creationId xmlns:a16="http://schemas.microsoft.com/office/drawing/2014/main" id="{F411588F-049C-4A24-8606-95F37613D26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728" name="AutoShape 12">
          <a:extLst>
            <a:ext uri="{FF2B5EF4-FFF2-40B4-BE49-F238E27FC236}">
              <a16:creationId xmlns:a16="http://schemas.microsoft.com/office/drawing/2014/main" id="{2966EB30-C333-4055-968B-8C7CB801739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729" name="AutoShape 12">
          <a:extLst>
            <a:ext uri="{FF2B5EF4-FFF2-40B4-BE49-F238E27FC236}">
              <a16:creationId xmlns:a16="http://schemas.microsoft.com/office/drawing/2014/main" id="{CF42D8E8-6F05-4548-93D4-97AD65F3906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730" name="AutoShape 12">
          <a:extLst>
            <a:ext uri="{FF2B5EF4-FFF2-40B4-BE49-F238E27FC236}">
              <a16:creationId xmlns:a16="http://schemas.microsoft.com/office/drawing/2014/main" id="{DF195FDB-2B9B-470C-BE13-2E9025003CB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731" name="AutoShape 12">
          <a:extLst>
            <a:ext uri="{FF2B5EF4-FFF2-40B4-BE49-F238E27FC236}">
              <a16:creationId xmlns:a16="http://schemas.microsoft.com/office/drawing/2014/main" id="{07A5BC23-2779-4309-A8C9-682D6948AAC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732" name="AutoShape 12">
          <a:extLst>
            <a:ext uri="{FF2B5EF4-FFF2-40B4-BE49-F238E27FC236}">
              <a16:creationId xmlns:a16="http://schemas.microsoft.com/office/drawing/2014/main" id="{7CA1BC4F-45BD-43DF-85E7-6C290ADBB6E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733" name="AutoShape 12">
          <a:extLst>
            <a:ext uri="{FF2B5EF4-FFF2-40B4-BE49-F238E27FC236}">
              <a16:creationId xmlns:a16="http://schemas.microsoft.com/office/drawing/2014/main" id="{96DD52D3-4BC5-4AE5-830E-B6B278CFF9A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734" name="AutoShape 12">
          <a:extLst>
            <a:ext uri="{FF2B5EF4-FFF2-40B4-BE49-F238E27FC236}">
              <a16:creationId xmlns:a16="http://schemas.microsoft.com/office/drawing/2014/main" id="{A38834D8-10D9-4024-9661-AD55E890289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735" name="AutoShape 12">
          <a:extLst>
            <a:ext uri="{FF2B5EF4-FFF2-40B4-BE49-F238E27FC236}">
              <a16:creationId xmlns:a16="http://schemas.microsoft.com/office/drawing/2014/main" id="{24AD7374-58B2-40AD-A3C1-34151095F40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736" name="AutoShape 12">
          <a:extLst>
            <a:ext uri="{FF2B5EF4-FFF2-40B4-BE49-F238E27FC236}">
              <a16:creationId xmlns:a16="http://schemas.microsoft.com/office/drawing/2014/main" id="{8A65C455-F829-49DE-9D48-32EB29256BB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737" name="AutoShape 12">
          <a:extLst>
            <a:ext uri="{FF2B5EF4-FFF2-40B4-BE49-F238E27FC236}">
              <a16:creationId xmlns:a16="http://schemas.microsoft.com/office/drawing/2014/main" id="{2556D91A-20E4-4B08-BDE0-1A5050A36C4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738" name="AutoShape 12">
          <a:extLst>
            <a:ext uri="{FF2B5EF4-FFF2-40B4-BE49-F238E27FC236}">
              <a16:creationId xmlns:a16="http://schemas.microsoft.com/office/drawing/2014/main" id="{3377BB7A-6C58-409F-9599-4085F098784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739" name="AutoShape 12">
          <a:extLst>
            <a:ext uri="{FF2B5EF4-FFF2-40B4-BE49-F238E27FC236}">
              <a16:creationId xmlns:a16="http://schemas.microsoft.com/office/drawing/2014/main" id="{F135DE57-2268-499B-977B-721402FC920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740" name="AutoShape 12">
          <a:extLst>
            <a:ext uri="{FF2B5EF4-FFF2-40B4-BE49-F238E27FC236}">
              <a16:creationId xmlns:a16="http://schemas.microsoft.com/office/drawing/2014/main" id="{F0F01C35-842A-48A7-9026-0805C340A20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741" name="AutoShape 12">
          <a:extLst>
            <a:ext uri="{FF2B5EF4-FFF2-40B4-BE49-F238E27FC236}">
              <a16:creationId xmlns:a16="http://schemas.microsoft.com/office/drawing/2014/main" id="{FC371012-0EC3-424F-9D4B-A79C305059D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742" name="AutoShape 12">
          <a:extLst>
            <a:ext uri="{FF2B5EF4-FFF2-40B4-BE49-F238E27FC236}">
              <a16:creationId xmlns:a16="http://schemas.microsoft.com/office/drawing/2014/main" id="{5BBE4D5B-FF47-48A5-80CC-8AEE29E664C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743" name="AutoShape 12">
          <a:extLst>
            <a:ext uri="{FF2B5EF4-FFF2-40B4-BE49-F238E27FC236}">
              <a16:creationId xmlns:a16="http://schemas.microsoft.com/office/drawing/2014/main" id="{0FCA82D3-C9D8-4312-A737-EFEEC980855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744" name="AutoShape 12">
          <a:extLst>
            <a:ext uri="{FF2B5EF4-FFF2-40B4-BE49-F238E27FC236}">
              <a16:creationId xmlns:a16="http://schemas.microsoft.com/office/drawing/2014/main" id="{FF8CA988-B838-4FB0-AFA2-678176C9E8A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745" name="AutoShape 12">
          <a:extLst>
            <a:ext uri="{FF2B5EF4-FFF2-40B4-BE49-F238E27FC236}">
              <a16:creationId xmlns:a16="http://schemas.microsoft.com/office/drawing/2014/main" id="{FEEF77DB-A1DB-4436-9805-7C04867F3B5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746" name="AutoShape 12">
          <a:extLst>
            <a:ext uri="{FF2B5EF4-FFF2-40B4-BE49-F238E27FC236}">
              <a16:creationId xmlns:a16="http://schemas.microsoft.com/office/drawing/2014/main" id="{9783FC51-1DE6-4E48-B6D4-A157100C5D0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747" name="AutoShape 12">
          <a:extLst>
            <a:ext uri="{FF2B5EF4-FFF2-40B4-BE49-F238E27FC236}">
              <a16:creationId xmlns:a16="http://schemas.microsoft.com/office/drawing/2014/main" id="{98064C61-4E5D-4E88-8C66-224149C17FF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748" name="AutoShape 12">
          <a:extLst>
            <a:ext uri="{FF2B5EF4-FFF2-40B4-BE49-F238E27FC236}">
              <a16:creationId xmlns:a16="http://schemas.microsoft.com/office/drawing/2014/main" id="{96333C23-D086-418C-9873-1B50D91D07E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749" name="AutoShape 12">
          <a:extLst>
            <a:ext uri="{FF2B5EF4-FFF2-40B4-BE49-F238E27FC236}">
              <a16:creationId xmlns:a16="http://schemas.microsoft.com/office/drawing/2014/main" id="{74AA7DA5-B9DC-4F54-B195-F972E9812E8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750" name="AutoShape 12">
          <a:extLst>
            <a:ext uri="{FF2B5EF4-FFF2-40B4-BE49-F238E27FC236}">
              <a16:creationId xmlns:a16="http://schemas.microsoft.com/office/drawing/2014/main" id="{1ECCA0AB-E2B1-4202-9968-A2956C0FA7A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751" name="AutoShape 12">
          <a:extLst>
            <a:ext uri="{FF2B5EF4-FFF2-40B4-BE49-F238E27FC236}">
              <a16:creationId xmlns:a16="http://schemas.microsoft.com/office/drawing/2014/main" id="{0E8E8C98-B253-4B16-AC90-2E0FF42AFBC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752" name="AutoShape 12">
          <a:extLst>
            <a:ext uri="{FF2B5EF4-FFF2-40B4-BE49-F238E27FC236}">
              <a16:creationId xmlns:a16="http://schemas.microsoft.com/office/drawing/2014/main" id="{11F42FF1-CE5F-4B99-B60C-6C7A1BA2257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753" name="AutoShape 12">
          <a:extLst>
            <a:ext uri="{FF2B5EF4-FFF2-40B4-BE49-F238E27FC236}">
              <a16:creationId xmlns:a16="http://schemas.microsoft.com/office/drawing/2014/main" id="{E8BCA56D-69B3-4112-AE0F-A5F144C45B2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754" name="AutoShape 12">
          <a:extLst>
            <a:ext uri="{FF2B5EF4-FFF2-40B4-BE49-F238E27FC236}">
              <a16:creationId xmlns:a16="http://schemas.microsoft.com/office/drawing/2014/main" id="{752C0F9D-A530-4888-895B-1502651D43A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755" name="AutoShape 12">
          <a:extLst>
            <a:ext uri="{FF2B5EF4-FFF2-40B4-BE49-F238E27FC236}">
              <a16:creationId xmlns:a16="http://schemas.microsoft.com/office/drawing/2014/main" id="{3841DC75-E79F-41CB-95A8-32F18D1242B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756" name="AutoShape 12">
          <a:extLst>
            <a:ext uri="{FF2B5EF4-FFF2-40B4-BE49-F238E27FC236}">
              <a16:creationId xmlns:a16="http://schemas.microsoft.com/office/drawing/2014/main" id="{1458B714-CCE2-4E85-9576-8297065C48D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757" name="AutoShape 12">
          <a:extLst>
            <a:ext uri="{FF2B5EF4-FFF2-40B4-BE49-F238E27FC236}">
              <a16:creationId xmlns:a16="http://schemas.microsoft.com/office/drawing/2014/main" id="{F31F2BDC-36E5-4D48-A288-8F2BEF4ED5C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758" name="AutoShape 12">
          <a:extLst>
            <a:ext uri="{FF2B5EF4-FFF2-40B4-BE49-F238E27FC236}">
              <a16:creationId xmlns:a16="http://schemas.microsoft.com/office/drawing/2014/main" id="{C17447FC-55AA-44D2-80EB-B45C9BD19F6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759" name="AutoShape 12">
          <a:extLst>
            <a:ext uri="{FF2B5EF4-FFF2-40B4-BE49-F238E27FC236}">
              <a16:creationId xmlns:a16="http://schemas.microsoft.com/office/drawing/2014/main" id="{60FDC1BF-FCF9-4E0F-8901-6CD6B4FDCEE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760" name="AutoShape 12">
          <a:extLst>
            <a:ext uri="{FF2B5EF4-FFF2-40B4-BE49-F238E27FC236}">
              <a16:creationId xmlns:a16="http://schemas.microsoft.com/office/drawing/2014/main" id="{784C2C48-422D-4A8E-A1BE-D54BE842F88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761" name="AutoShape 12">
          <a:extLst>
            <a:ext uri="{FF2B5EF4-FFF2-40B4-BE49-F238E27FC236}">
              <a16:creationId xmlns:a16="http://schemas.microsoft.com/office/drawing/2014/main" id="{A37D65DC-CA89-4728-8F57-BBD80FCA312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762" name="AutoShape 12">
          <a:extLst>
            <a:ext uri="{FF2B5EF4-FFF2-40B4-BE49-F238E27FC236}">
              <a16:creationId xmlns:a16="http://schemas.microsoft.com/office/drawing/2014/main" id="{2E4DE12D-BCB6-4EED-B594-EE47DB44354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763" name="AutoShape 12">
          <a:extLst>
            <a:ext uri="{FF2B5EF4-FFF2-40B4-BE49-F238E27FC236}">
              <a16:creationId xmlns:a16="http://schemas.microsoft.com/office/drawing/2014/main" id="{9694F0E6-F323-4F75-B5BF-FA68343B9A4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764" name="AutoShape 12">
          <a:extLst>
            <a:ext uri="{FF2B5EF4-FFF2-40B4-BE49-F238E27FC236}">
              <a16:creationId xmlns:a16="http://schemas.microsoft.com/office/drawing/2014/main" id="{330E3660-B628-4EA1-BC71-B5E839D7CCE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765" name="AutoShape 12">
          <a:extLst>
            <a:ext uri="{FF2B5EF4-FFF2-40B4-BE49-F238E27FC236}">
              <a16:creationId xmlns:a16="http://schemas.microsoft.com/office/drawing/2014/main" id="{E0EA267F-DF6F-4589-B52F-E85C86EC7B3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766" name="AutoShape 12">
          <a:extLst>
            <a:ext uri="{FF2B5EF4-FFF2-40B4-BE49-F238E27FC236}">
              <a16:creationId xmlns:a16="http://schemas.microsoft.com/office/drawing/2014/main" id="{5808BFD5-2BB9-4812-9339-0DAD7487EBD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767" name="AutoShape 12">
          <a:extLst>
            <a:ext uri="{FF2B5EF4-FFF2-40B4-BE49-F238E27FC236}">
              <a16:creationId xmlns:a16="http://schemas.microsoft.com/office/drawing/2014/main" id="{ED63A57A-CD81-4722-A95B-7CA5CDA5FA5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768" name="AutoShape 12">
          <a:extLst>
            <a:ext uri="{FF2B5EF4-FFF2-40B4-BE49-F238E27FC236}">
              <a16:creationId xmlns:a16="http://schemas.microsoft.com/office/drawing/2014/main" id="{1D2CA3D9-4544-43A0-9AD5-1B00299F9B2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769" name="AutoShape 12">
          <a:extLst>
            <a:ext uri="{FF2B5EF4-FFF2-40B4-BE49-F238E27FC236}">
              <a16:creationId xmlns:a16="http://schemas.microsoft.com/office/drawing/2014/main" id="{95011300-06BE-42C7-B196-AD82C1AA48B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770" name="AutoShape 12">
          <a:extLst>
            <a:ext uri="{FF2B5EF4-FFF2-40B4-BE49-F238E27FC236}">
              <a16:creationId xmlns:a16="http://schemas.microsoft.com/office/drawing/2014/main" id="{A97B3BAE-6D3B-4B6D-951B-9EB489085D3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771" name="AutoShape 12">
          <a:extLst>
            <a:ext uri="{FF2B5EF4-FFF2-40B4-BE49-F238E27FC236}">
              <a16:creationId xmlns:a16="http://schemas.microsoft.com/office/drawing/2014/main" id="{BFC318A9-9C88-42E2-B7AF-371639005D6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772" name="AutoShape 12">
          <a:extLst>
            <a:ext uri="{FF2B5EF4-FFF2-40B4-BE49-F238E27FC236}">
              <a16:creationId xmlns:a16="http://schemas.microsoft.com/office/drawing/2014/main" id="{42FDEA67-0BC4-4E6C-B050-2D0AF687548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773" name="AutoShape 12">
          <a:extLst>
            <a:ext uri="{FF2B5EF4-FFF2-40B4-BE49-F238E27FC236}">
              <a16:creationId xmlns:a16="http://schemas.microsoft.com/office/drawing/2014/main" id="{177552C9-11F5-44FB-8354-4DF3334CFBF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774" name="AutoShape 12">
          <a:extLst>
            <a:ext uri="{FF2B5EF4-FFF2-40B4-BE49-F238E27FC236}">
              <a16:creationId xmlns:a16="http://schemas.microsoft.com/office/drawing/2014/main" id="{676BD711-20AF-4268-B0C4-6577B1A2633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775" name="AutoShape 12">
          <a:extLst>
            <a:ext uri="{FF2B5EF4-FFF2-40B4-BE49-F238E27FC236}">
              <a16:creationId xmlns:a16="http://schemas.microsoft.com/office/drawing/2014/main" id="{7D180253-7003-4AC6-9D5C-1EFE5E43758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776" name="AutoShape 12">
          <a:extLst>
            <a:ext uri="{FF2B5EF4-FFF2-40B4-BE49-F238E27FC236}">
              <a16:creationId xmlns:a16="http://schemas.microsoft.com/office/drawing/2014/main" id="{4E018BD6-DE10-4053-864A-4D29AD7E2B4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777" name="AutoShape 12">
          <a:extLst>
            <a:ext uri="{FF2B5EF4-FFF2-40B4-BE49-F238E27FC236}">
              <a16:creationId xmlns:a16="http://schemas.microsoft.com/office/drawing/2014/main" id="{5F28FF3B-9EBF-4E50-B007-8A21D3D9EBF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778" name="AutoShape 12">
          <a:extLst>
            <a:ext uri="{FF2B5EF4-FFF2-40B4-BE49-F238E27FC236}">
              <a16:creationId xmlns:a16="http://schemas.microsoft.com/office/drawing/2014/main" id="{9A96BD0E-F810-4ACB-9FBE-3EE11E3DA1E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779" name="AutoShape 12">
          <a:extLst>
            <a:ext uri="{FF2B5EF4-FFF2-40B4-BE49-F238E27FC236}">
              <a16:creationId xmlns:a16="http://schemas.microsoft.com/office/drawing/2014/main" id="{A9878000-F175-4428-851B-681D95BCF68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780" name="AutoShape 12">
          <a:extLst>
            <a:ext uri="{FF2B5EF4-FFF2-40B4-BE49-F238E27FC236}">
              <a16:creationId xmlns:a16="http://schemas.microsoft.com/office/drawing/2014/main" id="{224A6781-597E-4F6D-9026-D7DE988AE5F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781" name="AutoShape 12">
          <a:extLst>
            <a:ext uri="{FF2B5EF4-FFF2-40B4-BE49-F238E27FC236}">
              <a16:creationId xmlns:a16="http://schemas.microsoft.com/office/drawing/2014/main" id="{E1D7BD5D-251C-4D91-A2D0-E165A3422DC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782" name="AutoShape 12">
          <a:extLst>
            <a:ext uri="{FF2B5EF4-FFF2-40B4-BE49-F238E27FC236}">
              <a16:creationId xmlns:a16="http://schemas.microsoft.com/office/drawing/2014/main" id="{BCBBE8D3-80F1-44E7-B0B7-09C2E9493D4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783" name="AutoShape 12">
          <a:extLst>
            <a:ext uri="{FF2B5EF4-FFF2-40B4-BE49-F238E27FC236}">
              <a16:creationId xmlns:a16="http://schemas.microsoft.com/office/drawing/2014/main" id="{32F494E5-F55B-4B71-AEE7-2B0FC4C271B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784" name="AutoShape 12">
          <a:extLst>
            <a:ext uri="{FF2B5EF4-FFF2-40B4-BE49-F238E27FC236}">
              <a16:creationId xmlns:a16="http://schemas.microsoft.com/office/drawing/2014/main" id="{261C84B2-15F9-49D6-8076-CA92FF31439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785" name="AutoShape 12">
          <a:extLst>
            <a:ext uri="{FF2B5EF4-FFF2-40B4-BE49-F238E27FC236}">
              <a16:creationId xmlns:a16="http://schemas.microsoft.com/office/drawing/2014/main" id="{ECB68B2A-C91F-440E-B232-2D83F0B64F6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786" name="AutoShape 12">
          <a:extLst>
            <a:ext uri="{FF2B5EF4-FFF2-40B4-BE49-F238E27FC236}">
              <a16:creationId xmlns:a16="http://schemas.microsoft.com/office/drawing/2014/main" id="{538D08C5-1238-49CF-B1D1-DD1AED37AE8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787" name="AutoShape 12">
          <a:extLst>
            <a:ext uri="{FF2B5EF4-FFF2-40B4-BE49-F238E27FC236}">
              <a16:creationId xmlns:a16="http://schemas.microsoft.com/office/drawing/2014/main" id="{5A2C957F-5D35-460D-9068-59DD0D50B3C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788" name="AutoShape 12">
          <a:extLst>
            <a:ext uri="{FF2B5EF4-FFF2-40B4-BE49-F238E27FC236}">
              <a16:creationId xmlns:a16="http://schemas.microsoft.com/office/drawing/2014/main" id="{C01C9AC2-E0D7-425B-A41B-575B55024AD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789" name="AutoShape 12">
          <a:extLst>
            <a:ext uri="{FF2B5EF4-FFF2-40B4-BE49-F238E27FC236}">
              <a16:creationId xmlns:a16="http://schemas.microsoft.com/office/drawing/2014/main" id="{FA8A4015-2CFB-4E15-9CC7-173F2CE963E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790" name="AutoShape 12">
          <a:extLst>
            <a:ext uri="{FF2B5EF4-FFF2-40B4-BE49-F238E27FC236}">
              <a16:creationId xmlns:a16="http://schemas.microsoft.com/office/drawing/2014/main" id="{0E0292BE-DF4B-4133-9B06-41AD750A530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791" name="AutoShape 12">
          <a:extLst>
            <a:ext uri="{FF2B5EF4-FFF2-40B4-BE49-F238E27FC236}">
              <a16:creationId xmlns:a16="http://schemas.microsoft.com/office/drawing/2014/main" id="{80472476-0231-4CB7-BCB1-0324B60EDC5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792" name="AutoShape 12">
          <a:extLst>
            <a:ext uri="{FF2B5EF4-FFF2-40B4-BE49-F238E27FC236}">
              <a16:creationId xmlns:a16="http://schemas.microsoft.com/office/drawing/2014/main" id="{C81117AA-715E-45FD-A30F-EDBB2C1B647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793" name="AutoShape 12">
          <a:extLst>
            <a:ext uri="{FF2B5EF4-FFF2-40B4-BE49-F238E27FC236}">
              <a16:creationId xmlns:a16="http://schemas.microsoft.com/office/drawing/2014/main" id="{4AFBCCE3-E37E-4944-A250-448D34F64F9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794" name="AutoShape 12">
          <a:extLst>
            <a:ext uri="{FF2B5EF4-FFF2-40B4-BE49-F238E27FC236}">
              <a16:creationId xmlns:a16="http://schemas.microsoft.com/office/drawing/2014/main" id="{44D57500-F32D-4208-A017-2F96E4E2F68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795" name="AutoShape 12">
          <a:extLst>
            <a:ext uri="{FF2B5EF4-FFF2-40B4-BE49-F238E27FC236}">
              <a16:creationId xmlns:a16="http://schemas.microsoft.com/office/drawing/2014/main" id="{10EEA7AE-635D-4E8C-A28B-D883974F911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796" name="AutoShape 12">
          <a:extLst>
            <a:ext uri="{FF2B5EF4-FFF2-40B4-BE49-F238E27FC236}">
              <a16:creationId xmlns:a16="http://schemas.microsoft.com/office/drawing/2014/main" id="{CEFBBBE6-4193-484B-BD03-61795D921C7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797" name="AutoShape 12">
          <a:extLst>
            <a:ext uri="{FF2B5EF4-FFF2-40B4-BE49-F238E27FC236}">
              <a16:creationId xmlns:a16="http://schemas.microsoft.com/office/drawing/2014/main" id="{46CEEC68-83D1-4F0B-8C2A-E3868E314E1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798" name="AutoShape 12">
          <a:extLst>
            <a:ext uri="{FF2B5EF4-FFF2-40B4-BE49-F238E27FC236}">
              <a16:creationId xmlns:a16="http://schemas.microsoft.com/office/drawing/2014/main" id="{52D0C9BE-3DFC-49A8-86A7-2EA509E0A4A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799" name="AutoShape 12">
          <a:extLst>
            <a:ext uri="{FF2B5EF4-FFF2-40B4-BE49-F238E27FC236}">
              <a16:creationId xmlns:a16="http://schemas.microsoft.com/office/drawing/2014/main" id="{84AF837D-7146-4005-8055-63E332F1476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800" name="AutoShape 12">
          <a:extLst>
            <a:ext uri="{FF2B5EF4-FFF2-40B4-BE49-F238E27FC236}">
              <a16:creationId xmlns:a16="http://schemas.microsoft.com/office/drawing/2014/main" id="{3A7BC479-3B36-4CE2-A1DB-2813380ECAB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801" name="AutoShape 12">
          <a:extLst>
            <a:ext uri="{FF2B5EF4-FFF2-40B4-BE49-F238E27FC236}">
              <a16:creationId xmlns:a16="http://schemas.microsoft.com/office/drawing/2014/main" id="{4D881E12-312A-4412-8DA0-88C6693D72A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802" name="AutoShape 12">
          <a:extLst>
            <a:ext uri="{FF2B5EF4-FFF2-40B4-BE49-F238E27FC236}">
              <a16:creationId xmlns:a16="http://schemas.microsoft.com/office/drawing/2014/main" id="{6ED87A5A-5989-475A-AB8A-6D57BDC36AF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803" name="AutoShape 12">
          <a:extLst>
            <a:ext uri="{FF2B5EF4-FFF2-40B4-BE49-F238E27FC236}">
              <a16:creationId xmlns:a16="http://schemas.microsoft.com/office/drawing/2014/main" id="{919376D8-5B5C-4EF4-9898-598A0AEF5AA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804" name="AutoShape 12">
          <a:extLst>
            <a:ext uri="{FF2B5EF4-FFF2-40B4-BE49-F238E27FC236}">
              <a16:creationId xmlns:a16="http://schemas.microsoft.com/office/drawing/2014/main" id="{57823BBA-33BC-4F77-B59C-FD0F8A59FB6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805" name="AutoShape 12">
          <a:extLst>
            <a:ext uri="{FF2B5EF4-FFF2-40B4-BE49-F238E27FC236}">
              <a16:creationId xmlns:a16="http://schemas.microsoft.com/office/drawing/2014/main" id="{4CAD8896-9D7E-4489-999F-4F0D4172140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806" name="AutoShape 12">
          <a:extLst>
            <a:ext uri="{FF2B5EF4-FFF2-40B4-BE49-F238E27FC236}">
              <a16:creationId xmlns:a16="http://schemas.microsoft.com/office/drawing/2014/main" id="{93A4CC94-F423-49ED-A02B-832B546B941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807" name="AutoShape 12">
          <a:extLst>
            <a:ext uri="{FF2B5EF4-FFF2-40B4-BE49-F238E27FC236}">
              <a16:creationId xmlns:a16="http://schemas.microsoft.com/office/drawing/2014/main" id="{9388DEC1-7752-41FB-9479-6D3E2B775CB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808" name="AutoShape 12">
          <a:extLst>
            <a:ext uri="{FF2B5EF4-FFF2-40B4-BE49-F238E27FC236}">
              <a16:creationId xmlns:a16="http://schemas.microsoft.com/office/drawing/2014/main" id="{42A0BF4B-6214-4D42-BB4D-221605C5671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809" name="AutoShape 12">
          <a:extLst>
            <a:ext uri="{FF2B5EF4-FFF2-40B4-BE49-F238E27FC236}">
              <a16:creationId xmlns:a16="http://schemas.microsoft.com/office/drawing/2014/main" id="{E82C68B9-0825-431E-B3DA-BC527C85D36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810" name="AutoShape 12">
          <a:extLst>
            <a:ext uri="{FF2B5EF4-FFF2-40B4-BE49-F238E27FC236}">
              <a16:creationId xmlns:a16="http://schemas.microsoft.com/office/drawing/2014/main" id="{709C6243-CBBB-40AB-A8C6-C54E6B8FFA9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811" name="AutoShape 12">
          <a:extLst>
            <a:ext uri="{FF2B5EF4-FFF2-40B4-BE49-F238E27FC236}">
              <a16:creationId xmlns:a16="http://schemas.microsoft.com/office/drawing/2014/main" id="{14EBC6BA-A8AA-40B9-9336-E252CB8E08D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812" name="AutoShape 12">
          <a:extLst>
            <a:ext uri="{FF2B5EF4-FFF2-40B4-BE49-F238E27FC236}">
              <a16:creationId xmlns:a16="http://schemas.microsoft.com/office/drawing/2014/main" id="{C11C7D86-D847-4284-9168-B8AF3A89987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813" name="AutoShape 12">
          <a:extLst>
            <a:ext uri="{FF2B5EF4-FFF2-40B4-BE49-F238E27FC236}">
              <a16:creationId xmlns:a16="http://schemas.microsoft.com/office/drawing/2014/main" id="{5DC04A16-3A51-424C-BCED-A93579520B4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814" name="AutoShape 12">
          <a:extLst>
            <a:ext uri="{FF2B5EF4-FFF2-40B4-BE49-F238E27FC236}">
              <a16:creationId xmlns:a16="http://schemas.microsoft.com/office/drawing/2014/main" id="{ADF95629-33CE-4784-AF63-8ADCD8FE799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815" name="AutoShape 12">
          <a:extLst>
            <a:ext uri="{FF2B5EF4-FFF2-40B4-BE49-F238E27FC236}">
              <a16:creationId xmlns:a16="http://schemas.microsoft.com/office/drawing/2014/main" id="{3A7D5D17-9D60-4B01-8A27-07EC6CDD6C7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816" name="AutoShape 12">
          <a:extLst>
            <a:ext uri="{FF2B5EF4-FFF2-40B4-BE49-F238E27FC236}">
              <a16:creationId xmlns:a16="http://schemas.microsoft.com/office/drawing/2014/main" id="{69BB0D01-EE81-4DB8-9A2A-77146A7AA40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817" name="AutoShape 12">
          <a:extLst>
            <a:ext uri="{FF2B5EF4-FFF2-40B4-BE49-F238E27FC236}">
              <a16:creationId xmlns:a16="http://schemas.microsoft.com/office/drawing/2014/main" id="{478336C7-B719-40F4-9858-0B4CF0206C2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818" name="AutoShape 12">
          <a:extLst>
            <a:ext uri="{FF2B5EF4-FFF2-40B4-BE49-F238E27FC236}">
              <a16:creationId xmlns:a16="http://schemas.microsoft.com/office/drawing/2014/main" id="{C711949B-B266-4281-9CC4-851D1F052CD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819" name="AutoShape 12">
          <a:extLst>
            <a:ext uri="{FF2B5EF4-FFF2-40B4-BE49-F238E27FC236}">
              <a16:creationId xmlns:a16="http://schemas.microsoft.com/office/drawing/2014/main" id="{55744732-FB41-4596-BADC-DC04C6F6AFE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820" name="AutoShape 12">
          <a:extLst>
            <a:ext uri="{FF2B5EF4-FFF2-40B4-BE49-F238E27FC236}">
              <a16:creationId xmlns:a16="http://schemas.microsoft.com/office/drawing/2014/main" id="{FF8D226A-F599-4701-BAC4-D2555C485D8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821" name="AutoShape 12">
          <a:extLst>
            <a:ext uri="{FF2B5EF4-FFF2-40B4-BE49-F238E27FC236}">
              <a16:creationId xmlns:a16="http://schemas.microsoft.com/office/drawing/2014/main" id="{19F3C0E8-C9F0-47C9-9FD1-1DBBBB33D6F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822" name="AutoShape 12">
          <a:extLst>
            <a:ext uri="{FF2B5EF4-FFF2-40B4-BE49-F238E27FC236}">
              <a16:creationId xmlns:a16="http://schemas.microsoft.com/office/drawing/2014/main" id="{216270D4-4933-4829-B186-5954230255E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823" name="AutoShape 12">
          <a:extLst>
            <a:ext uri="{FF2B5EF4-FFF2-40B4-BE49-F238E27FC236}">
              <a16:creationId xmlns:a16="http://schemas.microsoft.com/office/drawing/2014/main" id="{7C757D4E-06FF-4D29-87D0-D64BA674F5A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824" name="AutoShape 12">
          <a:extLst>
            <a:ext uri="{FF2B5EF4-FFF2-40B4-BE49-F238E27FC236}">
              <a16:creationId xmlns:a16="http://schemas.microsoft.com/office/drawing/2014/main" id="{46B1F8B8-982D-4832-9C12-239385C5CFB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825" name="AutoShape 12">
          <a:extLst>
            <a:ext uri="{FF2B5EF4-FFF2-40B4-BE49-F238E27FC236}">
              <a16:creationId xmlns:a16="http://schemas.microsoft.com/office/drawing/2014/main" id="{75483F0B-8248-4375-84DB-242972AF687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826" name="AutoShape 12">
          <a:extLst>
            <a:ext uri="{FF2B5EF4-FFF2-40B4-BE49-F238E27FC236}">
              <a16:creationId xmlns:a16="http://schemas.microsoft.com/office/drawing/2014/main" id="{706A7465-DFE8-4BF9-BCEE-E3CCEC7BB66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827" name="AutoShape 12">
          <a:extLst>
            <a:ext uri="{FF2B5EF4-FFF2-40B4-BE49-F238E27FC236}">
              <a16:creationId xmlns:a16="http://schemas.microsoft.com/office/drawing/2014/main" id="{FA5AA624-84C5-41C2-B002-CB66CA58405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828" name="AutoShape 12">
          <a:extLst>
            <a:ext uri="{FF2B5EF4-FFF2-40B4-BE49-F238E27FC236}">
              <a16:creationId xmlns:a16="http://schemas.microsoft.com/office/drawing/2014/main" id="{125E107B-7C3D-4BEC-98BD-2A9CCD26F7D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829" name="AutoShape 12">
          <a:extLst>
            <a:ext uri="{FF2B5EF4-FFF2-40B4-BE49-F238E27FC236}">
              <a16:creationId xmlns:a16="http://schemas.microsoft.com/office/drawing/2014/main" id="{F925DB31-A44B-42B6-847F-5A95EA6A4FD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830" name="AutoShape 12">
          <a:extLst>
            <a:ext uri="{FF2B5EF4-FFF2-40B4-BE49-F238E27FC236}">
              <a16:creationId xmlns:a16="http://schemas.microsoft.com/office/drawing/2014/main" id="{615C7033-3EE3-4D47-94F6-3316BCE5993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831" name="AutoShape 12">
          <a:extLst>
            <a:ext uri="{FF2B5EF4-FFF2-40B4-BE49-F238E27FC236}">
              <a16:creationId xmlns:a16="http://schemas.microsoft.com/office/drawing/2014/main" id="{D626C0CA-577C-4BFD-9E65-4F725097C09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832" name="AutoShape 12">
          <a:extLst>
            <a:ext uri="{FF2B5EF4-FFF2-40B4-BE49-F238E27FC236}">
              <a16:creationId xmlns:a16="http://schemas.microsoft.com/office/drawing/2014/main" id="{48926C5C-A7DD-4AAE-9C3C-C12085FB13D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833" name="AutoShape 12">
          <a:extLst>
            <a:ext uri="{FF2B5EF4-FFF2-40B4-BE49-F238E27FC236}">
              <a16:creationId xmlns:a16="http://schemas.microsoft.com/office/drawing/2014/main" id="{01AE7CDE-216B-4F0C-8DCD-FF0829F4836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834" name="AutoShape 12">
          <a:extLst>
            <a:ext uri="{FF2B5EF4-FFF2-40B4-BE49-F238E27FC236}">
              <a16:creationId xmlns:a16="http://schemas.microsoft.com/office/drawing/2014/main" id="{A459E780-85BE-4148-8EE2-CE2C7DBD1D4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835" name="AutoShape 12">
          <a:extLst>
            <a:ext uri="{FF2B5EF4-FFF2-40B4-BE49-F238E27FC236}">
              <a16:creationId xmlns:a16="http://schemas.microsoft.com/office/drawing/2014/main" id="{4702B02E-6D35-43B6-85A3-4A25A6515FF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836" name="AutoShape 12">
          <a:extLst>
            <a:ext uri="{FF2B5EF4-FFF2-40B4-BE49-F238E27FC236}">
              <a16:creationId xmlns:a16="http://schemas.microsoft.com/office/drawing/2014/main" id="{600F215E-306B-46CA-A43A-B0CD676FEC5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837" name="AutoShape 12">
          <a:extLst>
            <a:ext uri="{FF2B5EF4-FFF2-40B4-BE49-F238E27FC236}">
              <a16:creationId xmlns:a16="http://schemas.microsoft.com/office/drawing/2014/main" id="{8699504B-8E17-414C-A12F-D6502FB4876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838" name="AutoShape 12">
          <a:extLst>
            <a:ext uri="{FF2B5EF4-FFF2-40B4-BE49-F238E27FC236}">
              <a16:creationId xmlns:a16="http://schemas.microsoft.com/office/drawing/2014/main" id="{E51CE9A2-BB96-4E61-BFAC-FD94A3BA38D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839" name="AutoShape 12">
          <a:extLst>
            <a:ext uri="{FF2B5EF4-FFF2-40B4-BE49-F238E27FC236}">
              <a16:creationId xmlns:a16="http://schemas.microsoft.com/office/drawing/2014/main" id="{23BBDE43-2AF9-46F3-A918-E769880F9FB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304800" cy="304094"/>
    <xdr:sp macro="" textlink="">
      <xdr:nvSpPr>
        <xdr:cNvPr id="4840" name="AutoShape 12">
          <a:extLst>
            <a:ext uri="{FF2B5EF4-FFF2-40B4-BE49-F238E27FC236}">
              <a16:creationId xmlns:a16="http://schemas.microsoft.com/office/drawing/2014/main" id="{2478F1BC-A315-4E52-B741-2AFABC899DC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4841" name="AutoShape 12">
          <a:extLst>
            <a:ext uri="{FF2B5EF4-FFF2-40B4-BE49-F238E27FC236}">
              <a16:creationId xmlns:a16="http://schemas.microsoft.com/office/drawing/2014/main" id="{05AC1B69-B25F-4AD5-83E0-884BC540535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4842" name="AutoShape 12">
          <a:extLst>
            <a:ext uri="{FF2B5EF4-FFF2-40B4-BE49-F238E27FC236}">
              <a16:creationId xmlns:a16="http://schemas.microsoft.com/office/drawing/2014/main" id="{63708941-61FF-4544-9176-E8683185A05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4843" name="AutoShape 12">
          <a:extLst>
            <a:ext uri="{FF2B5EF4-FFF2-40B4-BE49-F238E27FC236}">
              <a16:creationId xmlns:a16="http://schemas.microsoft.com/office/drawing/2014/main" id="{D92C848C-A804-417C-835A-7F259F3F2C6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4844" name="AutoShape 12">
          <a:extLst>
            <a:ext uri="{FF2B5EF4-FFF2-40B4-BE49-F238E27FC236}">
              <a16:creationId xmlns:a16="http://schemas.microsoft.com/office/drawing/2014/main" id="{264D024E-96C0-4467-884D-E3C20E67B85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4845" name="AutoShape 12">
          <a:extLst>
            <a:ext uri="{FF2B5EF4-FFF2-40B4-BE49-F238E27FC236}">
              <a16:creationId xmlns:a16="http://schemas.microsoft.com/office/drawing/2014/main" id="{300FD158-45DE-4E5D-A9EF-5115E1EF0F4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4846" name="AutoShape 12">
          <a:extLst>
            <a:ext uri="{FF2B5EF4-FFF2-40B4-BE49-F238E27FC236}">
              <a16:creationId xmlns:a16="http://schemas.microsoft.com/office/drawing/2014/main" id="{17BC3CDC-0EEB-4E1B-82D2-0F502A24B8F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4847" name="AutoShape 12">
          <a:extLst>
            <a:ext uri="{FF2B5EF4-FFF2-40B4-BE49-F238E27FC236}">
              <a16:creationId xmlns:a16="http://schemas.microsoft.com/office/drawing/2014/main" id="{19FE52EE-706D-4EFA-AA82-34F4512733A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4848" name="AutoShape 12">
          <a:extLst>
            <a:ext uri="{FF2B5EF4-FFF2-40B4-BE49-F238E27FC236}">
              <a16:creationId xmlns:a16="http://schemas.microsoft.com/office/drawing/2014/main" id="{9F64060B-21C2-4565-B8E9-0DF995BF2E6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4849" name="AutoShape 12">
          <a:extLst>
            <a:ext uri="{FF2B5EF4-FFF2-40B4-BE49-F238E27FC236}">
              <a16:creationId xmlns:a16="http://schemas.microsoft.com/office/drawing/2014/main" id="{35C6D965-354B-4682-AEA8-A11D4A0E975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4850" name="AutoShape 12">
          <a:extLst>
            <a:ext uri="{FF2B5EF4-FFF2-40B4-BE49-F238E27FC236}">
              <a16:creationId xmlns:a16="http://schemas.microsoft.com/office/drawing/2014/main" id="{5D3F5E1D-D298-41FE-938D-E78537CE547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4851" name="AutoShape 12">
          <a:extLst>
            <a:ext uri="{FF2B5EF4-FFF2-40B4-BE49-F238E27FC236}">
              <a16:creationId xmlns:a16="http://schemas.microsoft.com/office/drawing/2014/main" id="{E5005920-162C-4397-8297-FAE6FDE3086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4852" name="AutoShape 12">
          <a:extLst>
            <a:ext uri="{FF2B5EF4-FFF2-40B4-BE49-F238E27FC236}">
              <a16:creationId xmlns:a16="http://schemas.microsoft.com/office/drawing/2014/main" id="{E245E2BE-E01F-455A-A7D2-A23B3389344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4853" name="AutoShape 12">
          <a:extLst>
            <a:ext uri="{FF2B5EF4-FFF2-40B4-BE49-F238E27FC236}">
              <a16:creationId xmlns:a16="http://schemas.microsoft.com/office/drawing/2014/main" id="{25967EBC-F998-4C1F-AA42-9163F260503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4854" name="AutoShape 12">
          <a:extLst>
            <a:ext uri="{FF2B5EF4-FFF2-40B4-BE49-F238E27FC236}">
              <a16:creationId xmlns:a16="http://schemas.microsoft.com/office/drawing/2014/main" id="{5142BF38-0C36-420F-84E6-58A1A1D6727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4855" name="AutoShape 12">
          <a:extLst>
            <a:ext uri="{FF2B5EF4-FFF2-40B4-BE49-F238E27FC236}">
              <a16:creationId xmlns:a16="http://schemas.microsoft.com/office/drawing/2014/main" id="{537D7C8A-51A8-4FD0-985F-235A526A8E3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4856" name="AutoShape 12">
          <a:extLst>
            <a:ext uri="{FF2B5EF4-FFF2-40B4-BE49-F238E27FC236}">
              <a16:creationId xmlns:a16="http://schemas.microsoft.com/office/drawing/2014/main" id="{979D9686-58F1-463D-87D5-39134BF760A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4857" name="AutoShape 12">
          <a:extLst>
            <a:ext uri="{FF2B5EF4-FFF2-40B4-BE49-F238E27FC236}">
              <a16:creationId xmlns:a16="http://schemas.microsoft.com/office/drawing/2014/main" id="{53681734-2CE5-42F1-BEFA-AB13F68E513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4858" name="AutoShape 12">
          <a:extLst>
            <a:ext uri="{FF2B5EF4-FFF2-40B4-BE49-F238E27FC236}">
              <a16:creationId xmlns:a16="http://schemas.microsoft.com/office/drawing/2014/main" id="{AC3674D1-9EE3-4ACE-8A57-7AE4AFEE8EB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4859" name="AutoShape 12">
          <a:extLst>
            <a:ext uri="{FF2B5EF4-FFF2-40B4-BE49-F238E27FC236}">
              <a16:creationId xmlns:a16="http://schemas.microsoft.com/office/drawing/2014/main" id="{9E15ACF5-130F-4439-A69F-005AC6064B1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4860" name="AutoShape 12">
          <a:extLst>
            <a:ext uri="{FF2B5EF4-FFF2-40B4-BE49-F238E27FC236}">
              <a16:creationId xmlns:a16="http://schemas.microsoft.com/office/drawing/2014/main" id="{C92619CF-28EF-4127-8130-3F06171E062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4861" name="AutoShape 12">
          <a:extLst>
            <a:ext uri="{FF2B5EF4-FFF2-40B4-BE49-F238E27FC236}">
              <a16:creationId xmlns:a16="http://schemas.microsoft.com/office/drawing/2014/main" id="{DA298C2B-AB65-4D1D-9F3A-6BFEA0EE6A5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4862" name="AutoShape 12">
          <a:extLst>
            <a:ext uri="{FF2B5EF4-FFF2-40B4-BE49-F238E27FC236}">
              <a16:creationId xmlns:a16="http://schemas.microsoft.com/office/drawing/2014/main" id="{9DF1F886-CC16-470A-8EDD-C31D8BE693B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4863" name="AutoShape 12">
          <a:extLst>
            <a:ext uri="{FF2B5EF4-FFF2-40B4-BE49-F238E27FC236}">
              <a16:creationId xmlns:a16="http://schemas.microsoft.com/office/drawing/2014/main" id="{3A12A89F-D326-4E41-8D33-65BB0EEADCF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4864" name="AutoShape 12">
          <a:extLst>
            <a:ext uri="{FF2B5EF4-FFF2-40B4-BE49-F238E27FC236}">
              <a16:creationId xmlns:a16="http://schemas.microsoft.com/office/drawing/2014/main" id="{41CB502A-AC26-4AE1-B896-EB8B9710B9D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4865" name="AutoShape 12">
          <a:extLst>
            <a:ext uri="{FF2B5EF4-FFF2-40B4-BE49-F238E27FC236}">
              <a16:creationId xmlns:a16="http://schemas.microsoft.com/office/drawing/2014/main" id="{628124F0-EF88-4899-9C40-45A166B2840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4866" name="AutoShape 12">
          <a:extLst>
            <a:ext uri="{FF2B5EF4-FFF2-40B4-BE49-F238E27FC236}">
              <a16:creationId xmlns:a16="http://schemas.microsoft.com/office/drawing/2014/main" id="{E895FE23-B5B0-42C0-B667-34FB8A97C83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4867" name="AutoShape 12">
          <a:extLst>
            <a:ext uri="{FF2B5EF4-FFF2-40B4-BE49-F238E27FC236}">
              <a16:creationId xmlns:a16="http://schemas.microsoft.com/office/drawing/2014/main" id="{A406CB8E-4D13-458F-A462-92B110BA693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4868" name="AutoShape 12">
          <a:extLst>
            <a:ext uri="{FF2B5EF4-FFF2-40B4-BE49-F238E27FC236}">
              <a16:creationId xmlns:a16="http://schemas.microsoft.com/office/drawing/2014/main" id="{AB82FA88-906C-436F-A76F-E2BE4D5FBD8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4869" name="AutoShape 12">
          <a:extLst>
            <a:ext uri="{FF2B5EF4-FFF2-40B4-BE49-F238E27FC236}">
              <a16:creationId xmlns:a16="http://schemas.microsoft.com/office/drawing/2014/main" id="{379B3BC9-E914-403B-A783-60D66B84645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4870" name="AutoShape 12">
          <a:extLst>
            <a:ext uri="{FF2B5EF4-FFF2-40B4-BE49-F238E27FC236}">
              <a16:creationId xmlns:a16="http://schemas.microsoft.com/office/drawing/2014/main" id="{14438700-5B30-4871-940C-B875C89CDD2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4871" name="AutoShape 12">
          <a:extLst>
            <a:ext uri="{FF2B5EF4-FFF2-40B4-BE49-F238E27FC236}">
              <a16:creationId xmlns:a16="http://schemas.microsoft.com/office/drawing/2014/main" id="{D222FFCD-E079-4DDD-81F9-6CB23F21F2A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4872" name="AutoShape 12">
          <a:extLst>
            <a:ext uri="{FF2B5EF4-FFF2-40B4-BE49-F238E27FC236}">
              <a16:creationId xmlns:a16="http://schemas.microsoft.com/office/drawing/2014/main" id="{15085402-6E67-4B49-AE63-3EA8591C5D9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4873" name="AutoShape 12">
          <a:extLst>
            <a:ext uri="{FF2B5EF4-FFF2-40B4-BE49-F238E27FC236}">
              <a16:creationId xmlns:a16="http://schemas.microsoft.com/office/drawing/2014/main" id="{B1A6058D-4840-456F-9BB4-17A9A6C62A0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4874" name="AutoShape 12">
          <a:extLst>
            <a:ext uri="{FF2B5EF4-FFF2-40B4-BE49-F238E27FC236}">
              <a16:creationId xmlns:a16="http://schemas.microsoft.com/office/drawing/2014/main" id="{C631D608-0A2B-496F-BD7E-98E748D8986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4875" name="AutoShape 12">
          <a:extLst>
            <a:ext uri="{FF2B5EF4-FFF2-40B4-BE49-F238E27FC236}">
              <a16:creationId xmlns:a16="http://schemas.microsoft.com/office/drawing/2014/main" id="{204DB93D-EAFA-446F-AA69-E48BFFE92B2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4876" name="AutoShape 12">
          <a:extLst>
            <a:ext uri="{FF2B5EF4-FFF2-40B4-BE49-F238E27FC236}">
              <a16:creationId xmlns:a16="http://schemas.microsoft.com/office/drawing/2014/main" id="{519F76F9-160C-474C-83D6-5F51D4CBEEE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4877" name="AutoShape 12">
          <a:extLst>
            <a:ext uri="{FF2B5EF4-FFF2-40B4-BE49-F238E27FC236}">
              <a16:creationId xmlns:a16="http://schemas.microsoft.com/office/drawing/2014/main" id="{1F197A44-9451-4CE7-9478-942508A2D35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4878" name="AutoShape 12">
          <a:extLst>
            <a:ext uri="{FF2B5EF4-FFF2-40B4-BE49-F238E27FC236}">
              <a16:creationId xmlns:a16="http://schemas.microsoft.com/office/drawing/2014/main" id="{D088E868-9B7D-4819-9709-565CF6FFF2A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4879" name="AutoShape 12">
          <a:extLst>
            <a:ext uri="{FF2B5EF4-FFF2-40B4-BE49-F238E27FC236}">
              <a16:creationId xmlns:a16="http://schemas.microsoft.com/office/drawing/2014/main" id="{D3764B0D-DB51-463D-8446-8BD326DB17B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4880" name="AutoShape 12">
          <a:extLst>
            <a:ext uri="{FF2B5EF4-FFF2-40B4-BE49-F238E27FC236}">
              <a16:creationId xmlns:a16="http://schemas.microsoft.com/office/drawing/2014/main" id="{5431B032-F5DE-47AC-AD84-E7BAB0069C9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4881" name="AutoShape 12">
          <a:extLst>
            <a:ext uri="{FF2B5EF4-FFF2-40B4-BE49-F238E27FC236}">
              <a16:creationId xmlns:a16="http://schemas.microsoft.com/office/drawing/2014/main" id="{A431A3D6-C809-457F-90C6-9F3BC62DF1B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4882" name="AutoShape 12">
          <a:extLst>
            <a:ext uri="{FF2B5EF4-FFF2-40B4-BE49-F238E27FC236}">
              <a16:creationId xmlns:a16="http://schemas.microsoft.com/office/drawing/2014/main" id="{74FBF1FE-A2B5-4CE8-9A21-331A8676CDB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4883" name="AutoShape 12">
          <a:extLst>
            <a:ext uri="{FF2B5EF4-FFF2-40B4-BE49-F238E27FC236}">
              <a16:creationId xmlns:a16="http://schemas.microsoft.com/office/drawing/2014/main" id="{1923637B-7078-4D43-8792-BD314D3C0F9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4884" name="AutoShape 12">
          <a:extLst>
            <a:ext uri="{FF2B5EF4-FFF2-40B4-BE49-F238E27FC236}">
              <a16:creationId xmlns:a16="http://schemas.microsoft.com/office/drawing/2014/main" id="{5FB2656C-A18D-45E4-BF6A-D338CAEA198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4885" name="AutoShape 12">
          <a:extLst>
            <a:ext uri="{FF2B5EF4-FFF2-40B4-BE49-F238E27FC236}">
              <a16:creationId xmlns:a16="http://schemas.microsoft.com/office/drawing/2014/main" id="{72896770-3351-447A-8194-462153261EB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4886" name="AutoShape 12">
          <a:extLst>
            <a:ext uri="{FF2B5EF4-FFF2-40B4-BE49-F238E27FC236}">
              <a16:creationId xmlns:a16="http://schemas.microsoft.com/office/drawing/2014/main" id="{619119A7-072B-4340-9424-B443697FA01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4887" name="AutoShape 12">
          <a:extLst>
            <a:ext uri="{FF2B5EF4-FFF2-40B4-BE49-F238E27FC236}">
              <a16:creationId xmlns:a16="http://schemas.microsoft.com/office/drawing/2014/main" id="{05820223-97EE-485D-A161-CB44855EBEE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4888" name="AutoShape 12">
          <a:extLst>
            <a:ext uri="{FF2B5EF4-FFF2-40B4-BE49-F238E27FC236}">
              <a16:creationId xmlns:a16="http://schemas.microsoft.com/office/drawing/2014/main" id="{98A64960-7BF8-4756-AD97-EAB41CB8C7D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4889" name="AutoShape 12">
          <a:extLst>
            <a:ext uri="{FF2B5EF4-FFF2-40B4-BE49-F238E27FC236}">
              <a16:creationId xmlns:a16="http://schemas.microsoft.com/office/drawing/2014/main" id="{5C618372-72E3-465F-98A3-7EF2095C0F1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4890" name="AutoShape 12">
          <a:extLst>
            <a:ext uri="{FF2B5EF4-FFF2-40B4-BE49-F238E27FC236}">
              <a16:creationId xmlns:a16="http://schemas.microsoft.com/office/drawing/2014/main" id="{13754DAE-C21F-4A00-9D9F-02D3F5C4B4A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4891" name="AutoShape 12">
          <a:extLst>
            <a:ext uri="{FF2B5EF4-FFF2-40B4-BE49-F238E27FC236}">
              <a16:creationId xmlns:a16="http://schemas.microsoft.com/office/drawing/2014/main" id="{B7399F58-20B6-422A-B437-39BD83C8503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4892" name="AutoShape 12">
          <a:extLst>
            <a:ext uri="{FF2B5EF4-FFF2-40B4-BE49-F238E27FC236}">
              <a16:creationId xmlns:a16="http://schemas.microsoft.com/office/drawing/2014/main" id="{E66F55DF-BA74-468C-B3E5-832DC53175A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4893" name="AutoShape 12">
          <a:extLst>
            <a:ext uri="{FF2B5EF4-FFF2-40B4-BE49-F238E27FC236}">
              <a16:creationId xmlns:a16="http://schemas.microsoft.com/office/drawing/2014/main" id="{68DFD88C-640C-44CD-BA9B-4106BDEC7C0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4894" name="AutoShape 12">
          <a:extLst>
            <a:ext uri="{FF2B5EF4-FFF2-40B4-BE49-F238E27FC236}">
              <a16:creationId xmlns:a16="http://schemas.microsoft.com/office/drawing/2014/main" id="{FAFD436E-9240-446A-BB7A-A58E23DB2E2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4895" name="AutoShape 12">
          <a:extLst>
            <a:ext uri="{FF2B5EF4-FFF2-40B4-BE49-F238E27FC236}">
              <a16:creationId xmlns:a16="http://schemas.microsoft.com/office/drawing/2014/main" id="{21A2EA2C-A48C-4B7C-BACC-443E6D8C6DD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4896" name="AutoShape 12">
          <a:extLst>
            <a:ext uri="{FF2B5EF4-FFF2-40B4-BE49-F238E27FC236}">
              <a16:creationId xmlns:a16="http://schemas.microsoft.com/office/drawing/2014/main" id="{4B06C0C6-9B99-4347-B56F-5702A6919D8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4897" name="AutoShape 12">
          <a:extLst>
            <a:ext uri="{FF2B5EF4-FFF2-40B4-BE49-F238E27FC236}">
              <a16:creationId xmlns:a16="http://schemas.microsoft.com/office/drawing/2014/main" id="{7E576576-4FC4-426B-8108-576CDF54EB6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4898" name="AutoShape 12">
          <a:extLst>
            <a:ext uri="{FF2B5EF4-FFF2-40B4-BE49-F238E27FC236}">
              <a16:creationId xmlns:a16="http://schemas.microsoft.com/office/drawing/2014/main" id="{52B1C21B-D7FA-4506-91AB-2D902C26882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4899" name="AutoShape 12">
          <a:extLst>
            <a:ext uri="{FF2B5EF4-FFF2-40B4-BE49-F238E27FC236}">
              <a16:creationId xmlns:a16="http://schemas.microsoft.com/office/drawing/2014/main" id="{95337209-CC93-431F-B8CA-30135563843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4900" name="AutoShape 12">
          <a:extLst>
            <a:ext uri="{FF2B5EF4-FFF2-40B4-BE49-F238E27FC236}">
              <a16:creationId xmlns:a16="http://schemas.microsoft.com/office/drawing/2014/main" id="{0E31E2AF-91F7-4EF8-8D79-DF0B794B32D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4901" name="AutoShape 12">
          <a:extLst>
            <a:ext uri="{FF2B5EF4-FFF2-40B4-BE49-F238E27FC236}">
              <a16:creationId xmlns:a16="http://schemas.microsoft.com/office/drawing/2014/main" id="{8E437664-FC79-473B-A3A6-3CA0C838467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4902" name="AutoShape 12">
          <a:extLst>
            <a:ext uri="{FF2B5EF4-FFF2-40B4-BE49-F238E27FC236}">
              <a16:creationId xmlns:a16="http://schemas.microsoft.com/office/drawing/2014/main" id="{58420A7C-CD89-4227-A328-F46941FDD4F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4903" name="AutoShape 12">
          <a:extLst>
            <a:ext uri="{FF2B5EF4-FFF2-40B4-BE49-F238E27FC236}">
              <a16:creationId xmlns:a16="http://schemas.microsoft.com/office/drawing/2014/main" id="{24169B42-9E0B-4828-AD2D-5BC1B4E2158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4904" name="AutoShape 12">
          <a:extLst>
            <a:ext uri="{FF2B5EF4-FFF2-40B4-BE49-F238E27FC236}">
              <a16:creationId xmlns:a16="http://schemas.microsoft.com/office/drawing/2014/main" id="{BACC6F74-2A6C-4750-934F-54B3F387F63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4905" name="AutoShape 12">
          <a:extLst>
            <a:ext uri="{FF2B5EF4-FFF2-40B4-BE49-F238E27FC236}">
              <a16:creationId xmlns:a16="http://schemas.microsoft.com/office/drawing/2014/main" id="{4FF0E065-E28C-4C53-8CCE-D23CB9F0D16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4906" name="AutoShape 12">
          <a:extLst>
            <a:ext uri="{FF2B5EF4-FFF2-40B4-BE49-F238E27FC236}">
              <a16:creationId xmlns:a16="http://schemas.microsoft.com/office/drawing/2014/main" id="{4B7066E4-78F8-4729-854C-CA934E27877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4907" name="AutoShape 12">
          <a:extLst>
            <a:ext uri="{FF2B5EF4-FFF2-40B4-BE49-F238E27FC236}">
              <a16:creationId xmlns:a16="http://schemas.microsoft.com/office/drawing/2014/main" id="{7B8793A7-E4E9-4DC0-A956-D02D35F513A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4908" name="AutoShape 12">
          <a:extLst>
            <a:ext uri="{FF2B5EF4-FFF2-40B4-BE49-F238E27FC236}">
              <a16:creationId xmlns:a16="http://schemas.microsoft.com/office/drawing/2014/main" id="{6590A221-D796-433D-B601-F4D463210EB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4909" name="AutoShape 12">
          <a:extLst>
            <a:ext uri="{FF2B5EF4-FFF2-40B4-BE49-F238E27FC236}">
              <a16:creationId xmlns:a16="http://schemas.microsoft.com/office/drawing/2014/main" id="{83C6BA1E-DFFE-42DD-A69B-0D840A1E9BE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4910" name="AutoShape 12">
          <a:extLst>
            <a:ext uri="{FF2B5EF4-FFF2-40B4-BE49-F238E27FC236}">
              <a16:creationId xmlns:a16="http://schemas.microsoft.com/office/drawing/2014/main" id="{F1CF5109-37C5-4C5C-A65F-49FF7A5DE85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4911" name="AutoShape 12">
          <a:extLst>
            <a:ext uri="{FF2B5EF4-FFF2-40B4-BE49-F238E27FC236}">
              <a16:creationId xmlns:a16="http://schemas.microsoft.com/office/drawing/2014/main" id="{1B301819-154B-4327-8AB2-C26E62E8C70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4912" name="AutoShape 12">
          <a:extLst>
            <a:ext uri="{FF2B5EF4-FFF2-40B4-BE49-F238E27FC236}">
              <a16:creationId xmlns:a16="http://schemas.microsoft.com/office/drawing/2014/main" id="{FE8DB36F-3520-4F55-828C-8AA481CE5F5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4913" name="AutoShape 12">
          <a:extLst>
            <a:ext uri="{FF2B5EF4-FFF2-40B4-BE49-F238E27FC236}">
              <a16:creationId xmlns:a16="http://schemas.microsoft.com/office/drawing/2014/main" id="{0DDFA305-6836-43F8-8E1F-9ABFE02A1A6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4914" name="AutoShape 12">
          <a:extLst>
            <a:ext uri="{FF2B5EF4-FFF2-40B4-BE49-F238E27FC236}">
              <a16:creationId xmlns:a16="http://schemas.microsoft.com/office/drawing/2014/main" id="{F28A0E2A-F5F4-4EC1-931F-E400B45FC7E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4915" name="AutoShape 12">
          <a:extLst>
            <a:ext uri="{FF2B5EF4-FFF2-40B4-BE49-F238E27FC236}">
              <a16:creationId xmlns:a16="http://schemas.microsoft.com/office/drawing/2014/main" id="{51C4AE8B-68EE-4E30-8BD2-99114B5C5E8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4916" name="AutoShape 12">
          <a:extLst>
            <a:ext uri="{FF2B5EF4-FFF2-40B4-BE49-F238E27FC236}">
              <a16:creationId xmlns:a16="http://schemas.microsoft.com/office/drawing/2014/main" id="{AE57190D-1B11-4F64-B060-468501C836B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4917" name="AutoShape 12">
          <a:extLst>
            <a:ext uri="{FF2B5EF4-FFF2-40B4-BE49-F238E27FC236}">
              <a16:creationId xmlns:a16="http://schemas.microsoft.com/office/drawing/2014/main" id="{252B1AE0-CDA5-49A0-815D-F9F9DF23657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4918" name="AutoShape 12">
          <a:extLst>
            <a:ext uri="{FF2B5EF4-FFF2-40B4-BE49-F238E27FC236}">
              <a16:creationId xmlns:a16="http://schemas.microsoft.com/office/drawing/2014/main" id="{027A4F31-3BF6-41EA-BCA7-E81B2179788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4919" name="AutoShape 12">
          <a:extLst>
            <a:ext uri="{FF2B5EF4-FFF2-40B4-BE49-F238E27FC236}">
              <a16:creationId xmlns:a16="http://schemas.microsoft.com/office/drawing/2014/main" id="{2BEFF6A5-81EF-4B8B-B452-9E00E1F17D5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4920" name="AutoShape 12">
          <a:extLst>
            <a:ext uri="{FF2B5EF4-FFF2-40B4-BE49-F238E27FC236}">
              <a16:creationId xmlns:a16="http://schemas.microsoft.com/office/drawing/2014/main" id="{D00C391C-76E5-4DB1-9EE4-2795724327C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4921" name="AutoShape 12">
          <a:extLst>
            <a:ext uri="{FF2B5EF4-FFF2-40B4-BE49-F238E27FC236}">
              <a16:creationId xmlns:a16="http://schemas.microsoft.com/office/drawing/2014/main" id="{381014E6-A615-4EDA-A89B-322B8AFE79A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4922" name="AutoShape 12">
          <a:extLst>
            <a:ext uri="{FF2B5EF4-FFF2-40B4-BE49-F238E27FC236}">
              <a16:creationId xmlns:a16="http://schemas.microsoft.com/office/drawing/2014/main" id="{05014BE3-23F3-4706-97E1-B7A913C8582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4923" name="AutoShape 12">
          <a:extLst>
            <a:ext uri="{FF2B5EF4-FFF2-40B4-BE49-F238E27FC236}">
              <a16:creationId xmlns:a16="http://schemas.microsoft.com/office/drawing/2014/main" id="{0B749586-2AC7-4D7E-8BAA-97319781881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4924" name="AutoShape 12">
          <a:extLst>
            <a:ext uri="{FF2B5EF4-FFF2-40B4-BE49-F238E27FC236}">
              <a16:creationId xmlns:a16="http://schemas.microsoft.com/office/drawing/2014/main" id="{2B466DD5-CC51-4682-98CB-0C5527C51C9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4925" name="AutoShape 12">
          <a:extLst>
            <a:ext uri="{FF2B5EF4-FFF2-40B4-BE49-F238E27FC236}">
              <a16:creationId xmlns:a16="http://schemas.microsoft.com/office/drawing/2014/main" id="{3F84E7F9-098C-4A2D-B376-CB4837555D9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4926" name="AutoShape 12">
          <a:extLst>
            <a:ext uri="{FF2B5EF4-FFF2-40B4-BE49-F238E27FC236}">
              <a16:creationId xmlns:a16="http://schemas.microsoft.com/office/drawing/2014/main" id="{57063B97-CABC-47E6-AF25-1DB9689E252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4927" name="AutoShape 12">
          <a:extLst>
            <a:ext uri="{FF2B5EF4-FFF2-40B4-BE49-F238E27FC236}">
              <a16:creationId xmlns:a16="http://schemas.microsoft.com/office/drawing/2014/main" id="{E9673FEE-D16E-46C2-927E-EB4DE1825EB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4928" name="AutoShape 12">
          <a:extLst>
            <a:ext uri="{FF2B5EF4-FFF2-40B4-BE49-F238E27FC236}">
              <a16:creationId xmlns:a16="http://schemas.microsoft.com/office/drawing/2014/main" id="{84268946-EE25-4047-BB79-E7BE392D9B8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4929" name="AutoShape 12">
          <a:extLst>
            <a:ext uri="{FF2B5EF4-FFF2-40B4-BE49-F238E27FC236}">
              <a16:creationId xmlns:a16="http://schemas.microsoft.com/office/drawing/2014/main" id="{37CB330F-C8FC-4F1C-9441-0349B5D734D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4930" name="AutoShape 12">
          <a:extLst>
            <a:ext uri="{FF2B5EF4-FFF2-40B4-BE49-F238E27FC236}">
              <a16:creationId xmlns:a16="http://schemas.microsoft.com/office/drawing/2014/main" id="{2014E08B-1450-4DA5-9F1F-E1113EB3450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4931" name="AutoShape 12">
          <a:extLst>
            <a:ext uri="{FF2B5EF4-FFF2-40B4-BE49-F238E27FC236}">
              <a16:creationId xmlns:a16="http://schemas.microsoft.com/office/drawing/2014/main" id="{98E40E55-7501-46D6-921B-2DE86BE6418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4932" name="AutoShape 12">
          <a:extLst>
            <a:ext uri="{FF2B5EF4-FFF2-40B4-BE49-F238E27FC236}">
              <a16:creationId xmlns:a16="http://schemas.microsoft.com/office/drawing/2014/main" id="{85101FEC-FDB3-45DC-8D9B-3ED73B8CF15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4933" name="AutoShape 12">
          <a:extLst>
            <a:ext uri="{FF2B5EF4-FFF2-40B4-BE49-F238E27FC236}">
              <a16:creationId xmlns:a16="http://schemas.microsoft.com/office/drawing/2014/main" id="{365BB7E7-97CE-4E9D-96D1-207C722D671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4934" name="AutoShape 12">
          <a:extLst>
            <a:ext uri="{FF2B5EF4-FFF2-40B4-BE49-F238E27FC236}">
              <a16:creationId xmlns:a16="http://schemas.microsoft.com/office/drawing/2014/main" id="{41B27B02-64E2-475B-A801-EF11CF8C57F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4935" name="AutoShape 12">
          <a:extLst>
            <a:ext uri="{FF2B5EF4-FFF2-40B4-BE49-F238E27FC236}">
              <a16:creationId xmlns:a16="http://schemas.microsoft.com/office/drawing/2014/main" id="{4A49FB20-4096-4983-8EB3-C4CC91D90BF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4936" name="AutoShape 12">
          <a:extLst>
            <a:ext uri="{FF2B5EF4-FFF2-40B4-BE49-F238E27FC236}">
              <a16:creationId xmlns:a16="http://schemas.microsoft.com/office/drawing/2014/main" id="{D89E89FE-C8A8-4973-8F58-120276D5CF2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4937" name="AutoShape 12">
          <a:extLst>
            <a:ext uri="{FF2B5EF4-FFF2-40B4-BE49-F238E27FC236}">
              <a16:creationId xmlns:a16="http://schemas.microsoft.com/office/drawing/2014/main" id="{8D9FF77D-E551-4426-9EB4-81BEF8948E0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4938" name="AutoShape 12">
          <a:extLst>
            <a:ext uri="{FF2B5EF4-FFF2-40B4-BE49-F238E27FC236}">
              <a16:creationId xmlns:a16="http://schemas.microsoft.com/office/drawing/2014/main" id="{5AECEFB7-8805-46AB-BB15-EF1ADA56C73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4939" name="AutoShape 12">
          <a:extLst>
            <a:ext uri="{FF2B5EF4-FFF2-40B4-BE49-F238E27FC236}">
              <a16:creationId xmlns:a16="http://schemas.microsoft.com/office/drawing/2014/main" id="{8006BAF6-6C9A-4596-9403-6E684CFA447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4940" name="AutoShape 12">
          <a:extLst>
            <a:ext uri="{FF2B5EF4-FFF2-40B4-BE49-F238E27FC236}">
              <a16:creationId xmlns:a16="http://schemas.microsoft.com/office/drawing/2014/main" id="{11B5E73B-BA77-49F8-A03B-458655CD640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4941" name="AutoShape 12">
          <a:extLst>
            <a:ext uri="{FF2B5EF4-FFF2-40B4-BE49-F238E27FC236}">
              <a16:creationId xmlns:a16="http://schemas.microsoft.com/office/drawing/2014/main" id="{5039363B-E853-4813-AAA3-5D6D47CB477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4942" name="AutoShape 12">
          <a:extLst>
            <a:ext uri="{FF2B5EF4-FFF2-40B4-BE49-F238E27FC236}">
              <a16:creationId xmlns:a16="http://schemas.microsoft.com/office/drawing/2014/main" id="{4DD55E2B-44B3-445F-9623-31C96CA3DF4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4943" name="AutoShape 12">
          <a:extLst>
            <a:ext uri="{FF2B5EF4-FFF2-40B4-BE49-F238E27FC236}">
              <a16:creationId xmlns:a16="http://schemas.microsoft.com/office/drawing/2014/main" id="{9CE4FC5C-42EB-4884-863A-B5C2EC3A132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4944" name="AutoShape 12">
          <a:extLst>
            <a:ext uri="{FF2B5EF4-FFF2-40B4-BE49-F238E27FC236}">
              <a16:creationId xmlns:a16="http://schemas.microsoft.com/office/drawing/2014/main" id="{6542B05A-5FF3-4E56-AA83-CD20C53CBE5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4945" name="AutoShape 12">
          <a:extLst>
            <a:ext uri="{FF2B5EF4-FFF2-40B4-BE49-F238E27FC236}">
              <a16:creationId xmlns:a16="http://schemas.microsoft.com/office/drawing/2014/main" id="{D4CCB0E8-46B4-4976-BED3-D591E97B7B3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4946" name="AutoShape 12">
          <a:extLst>
            <a:ext uri="{FF2B5EF4-FFF2-40B4-BE49-F238E27FC236}">
              <a16:creationId xmlns:a16="http://schemas.microsoft.com/office/drawing/2014/main" id="{C396DDC9-6AF5-4BCA-96A4-0E6E0E3C206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4947" name="AutoShape 12">
          <a:extLst>
            <a:ext uri="{FF2B5EF4-FFF2-40B4-BE49-F238E27FC236}">
              <a16:creationId xmlns:a16="http://schemas.microsoft.com/office/drawing/2014/main" id="{73DAC576-B812-493B-AFA9-EE38A797C45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4948" name="AutoShape 12">
          <a:extLst>
            <a:ext uri="{FF2B5EF4-FFF2-40B4-BE49-F238E27FC236}">
              <a16:creationId xmlns:a16="http://schemas.microsoft.com/office/drawing/2014/main" id="{F2124F88-444B-4EA1-93EC-D95FEE48F86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4949" name="AutoShape 12">
          <a:extLst>
            <a:ext uri="{FF2B5EF4-FFF2-40B4-BE49-F238E27FC236}">
              <a16:creationId xmlns:a16="http://schemas.microsoft.com/office/drawing/2014/main" id="{1EFEEA53-3A7D-41C3-B134-1FE8FDE94BD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4950" name="AutoShape 12">
          <a:extLst>
            <a:ext uri="{FF2B5EF4-FFF2-40B4-BE49-F238E27FC236}">
              <a16:creationId xmlns:a16="http://schemas.microsoft.com/office/drawing/2014/main" id="{7BBDE837-9AF3-4933-A5AF-B7456D399E8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4951" name="AutoShape 12">
          <a:extLst>
            <a:ext uri="{FF2B5EF4-FFF2-40B4-BE49-F238E27FC236}">
              <a16:creationId xmlns:a16="http://schemas.microsoft.com/office/drawing/2014/main" id="{23A7C9EF-DFC9-4FDC-A1AC-AFC6008727F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4952" name="AutoShape 12">
          <a:extLst>
            <a:ext uri="{FF2B5EF4-FFF2-40B4-BE49-F238E27FC236}">
              <a16:creationId xmlns:a16="http://schemas.microsoft.com/office/drawing/2014/main" id="{B1D66AB5-BCA8-44DF-BBED-2DB97DFEFC3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4953" name="AutoShape 12">
          <a:extLst>
            <a:ext uri="{FF2B5EF4-FFF2-40B4-BE49-F238E27FC236}">
              <a16:creationId xmlns:a16="http://schemas.microsoft.com/office/drawing/2014/main" id="{B53499B0-47F9-4BEF-B8DD-FBE3BA50F3E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4954" name="AutoShape 12">
          <a:extLst>
            <a:ext uri="{FF2B5EF4-FFF2-40B4-BE49-F238E27FC236}">
              <a16:creationId xmlns:a16="http://schemas.microsoft.com/office/drawing/2014/main" id="{6DE5ECA9-AB51-4D48-A5B0-962C7699D95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4955" name="AutoShape 12">
          <a:extLst>
            <a:ext uri="{FF2B5EF4-FFF2-40B4-BE49-F238E27FC236}">
              <a16:creationId xmlns:a16="http://schemas.microsoft.com/office/drawing/2014/main" id="{096278CE-C379-443F-ADE5-0685DFEB94C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4956" name="AutoShape 12">
          <a:extLst>
            <a:ext uri="{FF2B5EF4-FFF2-40B4-BE49-F238E27FC236}">
              <a16:creationId xmlns:a16="http://schemas.microsoft.com/office/drawing/2014/main" id="{FEE12E0D-5E9C-4836-AFCA-691B9F75205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4957" name="AutoShape 12">
          <a:extLst>
            <a:ext uri="{FF2B5EF4-FFF2-40B4-BE49-F238E27FC236}">
              <a16:creationId xmlns:a16="http://schemas.microsoft.com/office/drawing/2014/main" id="{68B50163-FAFD-4285-83B6-F6CC3F779AB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4958" name="AutoShape 12">
          <a:extLst>
            <a:ext uri="{FF2B5EF4-FFF2-40B4-BE49-F238E27FC236}">
              <a16:creationId xmlns:a16="http://schemas.microsoft.com/office/drawing/2014/main" id="{4D4D806F-6BC2-45ED-A246-8BE32792BEB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4959" name="AutoShape 12">
          <a:extLst>
            <a:ext uri="{FF2B5EF4-FFF2-40B4-BE49-F238E27FC236}">
              <a16:creationId xmlns:a16="http://schemas.microsoft.com/office/drawing/2014/main" id="{B45BFB1C-EEA7-4E2D-A4A4-25CDD02AAA3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4960" name="AutoShape 12">
          <a:extLst>
            <a:ext uri="{FF2B5EF4-FFF2-40B4-BE49-F238E27FC236}">
              <a16:creationId xmlns:a16="http://schemas.microsoft.com/office/drawing/2014/main" id="{30466CE5-DEEC-4441-B2B6-D8F8751970A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4961" name="AutoShape 12">
          <a:extLst>
            <a:ext uri="{FF2B5EF4-FFF2-40B4-BE49-F238E27FC236}">
              <a16:creationId xmlns:a16="http://schemas.microsoft.com/office/drawing/2014/main" id="{C1C6EDA0-F670-496A-AF36-AE2E44BC75C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4962" name="AutoShape 12">
          <a:extLst>
            <a:ext uri="{FF2B5EF4-FFF2-40B4-BE49-F238E27FC236}">
              <a16:creationId xmlns:a16="http://schemas.microsoft.com/office/drawing/2014/main" id="{EBB2B010-B784-4098-A59C-BE028D30D6D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4963" name="AutoShape 12">
          <a:extLst>
            <a:ext uri="{FF2B5EF4-FFF2-40B4-BE49-F238E27FC236}">
              <a16:creationId xmlns:a16="http://schemas.microsoft.com/office/drawing/2014/main" id="{570FEF04-0AF9-4D5D-AA87-DF9F6B3BEF4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4964" name="AutoShape 12">
          <a:extLst>
            <a:ext uri="{FF2B5EF4-FFF2-40B4-BE49-F238E27FC236}">
              <a16:creationId xmlns:a16="http://schemas.microsoft.com/office/drawing/2014/main" id="{148C1559-870A-40E3-8290-DDDE42EAEB5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4965" name="AutoShape 12">
          <a:extLst>
            <a:ext uri="{FF2B5EF4-FFF2-40B4-BE49-F238E27FC236}">
              <a16:creationId xmlns:a16="http://schemas.microsoft.com/office/drawing/2014/main" id="{DE6F9727-7B60-4E97-AD1F-D7D190E931E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4966" name="AutoShape 12">
          <a:extLst>
            <a:ext uri="{FF2B5EF4-FFF2-40B4-BE49-F238E27FC236}">
              <a16:creationId xmlns:a16="http://schemas.microsoft.com/office/drawing/2014/main" id="{1ADEE579-A698-4C5B-BB2B-A4A8C47D6C0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4967" name="AutoShape 12">
          <a:extLst>
            <a:ext uri="{FF2B5EF4-FFF2-40B4-BE49-F238E27FC236}">
              <a16:creationId xmlns:a16="http://schemas.microsoft.com/office/drawing/2014/main" id="{375FB89C-38D9-407C-A06A-F015038F755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4968" name="AutoShape 12">
          <a:extLst>
            <a:ext uri="{FF2B5EF4-FFF2-40B4-BE49-F238E27FC236}">
              <a16:creationId xmlns:a16="http://schemas.microsoft.com/office/drawing/2014/main" id="{DD4CBBC2-5A72-41FD-A555-AAA8EE38C9C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4969" name="AutoShape 12">
          <a:extLst>
            <a:ext uri="{FF2B5EF4-FFF2-40B4-BE49-F238E27FC236}">
              <a16:creationId xmlns:a16="http://schemas.microsoft.com/office/drawing/2014/main" id="{B37032AA-500A-424B-B8D7-1A1B6EEC883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4970" name="AutoShape 12">
          <a:extLst>
            <a:ext uri="{FF2B5EF4-FFF2-40B4-BE49-F238E27FC236}">
              <a16:creationId xmlns:a16="http://schemas.microsoft.com/office/drawing/2014/main" id="{C3A0FFCB-E5D0-42E1-9608-7FA52AC5D00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4971" name="AutoShape 12">
          <a:extLst>
            <a:ext uri="{FF2B5EF4-FFF2-40B4-BE49-F238E27FC236}">
              <a16:creationId xmlns:a16="http://schemas.microsoft.com/office/drawing/2014/main" id="{417111AF-B6B6-4E07-BBD7-CA4B37C68D8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4972" name="AutoShape 12">
          <a:extLst>
            <a:ext uri="{FF2B5EF4-FFF2-40B4-BE49-F238E27FC236}">
              <a16:creationId xmlns:a16="http://schemas.microsoft.com/office/drawing/2014/main" id="{0405ABBE-CED8-42FD-ADAE-39FF3982F30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4973" name="AutoShape 12">
          <a:extLst>
            <a:ext uri="{FF2B5EF4-FFF2-40B4-BE49-F238E27FC236}">
              <a16:creationId xmlns:a16="http://schemas.microsoft.com/office/drawing/2014/main" id="{1812BDEB-BB9A-4477-ADB3-E672105D807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4974" name="AutoShape 12">
          <a:extLst>
            <a:ext uri="{FF2B5EF4-FFF2-40B4-BE49-F238E27FC236}">
              <a16:creationId xmlns:a16="http://schemas.microsoft.com/office/drawing/2014/main" id="{6181D954-FCD9-4415-B6B3-CC46BEC30EA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4975" name="AutoShape 12">
          <a:extLst>
            <a:ext uri="{FF2B5EF4-FFF2-40B4-BE49-F238E27FC236}">
              <a16:creationId xmlns:a16="http://schemas.microsoft.com/office/drawing/2014/main" id="{A8E6E866-55DC-46C7-874C-CC099C13A5F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4976" name="AutoShape 12">
          <a:extLst>
            <a:ext uri="{FF2B5EF4-FFF2-40B4-BE49-F238E27FC236}">
              <a16:creationId xmlns:a16="http://schemas.microsoft.com/office/drawing/2014/main" id="{1ADAE977-6B2A-43B6-8DFC-DD7B7BE4F6E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4977" name="AutoShape 12">
          <a:extLst>
            <a:ext uri="{FF2B5EF4-FFF2-40B4-BE49-F238E27FC236}">
              <a16:creationId xmlns:a16="http://schemas.microsoft.com/office/drawing/2014/main" id="{0A02BB72-FA4F-4A51-88F9-B923B69E356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4978" name="AutoShape 12">
          <a:extLst>
            <a:ext uri="{FF2B5EF4-FFF2-40B4-BE49-F238E27FC236}">
              <a16:creationId xmlns:a16="http://schemas.microsoft.com/office/drawing/2014/main" id="{9AA0F5CF-2A49-4925-80A8-5EB51B39A90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4979" name="AutoShape 12">
          <a:extLst>
            <a:ext uri="{FF2B5EF4-FFF2-40B4-BE49-F238E27FC236}">
              <a16:creationId xmlns:a16="http://schemas.microsoft.com/office/drawing/2014/main" id="{7C442E65-A3D4-49C1-A872-CD6496F2875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4980" name="AutoShape 12">
          <a:extLst>
            <a:ext uri="{FF2B5EF4-FFF2-40B4-BE49-F238E27FC236}">
              <a16:creationId xmlns:a16="http://schemas.microsoft.com/office/drawing/2014/main" id="{ACA5BCAF-11F2-4675-BE41-3EDF26D5F24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4981" name="AutoShape 12">
          <a:extLst>
            <a:ext uri="{FF2B5EF4-FFF2-40B4-BE49-F238E27FC236}">
              <a16:creationId xmlns:a16="http://schemas.microsoft.com/office/drawing/2014/main" id="{8E1F830F-A23B-41DC-86D5-953F21355B4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4982" name="AutoShape 12">
          <a:extLst>
            <a:ext uri="{FF2B5EF4-FFF2-40B4-BE49-F238E27FC236}">
              <a16:creationId xmlns:a16="http://schemas.microsoft.com/office/drawing/2014/main" id="{FAEECA19-7C50-4591-BA3B-3422EAFADE2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4983" name="AutoShape 12">
          <a:extLst>
            <a:ext uri="{FF2B5EF4-FFF2-40B4-BE49-F238E27FC236}">
              <a16:creationId xmlns:a16="http://schemas.microsoft.com/office/drawing/2014/main" id="{B7C481D7-50EB-4B4E-A443-2EFC72DC459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4984" name="AutoShape 12">
          <a:extLst>
            <a:ext uri="{FF2B5EF4-FFF2-40B4-BE49-F238E27FC236}">
              <a16:creationId xmlns:a16="http://schemas.microsoft.com/office/drawing/2014/main" id="{3F595154-9B54-43ED-8B22-B047C648D52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4985" name="AutoShape 12">
          <a:extLst>
            <a:ext uri="{FF2B5EF4-FFF2-40B4-BE49-F238E27FC236}">
              <a16:creationId xmlns:a16="http://schemas.microsoft.com/office/drawing/2014/main" id="{A574EB6A-1B87-4D6A-8CD0-44E1B7E1211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4986" name="AutoShape 12">
          <a:extLst>
            <a:ext uri="{FF2B5EF4-FFF2-40B4-BE49-F238E27FC236}">
              <a16:creationId xmlns:a16="http://schemas.microsoft.com/office/drawing/2014/main" id="{FC3853AE-BEA7-4506-85CC-3060614B7C6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4987" name="AutoShape 12">
          <a:extLst>
            <a:ext uri="{FF2B5EF4-FFF2-40B4-BE49-F238E27FC236}">
              <a16:creationId xmlns:a16="http://schemas.microsoft.com/office/drawing/2014/main" id="{18E3B159-021C-4F8D-BDD7-D865ECC080A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4988" name="AutoShape 12">
          <a:extLst>
            <a:ext uri="{FF2B5EF4-FFF2-40B4-BE49-F238E27FC236}">
              <a16:creationId xmlns:a16="http://schemas.microsoft.com/office/drawing/2014/main" id="{1101D44F-E2A9-4BC0-90B7-5B2828EBCCE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4989" name="AutoShape 12">
          <a:extLst>
            <a:ext uri="{FF2B5EF4-FFF2-40B4-BE49-F238E27FC236}">
              <a16:creationId xmlns:a16="http://schemas.microsoft.com/office/drawing/2014/main" id="{BE71BA1C-EDB9-4C19-AA9E-3D597073072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4990" name="AutoShape 12">
          <a:extLst>
            <a:ext uri="{FF2B5EF4-FFF2-40B4-BE49-F238E27FC236}">
              <a16:creationId xmlns:a16="http://schemas.microsoft.com/office/drawing/2014/main" id="{57856403-D5BD-4AE7-A061-DBF9F78CCDF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4991" name="AutoShape 12">
          <a:extLst>
            <a:ext uri="{FF2B5EF4-FFF2-40B4-BE49-F238E27FC236}">
              <a16:creationId xmlns:a16="http://schemas.microsoft.com/office/drawing/2014/main" id="{E25192ED-B838-457B-B072-04792F68885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4992" name="AutoShape 12">
          <a:extLst>
            <a:ext uri="{FF2B5EF4-FFF2-40B4-BE49-F238E27FC236}">
              <a16:creationId xmlns:a16="http://schemas.microsoft.com/office/drawing/2014/main" id="{A3BA0FF2-04C5-49B6-ABC9-2F5E8B609F3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4993" name="AutoShape 12">
          <a:extLst>
            <a:ext uri="{FF2B5EF4-FFF2-40B4-BE49-F238E27FC236}">
              <a16:creationId xmlns:a16="http://schemas.microsoft.com/office/drawing/2014/main" id="{AB387194-216C-4F28-A6AA-BDD6C035BA4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4994" name="AutoShape 12">
          <a:extLst>
            <a:ext uri="{FF2B5EF4-FFF2-40B4-BE49-F238E27FC236}">
              <a16:creationId xmlns:a16="http://schemas.microsoft.com/office/drawing/2014/main" id="{6038ED6C-288A-41E7-B5DA-55ECA63B9E8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4995" name="AutoShape 12">
          <a:extLst>
            <a:ext uri="{FF2B5EF4-FFF2-40B4-BE49-F238E27FC236}">
              <a16:creationId xmlns:a16="http://schemas.microsoft.com/office/drawing/2014/main" id="{4D7BA3A7-FB8F-470C-9597-B0759478B21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4996" name="AutoShape 12">
          <a:extLst>
            <a:ext uri="{FF2B5EF4-FFF2-40B4-BE49-F238E27FC236}">
              <a16:creationId xmlns:a16="http://schemas.microsoft.com/office/drawing/2014/main" id="{57C46AFC-B9B8-4B5D-B1D5-8A33A5D7982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4997" name="AutoShape 12">
          <a:extLst>
            <a:ext uri="{FF2B5EF4-FFF2-40B4-BE49-F238E27FC236}">
              <a16:creationId xmlns:a16="http://schemas.microsoft.com/office/drawing/2014/main" id="{985EE6D5-DCFC-45B2-9ECF-7A9F1341246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4998" name="AutoShape 12">
          <a:extLst>
            <a:ext uri="{FF2B5EF4-FFF2-40B4-BE49-F238E27FC236}">
              <a16:creationId xmlns:a16="http://schemas.microsoft.com/office/drawing/2014/main" id="{6800A9FA-90AD-457C-B41F-D81C4673563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4999" name="AutoShape 12">
          <a:extLst>
            <a:ext uri="{FF2B5EF4-FFF2-40B4-BE49-F238E27FC236}">
              <a16:creationId xmlns:a16="http://schemas.microsoft.com/office/drawing/2014/main" id="{393F27EA-C2F9-473A-A7D9-8AEF001CA5F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5000" name="AutoShape 12">
          <a:extLst>
            <a:ext uri="{FF2B5EF4-FFF2-40B4-BE49-F238E27FC236}">
              <a16:creationId xmlns:a16="http://schemas.microsoft.com/office/drawing/2014/main" id="{11680F07-21C2-41C8-8736-FACED91EE87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5001" name="AutoShape 12">
          <a:extLst>
            <a:ext uri="{FF2B5EF4-FFF2-40B4-BE49-F238E27FC236}">
              <a16:creationId xmlns:a16="http://schemas.microsoft.com/office/drawing/2014/main" id="{9C03CE64-EF4F-4F87-ABF5-BF27893D42A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5002" name="AutoShape 12">
          <a:extLst>
            <a:ext uri="{FF2B5EF4-FFF2-40B4-BE49-F238E27FC236}">
              <a16:creationId xmlns:a16="http://schemas.microsoft.com/office/drawing/2014/main" id="{1222710C-5D99-4BE0-95C1-9D86D2A67F0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5003" name="AutoShape 12">
          <a:extLst>
            <a:ext uri="{FF2B5EF4-FFF2-40B4-BE49-F238E27FC236}">
              <a16:creationId xmlns:a16="http://schemas.microsoft.com/office/drawing/2014/main" id="{2D510CF0-4D44-42E4-80C7-E1925C0FAF6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5004" name="AutoShape 12">
          <a:extLst>
            <a:ext uri="{FF2B5EF4-FFF2-40B4-BE49-F238E27FC236}">
              <a16:creationId xmlns:a16="http://schemas.microsoft.com/office/drawing/2014/main" id="{982C5D32-D9A1-4FAF-B129-3C315D9A950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5005" name="AutoShape 12">
          <a:extLst>
            <a:ext uri="{FF2B5EF4-FFF2-40B4-BE49-F238E27FC236}">
              <a16:creationId xmlns:a16="http://schemas.microsoft.com/office/drawing/2014/main" id="{2257B475-6219-490D-AD3B-95BFBA60615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5006" name="AutoShape 12">
          <a:extLst>
            <a:ext uri="{FF2B5EF4-FFF2-40B4-BE49-F238E27FC236}">
              <a16:creationId xmlns:a16="http://schemas.microsoft.com/office/drawing/2014/main" id="{A3CDC083-DECD-49A5-8B8A-18D316067D8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5007" name="AutoShape 12">
          <a:extLst>
            <a:ext uri="{FF2B5EF4-FFF2-40B4-BE49-F238E27FC236}">
              <a16:creationId xmlns:a16="http://schemas.microsoft.com/office/drawing/2014/main" id="{975A7F31-65B5-4E1B-BEB7-C9BA364BA44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5008" name="AutoShape 12">
          <a:extLst>
            <a:ext uri="{FF2B5EF4-FFF2-40B4-BE49-F238E27FC236}">
              <a16:creationId xmlns:a16="http://schemas.microsoft.com/office/drawing/2014/main" id="{C3CF686B-3CBD-4BDF-8BFC-65C32016152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5009" name="AutoShape 12">
          <a:extLst>
            <a:ext uri="{FF2B5EF4-FFF2-40B4-BE49-F238E27FC236}">
              <a16:creationId xmlns:a16="http://schemas.microsoft.com/office/drawing/2014/main" id="{70F6BF77-4934-42CE-A50F-4ED2174F2D3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5010" name="AutoShape 12">
          <a:extLst>
            <a:ext uri="{FF2B5EF4-FFF2-40B4-BE49-F238E27FC236}">
              <a16:creationId xmlns:a16="http://schemas.microsoft.com/office/drawing/2014/main" id="{B05951BC-07D4-4A48-969B-3FA46148349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5011" name="AutoShape 12">
          <a:extLst>
            <a:ext uri="{FF2B5EF4-FFF2-40B4-BE49-F238E27FC236}">
              <a16:creationId xmlns:a16="http://schemas.microsoft.com/office/drawing/2014/main" id="{A63EEB08-D287-4C6C-AEA4-CB74F047E26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5012" name="AutoShape 12">
          <a:extLst>
            <a:ext uri="{FF2B5EF4-FFF2-40B4-BE49-F238E27FC236}">
              <a16:creationId xmlns:a16="http://schemas.microsoft.com/office/drawing/2014/main" id="{E3EB7080-F892-40A1-B5E5-15B50343FDD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5013" name="AutoShape 12">
          <a:extLst>
            <a:ext uri="{FF2B5EF4-FFF2-40B4-BE49-F238E27FC236}">
              <a16:creationId xmlns:a16="http://schemas.microsoft.com/office/drawing/2014/main" id="{8AF6754A-CE51-4D26-8E0E-6115EEE25E0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5014" name="AutoShape 12">
          <a:extLst>
            <a:ext uri="{FF2B5EF4-FFF2-40B4-BE49-F238E27FC236}">
              <a16:creationId xmlns:a16="http://schemas.microsoft.com/office/drawing/2014/main" id="{128B585D-8B93-4C69-B0D7-CF379E2C8A7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5015" name="AutoShape 12">
          <a:extLst>
            <a:ext uri="{FF2B5EF4-FFF2-40B4-BE49-F238E27FC236}">
              <a16:creationId xmlns:a16="http://schemas.microsoft.com/office/drawing/2014/main" id="{EA3EA274-E909-46BA-A56C-423B00CD4DE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5016" name="AutoShape 12">
          <a:extLst>
            <a:ext uri="{FF2B5EF4-FFF2-40B4-BE49-F238E27FC236}">
              <a16:creationId xmlns:a16="http://schemas.microsoft.com/office/drawing/2014/main" id="{F634B306-A1BB-4653-B67E-2984381F5B1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5017" name="AutoShape 12">
          <a:extLst>
            <a:ext uri="{FF2B5EF4-FFF2-40B4-BE49-F238E27FC236}">
              <a16:creationId xmlns:a16="http://schemas.microsoft.com/office/drawing/2014/main" id="{A41F8338-FD03-4F88-96BF-3C8329A7A39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5018" name="AutoShape 12">
          <a:extLst>
            <a:ext uri="{FF2B5EF4-FFF2-40B4-BE49-F238E27FC236}">
              <a16:creationId xmlns:a16="http://schemas.microsoft.com/office/drawing/2014/main" id="{CD60745D-8D13-4175-8D94-74E5C4592F3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5019" name="AutoShape 12">
          <a:extLst>
            <a:ext uri="{FF2B5EF4-FFF2-40B4-BE49-F238E27FC236}">
              <a16:creationId xmlns:a16="http://schemas.microsoft.com/office/drawing/2014/main" id="{3EABF2D3-7E17-4111-902B-53396E5FF18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5020" name="AutoShape 12">
          <a:extLst>
            <a:ext uri="{FF2B5EF4-FFF2-40B4-BE49-F238E27FC236}">
              <a16:creationId xmlns:a16="http://schemas.microsoft.com/office/drawing/2014/main" id="{071D7D68-EBE1-455A-B4EF-CC718B17E48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5021" name="AutoShape 12">
          <a:extLst>
            <a:ext uri="{FF2B5EF4-FFF2-40B4-BE49-F238E27FC236}">
              <a16:creationId xmlns:a16="http://schemas.microsoft.com/office/drawing/2014/main" id="{194EDAF5-3386-4569-8015-A1FDBF98658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5022" name="AutoShape 12">
          <a:extLst>
            <a:ext uri="{FF2B5EF4-FFF2-40B4-BE49-F238E27FC236}">
              <a16:creationId xmlns:a16="http://schemas.microsoft.com/office/drawing/2014/main" id="{C232AC57-7A31-4645-A61E-90D11F89C3D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5023" name="AutoShape 12">
          <a:extLst>
            <a:ext uri="{FF2B5EF4-FFF2-40B4-BE49-F238E27FC236}">
              <a16:creationId xmlns:a16="http://schemas.microsoft.com/office/drawing/2014/main" id="{CADC1F49-C901-4A88-9014-1BFBC686D77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5024" name="AutoShape 12">
          <a:extLst>
            <a:ext uri="{FF2B5EF4-FFF2-40B4-BE49-F238E27FC236}">
              <a16:creationId xmlns:a16="http://schemas.microsoft.com/office/drawing/2014/main" id="{81B4EF31-2F92-4A52-B3B4-2DD22298DEF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5025" name="AutoShape 12">
          <a:extLst>
            <a:ext uri="{FF2B5EF4-FFF2-40B4-BE49-F238E27FC236}">
              <a16:creationId xmlns:a16="http://schemas.microsoft.com/office/drawing/2014/main" id="{2DF7E4BD-1D2A-443E-8F1C-30F6AD72896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5026" name="AutoShape 12">
          <a:extLst>
            <a:ext uri="{FF2B5EF4-FFF2-40B4-BE49-F238E27FC236}">
              <a16:creationId xmlns:a16="http://schemas.microsoft.com/office/drawing/2014/main" id="{A292904F-4D03-493C-86D7-5C737B598AE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5027" name="AutoShape 12">
          <a:extLst>
            <a:ext uri="{FF2B5EF4-FFF2-40B4-BE49-F238E27FC236}">
              <a16:creationId xmlns:a16="http://schemas.microsoft.com/office/drawing/2014/main" id="{3F96A008-208E-4F2E-BE89-25A611C54C4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5028" name="AutoShape 12">
          <a:extLst>
            <a:ext uri="{FF2B5EF4-FFF2-40B4-BE49-F238E27FC236}">
              <a16:creationId xmlns:a16="http://schemas.microsoft.com/office/drawing/2014/main" id="{5EC9BB6A-3FC5-4FB3-9BB5-B0420E77DFA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5029" name="AutoShape 12">
          <a:extLst>
            <a:ext uri="{FF2B5EF4-FFF2-40B4-BE49-F238E27FC236}">
              <a16:creationId xmlns:a16="http://schemas.microsoft.com/office/drawing/2014/main" id="{8C8C3A0D-77D0-45CB-B1D5-1D8794FFABB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5030" name="AutoShape 12">
          <a:extLst>
            <a:ext uri="{FF2B5EF4-FFF2-40B4-BE49-F238E27FC236}">
              <a16:creationId xmlns:a16="http://schemas.microsoft.com/office/drawing/2014/main" id="{CD9F42B6-1C01-45AE-82B6-C0987258F8F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5031" name="AutoShape 12">
          <a:extLst>
            <a:ext uri="{FF2B5EF4-FFF2-40B4-BE49-F238E27FC236}">
              <a16:creationId xmlns:a16="http://schemas.microsoft.com/office/drawing/2014/main" id="{C76BC351-4729-4168-A7BE-890785F647D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5032" name="AutoShape 12">
          <a:extLst>
            <a:ext uri="{FF2B5EF4-FFF2-40B4-BE49-F238E27FC236}">
              <a16:creationId xmlns:a16="http://schemas.microsoft.com/office/drawing/2014/main" id="{DF77D1AF-9C07-49B2-AAC6-D3415BAA57E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5033" name="AutoShape 12">
          <a:extLst>
            <a:ext uri="{FF2B5EF4-FFF2-40B4-BE49-F238E27FC236}">
              <a16:creationId xmlns:a16="http://schemas.microsoft.com/office/drawing/2014/main" id="{A089D304-B034-4116-B15A-FA67DC33FF9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5034" name="AutoShape 12">
          <a:extLst>
            <a:ext uri="{FF2B5EF4-FFF2-40B4-BE49-F238E27FC236}">
              <a16:creationId xmlns:a16="http://schemas.microsoft.com/office/drawing/2014/main" id="{F34ADAF3-A934-4D36-9E05-3495AB93667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5035" name="AutoShape 12">
          <a:extLst>
            <a:ext uri="{FF2B5EF4-FFF2-40B4-BE49-F238E27FC236}">
              <a16:creationId xmlns:a16="http://schemas.microsoft.com/office/drawing/2014/main" id="{70BF4DF3-5551-4425-9FAB-AD2DB19FB76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5036" name="AutoShape 12">
          <a:extLst>
            <a:ext uri="{FF2B5EF4-FFF2-40B4-BE49-F238E27FC236}">
              <a16:creationId xmlns:a16="http://schemas.microsoft.com/office/drawing/2014/main" id="{9DE43CAC-6DCB-43A8-B7DE-5D9F947E961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5037" name="AutoShape 12">
          <a:extLst>
            <a:ext uri="{FF2B5EF4-FFF2-40B4-BE49-F238E27FC236}">
              <a16:creationId xmlns:a16="http://schemas.microsoft.com/office/drawing/2014/main" id="{7753689F-CC80-409A-83D9-BF95DF76709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5038" name="AutoShape 12">
          <a:extLst>
            <a:ext uri="{FF2B5EF4-FFF2-40B4-BE49-F238E27FC236}">
              <a16:creationId xmlns:a16="http://schemas.microsoft.com/office/drawing/2014/main" id="{5F3CDC8A-FADD-4F1E-80A1-A8A82615F80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5039" name="AutoShape 12">
          <a:extLst>
            <a:ext uri="{FF2B5EF4-FFF2-40B4-BE49-F238E27FC236}">
              <a16:creationId xmlns:a16="http://schemas.microsoft.com/office/drawing/2014/main" id="{ED5F5DC8-9883-4015-918F-6B9042DBF08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5040" name="AutoShape 12">
          <a:extLst>
            <a:ext uri="{FF2B5EF4-FFF2-40B4-BE49-F238E27FC236}">
              <a16:creationId xmlns:a16="http://schemas.microsoft.com/office/drawing/2014/main" id="{BADE1EEF-84A5-40D0-A892-47462183D2A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5041" name="AutoShape 12">
          <a:extLst>
            <a:ext uri="{FF2B5EF4-FFF2-40B4-BE49-F238E27FC236}">
              <a16:creationId xmlns:a16="http://schemas.microsoft.com/office/drawing/2014/main" id="{4E1B5A21-00D1-440B-B825-720F6FFA523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5042" name="AutoShape 12">
          <a:extLst>
            <a:ext uri="{FF2B5EF4-FFF2-40B4-BE49-F238E27FC236}">
              <a16:creationId xmlns:a16="http://schemas.microsoft.com/office/drawing/2014/main" id="{5772B098-5B11-4A1E-9402-B2679B81E63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5043" name="AutoShape 12">
          <a:extLst>
            <a:ext uri="{FF2B5EF4-FFF2-40B4-BE49-F238E27FC236}">
              <a16:creationId xmlns:a16="http://schemas.microsoft.com/office/drawing/2014/main" id="{27D62D2A-FD85-411A-8630-D9C4091B728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5044" name="AutoShape 12">
          <a:extLst>
            <a:ext uri="{FF2B5EF4-FFF2-40B4-BE49-F238E27FC236}">
              <a16:creationId xmlns:a16="http://schemas.microsoft.com/office/drawing/2014/main" id="{1BBA86B2-4BBC-4BCF-B004-44EE3772067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5045" name="AutoShape 12">
          <a:extLst>
            <a:ext uri="{FF2B5EF4-FFF2-40B4-BE49-F238E27FC236}">
              <a16:creationId xmlns:a16="http://schemas.microsoft.com/office/drawing/2014/main" id="{C8D15794-33EC-42FB-8AD8-1F436DEFE06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5046" name="AutoShape 12">
          <a:extLst>
            <a:ext uri="{FF2B5EF4-FFF2-40B4-BE49-F238E27FC236}">
              <a16:creationId xmlns:a16="http://schemas.microsoft.com/office/drawing/2014/main" id="{02AD3D9D-2A8A-4521-B973-4BF7F4FC905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5047" name="AutoShape 12">
          <a:extLst>
            <a:ext uri="{FF2B5EF4-FFF2-40B4-BE49-F238E27FC236}">
              <a16:creationId xmlns:a16="http://schemas.microsoft.com/office/drawing/2014/main" id="{F9588FF2-EF2D-49E0-8524-DA5770F93A5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5048" name="AutoShape 12">
          <a:extLst>
            <a:ext uri="{FF2B5EF4-FFF2-40B4-BE49-F238E27FC236}">
              <a16:creationId xmlns:a16="http://schemas.microsoft.com/office/drawing/2014/main" id="{78261405-0AEF-4049-BB3F-B7978FFF98C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5049" name="AutoShape 12">
          <a:extLst>
            <a:ext uri="{FF2B5EF4-FFF2-40B4-BE49-F238E27FC236}">
              <a16:creationId xmlns:a16="http://schemas.microsoft.com/office/drawing/2014/main" id="{710A9E1C-2322-4708-8AE1-6A068CE8B8A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5050" name="AutoShape 12">
          <a:extLst>
            <a:ext uri="{FF2B5EF4-FFF2-40B4-BE49-F238E27FC236}">
              <a16:creationId xmlns:a16="http://schemas.microsoft.com/office/drawing/2014/main" id="{EED9AEE9-0E9D-465C-A9DE-A872944E994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5051" name="AutoShape 12">
          <a:extLst>
            <a:ext uri="{FF2B5EF4-FFF2-40B4-BE49-F238E27FC236}">
              <a16:creationId xmlns:a16="http://schemas.microsoft.com/office/drawing/2014/main" id="{F9DDFBF6-4DB2-4999-AAD1-78A4A980DF5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5052" name="AutoShape 12">
          <a:extLst>
            <a:ext uri="{FF2B5EF4-FFF2-40B4-BE49-F238E27FC236}">
              <a16:creationId xmlns:a16="http://schemas.microsoft.com/office/drawing/2014/main" id="{139EF14E-31C5-4518-B60B-78A42AC999C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5053" name="AutoShape 12">
          <a:extLst>
            <a:ext uri="{FF2B5EF4-FFF2-40B4-BE49-F238E27FC236}">
              <a16:creationId xmlns:a16="http://schemas.microsoft.com/office/drawing/2014/main" id="{08F343F9-20CD-4B4B-AF6F-6286DD06407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5054" name="AutoShape 12">
          <a:extLst>
            <a:ext uri="{FF2B5EF4-FFF2-40B4-BE49-F238E27FC236}">
              <a16:creationId xmlns:a16="http://schemas.microsoft.com/office/drawing/2014/main" id="{38E55DBC-C642-43F5-A78D-5D9A9870A7D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5055" name="AutoShape 12">
          <a:extLst>
            <a:ext uri="{FF2B5EF4-FFF2-40B4-BE49-F238E27FC236}">
              <a16:creationId xmlns:a16="http://schemas.microsoft.com/office/drawing/2014/main" id="{5D34E8FA-0DED-47EB-A517-367576F693D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5056" name="AutoShape 12">
          <a:extLst>
            <a:ext uri="{FF2B5EF4-FFF2-40B4-BE49-F238E27FC236}">
              <a16:creationId xmlns:a16="http://schemas.microsoft.com/office/drawing/2014/main" id="{8B4546DF-CBAF-44C9-AF2F-BFBE88C13C5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5057" name="AutoShape 12">
          <a:extLst>
            <a:ext uri="{FF2B5EF4-FFF2-40B4-BE49-F238E27FC236}">
              <a16:creationId xmlns:a16="http://schemas.microsoft.com/office/drawing/2014/main" id="{D64C46C7-5B69-4AC6-A913-4F1506B06B7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5058" name="AutoShape 12">
          <a:extLst>
            <a:ext uri="{FF2B5EF4-FFF2-40B4-BE49-F238E27FC236}">
              <a16:creationId xmlns:a16="http://schemas.microsoft.com/office/drawing/2014/main" id="{E16578C1-BD35-417E-AC5E-6D17EACBC58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5059" name="AutoShape 12">
          <a:extLst>
            <a:ext uri="{FF2B5EF4-FFF2-40B4-BE49-F238E27FC236}">
              <a16:creationId xmlns:a16="http://schemas.microsoft.com/office/drawing/2014/main" id="{50CA26B7-052D-4BC8-B93F-387FF3764EE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5060" name="AutoShape 12">
          <a:extLst>
            <a:ext uri="{FF2B5EF4-FFF2-40B4-BE49-F238E27FC236}">
              <a16:creationId xmlns:a16="http://schemas.microsoft.com/office/drawing/2014/main" id="{D2DF8D42-16FF-46F4-940E-0C73233CC0C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5061" name="AutoShape 12">
          <a:extLst>
            <a:ext uri="{FF2B5EF4-FFF2-40B4-BE49-F238E27FC236}">
              <a16:creationId xmlns:a16="http://schemas.microsoft.com/office/drawing/2014/main" id="{B39F1629-BA03-4A93-B5AA-39C6AC36428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5062" name="AutoShape 12">
          <a:extLst>
            <a:ext uri="{FF2B5EF4-FFF2-40B4-BE49-F238E27FC236}">
              <a16:creationId xmlns:a16="http://schemas.microsoft.com/office/drawing/2014/main" id="{080A0E0C-3763-4DBA-9565-DEE7448F2C5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5063" name="AutoShape 12">
          <a:extLst>
            <a:ext uri="{FF2B5EF4-FFF2-40B4-BE49-F238E27FC236}">
              <a16:creationId xmlns:a16="http://schemas.microsoft.com/office/drawing/2014/main" id="{BD466197-4386-44E0-A367-9933EF0AA6F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5064" name="AutoShape 12">
          <a:extLst>
            <a:ext uri="{FF2B5EF4-FFF2-40B4-BE49-F238E27FC236}">
              <a16:creationId xmlns:a16="http://schemas.microsoft.com/office/drawing/2014/main" id="{18A4B2B0-5AD8-49BC-A759-E3DCF04A43D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5065" name="AutoShape 12">
          <a:extLst>
            <a:ext uri="{FF2B5EF4-FFF2-40B4-BE49-F238E27FC236}">
              <a16:creationId xmlns:a16="http://schemas.microsoft.com/office/drawing/2014/main" id="{CD0DC64F-2C83-4244-BF96-8E302C6C5E7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5066" name="AutoShape 12">
          <a:extLst>
            <a:ext uri="{FF2B5EF4-FFF2-40B4-BE49-F238E27FC236}">
              <a16:creationId xmlns:a16="http://schemas.microsoft.com/office/drawing/2014/main" id="{61094CB0-8C5F-41FD-BA23-E29648F94A0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5067" name="AutoShape 12">
          <a:extLst>
            <a:ext uri="{FF2B5EF4-FFF2-40B4-BE49-F238E27FC236}">
              <a16:creationId xmlns:a16="http://schemas.microsoft.com/office/drawing/2014/main" id="{3EFF6027-E3AE-4C27-B900-9EC43D678D3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5068" name="AutoShape 12">
          <a:extLst>
            <a:ext uri="{FF2B5EF4-FFF2-40B4-BE49-F238E27FC236}">
              <a16:creationId xmlns:a16="http://schemas.microsoft.com/office/drawing/2014/main" id="{E76FB2E9-029E-4F6F-B26D-0A4C4B07616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5069" name="AutoShape 12">
          <a:extLst>
            <a:ext uri="{FF2B5EF4-FFF2-40B4-BE49-F238E27FC236}">
              <a16:creationId xmlns:a16="http://schemas.microsoft.com/office/drawing/2014/main" id="{BF40E9A8-6B96-4741-ABC7-D6210E8E311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5070" name="AutoShape 12">
          <a:extLst>
            <a:ext uri="{FF2B5EF4-FFF2-40B4-BE49-F238E27FC236}">
              <a16:creationId xmlns:a16="http://schemas.microsoft.com/office/drawing/2014/main" id="{5A94650E-E26B-46C0-A3F7-EF55275AD73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5071" name="AutoShape 12">
          <a:extLst>
            <a:ext uri="{FF2B5EF4-FFF2-40B4-BE49-F238E27FC236}">
              <a16:creationId xmlns:a16="http://schemas.microsoft.com/office/drawing/2014/main" id="{800AF013-032B-4247-A478-B6904323229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5072" name="AutoShape 12">
          <a:extLst>
            <a:ext uri="{FF2B5EF4-FFF2-40B4-BE49-F238E27FC236}">
              <a16:creationId xmlns:a16="http://schemas.microsoft.com/office/drawing/2014/main" id="{065E8C1C-82F3-4F3F-ABEF-B4AA6B63546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5073" name="AutoShape 12">
          <a:extLst>
            <a:ext uri="{FF2B5EF4-FFF2-40B4-BE49-F238E27FC236}">
              <a16:creationId xmlns:a16="http://schemas.microsoft.com/office/drawing/2014/main" id="{A7357AF3-2E52-43E2-A99F-8D753FC8DEA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5074" name="AutoShape 12">
          <a:extLst>
            <a:ext uri="{FF2B5EF4-FFF2-40B4-BE49-F238E27FC236}">
              <a16:creationId xmlns:a16="http://schemas.microsoft.com/office/drawing/2014/main" id="{9E26D72D-F98A-4ACC-B493-1F6F516B91A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5075" name="AutoShape 12">
          <a:extLst>
            <a:ext uri="{FF2B5EF4-FFF2-40B4-BE49-F238E27FC236}">
              <a16:creationId xmlns:a16="http://schemas.microsoft.com/office/drawing/2014/main" id="{C6E0C0F0-C4D1-4BDB-A083-2798B721936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5076" name="AutoShape 12">
          <a:extLst>
            <a:ext uri="{FF2B5EF4-FFF2-40B4-BE49-F238E27FC236}">
              <a16:creationId xmlns:a16="http://schemas.microsoft.com/office/drawing/2014/main" id="{0757218B-48DC-4750-895C-AC9D4361B37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5077" name="AutoShape 12">
          <a:extLst>
            <a:ext uri="{FF2B5EF4-FFF2-40B4-BE49-F238E27FC236}">
              <a16:creationId xmlns:a16="http://schemas.microsoft.com/office/drawing/2014/main" id="{A062750E-E446-4AF1-8A9E-A66A8350D4B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5078" name="AutoShape 12">
          <a:extLst>
            <a:ext uri="{FF2B5EF4-FFF2-40B4-BE49-F238E27FC236}">
              <a16:creationId xmlns:a16="http://schemas.microsoft.com/office/drawing/2014/main" id="{CE81A360-2D0B-453A-92AD-D74BFCB3780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5079" name="AutoShape 12">
          <a:extLst>
            <a:ext uri="{FF2B5EF4-FFF2-40B4-BE49-F238E27FC236}">
              <a16:creationId xmlns:a16="http://schemas.microsoft.com/office/drawing/2014/main" id="{258E909A-00F2-49FD-A85F-DEC75C3B35B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5080" name="AutoShape 12">
          <a:extLst>
            <a:ext uri="{FF2B5EF4-FFF2-40B4-BE49-F238E27FC236}">
              <a16:creationId xmlns:a16="http://schemas.microsoft.com/office/drawing/2014/main" id="{CF0B8A2E-BCF3-4A91-AEF8-7D370BBED61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5081" name="AutoShape 12">
          <a:extLst>
            <a:ext uri="{FF2B5EF4-FFF2-40B4-BE49-F238E27FC236}">
              <a16:creationId xmlns:a16="http://schemas.microsoft.com/office/drawing/2014/main" id="{7816B845-5625-440B-A3CF-EC8B1AAF513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5082" name="AutoShape 12">
          <a:extLst>
            <a:ext uri="{FF2B5EF4-FFF2-40B4-BE49-F238E27FC236}">
              <a16:creationId xmlns:a16="http://schemas.microsoft.com/office/drawing/2014/main" id="{1C8E9227-7EC6-4E44-99FF-8742C9F0571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5083" name="AutoShape 12">
          <a:extLst>
            <a:ext uri="{FF2B5EF4-FFF2-40B4-BE49-F238E27FC236}">
              <a16:creationId xmlns:a16="http://schemas.microsoft.com/office/drawing/2014/main" id="{1158ECCA-B620-4235-A55D-B45B7FEAD1A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5084" name="AutoShape 12">
          <a:extLst>
            <a:ext uri="{FF2B5EF4-FFF2-40B4-BE49-F238E27FC236}">
              <a16:creationId xmlns:a16="http://schemas.microsoft.com/office/drawing/2014/main" id="{04AA67FD-1CD0-4215-910F-5689ABC3A1A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5085" name="AutoShape 12">
          <a:extLst>
            <a:ext uri="{FF2B5EF4-FFF2-40B4-BE49-F238E27FC236}">
              <a16:creationId xmlns:a16="http://schemas.microsoft.com/office/drawing/2014/main" id="{19761D6B-2EC7-4B34-82B3-EE046B27F40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5086" name="AutoShape 12">
          <a:extLst>
            <a:ext uri="{FF2B5EF4-FFF2-40B4-BE49-F238E27FC236}">
              <a16:creationId xmlns:a16="http://schemas.microsoft.com/office/drawing/2014/main" id="{234D5D0F-16D6-4207-B992-6C830F4EFCC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5087" name="AutoShape 12">
          <a:extLst>
            <a:ext uri="{FF2B5EF4-FFF2-40B4-BE49-F238E27FC236}">
              <a16:creationId xmlns:a16="http://schemas.microsoft.com/office/drawing/2014/main" id="{4ADD66F0-9B86-49B3-B074-F1607BAC2CE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5088" name="AutoShape 12">
          <a:extLst>
            <a:ext uri="{FF2B5EF4-FFF2-40B4-BE49-F238E27FC236}">
              <a16:creationId xmlns:a16="http://schemas.microsoft.com/office/drawing/2014/main" id="{647893E4-F04F-49F0-B30E-FA48370114D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5089" name="AutoShape 12">
          <a:extLst>
            <a:ext uri="{FF2B5EF4-FFF2-40B4-BE49-F238E27FC236}">
              <a16:creationId xmlns:a16="http://schemas.microsoft.com/office/drawing/2014/main" id="{758F9FEE-89EC-4DF8-A990-831732F5A1E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5090" name="AutoShape 12">
          <a:extLst>
            <a:ext uri="{FF2B5EF4-FFF2-40B4-BE49-F238E27FC236}">
              <a16:creationId xmlns:a16="http://schemas.microsoft.com/office/drawing/2014/main" id="{3FF44770-1D37-4D39-AAC3-796D43F72EC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5091" name="AutoShape 12">
          <a:extLst>
            <a:ext uri="{FF2B5EF4-FFF2-40B4-BE49-F238E27FC236}">
              <a16:creationId xmlns:a16="http://schemas.microsoft.com/office/drawing/2014/main" id="{76212350-9750-4129-A626-4F19A5DA2A1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5092" name="AutoShape 12">
          <a:extLst>
            <a:ext uri="{FF2B5EF4-FFF2-40B4-BE49-F238E27FC236}">
              <a16:creationId xmlns:a16="http://schemas.microsoft.com/office/drawing/2014/main" id="{8C1C7F97-79AD-41E4-8F52-81C262AFD1A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5093" name="AutoShape 12">
          <a:extLst>
            <a:ext uri="{FF2B5EF4-FFF2-40B4-BE49-F238E27FC236}">
              <a16:creationId xmlns:a16="http://schemas.microsoft.com/office/drawing/2014/main" id="{97AA5B64-4740-46BD-B3DC-218D3B46662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5094" name="AutoShape 12">
          <a:extLst>
            <a:ext uri="{FF2B5EF4-FFF2-40B4-BE49-F238E27FC236}">
              <a16:creationId xmlns:a16="http://schemas.microsoft.com/office/drawing/2014/main" id="{8C9E2E84-506A-43C8-B2E9-5337278F1E6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5095" name="AutoShape 12">
          <a:extLst>
            <a:ext uri="{FF2B5EF4-FFF2-40B4-BE49-F238E27FC236}">
              <a16:creationId xmlns:a16="http://schemas.microsoft.com/office/drawing/2014/main" id="{07B361E2-E515-4413-97C1-5254C1549EA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5096" name="AutoShape 12">
          <a:extLst>
            <a:ext uri="{FF2B5EF4-FFF2-40B4-BE49-F238E27FC236}">
              <a16:creationId xmlns:a16="http://schemas.microsoft.com/office/drawing/2014/main" id="{D6F9F22C-EA67-4CAF-83AC-0F225BC03EB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5097" name="AutoShape 12">
          <a:extLst>
            <a:ext uri="{FF2B5EF4-FFF2-40B4-BE49-F238E27FC236}">
              <a16:creationId xmlns:a16="http://schemas.microsoft.com/office/drawing/2014/main" id="{3F50A048-2FF1-40CD-B759-E26F0D8D13E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5098" name="AutoShape 12">
          <a:extLst>
            <a:ext uri="{FF2B5EF4-FFF2-40B4-BE49-F238E27FC236}">
              <a16:creationId xmlns:a16="http://schemas.microsoft.com/office/drawing/2014/main" id="{B0798FA2-1246-4576-BB7E-EE0B30A4FFC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5099" name="AutoShape 12">
          <a:extLst>
            <a:ext uri="{FF2B5EF4-FFF2-40B4-BE49-F238E27FC236}">
              <a16:creationId xmlns:a16="http://schemas.microsoft.com/office/drawing/2014/main" id="{0547FEF5-B5F1-47FC-88F0-380D7337457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5100" name="AutoShape 12">
          <a:extLst>
            <a:ext uri="{FF2B5EF4-FFF2-40B4-BE49-F238E27FC236}">
              <a16:creationId xmlns:a16="http://schemas.microsoft.com/office/drawing/2014/main" id="{EB4E939A-8B40-46C0-90A8-E586FDD560E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5101" name="AutoShape 12">
          <a:extLst>
            <a:ext uri="{FF2B5EF4-FFF2-40B4-BE49-F238E27FC236}">
              <a16:creationId xmlns:a16="http://schemas.microsoft.com/office/drawing/2014/main" id="{45C44C6E-3387-4C4C-97CA-F6158B5CC65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5102" name="AutoShape 12">
          <a:extLst>
            <a:ext uri="{FF2B5EF4-FFF2-40B4-BE49-F238E27FC236}">
              <a16:creationId xmlns:a16="http://schemas.microsoft.com/office/drawing/2014/main" id="{754A29DF-F598-4501-A650-D493A81E916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5103" name="AutoShape 12">
          <a:extLst>
            <a:ext uri="{FF2B5EF4-FFF2-40B4-BE49-F238E27FC236}">
              <a16:creationId xmlns:a16="http://schemas.microsoft.com/office/drawing/2014/main" id="{03F2C538-D921-4714-BAAA-C016AFB8C44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5104" name="AutoShape 12">
          <a:extLst>
            <a:ext uri="{FF2B5EF4-FFF2-40B4-BE49-F238E27FC236}">
              <a16:creationId xmlns:a16="http://schemas.microsoft.com/office/drawing/2014/main" id="{C6D95A80-4E34-414F-AE34-7E2D1AE7AC3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5105" name="AutoShape 12">
          <a:extLst>
            <a:ext uri="{FF2B5EF4-FFF2-40B4-BE49-F238E27FC236}">
              <a16:creationId xmlns:a16="http://schemas.microsoft.com/office/drawing/2014/main" id="{CA2F41C3-E4E9-4E35-9589-A7E5367CE3E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5106" name="AutoShape 12">
          <a:extLst>
            <a:ext uri="{FF2B5EF4-FFF2-40B4-BE49-F238E27FC236}">
              <a16:creationId xmlns:a16="http://schemas.microsoft.com/office/drawing/2014/main" id="{8AEB289C-1A38-4876-9838-3A91B5913AF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5107" name="AutoShape 12">
          <a:extLst>
            <a:ext uri="{FF2B5EF4-FFF2-40B4-BE49-F238E27FC236}">
              <a16:creationId xmlns:a16="http://schemas.microsoft.com/office/drawing/2014/main" id="{7D1AF966-6CE8-4C77-95A5-DE6DDE198C7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5108" name="AutoShape 12">
          <a:extLst>
            <a:ext uri="{FF2B5EF4-FFF2-40B4-BE49-F238E27FC236}">
              <a16:creationId xmlns:a16="http://schemas.microsoft.com/office/drawing/2014/main" id="{775AD8A3-3D93-4CD6-A629-BD6B57ADFDE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5109" name="AutoShape 12">
          <a:extLst>
            <a:ext uri="{FF2B5EF4-FFF2-40B4-BE49-F238E27FC236}">
              <a16:creationId xmlns:a16="http://schemas.microsoft.com/office/drawing/2014/main" id="{DA0F587B-37DE-40DC-9721-82FBEF386E5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5110" name="AutoShape 12">
          <a:extLst>
            <a:ext uri="{FF2B5EF4-FFF2-40B4-BE49-F238E27FC236}">
              <a16:creationId xmlns:a16="http://schemas.microsoft.com/office/drawing/2014/main" id="{68906850-1513-40DC-86D7-9075698F5F5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5111" name="AutoShape 12">
          <a:extLst>
            <a:ext uri="{FF2B5EF4-FFF2-40B4-BE49-F238E27FC236}">
              <a16:creationId xmlns:a16="http://schemas.microsoft.com/office/drawing/2014/main" id="{729D0BBD-8CF8-4BC2-9E22-AA123D541E2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5112" name="AutoShape 12">
          <a:extLst>
            <a:ext uri="{FF2B5EF4-FFF2-40B4-BE49-F238E27FC236}">
              <a16:creationId xmlns:a16="http://schemas.microsoft.com/office/drawing/2014/main" id="{7027618F-B176-44FB-9983-C9DBC692407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5113" name="AutoShape 12">
          <a:extLst>
            <a:ext uri="{FF2B5EF4-FFF2-40B4-BE49-F238E27FC236}">
              <a16:creationId xmlns:a16="http://schemas.microsoft.com/office/drawing/2014/main" id="{76047F2C-8508-4AF3-968C-9401C979EA7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5114" name="AutoShape 12">
          <a:extLst>
            <a:ext uri="{FF2B5EF4-FFF2-40B4-BE49-F238E27FC236}">
              <a16:creationId xmlns:a16="http://schemas.microsoft.com/office/drawing/2014/main" id="{6F1480BC-EE01-4099-BE24-30E12F2C651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5115" name="AutoShape 12">
          <a:extLst>
            <a:ext uri="{FF2B5EF4-FFF2-40B4-BE49-F238E27FC236}">
              <a16:creationId xmlns:a16="http://schemas.microsoft.com/office/drawing/2014/main" id="{6F3C8F4B-9EDD-4286-864E-2F04C7A0166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5116" name="AutoShape 12">
          <a:extLst>
            <a:ext uri="{FF2B5EF4-FFF2-40B4-BE49-F238E27FC236}">
              <a16:creationId xmlns:a16="http://schemas.microsoft.com/office/drawing/2014/main" id="{57834673-1951-43EE-B453-4B0E31AF6BF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5117" name="AutoShape 12">
          <a:extLst>
            <a:ext uri="{FF2B5EF4-FFF2-40B4-BE49-F238E27FC236}">
              <a16:creationId xmlns:a16="http://schemas.microsoft.com/office/drawing/2014/main" id="{F8DA492A-94A1-4CC7-A7DA-E6F7555E5EF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5118" name="AutoShape 12">
          <a:extLst>
            <a:ext uri="{FF2B5EF4-FFF2-40B4-BE49-F238E27FC236}">
              <a16:creationId xmlns:a16="http://schemas.microsoft.com/office/drawing/2014/main" id="{EB40DBDF-8344-4D59-92E5-BA8AB831CAD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5119" name="AutoShape 12">
          <a:extLst>
            <a:ext uri="{FF2B5EF4-FFF2-40B4-BE49-F238E27FC236}">
              <a16:creationId xmlns:a16="http://schemas.microsoft.com/office/drawing/2014/main" id="{5A1AF194-E851-4C91-835F-504B2854B0C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5120" name="AutoShape 12">
          <a:extLst>
            <a:ext uri="{FF2B5EF4-FFF2-40B4-BE49-F238E27FC236}">
              <a16:creationId xmlns:a16="http://schemas.microsoft.com/office/drawing/2014/main" id="{22FFE463-9578-487E-BC04-4F38BBAFD84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5121" name="AutoShape 12">
          <a:extLst>
            <a:ext uri="{FF2B5EF4-FFF2-40B4-BE49-F238E27FC236}">
              <a16:creationId xmlns:a16="http://schemas.microsoft.com/office/drawing/2014/main" id="{D459A9DB-9FD0-45F8-9C29-FA74692F87A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5122" name="AutoShape 12">
          <a:extLst>
            <a:ext uri="{FF2B5EF4-FFF2-40B4-BE49-F238E27FC236}">
              <a16:creationId xmlns:a16="http://schemas.microsoft.com/office/drawing/2014/main" id="{E27F8C49-B880-4DEF-A8FD-A172CAD4ED9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5123" name="AutoShape 12">
          <a:extLst>
            <a:ext uri="{FF2B5EF4-FFF2-40B4-BE49-F238E27FC236}">
              <a16:creationId xmlns:a16="http://schemas.microsoft.com/office/drawing/2014/main" id="{5B69C415-539D-4E15-8272-21D390760E6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5124" name="AutoShape 12">
          <a:extLst>
            <a:ext uri="{FF2B5EF4-FFF2-40B4-BE49-F238E27FC236}">
              <a16:creationId xmlns:a16="http://schemas.microsoft.com/office/drawing/2014/main" id="{8DBCDBE4-75D9-4996-9EA2-3197D7E9D2E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5125" name="AutoShape 12">
          <a:extLst>
            <a:ext uri="{FF2B5EF4-FFF2-40B4-BE49-F238E27FC236}">
              <a16:creationId xmlns:a16="http://schemas.microsoft.com/office/drawing/2014/main" id="{05D9E209-E0A5-4DF6-A23D-B7C81303799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5126" name="AutoShape 12">
          <a:extLst>
            <a:ext uri="{FF2B5EF4-FFF2-40B4-BE49-F238E27FC236}">
              <a16:creationId xmlns:a16="http://schemas.microsoft.com/office/drawing/2014/main" id="{7EFA68B9-BC0E-4A2F-9F34-64E5CB05DAF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304800" cy="304094"/>
    <xdr:sp macro="" textlink="">
      <xdr:nvSpPr>
        <xdr:cNvPr id="5127" name="AutoShape 12">
          <a:extLst>
            <a:ext uri="{FF2B5EF4-FFF2-40B4-BE49-F238E27FC236}">
              <a16:creationId xmlns:a16="http://schemas.microsoft.com/office/drawing/2014/main" id="{5B279182-8C54-45DA-AE74-5A88EFAE0F6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128" name="AutoShape 12">
          <a:extLst>
            <a:ext uri="{FF2B5EF4-FFF2-40B4-BE49-F238E27FC236}">
              <a16:creationId xmlns:a16="http://schemas.microsoft.com/office/drawing/2014/main" id="{9057B4A1-5F46-4702-87F2-CDB4754A7E2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129" name="AutoShape 12">
          <a:extLst>
            <a:ext uri="{FF2B5EF4-FFF2-40B4-BE49-F238E27FC236}">
              <a16:creationId xmlns:a16="http://schemas.microsoft.com/office/drawing/2014/main" id="{593C35A8-EC8E-418B-8C08-F04686B9936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130" name="AutoShape 12">
          <a:extLst>
            <a:ext uri="{FF2B5EF4-FFF2-40B4-BE49-F238E27FC236}">
              <a16:creationId xmlns:a16="http://schemas.microsoft.com/office/drawing/2014/main" id="{754A7F6E-2982-4269-AC44-F7A2078883D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131" name="AutoShape 12">
          <a:extLst>
            <a:ext uri="{FF2B5EF4-FFF2-40B4-BE49-F238E27FC236}">
              <a16:creationId xmlns:a16="http://schemas.microsoft.com/office/drawing/2014/main" id="{A09589C8-CF5C-4497-88AE-C3369BAE3E5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132" name="AutoShape 12">
          <a:extLst>
            <a:ext uri="{FF2B5EF4-FFF2-40B4-BE49-F238E27FC236}">
              <a16:creationId xmlns:a16="http://schemas.microsoft.com/office/drawing/2014/main" id="{36931286-2A8C-4451-BCF0-4771CD156C5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133" name="AutoShape 12">
          <a:extLst>
            <a:ext uri="{FF2B5EF4-FFF2-40B4-BE49-F238E27FC236}">
              <a16:creationId xmlns:a16="http://schemas.microsoft.com/office/drawing/2014/main" id="{7780C6C1-657E-4F71-9166-1ACEA15C2FD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134" name="AutoShape 12">
          <a:extLst>
            <a:ext uri="{FF2B5EF4-FFF2-40B4-BE49-F238E27FC236}">
              <a16:creationId xmlns:a16="http://schemas.microsoft.com/office/drawing/2014/main" id="{BD0F1914-11DD-4053-858B-A791321EF85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135" name="AutoShape 12">
          <a:extLst>
            <a:ext uri="{FF2B5EF4-FFF2-40B4-BE49-F238E27FC236}">
              <a16:creationId xmlns:a16="http://schemas.microsoft.com/office/drawing/2014/main" id="{0BE3BAE3-F4BD-4525-A03A-A7002F8946F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136" name="AutoShape 12">
          <a:extLst>
            <a:ext uri="{FF2B5EF4-FFF2-40B4-BE49-F238E27FC236}">
              <a16:creationId xmlns:a16="http://schemas.microsoft.com/office/drawing/2014/main" id="{7F6AAFAF-10BB-4BDF-8712-87035BB4C34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137" name="AutoShape 12">
          <a:extLst>
            <a:ext uri="{FF2B5EF4-FFF2-40B4-BE49-F238E27FC236}">
              <a16:creationId xmlns:a16="http://schemas.microsoft.com/office/drawing/2014/main" id="{3FAB1461-C824-4313-82E8-7665CC6C042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138" name="AutoShape 12">
          <a:extLst>
            <a:ext uri="{FF2B5EF4-FFF2-40B4-BE49-F238E27FC236}">
              <a16:creationId xmlns:a16="http://schemas.microsoft.com/office/drawing/2014/main" id="{8FDBDE28-99F4-4534-9E0B-67751F893C6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139" name="AutoShape 12">
          <a:extLst>
            <a:ext uri="{FF2B5EF4-FFF2-40B4-BE49-F238E27FC236}">
              <a16:creationId xmlns:a16="http://schemas.microsoft.com/office/drawing/2014/main" id="{56A300EE-F099-4CEF-8136-797D5E4163D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140" name="AutoShape 12">
          <a:extLst>
            <a:ext uri="{FF2B5EF4-FFF2-40B4-BE49-F238E27FC236}">
              <a16:creationId xmlns:a16="http://schemas.microsoft.com/office/drawing/2014/main" id="{A0064230-5688-41EE-B995-D04F7079792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141" name="AutoShape 12">
          <a:extLst>
            <a:ext uri="{FF2B5EF4-FFF2-40B4-BE49-F238E27FC236}">
              <a16:creationId xmlns:a16="http://schemas.microsoft.com/office/drawing/2014/main" id="{00C78AB6-2345-493B-81DF-383EC1EB397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142" name="AutoShape 12">
          <a:extLst>
            <a:ext uri="{FF2B5EF4-FFF2-40B4-BE49-F238E27FC236}">
              <a16:creationId xmlns:a16="http://schemas.microsoft.com/office/drawing/2014/main" id="{3C7B718E-A062-4744-ABD7-1CFEBC8E189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143" name="AutoShape 12">
          <a:extLst>
            <a:ext uri="{FF2B5EF4-FFF2-40B4-BE49-F238E27FC236}">
              <a16:creationId xmlns:a16="http://schemas.microsoft.com/office/drawing/2014/main" id="{A1CEC846-B7C3-41F9-8C90-50938FAC551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144" name="AutoShape 12">
          <a:extLst>
            <a:ext uri="{FF2B5EF4-FFF2-40B4-BE49-F238E27FC236}">
              <a16:creationId xmlns:a16="http://schemas.microsoft.com/office/drawing/2014/main" id="{732234AA-81E5-4AFB-AC21-1E3062B2B44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145" name="AutoShape 12">
          <a:extLst>
            <a:ext uri="{FF2B5EF4-FFF2-40B4-BE49-F238E27FC236}">
              <a16:creationId xmlns:a16="http://schemas.microsoft.com/office/drawing/2014/main" id="{1A05D0C6-2437-4203-8329-F99372055D3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146" name="AutoShape 12">
          <a:extLst>
            <a:ext uri="{FF2B5EF4-FFF2-40B4-BE49-F238E27FC236}">
              <a16:creationId xmlns:a16="http://schemas.microsoft.com/office/drawing/2014/main" id="{614F8BF1-663F-4F4D-B077-4C68B564A12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147" name="AutoShape 12">
          <a:extLst>
            <a:ext uri="{FF2B5EF4-FFF2-40B4-BE49-F238E27FC236}">
              <a16:creationId xmlns:a16="http://schemas.microsoft.com/office/drawing/2014/main" id="{2102D894-E703-4AE1-8E03-D343BEC50C9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148" name="AutoShape 12">
          <a:extLst>
            <a:ext uri="{FF2B5EF4-FFF2-40B4-BE49-F238E27FC236}">
              <a16:creationId xmlns:a16="http://schemas.microsoft.com/office/drawing/2014/main" id="{121D6DAF-CA1F-4D28-A021-707B50F7647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149" name="AutoShape 12">
          <a:extLst>
            <a:ext uri="{FF2B5EF4-FFF2-40B4-BE49-F238E27FC236}">
              <a16:creationId xmlns:a16="http://schemas.microsoft.com/office/drawing/2014/main" id="{1226540E-7E9F-469A-92F8-99C1572B5D3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150" name="AutoShape 12">
          <a:extLst>
            <a:ext uri="{FF2B5EF4-FFF2-40B4-BE49-F238E27FC236}">
              <a16:creationId xmlns:a16="http://schemas.microsoft.com/office/drawing/2014/main" id="{68511221-4201-4EE2-A8E5-2154055D5D9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151" name="AutoShape 12">
          <a:extLst>
            <a:ext uri="{FF2B5EF4-FFF2-40B4-BE49-F238E27FC236}">
              <a16:creationId xmlns:a16="http://schemas.microsoft.com/office/drawing/2014/main" id="{66C64593-7DF6-4B3F-A296-A68283658B1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152" name="AutoShape 12">
          <a:extLst>
            <a:ext uri="{FF2B5EF4-FFF2-40B4-BE49-F238E27FC236}">
              <a16:creationId xmlns:a16="http://schemas.microsoft.com/office/drawing/2014/main" id="{F251E522-50A8-4C2A-A807-49164030054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153" name="AutoShape 12">
          <a:extLst>
            <a:ext uri="{FF2B5EF4-FFF2-40B4-BE49-F238E27FC236}">
              <a16:creationId xmlns:a16="http://schemas.microsoft.com/office/drawing/2014/main" id="{21BF180A-473F-4E33-B523-100F7598EE1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154" name="AutoShape 12">
          <a:extLst>
            <a:ext uri="{FF2B5EF4-FFF2-40B4-BE49-F238E27FC236}">
              <a16:creationId xmlns:a16="http://schemas.microsoft.com/office/drawing/2014/main" id="{6619DDEC-573D-4F86-8034-CBE50508C73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155" name="AutoShape 12">
          <a:extLst>
            <a:ext uri="{FF2B5EF4-FFF2-40B4-BE49-F238E27FC236}">
              <a16:creationId xmlns:a16="http://schemas.microsoft.com/office/drawing/2014/main" id="{676978F8-656F-4E76-9B07-BD7FA6FDE56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156" name="AutoShape 12">
          <a:extLst>
            <a:ext uri="{FF2B5EF4-FFF2-40B4-BE49-F238E27FC236}">
              <a16:creationId xmlns:a16="http://schemas.microsoft.com/office/drawing/2014/main" id="{32A7537A-894E-4F49-9A3E-ECA293452A0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157" name="AutoShape 12">
          <a:extLst>
            <a:ext uri="{FF2B5EF4-FFF2-40B4-BE49-F238E27FC236}">
              <a16:creationId xmlns:a16="http://schemas.microsoft.com/office/drawing/2014/main" id="{7D5861C0-BDFA-47B7-BDF2-12934C936FD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158" name="AutoShape 12">
          <a:extLst>
            <a:ext uri="{FF2B5EF4-FFF2-40B4-BE49-F238E27FC236}">
              <a16:creationId xmlns:a16="http://schemas.microsoft.com/office/drawing/2014/main" id="{B3AE478C-B744-4F93-AE8B-6D5FF2C49EF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159" name="AutoShape 12">
          <a:extLst>
            <a:ext uri="{FF2B5EF4-FFF2-40B4-BE49-F238E27FC236}">
              <a16:creationId xmlns:a16="http://schemas.microsoft.com/office/drawing/2014/main" id="{DF1987E0-A0DE-4CF0-8EDB-FC57DA0B1F1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160" name="AutoShape 12">
          <a:extLst>
            <a:ext uri="{FF2B5EF4-FFF2-40B4-BE49-F238E27FC236}">
              <a16:creationId xmlns:a16="http://schemas.microsoft.com/office/drawing/2014/main" id="{B052298B-349A-4A6E-A793-31A3C3D4144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161" name="AutoShape 12">
          <a:extLst>
            <a:ext uri="{FF2B5EF4-FFF2-40B4-BE49-F238E27FC236}">
              <a16:creationId xmlns:a16="http://schemas.microsoft.com/office/drawing/2014/main" id="{CC0F93D1-8624-4456-94F9-3B941E3FF5B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162" name="AutoShape 12">
          <a:extLst>
            <a:ext uri="{FF2B5EF4-FFF2-40B4-BE49-F238E27FC236}">
              <a16:creationId xmlns:a16="http://schemas.microsoft.com/office/drawing/2014/main" id="{7A7164B2-18F3-43DA-ABF8-0ED885EF472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163" name="AutoShape 12">
          <a:extLst>
            <a:ext uri="{FF2B5EF4-FFF2-40B4-BE49-F238E27FC236}">
              <a16:creationId xmlns:a16="http://schemas.microsoft.com/office/drawing/2014/main" id="{472AEAE6-DF70-4FAD-BDFF-ED1A9A15E80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164" name="AutoShape 12">
          <a:extLst>
            <a:ext uri="{FF2B5EF4-FFF2-40B4-BE49-F238E27FC236}">
              <a16:creationId xmlns:a16="http://schemas.microsoft.com/office/drawing/2014/main" id="{1F8D4A8C-80C7-40B8-A74C-25CA36E394A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165" name="AutoShape 12">
          <a:extLst>
            <a:ext uri="{FF2B5EF4-FFF2-40B4-BE49-F238E27FC236}">
              <a16:creationId xmlns:a16="http://schemas.microsoft.com/office/drawing/2014/main" id="{D22F592B-AF21-471E-BF47-8F76B18CBB1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166" name="AutoShape 12">
          <a:extLst>
            <a:ext uri="{FF2B5EF4-FFF2-40B4-BE49-F238E27FC236}">
              <a16:creationId xmlns:a16="http://schemas.microsoft.com/office/drawing/2014/main" id="{84DAF3F4-6D53-44FE-898B-B37CB547C3C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167" name="AutoShape 12">
          <a:extLst>
            <a:ext uri="{FF2B5EF4-FFF2-40B4-BE49-F238E27FC236}">
              <a16:creationId xmlns:a16="http://schemas.microsoft.com/office/drawing/2014/main" id="{C9539DC2-D25F-4546-869A-0F769EBE80A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168" name="AutoShape 12">
          <a:extLst>
            <a:ext uri="{FF2B5EF4-FFF2-40B4-BE49-F238E27FC236}">
              <a16:creationId xmlns:a16="http://schemas.microsoft.com/office/drawing/2014/main" id="{C15B411F-B12C-4950-B327-BC9F67CBA01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169" name="AutoShape 12">
          <a:extLst>
            <a:ext uri="{FF2B5EF4-FFF2-40B4-BE49-F238E27FC236}">
              <a16:creationId xmlns:a16="http://schemas.microsoft.com/office/drawing/2014/main" id="{78F21E42-E0E3-4426-A1EF-AA44FC1DBA2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170" name="AutoShape 12">
          <a:extLst>
            <a:ext uri="{FF2B5EF4-FFF2-40B4-BE49-F238E27FC236}">
              <a16:creationId xmlns:a16="http://schemas.microsoft.com/office/drawing/2014/main" id="{587D9F4D-39A7-40E1-B3AB-C489819D077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171" name="AutoShape 12">
          <a:extLst>
            <a:ext uri="{FF2B5EF4-FFF2-40B4-BE49-F238E27FC236}">
              <a16:creationId xmlns:a16="http://schemas.microsoft.com/office/drawing/2014/main" id="{2733E069-2D07-40BD-8582-EB191DCD82C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172" name="AutoShape 12">
          <a:extLst>
            <a:ext uri="{FF2B5EF4-FFF2-40B4-BE49-F238E27FC236}">
              <a16:creationId xmlns:a16="http://schemas.microsoft.com/office/drawing/2014/main" id="{E3916B12-462B-49E9-915A-0DE14DBEA2F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173" name="AutoShape 12">
          <a:extLst>
            <a:ext uri="{FF2B5EF4-FFF2-40B4-BE49-F238E27FC236}">
              <a16:creationId xmlns:a16="http://schemas.microsoft.com/office/drawing/2014/main" id="{2B80C33C-E3DB-4C31-A823-D84A8595126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174" name="AutoShape 12">
          <a:extLst>
            <a:ext uri="{FF2B5EF4-FFF2-40B4-BE49-F238E27FC236}">
              <a16:creationId xmlns:a16="http://schemas.microsoft.com/office/drawing/2014/main" id="{18C8B23B-5A4F-4082-9388-264C6F4CE03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175" name="AutoShape 12">
          <a:extLst>
            <a:ext uri="{FF2B5EF4-FFF2-40B4-BE49-F238E27FC236}">
              <a16:creationId xmlns:a16="http://schemas.microsoft.com/office/drawing/2014/main" id="{450C1312-9B92-4FD7-A3F6-B55D95E76A6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176" name="AutoShape 12">
          <a:extLst>
            <a:ext uri="{FF2B5EF4-FFF2-40B4-BE49-F238E27FC236}">
              <a16:creationId xmlns:a16="http://schemas.microsoft.com/office/drawing/2014/main" id="{C67D62BE-02CA-4D51-AE2B-17F2350AC6A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177" name="AutoShape 12">
          <a:extLst>
            <a:ext uri="{FF2B5EF4-FFF2-40B4-BE49-F238E27FC236}">
              <a16:creationId xmlns:a16="http://schemas.microsoft.com/office/drawing/2014/main" id="{FBD7CCA9-406B-4F68-906E-21D28044C38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178" name="AutoShape 12">
          <a:extLst>
            <a:ext uri="{FF2B5EF4-FFF2-40B4-BE49-F238E27FC236}">
              <a16:creationId xmlns:a16="http://schemas.microsoft.com/office/drawing/2014/main" id="{6BA0CF7A-32A6-420F-BAE4-7401F02BD5E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179" name="AutoShape 12">
          <a:extLst>
            <a:ext uri="{FF2B5EF4-FFF2-40B4-BE49-F238E27FC236}">
              <a16:creationId xmlns:a16="http://schemas.microsoft.com/office/drawing/2014/main" id="{18E00AD6-7A05-47BD-A741-05D6CDC0523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180" name="AutoShape 12">
          <a:extLst>
            <a:ext uri="{FF2B5EF4-FFF2-40B4-BE49-F238E27FC236}">
              <a16:creationId xmlns:a16="http://schemas.microsoft.com/office/drawing/2014/main" id="{E2492838-67D2-407E-9908-BD26E2DCA2A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181" name="AutoShape 12">
          <a:extLst>
            <a:ext uri="{FF2B5EF4-FFF2-40B4-BE49-F238E27FC236}">
              <a16:creationId xmlns:a16="http://schemas.microsoft.com/office/drawing/2014/main" id="{EA169DDB-EDD5-46B4-9F0F-FF8639345F1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182" name="AutoShape 12">
          <a:extLst>
            <a:ext uri="{FF2B5EF4-FFF2-40B4-BE49-F238E27FC236}">
              <a16:creationId xmlns:a16="http://schemas.microsoft.com/office/drawing/2014/main" id="{116D6468-511F-4469-9AB9-7D0F456FF82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183" name="AutoShape 12">
          <a:extLst>
            <a:ext uri="{FF2B5EF4-FFF2-40B4-BE49-F238E27FC236}">
              <a16:creationId xmlns:a16="http://schemas.microsoft.com/office/drawing/2014/main" id="{02D828CA-B736-4ED9-90FE-EC7765C4107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184" name="AutoShape 12">
          <a:extLst>
            <a:ext uri="{FF2B5EF4-FFF2-40B4-BE49-F238E27FC236}">
              <a16:creationId xmlns:a16="http://schemas.microsoft.com/office/drawing/2014/main" id="{00C3EE89-3E46-4155-A7BC-A4C6CB9E16E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185" name="AutoShape 12">
          <a:extLst>
            <a:ext uri="{FF2B5EF4-FFF2-40B4-BE49-F238E27FC236}">
              <a16:creationId xmlns:a16="http://schemas.microsoft.com/office/drawing/2014/main" id="{2CDC6977-6A51-45E0-B9E6-D3676229A42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186" name="AutoShape 12">
          <a:extLst>
            <a:ext uri="{FF2B5EF4-FFF2-40B4-BE49-F238E27FC236}">
              <a16:creationId xmlns:a16="http://schemas.microsoft.com/office/drawing/2014/main" id="{888BE0AE-AFB5-42EC-99AD-1C52B9433E1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187" name="AutoShape 12">
          <a:extLst>
            <a:ext uri="{FF2B5EF4-FFF2-40B4-BE49-F238E27FC236}">
              <a16:creationId xmlns:a16="http://schemas.microsoft.com/office/drawing/2014/main" id="{7B4BC4F6-D108-4918-BA3F-79A43110B9F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188" name="AutoShape 12">
          <a:extLst>
            <a:ext uri="{FF2B5EF4-FFF2-40B4-BE49-F238E27FC236}">
              <a16:creationId xmlns:a16="http://schemas.microsoft.com/office/drawing/2014/main" id="{C3AB2EBB-7B9F-4E1F-AD26-561433CE8AC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189" name="AutoShape 12">
          <a:extLst>
            <a:ext uri="{FF2B5EF4-FFF2-40B4-BE49-F238E27FC236}">
              <a16:creationId xmlns:a16="http://schemas.microsoft.com/office/drawing/2014/main" id="{70BA5E13-1DBF-4281-9BED-7CA5181F704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190" name="AutoShape 12">
          <a:extLst>
            <a:ext uri="{FF2B5EF4-FFF2-40B4-BE49-F238E27FC236}">
              <a16:creationId xmlns:a16="http://schemas.microsoft.com/office/drawing/2014/main" id="{7347AC82-6772-4ADC-977B-7FB3C337CBB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191" name="AutoShape 12">
          <a:extLst>
            <a:ext uri="{FF2B5EF4-FFF2-40B4-BE49-F238E27FC236}">
              <a16:creationId xmlns:a16="http://schemas.microsoft.com/office/drawing/2014/main" id="{9B4E8C14-EC4C-4851-80D7-9755A9B34DC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192" name="AutoShape 12">
          <a:extLst>
            <a:ext uri="{FF2B5EF4-FFF2-40B4-BE49-F238E27FC236}">
              <a16:creationId xmlns:a16="http://schemas.microsoft.com/office/drawing/2014/main" id="{ECC984D4-BBA5-4DA5-BAD2-8DFAEA77FC8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193" name="AutoShape 12">
          <a:extLst>
            <a:ext uri="{FF2B5EF4-FFF2-40B4-BE49-F238E27FC236}">
              <a16:creationId xmlns:a16="http://schemas.microsoft.com/office/drawing/2014/main" id="{2B0345B7-9722-4E70-9C48-86165437737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194" name="AutoShape 12">
          <a:extLst>
            <a:ext uri="{FF2B5EF4-FFF2-40B4-BE49-F238E27FC236}">
              <a16:creationId xmlns:a16="http://schemas.microsoft.com/office/drawing/2014/main" id="{69FA1185-62A9-4A65-BA2F-C97E7F5C304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195" name="AutoShape 12">
          <a:extLst>
            <a:ext uri="{FF2B5EF4-FFF2-40B4-BE49-F238E27FC236}">
              <a16:creationId xmlns:a16="http://schemas.microsoft.com/office/drawing/2014/main" id="{DB1283DB-F523-4BEC-9A37-76419445143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196" name="AutoShape 12">
          <a:extLst>
            <a:ext uri="{FF2B5EF4-FFF2-40B4-BE49-F238E27FC236}">
              <a16:creationId xmlns:a16="http://schemas.microsoft.com/office/drawing/2014/main" id="{AE5CD5C1-CAAE-4407-BB45-F3B54EB76D1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197" name="AutoShape 12">
          <a:extLst>
            <a:ext uri="{FF2B5EF4-FFF2-40B4-BE49-F238E27FC236}">
              <a16:creationId xmlns:a16="http://schemas.microsoft.com/office/drawing/2014/main" id="{59587255-CDC4-4C89-860C-D7126A0B127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198" name="AutoShape 12">
          <a:extLst>
            <a:ext uri="{FF2B5EF4-FFF2-40B4-BE49-F238E27FC236}">
              <a16:creationId xmlns:a16="http://schemas.microsoft.com/office/drawing/2014/main" id="{A2271105-6DB8-4187-886C-B1FA955D4B2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199" name="AutoShape 12">
          <a:extLst>
            <a:ext uri="{FF2B5EF4-FFF2-40B4-BE49-F238E27FC236}">
              <a16:creationId xmlns:a16="http://schemas.microsoft.com/office/drawing/2014/main" id="{2D09A0DA-81B9-484F-9848-0E0AA5DACE5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200" name="AutoShape 12">
          <a:extLst>
            <a:ext uri="{FF2B5EF4-FFF2-40B4-BE49-F238E27FC236}">
              <a16:creationId xmlns:a16="http://schemas.microsoft.com/office/drawing/2014/main" id="{AB36AC75-BC9E-4763-9D57-9464FBAF3CB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201" name="AutoShape 12">
          <a:extLst>
            <a:ext uri="{FF2B5EF4-FFF2-40B4-BE49-F238E27FC236}">
              <a16:creationId xmlns:a16="http://schemas.microsoft.com/office/drawing/2014/main" id="{6C223881-C93A-495D-8362-523D1215243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202" name="AutoShape 12">
          <a:extLst>
            <a:ext uri="{FF2B5EF4-FFF2-40B4-BE49-F238E27FC236}">
              <a16:creationId xmlns:a16="http://schemas.microsoft.com/office/drawing/2014/main" id="{001A6554-7144-4DB4-B7BE-40F3EAB92DC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203" name="AutoShape 12">
          <a:extLst>
            <a:ext uri="{FF2B5EF4-FFF2-40B4-BE49-F238E27FC236}">
              <a16:creationId xmlns:a16="http://schemas.microsoft.com/office/drawing/2014/main" id="{956CE1A9-FC3F-4C39-B889-1CED5B5FB29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204" name="AutoShape 12">
          <a:extLst>
            <a:ext uri="{FF2B5EF4-FFF2-40B4-BE49-F238E27FC236}">
              <a16:creationId xmlns:a16="http://schemas.microsoft.com/office/drawing/2014/main" id="{76C28B2F-0C44-403D-8528-ED7F9F344C8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205" name="AutoShape 12">
          <a:extLst>
            <a:ext uri="{FF2B5EF4-FFF2-40B4-BE49-F238E27FC236}">
              <a16:creationId xmlns:a16="http://schemas.microsoft.com/office/drawing/2014/main" id="{4B2FA6FB-0B0F-401B-9A5B-6A932B13E9A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206" name="AutoShape 12">
          <a:extLst>
            <a:ext uri="{FF2B5EF4-FFF2-40B4-BE49-F238E27FC236}">
              <a16:creationId xmlns:a16="http://schemas.microsoft.com/office/drawing/2014/main" id="{1B234379-745D-46F8-BF5A-58ED513577F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207" name="AutoShape 12">
          <a:extLst>
            <a:ext uri="{FF2B5EF4-FFF2-40B4-BE49-F238E27FC236}">
              <a16:creationId xmlns:a16="http://schemas.microsoft.com/office/drawing/2014/main" id="{6921E302-A291-4139-8853-9C264649D40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208" name="AutoShape 12">
          <a:extLst>
            <a:ext uri="{FF2B5EF4-FFF2-40B4-BE49-F238E27FC236}">
              <a16:creationId xmlns:a16="http://schemas.microsoft.com/office/drawing/2014/main" id="{E2D00DEA-25F3-4549-8040-C368F78F162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209" name="AutoShape 12">
          <a:extLst>
            <a:ext uri="{FF2B5EF4-FFF2-40B4-BE49-F238E27FC236}">
              <a16:creationId xmlns:a16="http://schemas.microsoft.com/office/drawing/2014/main" id="{7C31A32E-0FAE-4325-8E98-C9F9496DBC6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210" name="AutoShape 12">
          <a:extLst>
            <a:ext uri="{FF2B5EF4-FFF2-40B4-BE49-F238E27FC236}">
              <a16:creationId xmlns:a16="http://schemas.microsoft.com/office/drawing/2014/main" id="{8E356916-17C6-4401-8B1E-5D9CCFEFA1F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211" name="AutoShape 12">
          <a:extLst>
            <a:ext uri="{FF2B5EF4-FFF2-40B4-BE49-F238E27FC236}">
              <a16:creationId xmlns:a16="http://schemas.microsoft.com/office/drawing/2014/main" id="{5A10ABB6-AB17-4DA5-968A-499414AA795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212" name="AutoShape 12">
          <a:extLst>
            <a:ext uri="{FF2B5EF4-FFF2-40B4-BE49-F238E27FC236}">
              <a16:creationId xmlns:a16="http://schemas.microsoft.com/office/drawing/2014/main" id="{7904261D-BB91-40AC-A574-D275058538D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213" name="AutoShape 12">
          <a:extLst>
            <a:ext uri="{FF2B5EF4-FFF2-40B4-BE49-F238E27FC236}">
              <a16:creationId xmlns:a16="http://schemas.microsoft.com/office/drawing/2014/main" id="{8150C4AC-E08B-4288-B6AE-30400BBA321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214" name="AutoShape 12">
          <a:extLst>
            <a:ext uri="{FF2B5EF4-FFF2-40B4-BE49-F238E27FC236}">
              <a16:creationId xmlns:a16="http://schemas.microsoft.com/office/drawing/2014/main" id="{EFAA8C54-F7C0-4CAA-BF51-7F957A39714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215" name="AutoShape 12">
          <a:extLst>
            <a:ext uri="{FF2B5EF4-FFF2-40B4-BE49-F238E27FC236}">
              <a16:creationId xmlns:a16="http://schemas.microsoft.com/office/drawing/2014/main" id="{9A0876AC-1C1A-43AA-ACBC-4B9F0E398EF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216" name="AutoShape 12">
          <a:extLst>
            <a:ext uri="{FF2B5EF4-FFF2-40B4-BE49-F238E27FC236}">
              <a16:creationId xmlns:a16="http://schemas.microsoft.com/office/drawing/2014/main" id="{7C34C8A8-BC99-4023-8ABF-61F5D833D00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217" name="AutoShape 12">
          <a:extLst>
            <a:ext uri="{FF2B5EF4-FFF2-40B4-BE49-F238E27FC236}">
              <a16:creationId xmlns:a16="http://schemas.microsoft.com/office/drawing/2014/main" id="{2BAF8F4B-560F-4F98-985E-DE964E665DF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218" name="AutoShape 12">
          <a:extLst>
            <a:ext uri="{FF2B5EF4-FFF2-40B4-BE49-F238E27FC236}">
              <a16:creationId xmlns:a16="http://schemas.microsoft.com/office/drawing/2014/main" id="{73C164F7-3D07-4304-B522-19611216BC4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219" name="AutoShape 12">
          <a:extLst>
            <a:ext uri="{FF2B5EF4-FFF2-40B4-BE49-F238E27FC236}">
              <a16:creationId xmlns:a16="http://schemas.microsoft.com/office/drawing/2014/main" id="{15DF1B1E-AC40-4F52-B1E1-4053BEAFB60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220" name="AutoShape 12">
          <a:extLst>
            <a:ext uri="{FF2B5EF4-FFF2-40B4-BE49-F238E27FC236}">
              <a16:creationId xmlns:a16="http://schemas.microsoft.com/office/drawing/2014/main" id="{CE8D5A62-A63C-4A73-8705-9F1D15B2CC7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221" name="AutoShape 12">
          <a:extLst>
            <a:ext uri="{FF2B5EF4-FFF2-40B4-BE49-F238E27FC236}">
              <a16:creationId xmlns:a16="http://schemas.microsoft.com/office/drawing/2014/main" id="{BF8634BC-FE52-42B4-9458-212B8B44507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222" name="AutoShape 12">
          <a:extLst>
            <a:ext uri="{FF2B5EF4-FFF2-40B4-BE49-F238E27FC236}">
              <a16:creationId xmlns:a16="http://schemas.microsoft.com/office/drawing/2014/main" id="{2201132A-1A70-4E9F-9B79-B525B33E8DE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223" name="AutoShape 12">
          <a:extLst>
            <a:ext uri="{FF2B5EF4-FFF2-40B4-BE49-F238E27FC236}">
              <a16:creationId xmlns:a16="http://schemas.microsoft.com/office/drawing/2014/main" id="{A20B324D-B7D8-4A1A-A169-CAD503EA1DA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224" name="AutoShape 12">
          <a:extLst>
            <a:ext uri="{FF2B5EF4-FFF2-40B4-BE49-F238E27FC236}">
              <a16:creationId xmlns:a16="http://schemas.microsoft.com/office/drawing/2014/main" id="{BE089E1C-70EB-43C0-8672-A04AAE28F35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225" name="AutoShape 12">
          <a:extLst>
            <a:ext uri="{FF2B5EF4-FFF2-40B4-BE49-F238E27FC236}">
              <a16:creationId xmlns:a16="http://schemas.microsoft.com/office/drawing/2014/main" id="{E19991A5-36D3-4DF1-B75E-B94694617C8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226" name="AutoShape 12">
          <a:extLst>
            <a:ext uri="{FF2B5EF4-FFF2-40B4-BE49-F238E27FC236}">
              <a16:creationId xmlns:a16="http://schemas.microsoft.com/office/drawing/2014/main" id="{7AF378CE-4939-420C-A5EB-5C71ACF32EA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227" name="AutoShape 12">
          <a:extLst>
            <a:ext uri="{FF2B5EF4-FFF2-40B4-BE49-F238E27FC236}">
              <a16:creationId xmlns:a16="http://schemas.microsoft.com/office/drawing/2014/main" id="{23D90DE2-06A4-4E9F-9E23-1A5EB998306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228" name="AutoShape 12">
          <a:extLst>
            <a:ext uri="{FF2B5EF4-FFF2-40B4-BE49-F238E27FC236}">
              <a16:creationId xmlns:a16="http://schemas.microsoft.com/office/drawing/2014/main" id="{A22B1933-7829-4621-AC10-BBE6A5BAC37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229" name="AutoShape 12">
          <a:extLst>
            <a:ext uri="{FF2B5EF4-FFF2-40B4-BE49-F238E27FC236}">
              <a16:creationId xmlns:a16="http://schemas.microsoft.com/office/drawing/2014/main" id="{8ACE60CA-13ED-48A6-B962-727404B4F09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230" name="AutoShape 12">
          <a:extLst>
            <a:ext uri="{FF2B5EF4-FFF2-40B4-BE49-F238E27FC236}">
              <a16:creationId xmlns:a16="http://schemas.microsoft.com/office/drawing/2014/main" id="{07F69A86-F3E5-4F72-96B6-67746A1B4E4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231" name="AutoShape 12">
          <a:extLst>
            <a:ext uri="{FF2B5EF4-FFF2-40B4-BE49-F238E27FC236}">
              <a16:creationId xmlns:a16="http://schemas.microsoft.com/office/drawing/2014/main" id="{FF931A41-17B6-455B-AE95-ACA554760DC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232" name="AutoShape 12">
          <a:extLst>
            <a:ext uri="{FF2B5EF4-FFF2-40B4-BE49-F238E27FC236}">
              <a16:creationId xmlns:a16="http://schemas.microsoft.com/office/drawing/2014/main" id="{55479F13-8814-4194-87A5-E6C3816C7F1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233" name="AutoShape 12">
          <a:extLst>
            <a:ext uri="{FF2B5EF4-FFF2-40B4-BE49-F238E27FC236}">
              <a16:creationId xmlns:a16="http://schemas.microsoft.com/office/drawing/2014/main" id="{AF84FF06-95BB-4A65-99FA-5DCD981D989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234" name="AutoShape 12">
          <a:extLst>
            <a:ext uri="{FF2B5EF4-FFF2-40B4-BE49-F238E27FC236}">
              <a16:creationId xmlns:a16="http://schemas.microsoft.com/office/drawing/2014/main" id="{C21A5A86-4480-4591-BD00-E9B4F407427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235" name="AutoShape 12">
          <a:extLst>
            <a:ext uri="{FF2B5EF4-FFF2-40B4-BE49-F238E27FC236}">
              <a16:creationId xmlns:a16="http://schemas.microsoft.com/office/drawing/2014/main" id="{0CAB47CE-507D-4586-8EF9-DA0C1438FDC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236" name="AutoShape 12">
          <a:extLst>
            <a:ext uri="{FF2B5EF4-FFF2-40B4-BE49-F238E27FC236}">
              <a16:creationId xmlns:a16="http://schemas.microsoft.com/office/drawing/2014/main" id="{BCFFD0FB-8575-4240-8121-E5A6DC20F02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237" name="AutoShape 12">
          <a:extLst>
            <a:ext uri="{FF2B5EF4-FFF2-40B4-BE49-F238E27FC236}">
              <a16:creationId xmlns:a16="http://schemas.microsoft.com/office/drawing/2014/main" id="{B01529CE-CD26-4DE0-A824-5115671DA8A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238" name="AutoShape 12">
          <a:extLst>
            <a:ext uri="{FF2B5EF4-FFF2-40B4-BE49-F238E27FC236}">
              <a16:creationId xmlns:a16="http://schemas.microsoft.com/office/drawing/2014/main" id="{AD698BC8-1BED-4F45-ACCC-5C6FC45E768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239" name="AutoShape 12">
          <a:extLst>
            <a:ext uri="{FF2B5EF4-FFF2-40B4-BE49-F238E27FC236}">
              <a16:creationId xmlns:a16="http://schemas.microsoft.com/office/drawing/2014/main" id="{20B9E9FE-65CD-4E20-B300-11366BEF868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240" name="AutoShape 12">
          <a:extLst>
            <a:ext uri="{FF2B5EF4-FFF2-40B4-BE49-F238E27FC236}">
              <a16:creationId xmlns:a16="http://schemas.microsoft.com/office/drawing/2014/main" id="{7A8ED29D-9F87-4F57-B075-065F23E5A68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241" name="AutoShape 12">
          <a:extLst>
            <a:ext uri="{FF2B5EF4-FFF2-40B4-BE49-F238E27FC236}">
              <a16:creationId xmlns:a16="http://schemas.microsoft.com/office/drawing/2014/main" id="{6B637C22-5CE3-40DF-A3C7-41D9985BA7A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242" name="AutoShape 12">
          <a:extLst>
            <a:ext uri="{FF2B5EF4-FFF2-40B4-BE49-F238E27FC236}">
              <a16:creationId xmlns:a16="http://schemas.microsoft.com/office/drawing/2014/main" id="{B0BA5820-DCA2-4CB6-AB8A-9CAC96B4F42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243" name="AutoShape 12">
          <a:extLst>
            <a:ext uri="{FF2B5EF4-FFF2-40B4-BE49-F238E27FC236}">
              <a16:creationId xmlns:a16="http://schemas.microsoft.com/office/drawing/2014/main" id="{59E59422-CDA8-4FDE-90F1-148B9D86706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244" name="AutoShape 12">
          <a:extLst>
            <a:ext uri="{FF2B5EF4-FFF2-40B4-BE49-F238E27FC236}">
              <a16:creationId xmlns:a16="http://schemas.microsoft.com/office/drawing/2014/main" id="{41732436-80B2-4187-A916-8ED44E5FEE8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245" name="AutoShape 12">
          <a:extLst>
            <a:ext uri="{FF2B5EF4-FFF2-40B4-BE49-F238E27FC236}">
              <a16:creationId xmlns:a16="http://schemas.microsoft.com/office/drawing/2014/main" id="{87ABD995-57E3-42DD-810C-93AA9A60EF7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246" name="AutoShape 12">
          <a:extLst>
            <a:ext uri="{FF2B5EF4-FFF2-40B4-BE49-F238E27FC236}">
              <a16:creationId xmlns:a16="http://schemas.microsoft.com/office/drawing/2014/main" id="{5A4091C1-37BF-4F6E-A1E5-5BA3C3D25BC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247" name="AutoShape 12">
          <a:extLst>
            <a:ext uri="{FF2B5EF4-FFF2-40B4-BE49-F238E27FC236}">
              <a16:creationId xmlns:a16="http://schemas.microsoft.com/office/drawing/2014/main" id="{B93D1402-650B-4BDC-ACCD-6FCCF736E15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248" name="AutoShape 12">
          <a:extLst>
            <a:ext uri="{FF2B5EF4-FFF2-40B4-BE49-F238E27FC236}">
              <a16:creationId xmlns:a16="http://schemas.microsoft.com/office/drawing/2014/main" id="{1DF8014E-3D78-4DDE-9B49-A5EB2D7C27E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249" name="AutoShape 12">
          <a:extLst>
            <a:ext uri="{FF2B5EF4-FFF2-40B4-BE49-F238E27FC236}">
              <a16:creationId xmlns:a16="http://schemas.microsoft.com/office/drawing/2014/main" id="{D39CA172-9678-4DF3-B77E-F4DB0C65CA2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250" name="AutoShape 12">
          <a:extLst>
            <a:ext uri="{FF2B5EF4-FFF2-40B4-BE49-F238E27FC236}">
              <a16:creationId xmlns:a16="http://schemas.microsoft.com/office/drawing/2014/main" id="{FF095518-2412-4CC2-9C11-244050D4599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251" name="AutoShape 12">
          <a:extLst>
            <a:ext uri="{FF2B5EF4-FFF2-40B4-BE49-F238E27FC236}">
              <a16:creationId xmlns:a16="http://schemas.microsoft.com/office/drawing/2014/main" id="{882D2A44-2C3B-417D-B346-60E90FB08EF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252" name="AutoShape 12">
          <a:extLst>
            <a:ext uri="{FF2B5EF4-FFF2-40B4-BE49-F238E27FC236}">
              <a16:creationId xmlns:a16="http://schemas.microsoft.com/office/drawing/2014/main" id="{DB8F4188-9F99-457E-AE8E-0BD4ABC81B7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253" name="AutoShape 12">
          <a:extLst>
            <a:ext uri="{FF2B5EF4-FFF2-40B4-BE49-F238E27FC236}">
              <a16:creationId xmlns:a16="http://schemas.microsoft.com/office/drawing/2014/main" id="{B39696D4-2091-4D9E-B898-8555F7CB059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254" name="AutoShape 12">
          <a:extLst>
            <a:ext uri="{FF2B5EF4-FFF2-40B4-BE49-F238E27FC236}">
              <a16:creationId xmlns:a16="http://schemas.microsoft.com/office/drawing/2014/main" id="{2E50C537-55A0-4209-8B73-D1A7AAD5DE7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255" name="AutoShape 12">
          <a:extLst>
            <a:ext uri="{FF2B5EF4-FFF2-40B4-BE49-F238E27FC236}">
              <a16:creationId xmlns:a16="http://schemas.microsoft.com/office/drawing/2014/main" id="{60798613-1553-4ABF-96B2-76C4FDC317F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256" name="AutoShape 12">
          <a:extLst>
            <a:ext uri="{FF2B5EF4-FFF2-40B4-BE49-F238E27FC236}">
              <a16:creationId xmlns:a16="http://schemas.microsoft.com/office/drawing/2014/main" id="{D427A43B-517C-4B68-AE75-38E0141BDF4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257" name="AutoShape 12">
          <a:extLst>
            <a:ext uri="{FF2B5EF4-FFF2-40B4-BE49-F238E27FC236}">
              <a16:creationId xmlns:a16="http://schemas.microsoft.com/office/drawing/2014/main" id="{29ADF75A-3354-46CC-8A40-729CE7F400E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258" name="AutoShape 12">
          <a:extLst>
            <a:ext uri="{FF2B5EF4-FFF2-40B4-BE49-F238E27FC236}">
              <a16:creationId xmlns:a16="http://schemas.microsoft.com/office/drawing/2014/main" id="{BB285B54-DE63-4362-8A66-A8EB4EAF460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259" name="AutoShape 12">
          <a:extLst>
            <a:ext uri="{FF2B5EF4-FFF2-40B4-BE49-F238E27FC236}">
              <a16:creationId xmlns:a16="http://schemas.microsoft.com/office/drawing/2014/main" id="{F13E4E53-1C4C-40A7-8D4C-DE32DF8944A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260" name="AutoShape 12">
          <a:extLst>
            <a:ext uri="{FF2B5EF4-FFF2-40B4-BE49-F238E27FC236}">
              <a16:creationId xmlns:a16="http://schemas.microsoft.com/office/drawing/2014/main" id="{17A4D453-4D57-40C6-BEFE-7D87678E400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261" name="AutoShape 12">
          <a:extLst>
            <a:ext uri="{FF2B5EF4-FFF2-40B4-BE49-F238E27FC236}">
              <a16:creationId xmlns:a16="http://schemas.microsoft.com/office/drawing/2014/main" id="{EE987A10-C7FB-4862-BC15-53151C7149A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262" name="AutoShape 12">
          <a:extLst>
            <a:ext uri="{FF2B5EF4-FFF2-40B4-BE49-F238E27FC236}">
              <a16:creationId xmlns:a16="http://schemas.microsoft.com/office/drawing/2014/main" id="{0BA41EC5-41E1-4D88-8B4A-780DDAC2918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263" name="AutoShape 12">
          <a:extLst>
            <a:ext uri="{FF2B5EF4-FFF2-40B4-BE49-F238E27FC236}">
              <a16:creationId xmlns:a16="http://schemas.microsoft.com/office/drawing/2014/main" id="{128CEBA7-2F23-4FFC-B094-CA8563D0490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264" name="AutoShape 12">
          <a:extLst>
            <a:ext uri="{FF2B5EF4-FFF2-40B4-BE49-F238E27FC236}">
              <a16:creationId xmlns:a16="http://schemas.microsoft.com/office/drawing/2014/main" id="{09816378-8A98-48C1-839A-8B1C8CE610D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265" name="AutoShape 12">
          <a:extLst>
            <a:ext uri="{FF2B5EF4-FFF2-40B4-BE49-F238E27FC236}">
              <a16:creationId xmlns:a16="http://schemas.microsoft.com/office/drawing/2014/main" id="{70B10B97-FBF9-4B81-956E-F6F196F56A8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266" name="AutoShape 12">
          <a:extLst>
            <a:ext uri="{FF2B5EF4-FFF2-40B4-BE49-F238E27FC236}">
              <a16:creationId xmlns:a16="http://schemas.microsoft.com/office/drawing/2014/main" id="{DF2D5D8A-78E6-40D0-9313-D309AEEDC40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267" name="AutoShape 12">
          <a:extLst>
            <a:ext uri="{FF2B5EF4-FFF2-40B4-BE49-F238E27FC236}">
              <a16:creationId xmlns:a16="http://schemas.microsoft.com/office/drawing/2014/main" id="{61102BB7-9AF9-40A2-90E2-3F254F99A26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268" name="AutoShape 12">
          <a:extLst>
            <a:ext uri="{FF2B5EF4-FFF2-40B4-BE49-F238E27FC236}">
              <a16:creationId xmlns:a16="http://schemas.microsoft.com/office/drawing/2014/main" id="{10367000-4554-4219-94C9-5A7EC28BC5F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269" name="AutoShape 12">
          <a:extLst>
            <a:ext uri="{FF2B5EF4-FFF2-40B4-BE49-F238E27FC236}">
              <a16:creationId xmlns:a16="http://schemas.microsoft.com/office/drawing/2014/main" id="{4458D212-8E8A-4A87-BE57-F563DDAE9EF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270" name="AutoShape 12">
          <a:extLst>
            <a:ext uri="{FF2B5EF4-FFF2-40B4-BE49-F238E27FC236}">
              <a16:creationId xmlns:a16="http://schemas.microsoft.com/office/drawing/2014/main" id="{9B0509FF-EAC4-418F-86DD-C50471ADF58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271" name="AutoShape 12">
          <a:extLst>
            <a:ext uri="{FF2B5EF4-FFF2-40B4-BE49-F238E27FC236}">
              <a16:creationId xmlns:a16="http://schemas.microsoft.com/office/drawing/2014/main" id="{98B261A9-A7AF-44A1-9E1A-77F978B7B1E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272" name="AutoShape 12">
          <a:extLst>
            <a:ext uri="{FF2B5EF4-FFF2-40B4-BE49-F238E27FC236}">
              <a16:creationId xmlns:a16="http://schemas.microsoft.com/office/drawing/2014/main" id="{7D57B439-697F-4EC6-A345-304A3316AC5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273" name="AutoShape 12">
          <a:extLst>
            <a:ext uri="{FF2B5EF4-FFF2-40B4-BE49-F238E27FC236}">
              <a16:creationId xmlns:a16="http://schemas.microsoft.com/office/drawing/2014/main" id="{EFABC473-DB8C-4C57-91DA-0B43A979DEC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274" name="AutoShape 12">
          <a:extLst>
            <a:ext uri="{FF2B5EF4-FFF2-40B4-BE49-F238E27FC236}">
              <a16:creationId xmlns:a16="http://schemas.microsoft.com/office/drawing/2014/main" id="{4738DDEB-A2DF-4145-B615-EE4F320A7C3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275" name="AutoShape 12">
          <a:extLst>
            <a:ext uri="{FF2B5EF4-FFF2-40B4-BE49-F238E27FC236}">
              <a16:creationId xmlns:a16="http://schemas.microsoft.com/office/drawing/2014/main" id="{70CF734B-7D14-4841-92EC-F7E7D304F0D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276" name="AutoShape 12">
          <a:extLst>
            <a:ext uri="{FF2B5EF4-FFF2-40B4-BE49-F238E27FC236}">
              <a16:creationId xmlns:a16="http://schemas.microsoft.com/office/drawing/2014/main" id="{892AA404-7808-4BCE-AA5B-EF8608D0E10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277" name="AutoShape 12">
          <a:extLst>
            <a:ext uri="{FF2B5EF4-FFF2-40B4-BE49-F238E27FC236}">
              <a16:creationId xmlns:a16="http://schemas.microsoft.com/office/drawing/2014/main" id="{995A8BF1-B624-4824-AB85-89652C76EDA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278" name="AutoShape 12">
          <a:extLst>
            <a:ext uri="{FF2B5EF4-FFF2-40B4-BE49-F238E27FC236}">
              <a16:creationId xmlns:a16="http://schemas.microsoft.com/office/drawing/2014/main" id="{47A5578B-D73C-47D2-9DD8-B8EF74D601F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279" name="AutoShape 12">
          <a:extLst>
            <a:ext uri="{FF2B5EF4-FFF2-40B4-BE49-F238E27FC236}">
              <a16:creationId xmlns:a16="http://schemas.microsoft.com/office/drawing/2014/main" id="{B8B9BBBC-FC06-41B1-B6D0-1BA70CFF6D7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280" name="AutoShape 12">
          <a:extLst>
            <a:ext uri="{FF2B5EF4-FFF2-40B4-BE49-F238E27FC236}">
              <a16:creationId xmlns:a16="http://schemas.microsoft.com/office/drawing/2014/main" id="{B119846B-080C-426F-A44D-F615F202DA7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281" name="AutoShape 12">
          <a:extLst>
            <a:ext uri="{FF2B5EF4-FFF2-40B4-BE49-F238E27FC236}">
              <a16:creationId xmlns:a16="http://schemas.microsoft.com/office/drawing/2014/main" id="{35E67623-C4D0-4BCA-A20A-6623AF18F6F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282" name="AutoShape 12">
          <a:extLst>
            <a:ext uri="{FF2B5EF4-FFF2-40B4-BE49-F238E27FC236}">
              <a16:creationId xmlns:a16="http://schemas.microsoft.com/office/drawing/2014/main" id="{3555015F-F5C6-42D3-918C-23C2D37840C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283" name="AutoShape 12">
          <a:extLst>
            <a:ext uri="{FF2B5EF4-FFF2-40B4-BE49-F238E27FC236}">
              <a16:creationId xmlns:a16="http://schemas.microsoft.com/office/drawing/2014/main" id="{A6C7AACA-20F0-4B83-AA19-2F222FBD334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284" name="AutoShape 12">
          <a:extLst>
            <a:ext uri="{FF2B5EF4-FFF2-40B4-BE49-F238E27FC236}">
              <a16:creationId xmlns:a16="http://schemas.microsoft.com/office/drawing/2014/main" id="{89BD80CE-FCB5-415D-9AFA-A26569C3AF8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285" name="AutoShape 12">
          <a:extLst>
            <a:ext uri="{FF2B5EF4-FFF2-40B4-BE49-F238E27FC236}">
              <a16:creationId xmlns:a16="http://schemas.microsoft.com/office/drawing/2014/main" id="{931B83BA-857B-4CFC-AE46-FF89DD84725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286" name="AutoShape 12">
          <a:extLst>
            <a:ext uri="{FF2B5EF4-FFF2-40B4-BE49-F238E27FC236}">
              <a16:creationId xmlns:a16="http://schemas.microsoft.com/office/drawing/2014/main" id="{066C5352-1AF9-4680-8122-013C846C3CF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287" name="AutoShape 12">
          <a:extLst>
            <a:ext uri="{FF2B5EF4-FFF2-40B4-BE49-F238E27FC236}">
              <a16:creationId xmlns:a16="http://schemas.microsoft.com/office/drawing/2014/main" id="{BBF365FF-844B-4244-88BF-328F4F2D31B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288" name="AutoShape 12">
          <a:extLst>
            <a:ext uri="{FF2B5EF4-FFF2-40B4-BE49-F238E27FC236}">
              <a16:creationId xmlns:a16="http://schemas.microsoft.com/office/drawing/2014/main" id="{98578AEC-F80F-4A00-839C-267A0C94C02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289" name="AutoShape 12">
          <a:extLst>
            <a:ext uri="{FF2B5EF4-FFF2-40B4-BE49-F238E27FC236}">
              <a16:creationId xmlns:a16="http://schemas.microsoft.com/office/drawing/2014/main" id="{F41948B4-F54A-44E5-B740-A3387EFDAEC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290" name="AutoShape 12">
          <a:extLst>
            <a:ext uri="{FF2B5EF4-FFF2-40B4-BE49-F238E27FC236}">
              <a16:creationId xmlns:a16="http://schemas.microsoft.com/office/drawing/2014/main" id="{47B28F4C-8899-4DE6-99BE-0219B77AAE3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291" name="AutoShape 12">
          <a:extLst>
            <a:ext uri="{FF2B5EF4-FFF2-40B4-BE49-F238E27FC236}">
              <a16:creationId xmlns:a16="http://schemas.microsoft.com/office/drawing/2014/main" id="{7A621136-B4CD-4C93-8358-FC591DE8E53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292" name="AutoShape 12">
          <a:extLst>
            <a:ext uri="{FF2B5EF4-FFF2-40B4-BE49-F238E27FC236}">
              <a16:creationId xmlns:a16="http://schemas.microsoft.com/office/drawing/2014/main" id="{F13A320A-286C-4934-A8AF-31BE6DF5865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293" name="AutoShape 12">
          <a:extLst>
            <a:ext uri="{FF2B5EF4-FFF2-40B4-BE49-F238E27FC236}">
              <a16:creationId xmlns:a16="http://schemas.microsoft.com/office/drawing/2014/main" id="{5D5AC6C8-5BD4-4556-9102-7CEC1B59692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294" name="AutoShape 12">
          <a:extLst>
            <a:ext uri="{FF2B5EF4-FFF2-40B4-BE49-F238E27FC236}">
              <a16:creationId xmlns:a16="http://schemas.microsoft.com/office/drawing/2014/main" id="{E5FF3E65-C06D-4162-BCDB-E4F8A11D776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295" name="AutoShape 12">
          <a:extLst>
            <a:ext uri="{FF2B5EF4-FFF2-40B4-BE49-F238E27FC236}">
              <a16:creationId xmlns:a16="http://schemas.microsoft.com/office/drawing/2014/main" id="{930CD7E8-DF85-481A-90C4-F52A203D73A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296" name="AutoShape 12">
          <a:extLst>
            <a:ext uri="{FF2B5EF4-FFF2-40B4-BE49-F238E27FC236}">
              <a16:creationId xmlns:a16="http://schemas.microsoft.com/office/drawing/2014/main" id="{3E4A0D69-82C0-42B1-80DE-8EF86A1DEFE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297" name="AutoShape 12">
          <a:extLst>
            <a:ext uri="{FF2B5EF4-FFF2-40B4-BE49-F238E27FC236}">
              <a16:creationId xmlns:a16="http://schemas.microsoft.com/office/drawing/2014/main" id="{9B863A5C-FCC0-4EEF-AF26-58CC47AFD5C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298" name="AutoShape 12">
          <a:extLst>
            <a:ext uri="{FF2B5EF4-FFF2-40B4-BE49-F238E27FC236}">
              <a16:creationId xmlns:a16="http://schemas.microsoft.com/office/drawing/2014/main" id="{3B28D867-3738-4CC6-9E3E-DC119E89114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299" name="AutoShape 12">
          <a:extLst>
            <a:ext uri="{FF2B5EF4-FFF2-40B4-BE49-F238E27FC236}">
              <a16:creationId xmlns:a16="http://schemas.microsoft.com/office/drawing/2014/main" id="{26449E46-A6C1-410A-8C89-6D0C9BA3D75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300" name="AutoShape 12">
          <a:extLst>
            <a:ext uri="{FF2B5EF4-FFF2-40B4-BE49-F238E27FC236}">
              <a16:creationId xmlns:a16="http://schemas.microsoft.com/office/drawing/2014/main" id="{3EA95858-96DB-4805-B779-A02BD06338D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301" name="AutoShape 12">
          <a:extLst>
            <a:ext uri="{FF2B5EF4-FFF2-40B4-BE49-F238E27FC236}">
              <a16:creationId xmlns:a16="http://schemas.microsoft.com/office/drawing/2014/main" id="{85579A63-7682-48B6-B87D-7F7BB1F5E15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302" name="AutoShape 12">
          <a:extLst>
            <a:ext uri="{FF2B5EF4-FFF2-40B4-BE49-F238E27FC236}">
              <a16:creationId xmlns:a16="http://schemas.microsoft.com/office/drawing/2014/main" id="{973063B6-550B-43E2-A7F4-2AF15EB6D08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303" name="AutoShape 12">
          <a:extLst>
            <a:ext uri="{FF2B5EF4-FFF2-40B4-BE49-F238E27FC236}">
              <a16:creationId xmlns:a16="http://schemas.microsoft.com/office/drawing/2014/main" id="{443DF1B1-FCD9-45D9-B713-D6635B69FC9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304" name="AutoShape 12">
          <a:extLst>
            <a:ext uri="{FF2B5EF4-FFF2-40B4-BE49-F238E27FC236}">
              <a16:creationId xmlns:a16="http://schemas.microsoft.com/office/drawing/2014/main" id="{B761BBC0-60C7-4AE2-BE95-07D230217A0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305" name="AutoShape 12">
          <a:extLst>
            <a:ext uri="{FF2B5EF4-FFF2-40B4-BE49-F238E27FC236}">
              <a16:creationId xmlns:a16="http://schemas.microsoft.com/office/drawing/2014/main" id="{4AE5D242-9905-4781-B355-B5B7B4D139D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306" name="AutoShape 12">
          <a:extLst>
            <a:ext uri="{FF2B5EF4-FFF2-40B4-BE49-F238E27FC236}">
              <a16:creationId xmlns:a16="http://schemas.microsoft.com/office/drawing/2014/main" id="{1A24352C-A5D6-426C-AE51-A3A7712FF2C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307" name="AutoShape 12">
          <a:extLst>
            <a:ext uri="{FF2B5EF4-FFF2-40B4-BE49-F238E27FC236}">
              <a16:creationId xmlns:a16="http://schemas.microsoft.com/office/drawing/2014/main" id="{26B85A07-4323-418A-AA36-DB2EF13BEE0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308" name="AutoShape 12">
          <a:extLst>
            <a:ext uri="{FF2B5EF4-FFF2-40B4-BE49-F238E27FC236}">
              <a16:creationId xmlns:a16="http://schemas.microsoft.com/office/drawing/2014/main" id="{7C39B1D8-F988-4FE6-8B75-DD1F8213356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309" name="AutoShape 12">
          <a:extLst>
            <a:ext uri="{FF2B5EF4-FFF2-40B4-BE49-F238E27FC236}">
              <a16:creationId xmlns:a16="http://schemas.microsoft.com/office/drawing/2014/main" id="{A28BFD39-17B1-4ED2-84B0-02AE0071E1B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310" name="AutoShape 12">
          <a:extLst>
            <a:ext uri="{FF2B5EF4-FFF2-40B4-BE49-F238E27FC236}">
              <a16:creationId xmlns:a16="http://schemas.microsoft.com/office/drawing/2014/main" id="{883D98C1-88CF-4FAC-89D8-89C3D17867C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311" name="AutoShape 12">
          <a:extLst>
            <a:ext uri="{FF2B5EF4-FFF2-40B4-BE49-F238E27FC236}">
              <a16:creationId xmlns:a16="http://schemas.microsoft.com/office/drawing/2014/main" id="{00B0EBB4-AD11-425D-ABBE-E4C9825B1E9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312" name="AutoShape 12">
          <a:extLst>
            <a:ext uri="{FF2B5EF4-FFF2-40B4-BE49-F238E27FC236}">
              <a16:creationId xmlns:a16="http://schemas.microsoft.com/office/drawing/2014/main" id="{106AE0B6-FC57-4EA0-94D1-F7604C552D2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313" name="AutoShape 12">
          <a:extLst>
            <a:ext uri="{FF2B5EF4-FFF2-40B4-BE49-F238E27FC236}">
              <a16:creationId xmlns:a16="http://schemas.microsoft.com/office/drawing/2014/main" id="{F0CBB718-46F7-4520-9E90-5D20967159F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314" name="AutoShape 12">
          <a:extLst>
            <a:ext uri="{FF2B5EF4-FFF2-40B4-BE49-F238E27FC236}">
              <a16:creationId xmlns:a16="http://schemas.microsoft.com/office/drawing/2014/main" id="{AB1451BF-39D4-484B-A992-29BBCB4E0E3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315" name="AutoShape 12">
          <a:extLst>
            <a:ext uri="{FF2B5EF4-FFF2-40B4-BE49-F238E27FC236}">
              <a16:creationId xmlns:a16="http://schemas.microsoft.com/office/drawing/2014/main" id="{041F5DE9-9C23-4B95-BB43-DF95B953F94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316" name="AutoShape 12">
          <a:extLst>
            <a:ext uri="{FF2B5EF4-FFF2-40B4-BE49-F238E27FC236}">
              <a16:creationId xmlns:a16="http://schemas.microsoft.com/office/drawing/2014/main" id="{F5FC3834-B67B-45B2-8319-47F91A48745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317" name="AutoShape 12">
          <a:extLst>
            <a:ext uri="{FF2B5EF4-FFF2-40B4-BE49-F238E27FC236}">
              <a16:creationId xmlns:a16="http://schemas.microsoft.com/office/drawing/2014/main" id="{A1981C46-84E9-4303-B349-32EB6C372E9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318" name="AutoShape 12">
          <a:extLst>
            <a:ext uri="{FF2B5EF4-FFF2-40B4-BE49-F238E27FC236}">
              <a16:creationId xmlns:a16="http://schemas.microsoft.com/office/drawing/2014/main" id="{CC0E27E9-819E-4AA0-BB8B-18EA587816A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319" name="AutoShape 12">
          <a:extLst>
            <a:ext uri="{FF2B5EF4-FFF2-40B4-BE49-F238E27FC236}">
              <a16:creationId xmlns:a16="http://schemas.microsoft.com/office/drawing/2014/main" id="{FADF6AE1-85B8-4141-96DC-E0C36FCC509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320" name="AutoShape 12">
          <a:extLst>
            <a:ext uri="{FF2B5EF4-FFF2-40B4-BE49-F238E27FC236}">
              <a16:creationId xmlns:a16="http://schemas.microsoft.com/office/drawing/2014/main" id="{015C5A1A-DC71-4852-B2E3-68558D79421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321" name="AutoShape 12">
          <a:extLst>
            <a:ext uri="{FF2B5EF4-FFF2-40B4-BE49-F238E27FC236}">
              <a16:creationId xmlns:a16="http://schemas.microsoft.com/office/drawing/2014/main" id="{580FCA32-59C1-4384-BE7A-573A9EE1062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322" name="AutoShape 12">
          <a:extLst>
            <a:ext uri="{FF2B5EF4-FFF2-40B4-BE49-F238E27FC236}">
              <a16:creationId xmlns:a16="http://schemas.microsoft.com/office/drawing/2014/main" id="{C4A2EB31-FFEC-45D2-A77E-1D5195680E9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323" name="AutoShape 12">
          <a:extLst>
            <a:ext uri="{FF2B5EF4-FFF2-40B4-BE49-F238E27FC236}">
              <a16:creationId xmlns:a16="http://schemas.microsoft.com/office/drawing/2014/main" id="{05C3B472-EDDD-4425-A0D5-DB1DFE20D66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324" name="AutoShape 12">
          <a:extLst>
            <a:ext uri="{FF2B5EF4-FFF2-40B4-BE49-F238E27FC236}">
              <a16:creationId xmlns:a16="http://schemas.microsoft.com/office/drawing/2014/main" id="{FE705742-E89E-40D7-9FD9-2040C6D03B6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325" name="AutoShape 12">
          <a:extLst>
            <a:ext uri="{FF2B5EF4-FFF2-40B4-BE49-F238E27FC236}">
              <a16:creationId xmlns:a16="http://schemas.microsoft.com/office/drawing/2014/main" id="{B4FBC62E-31C6-403C-AF89-58FC4AFBE9F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326" name="AutoShape 12">
          <a:extLst>
            <a:ext uri="{FF2B5EF4-FFF2-40B4-BE49-F238E27FC236}">
              <a16:creationId xmlns:a16="http://schemas.microsoft.com/office/drawing/2014/main" id="{FE2401DE-952A-4479-B77B-203DCF65589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327" name="AutoShape 12">
          <a:extLst>
            <a:ext uri="{FF2B5EF4-FFF2-40B4-BE49-F238E27FC236}">
              <a16:creationId xmlns:a16="http://schemas.microsoft.com/office/drawing/2014/main" id="{85B20C31-0AC5-4EFD-BFD3-65AC6F921B4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328" name="AutoShape 12">
          <a:extLst>
            <a:ext uri="{FF2B5EF4-FFF2-40B4-BE49-F238E27FC236}">
              <a16:creationId xmlns:a16="http://schemas.microsoft.com/office/drawing/2014/main" id="{6BF9B671-DCE9-42BB-8C47-A0E7DBA6E75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329" name="AutoShape 12">
          <a:extLst>
            <a:ext uri="{FF2B5EF4-FFF2-40B4-BE49-F238E27FC236}">
              <a16:creationId xmlns:a16="http://schemas.microsoft.com/office/drawing/2014/main" id="{D1C39C7D-0A39-4D03-B300-8DF8486A4C2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330" name="AutoShape 12">
          <a:extLst>
            <a:ext uri="{FF2B5EF4-FFF2-40B4-BE49-F238E27FC236}">
              <a16:creationId xmlns:a16="http://schemas.microsoft.com/office/drawing/2014/main" id="{A59A0B30-56E4-4213-B878-D5222AD14F6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331" name="AutoShape 12">
          <a:extLst>
            <a:ext uri="{FF2B5EF4-FFF2-40B4-BE49-F238E27FC236}">
              <a16:creationId xmlns:a16="http://schemas.microsoft.com/office/drawing/2014/main" id="{6D589CC6-65CB-4254-93D8-F269DD00EA5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332" name="AutoShape 12">
          <a:extLst>
            <a:ext uri="{FF2B5EF4-FFF2-40B4-BE49-F238E27FC236}">
              <a16:creationId xmlns:a16="http://schemas.microsoft.com/office/drawing/2014/main" id="{0AC19B4D-305D-4E09-AB0C-4B2C63DE7D6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333" name="AutoShape 12">
          <a:extLst>
            <a:ext uri="{FF2B5EF4-FFF2-40B4-BE49-F238E27FC236}">
              <a16:creationId xmlns:a16="http://schemas.microsoft.com/office/drawing/2014/main" id="{43B992F0-B735-49B2-BF54-59A9279E208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334" name="AutoShape 12">
          <a:extLst>
            <a:ext uri="{FF2B5EF4-FFF2-40B4-BE49-F238E27FC236}">
              <a16:creationId xmlns:a16="http://schemas.microsoft.com/office/drawing/2014/main" id="{A2A226F9-AC87-4D88-A6E4-89B53B4EDCF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335" name="AutoShape 12">
          <a:extLst>
            <a:ext uri="{FF2B5EF4-FFF2-40B4-BE49-F238E27FC236}">
              <a16:creationId xmlns:a16="http://schemas.microsoft.com/office/drawing/2014/main" id="{114786EE-9B0F-4786-8BE0-B5138E28751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336" name="AutoShape 12">
          <a:extLst>
            <a:ext uri="{FF2B5EF4-FFF2-40B4-BE49-F238E27FC236}">
              <a16:creationId xmlns:a16="http://schemas.microsoft.com/office/drawing/2014/main" id="{BC6C8220-616E-41DE-83B9-A032B14801F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337" name="AutoShape 12">
          <a:extLst>
            <a:ext uri="{FF2B5EF4-FFF2-40B4-BE49-F238E27FC236}">
              <a16:creationId xmlns:a16="http://schemas.microsoft.com/office/drawing/2014/main" id="{A2F7A3B9-999F-4FF7-B95B-C9686049B47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338" name="AutoShape 12">
          <a:extLst>
            <a:ext uri="{FF2B5EF4-FFF2-40B4-BE49-F238E27FC236}">
              <a16:creationId xmlns:a16="http://schemas.microsoft.com/office/drawing/2014/main" id="{6E47CD88-580A-4CDB-BCC2-B7A853806A7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339" name="AutoShape 12">
          <a:extLst>
            <a:ext uri="{FF2B5EF4-FFF2-40B4-BE49-F238E27FC236}">
              <a16:creationId xmlns:a16="http://schemas.microsoft.com/office/drawing/2014/main" id="{07187219-57E8-49F2-A6D0-D7873220AE5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340" name="AutoShape 12">
          <a:extLst>
            <a:ext uri="{FF2B5EF4-FFF2-40B4-BE49-F238E27FC236}">
              <a16:creationId xmlns:a16="http://schemas.microsoft.com/office/drawing/2014/main" id="{09730E11-E737-43ED-AFA9-D2582D917E9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341" name="AutoShape 12">
          <a:extLst>
            <a:ext uri="{FF2B5EF4-FFF2-40B4-BE49-F238E27FC236}">
              <a16:creationId xmlns:a16="http://schemas.microsoft.com/office/drawing/2014/main" id="{D65816B1-2520-4D0E-9FDD-07E0B0D2755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342" name="AutoShape 12">
          <a:extLst>
            <a:ext uri="{FF2B5EF4-FFF2-40B4-BE49-F238E27FC236}">
              <a16:creationId xmlns:a16="http://schemas.microsoft.com/office/drawing/2014/main" id="{5DD3FD89-10AF-4308-9BF2-F41F07958A5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343" name="AutoShape 12">
          <a:extLst>
            <a:ext uri="{FF2B5EF4-FFF2-40B4-BE49-F238E27FC236}">
              <a16:creationId xmlns:a16="http://schemas.microsoft.com/office/drawing/2014/main" id="{646374D1-EA5F-4E83-8660-4DBB25CD02A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344" name="AutoShape 12">
          <a:extLst>
            <a:ext uri="{FF2B5EF4-FFF2-40B4-BE49-F238E27FC236}">
              <a16:creationId xmlns:a16="http://schemas.microsoft.com/office/drawing/2014/main" id="{BEAC0981-ABC8-456B-B9A4-5B5433FA7E8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345" name="AutoShape 12">
          <a:extLst>
            <a:ext uri="{FF2B5EF4-FFF2-40B4-BE49-F238E27FC236}">
              <a16:creationId xmlns:a16="http://schemas.microsoft.com/office/drawing/2014/main" id="{4D3FDBD0-F761-4057-9D8E-AD11C6E1CD1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346" name="AutoShape 12">
          <a:extLst>
            <a:ext uri="{FF2B5EF4-FFF2-40B4-BE49-F238E27FC236}">
              <a16:creationId xmlns:a16="http://schemas.microsoft.com/office/drawing/2014/main" id="{5686F889-F786-47B4-A10C-DD67DC8F224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347" name="AutoShape 12">
          <a:extLst>
            <a:ext uri="{FF2B5EF4-FFF2-40B4-BE49-F238E27FC236}">
              <a16:creationId xmlns:a16="http://schemas.microsoft.com/office/drawing/2014/main" id="{3C3CA1BB-45FE-4D3E-81A7-0AE783C42D1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348" name="AutoShape 12">
          <a:extLst>
            <a:ext uri="{FF2B5EF4-FFF2-40B4-BE49-F238E27FC236}">
              <a16:creationId xmlns:a16="http://schemas.microsoft.com/office/drawing/2014/main" id="{E11A98C0-6F70-41CD-B22B-37478C031D3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349" name="AutoShape 12">
          <a:extLst>
            <a:ext uri="{FF2B5EF4-FFF2-40B4-BE49-F238E27FC236}">
              <a16:creationId xmlns:a16="http://schemas.microsoft.com/office/drawing/2014/main" id="{D1316EA2-14BF-47E7-BB26-06EB495522E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350" name="AutoShape 12">
          <a:extLst>
            <a:ext uri="{FF2B5EF4-FFF2-40B4-BE49-F238E27FC236}">
              <a16:creationId xmlns:a16="http://schemas.microsoft.com/office/drawing/2014/main" id="{F6F44774-7331-4C25-87EB-4C22CC17D2E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351" name="AutoShape 12">
          <a:extLst>
            <a:ext uri="{FF2B5EF4-FFF2-40B4-BE49-F238E27FC236}">
              <a16:creationId xmlns:a16="http://schemas.microsoft.com/office/drawing/2014/main" id="{6EF22B24-D0E2-4933-A11B-11C0D8B512A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352" name="AutoShape 12">
          <a:extLst>
            <a:ext uri="{FF2B5EF4-FFF2-40B4-BE49-F238E27FC236}">
              <a16:creationId xmlns:a16="http://schemas.microsoft.com/office/drawing/2014/main" id="{D7996A3A-6578-4757-9B92-97F67BBA691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353" name="AutoShape 12">
          <a:extLst>
            <a:ext uri="{FF2B5EF4-FFF2-40B4-BE49-F238E27FC236}">
              <a16:creationId xmlns:a16="http://schemas.microsoft.com/office/drawing/2014/main" id="{4BA5AB5C-A90A-4DC3-A055-6A893D0842D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354" name="AutoShape 12">
          <a:extLst>
            <a:ext uri="{FF2B5EF4-FFF2-40B4-BE49-F238E27FC236}">
              <a16:creationId xmlns:a16="http://schemas.microsoft.com/office/drawing/2014/main" id="{1695407A-F267-4429-A4D8-A82D2C07E8A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355" name="AutoShape 12">
          <a:extLst>
            <a:ext uri="{FF2B5EF4-FFF2-40B4-BE49-F238E27FC236}">
              <a16:creationId xmlns:a16="http://schemas.microsoft.com/office/drawing/2014/main" id="{32EE4B8E-653B-4A58-9765-5E196F96C56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356" name="AutoShape 12">
          <a:extLst>
            <a:ext uri="{FF2B5EF4-FFF2-40B4-BE49-F238E27FC236}">
              <a16:creationId xmlns:a16="http://schemas.microsoft.com/office/drawing/2014/main" id="{024A9BFD-4E50-4E33-9773-A1269A37D5E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357" name="AutoShape 12">
          <a:extLst>
            <a:ext uri="{FF2B5EF4-FFF2-40B4-BE49-F238E27FC236}">
              <a16:creationId xmlns:a16="http://schemas.microsoft.com/office/drawing/2014/main" id="{59054AB1-929A-4D44-AF5C-ADF09A2AD21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358" name="AutoShape 12">
          <a:extLst>
            <a:ext uri="{FF2B5EF4-FFF2-40B4-BE49-F238E27FC236}">
              <a16:creationId xmlns:a16="http://schemas.microsoft.com/office/drawing/2014/main" id="{B15C2865-7FC4-4AA1-B050-6E70E3062A0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359" name="AutoShape 12">
          <a:extLst>
            <a:ext uri="{FF2B5EF4-FFF2-40B4-BE49-F238E27FC236}">
              <a16:creationId xmlns:a16="http://schemas.microsoft.com/office/drawing/2014/main" id="{85A9C793-CF1F-41C3-8F58-D929FA81257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360" name="AutoShape 12">
          <a:extLst>
            <a:ext uri="{FF2B5EF4-FFF2-40B4-BE49-F238E27FC236}">
              <a16:creationId xmlns:a16="http://schemas.microsoft.com/office/drawing/2014/main" id="{D14A9FA3-BFC9-41C2-AB51-A23F824BA11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361" name="AutoShape 12">
          <a:extLst>
            <a:ext uri="{FF2B5EF4-FFF2-40B4-BE49-F238E27FC236}">
              <a16:creationId xmlns:a16="http://schemas.microsoft.com/office/drawing/2014/main" id="{A5EEC00A-AB33-4E5E-A1FA-E1BBD936E91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362" name="AutoShape 12">
          <a:extLst>
            <a:ext uri="{FF2B5EF4-FFF2-40B4-BE49-F238E27FC236}">
              <a16:creationId xmlns:a16="http://schemas.microsoft.com/office/drawing/2014/main" id="{003258C1-9342-4D46-8B42-F98F80B4D64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363" name="AutoShape 12">
          <a:extLst>
            <a:ext uri="{FF2B5EF4-FFF2-40B4-BE49-F238E27FC236}">
              <a16:creationId xmlns:a16="http://schemas.microsoft.com/office/drawing/2014/main" id="{5201DA8C-E11A-4A91-8DA6-62B5E4790FD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364" name="AutoShape 12">
          <a:extLst>
            <a:ext uri="{FF2B5EF4-FFF2-40B4-BE49-F238E27FC236}">
              <a16:creationId xmlns:a16="http://schemas.microsoft.com/office/drawing/2014/main" id="{655FE05F-3720-4A46-98CD-6DB0E95065B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365" name="AutoShape 12">
          <a:extLst>
            <a:ext uri="{FF2B5EF4-FFF2-40B4-BE49-F238E27FC236}">
              <a16:creationId xmlns:a16="http://schemas.microsoft.com/office/drawing/2014/main" id="{7EDA8B24-588C-40F0-A94C-4ABF053D4BD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366" name="AutoShape 12">
          <a:extLst>
            <a:ext uri="{FF2B5EF4-FFF2-40B4-BE49-F238E27FC236}">
              <a16:creationId xmlns:a16="http://schemas.microsoft.com/office/drawing/2014/main" id="{11FBC8B4-054C-4E9F-B496-E677AFC5B46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367" name="AutoShape 12">
          <a:extLst>
            <a:ext uri="{FF2B5EF4-FFF2-40B4-BE49-F238E27FC236}">
              <a16:creationId xmlns:a16="http://schemas.microsoft.com/office/drawing/2014/main" id="{75284F9E-7AF4-4B02-9273-3E03B8F498B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368" name="AutoShape 12">
          <a:extLst>
            <a:ext uri="{FF2B5EF4-FFF2-40B4-BE49-F238E27FC236}">
              <a16:creationId xmlns:a16="http://schemas.microsoft.com/office/drawing/2014/main" id="{4D70B23A-3CA9-43DC-B7C7-1A04D553353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369" name="AutoShape 12">
          <a:extLst>
            <a:ext uri="{FF2B5EF4-FFF2-40B4-BE49-F238E27FC236}">
              <a16:creationId xmlns:a16="http://schemas.microsoft.com/office/drawing/2014/main" id="{017D8DE1-96DC-4771-8073-94177E6B252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370" name="AutoShape 12">
          <a:extLst>
            <a:ext uri="{FF2B5EF4-FFF2-40B4-BE49-F238E27FC236}">
              <a16:creationId xmlns:a16="http://schemas.microsoft.com/office/drawing/2014/main" id="{DD278C82-74EA-4B35-B9D5-87D5146FBBC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371" name="AutoShape 12">
          <a:extLst>
            <a:ext uri="{FF2B5EF4-FFF2-40B4-BE49-F238E27FC236}">
              <a16:creationId xmlns:a16="http://schemas.microsoft.com/office/drawing/2014/main" id="{EC4FC441-E75D-4605-B749-2532CE3BFA3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372" name="AutoShape 12">
          <a:extLst>
            <a:ext uri="{FF2B5EF4-FFF2-40B4-BE49-F238E27FC236}">
              <a16:creationId xmlns:a16="http://schemas.microsoft.com/office/drawing/2014/main" id="{DD3A70E6-8083-49C3-BE85-48746E31DC2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373" name="AutoShape 12">
          <a:extLst>
            <a:ext uri="{FF2B5EF4-FFF2-40B4-BE49-F238E27FC236}">
              <a16:creationId xmlns:a16="http://schemas.microsoft.com/office/drawing/2014/main" id="{BD8D8792-4CAC-4502-993C-9559F73C82A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374" name="AutoShape 12">
          <a:extLst>
            <a:ext uri="{FF2B5EF4-FFF2-40B4-BE49-F238E27FC236}">
              <a16:creationId xmlns:a16="http://schemas.microsoft.com/office/drawing/2014/main" id="{A6D91D12-1244-4973-AFEA-2F17C55D906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375" name="AutoShape 12">
          <a:extLst>
            <a:ext uri="{FF2B5EF4-FFF2-40B4-BE49-F238E27FC236}">
              <a16:creationId xmlns:a16="http://schemas.microsoft.com/office/drawing/2014/main" id="{868E0830-F465-42F8-A545-AB82070067C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376" name="AutoShape 12">
          <a:extLst>
            <a:ext uri="{FF2B5EF4-FFF2-40B4-BE49-F238E27FC236}">
              <a16:creationId xmlns:a16="http://schemas.microsoft.com/office/drawing/2014/main" id="{44ACB85F-20D3-4392-85A7-E447CB7A3FA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377" name="AutoShape 12">
          <a:extLst>
            <a:ext uri="{FF2B5EF4-FFF2-40B4-BE49-F238E27FC236}">
              <a16:creationId xmlns:a16="http://schemas.microsoft.com/office/drawing/2014/main" id="{7D664E53-22F5-4E16-912A-C683D50B3BD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378" name="AutoShape 12">
          <a:extLst>
            <a:ext uri="{FF2B5EF4-FFF2-40B4-BE49-F238E27FC236}">
              <a16:creationId xmlns:a16="http://schemas.microsoft.com/office/drawing/2014/main" id="{F5829CD3-52C1-4C45-B0DF-E34A41BA3F3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379" name="AutoShape 12">
          <a:extLst>
            <a:ext uri="{FF2B5EF4-FFF2-40B4-BE49-F238E27FC236}">
              <a16:creationId xmlns:a16="http://schemas.microsoft.com/office/drawing/2014/main" id="{846B0ADE-EC1F-4FA1-B0C8-4B0D2E652EE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380" name="AutoShape 12">
          <a:extLst>
            <a:ext uri="{FF2B5EF4-FFF2-40B4-BE49-F238E27FC236}">
              <a16:creationId xmlns:a16="http://schemas.microsoft.com/office/drawing/2014/main" id="{A7BE569D-7016-4309-AA70-5875533F50A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381" name="AutoShape 12">
          <a:extLst>
            <a:ext uri="{FF2B5EF4-FFF2-40B4-BE49-F238E27FC236}">
              <a16:creationId xmlns:a16="http://schemas.microsoft.com/office/drawing/2014/main" id="{2204327A-8881-4CFE-BCFD-9EA6EC15F5F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382" name="AutoShape 12">
          <a:extLst>
            <a:ext uri="{FF2B5EF4-FFF2-40B4-BE49-F238E27FC236}">
              <a16:creationId xmlns:a16="http://schemas.microsoft.com/office/drawing/2014/main" id="{0C654070-DDAD-4D6A-BC7A-2E86AFAA811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383" name="AutoShape 12">
          <a:extLst>
            <a:ext uri="{FF2B5EF4-FFF2-40B4-BE49-F238E27FC236}">
              <a16:creationId xmlns:a16="http://schemas.microsoft.com/office/drawing/2014/main" id="{89512D42-8905-473D-B176-9A4031A0BEE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384" name="AutoShape 12">
          <a:extLst>
            <a:ext uri="{FF2B5EF4-FFF2-40B4-BE49-F238E27FC236}">
              <a16:creationId xmlns:a16="http://schemas.microsoft.com/office/drawing/2014/main" id="{9CEC429B-9B72-43E2-819A-7AD51BFB231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385" name="AutoShape 12">
          <a:extLst>
            <a:ext uri="{FF2B5EF4-FFF2-40B4-BE49-F238E27FC236}">
              <a16:creationId xmlns:a16="http://schemas.microsoft.com/office/drawing/2014/main" id="{1151A40C-9271-42F4-8459-FAC85377D87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386" name="AutoShape 12">
          <a:extLst>
            <a:ext uri="{FF2B5EF4-FFF2-40B4-BE49-F238E27FC236}">
              <a16:creationId xmlns:a16="http://schemas.microsoft.com/office/drawing/2014/main" id="{8DA5936B-8585-417A-A67B-89D72E31EF0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387" name="AutoShape 12">
          <a:extLst>
            <a:ext uri="{FF2B5EF4-FFF2-40B4-BE49-F238E27FC236}">
              <a16:creationId xmlns:a16="http://schemas.microsoft.com/office/drawing/2014/main" id="{2DA01C69-2A15-4F1A-81D6-DC63FFA77F3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388" name="AutoShape 12">
          <a:extLst>
            <a:ext uri="{FF2B5EF4-FFF2-40B4-BE49-F238E27FC236}">
              <a16:creationId xmlns:a16="http://schemas.microsoft.com/office/drawing/2014/main" id="{5E73A338-A51B-4E1E-A936-D37799128D4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389" name="AutoShape 12">
          <a:extLst>
            <a:ext uri="{FF2B5EF4-FFF2-40B4-BE49-F238E27FC236}">
              <a16:creationId xmlns:a16="http://schemas.microsoft.com/office/drawing/2014/main" id="{86B0BC0F-D84F-423C-A82C-1561FA0A5CA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390" name="AutoShape 12">
          <a:extLst>
            <a:ext uri="{FF2B5EF4-FFF2-40B4-BE49-F238E27FC236}">
              <a16:creationId xmlns:a16="http://schemas.microsoft.com/office/drawing/2014/main" id="{0F505F10-3ECB-4A81-9860-332A23D3EE7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391" name="AutoShape 12">
          <a:extLst>
            <a:ext uri="{FF2B5EF4-FFF2-40B4-BE49-F238E27FC236}">
              <a16:creationId xmlns:a16="http://schemas.microsoft.com/office/drawing/2014/main" id="{E5565DC7-6D3B-43C8-A982-715C02F8A86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392" name="AutoShape 12">
          <a:extLst>
            <a:ext uri="{FF2B5EF4-FFF2-40B4-BE49-F238E27FC236}">
              <a16:creationId xmlns:a16="http://schemas.microsoft.com/office/drawing/2014/main" id="{0C0321CB-808E-4506-8169-3E446F66698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393" name="AutoShape 12">
          <a:extLst>
            <a:ext uri="{FF2B5EF4-FFF2-40B4-BE49-F238E27FC236}">
              <a16:creationId xmlns:a16="http://schemas.microsoft.com/office/drawing/2014/main" id="{0CD4908F-CFEE-4EE1-8242-520E34FA837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394" name="AutoShape 12">
          <a:extLst>
            <a:ext uri="{FF2B5EF4-FFF2-40B4-BE49-F238E27FC236}">
              <a16:creationId xmlns:a16="http://schemas.microsoft.com/office/drawing/2014/main" id="{A517AB1D-D9AB-4DD2-AEB2-CD898831943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395" name="AutoShape 12">
          <a:extLst>
            <a:ext uri="{FF2B5EF4-FFF2-40B4-BE49-F238E27FC236}">
              <a16:creationId xmlns:a16="http://schemas.microsoft.com/office/drawing/2014/main" id="{BEBAAF22-C78D-497B-BDD9-9E57753E803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396" name="AutoShape 12">
          <a:extLst>
            <a:ext uri="{FF2B5EF4-FFF2-40B4-BE49-F238E27FC236}">
              <a16:creationId xmlns:a16="http://schemas.microsoft.com/office/drawing/2014/main" id="{9AAFA5CE-0BFF-49EC-834D-9994DAFA106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397" name="AutoShape 12">
          <a:extLst>
            <a:ext uri="{FF2B5EF4-FFF2-40B4-BE49-F238E27FC236}">
              <a16:creationId xmlns:a16="http://schemas.microsoft.com/office/drawing/2014/main" id="{A42C683B-C049-4F30-95BF-9D8F05FAF19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398" name="AutoShape 12">
          <a:extLst>
            <a:ext uri="{FF2B5EF4-FFF2-40B4-BE49-F238E27FC236}">
              <a16:creationId xmlns:a16="http://schemas.microsoft.com/office/drawing/2014/main" id="{E7113BA0-A614-4A03-AF00-FB052EAF7A0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399" name="AutoShape 12">
          <a:extLst>
            <a:ext uri="{FF2B5EF4-FFF2-40B4-BE49-F238E27FC236}">
              <a16:creationId xmlns:a16="http://schemas.microsoft.com/office/drawing/2014/main" id="{AFEEA0CE-90F9-4B1D-B9B7-E1F501B2364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400" name="AutoShape 12">
          <a:extLst>
            <a:ext uri="{FF2B5EF4-FFF2-40B4-BE49-F238E27FC236}">
              <a16:creationId xmlns:a16="http://schemas.microsoft.com/office/drawing/2014/main" id="{0508C5D5-F8AA-466C-A606-8A68E34B6F3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401" name="AutoShape 12">
          <a:extLst>
            <a:ext uri="{FF2B5EF4-FFF2-40B4-BE49-F238E27FC236}">
              <a16:creationId xmlns:a16="http://schemas.microsoft.com/office/drawing/2014/main" id="{D570CD14-76E1-4039-ADE5-F45178C337E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402" name="AutoShape 12">
          <a:extLst>
            <a:ext uri="{FF2B5EF4-FFF2-40B4-BE49-F238E27FC236}">
              <a16:creationId xmlns:a16="http://schemas.microsoft.com/office/drawing/2014/main" id="{09BF1372-7147-4583-BACE-2EF5BF80683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403" name="AutoShape 12">
          <a:extLst>
            <a:ext uri="{FF2B5EF4-FFF2-40B4-BE49-F238E27FC236}">
              <a16:creationId xmlns:a16="http://schemas.microsoft.com/office/drawing/2014/main" id="{1F130A46-CD46-4FFF-AD88-482BA360B7E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404" name="AutoShape 12">
          <a:extLst>
            <a:ext uri="{FF2B5EF4-FFF2-40B4-BE49-F238E27FC236}">
              <a16:creationId xmlns:a16="http://schemas.microsoft.com/office/drawing/2014/main" id="{8085246A-B34F-416A-AD34-2B23B39176E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405" name="AutoShape 12">
          <a:extLst>
            <a:ext uri="{FF2B5EF4-FFF2-40B4-BE49-F238E27FC236}">
              <a16:creationId xmlns:a16="http://schemas.microsoft.com/office/drawing/2014/main" id="{35511D54-B66D-44F7-AF53-A2B3F493785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406" name="AutoShape 12">
          <a:extLst>
            <a:ext uri="{FF2B5EF4-FFF2-40B4-BE49-F238E27FC236}">
              <a16:creationId xmlns:a16="http://schemas.microsoft.com/office/drawing/2014/main" id="{94ECE17C-6E53-43D5-952C-58D2E19D1C5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407" name="AutoShape 12">
          <a:extLst>
            <a:ext uri="{FF2B5EF4-FFF2-40B4-BE49-F238E27FC236}">
              <a16:creationId xmlns:a16="http://schemas.microsoft.com/office/drawing/2014/main" id="{A5E052D1-9740-4362-B900-0871E8C73D4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408" name="AutoShape 12">
          <a:extLst>
            <a:ext uri="{FF2B5EF4-FFF2-40B4-BE49-F238E27FC236}">
              <a16:creationId xmlns:a16="http://schemas.microsoft.com/office/drawing/2014/main" id="{49F413F4-B9E9-47B1-940E-C8519F06611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409" name="AutoShape 12">
          <a:extLst>
            <a:ext uri="{FF2B5EF4-FFF2-40B4-BE49-F238E27FC236}">
              <a16:creationId xmlns:a16="http://schemas.microsoft.com/office/drawing/2014/main" id="{0BFE3E4A-B345-4B97-B7A3-52863798B47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410" name="AutoShape 12">
          <a:extLst>
            <a:ext uri="{FF2B5EF4-FFF2-40B4-BE49-F238E27FC236}">
              <a16:creationId xmlns:a16="http://schemas.microsoft.com/office/drawing/2014/main" id="{6BA3B6FA-039D-43E0-9334-9AB33BEBD38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411" name="AutoShape 12">
          <a:extLst>
            <a:ext uri="{FF2B5EF4-FFF2-40B4-BE49-F238E27FC236}">
              <a16:creationId xmlns:a16="http://schemas.microsoft.com/office/drawing/2014/main" id="{7042AD99-2D75-4653-ACDE-E1C588EBBC2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412" name="AutoShape 12">
          <a:extLst>
            <a:ext uri="{FF2B5EF4-FFF2-40B4-BE49-F238E27FC236}">
              <a16:creationId xmlns:a16="http://schemas.microsoft.com/office/drawing/2014/main" id="{FAE47453-5725-487A-A41F-BD647E50E96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413" name="AutoShape 12">
          <a:extLst>
            <a:ext uri="{FF2B5EF4-FFF2-40B4-BE49-F238E27FC236}">
              <a16:creationId xmlns:a16="http://schemas.microsoft.com/office/drawing/2014/main" id="{3A65DE7E-D57C-4BEA-85BD-C6E590C750A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585</xdr:row>
      <xdr:rowOff>0</xdr:rowOff>
    </xdr:from>
    <xdr:ext cx="304800" cy="304094"/>
    <xdr:sp macro="" textlink="">
      <xdr:nvSpPr>
        <xdr:cNvPr id="5414" name="AutoShape 12">
          <a:extLst>
            <a:ext uri="{FF2B5EF4-FFF2-40B4-BE49-F238E27FC236}">
              <a16:creationId xmlns:a16="http://schemas.microsoft.com/office/drawing/2014/main" id="{118AE5C7-20FB-4E4C-8EEE-327BD099941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415" name="AutoShape 12">
          <a:extLst>
            <a:ext uri="{FF2B5EF4-FFF2-40B4-BE49-F238E27FC236}">
              <a16:creationId xmlns:a16="http://schemas.microsoft.com/office/drawing/2014/main" id="{47806CD0-F11E-459C-AE34-15F5D24DFDD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416" name="AutoShape 12">
          <a:extLst>
            <a:ext uri="{FF2B5EF4-FFF2-40B4-BE49-F238E27FC236}">
              <a16:creationId xmlns:a16="http://schemas.microsoft.com/office/drawing/2014/main" id="{E75C3B0A-2E30-4F9B-899A-AA31B99F0EE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417" name="AutoShape 12">
          <a:extLst>
            <a:ext uri="{FF2B5EF4-FFF2-40B4-BE49-F238E27FC236}">
              <a16:creationId xmlns:a16="http://schemas.microsoft.com/office/drawing/2014/main" id="{0E13191D-61DE-415C-951A-C56106A4B8A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418" name="AutoShape 12">
          <a:extLst>
            <a:ext uri="{FF2B5EF4-FFF2-40B4-BE49-F238E27FC236}">
              <a16:creationId xmlns:a16="http://schemas.microsoft.com/office/drawing/2014/main" id="{A90310A5-CCFB-43E8-9EFC-A733459AD92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419" name="AutoShape 12">
          <a:extLst>
            <a:ext uri="{FF2B5EF4-FFF2-40B4-BE49-F238E27FC236}">
              <a16:creationId xmlns:a16="http://schemas.microsoft.com/office/drawing/2014/main" id="{14BED436-7242-4DA9-A30D-F70C8E9E44B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420" name="AutoShape 12">
          <a:extLst>
            <a:ext uri="{FF2B5EF4-FFF2-40B4-BE49-F238E27FC236}">
              <a16:creationId xmlns:a16="http://schemas.microsoft.com/office/drawing/2014/main" id="{696880A7-6A6F-4031-A49B-34F99329566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421" name="AutoShape 12">
          <a:extLst>
            <a:ext uri="{FF2B5EF4-FFF2-40B4-BE49-F238E27FC236}">
              <a16:creationId xmlns:a16="http://schemas.microsoft.com/office/drawing/2014/main" id="{5FE07D7E-6FBB-4CEA-B4FD-F9281C40F6C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422" name="AutoShape 12">
          <a:extLst>
            <a:ext uri="{FF2B5EF4-FFF2-40B4-BE49-F238E27FC236}">
              <a16:creationId xmlns:a16="http://schemas.microsoft.com/office/drawing/2014/main" id="{13F1F88C-9793-4FB1-AC6C-1C13C35ACFB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423" name="AutoShape 12">
          <a:extLst>
            <a:ext uri="{FF2B5EF4-FFF2-40B4-BE49-F238E27FC236}">
              <a16:creationId xmlns:a16="http://schemas.microsoft.com/office/drawing/2014/main" id="{639AE212-5881-4204-9324-CC4C614DD05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424" name="AutoShape 12">
          <a:extLst>
            <a:ext uri="{FF2B5EF4-FFF2-40B4-BE49-F238E27FC236}">
              <a16:creationId xmlns:a16="http://schemas.microsoft.com/office/drawing/2014/main" id="{06D28484-F9DC-47D4-8242-F1AF2301A26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425" name="AutoShape 12">
          <a:extLst>
            <a:ext uri="{FF2B5EF4-FFF2-40B4-BE49-F238E27FC236}">
              <a16:creationId xmlns:a16="http://schemas.microsoft.com/office/drawing/2014/main" id="{EE901AF0-B494-4609-93CD-C19016C36E6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426" name="AutoShape 12">
          <a:extLst>
            <a:ext uri="{FF2B5EF4-FFF2-40B4-BE49-F238E27FC236}">
              <a16:creationId xmlns:a16="http://schemas.microsoft.com/office/drawing/2014/main" id="{C80C4215-12D5-4DBF-9669-1428007E024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427" name="AutoShape 12">
          <a:extLst>
            <a:ext uri="{FF2B5EF4-FFF2-40B4-BE49-F238E27FC236}">
              <a16:creationId xmlns:a16="http://schemas.microsoft.com/office/drawing/2014/main" id="{70D433F7-6B54-4D50-8FD3-F86B3AF3082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428" name="AutoShape 12">
          <a:extLst>
            <a:ext uri="{FF2B5EF4-FFF2-40B4-BE49-F238E27FC236}">
              <a16:creationId xmlns:a16="http://schemas.microsoft.com/office/drawing/2014/main" id="{631A62AA-F625-4AAA-AD71-1E64050BC52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429" name="AutoShape 12">
          <a:extLst>
            <a:ext uri="{FF2B5EF4-FFF2-40B4-BE49-F238E27FC236}">
              <a16:creationId xmlns:a16="http://schemas.microsoft.com/office/drawing/2014/main" id="{9AFA8565-0851-457A-93DF-EB7A0C4EAE1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430" name="AutoShape 12">
          <a:extLst>
            <a:ext uri="{FF2B5EF4-FFF2-40B4-BE49-F238E27FC236}">
              <a16:creationId xmlns:a16="http://schemas.microsoft.com/office/drawing/2014/main" id="{B4063601-ECA5-479D-8F7D-0799BA0B621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431" name="AutoShape 12">
          <a:extLst>
            <a:ext uri="{FF2B5EF4-FFF2-40B4-BE49-F238E27FC236}">
              <a16:creationId xmlns:a16="http://schemas.microsoft.com/office/drawing/2014/main" id="{0C0A88F8-AFCC-459C-A724-6EED461F346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432" name="AutoShape 12">
          <a:extLst>
            <a:ext uri="{FF2B5EF4-FFF2-40B4-BE49-F238E27FC236}">
              <a16:creationId xmlns:a16="http://schemas.microsoft.com/office/drawing/2014/main" id="{1ABD530A-99C7-4A68-AB2E-709BB5B50D8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433" name="AutoShape 12">
          <a:extLst>
            <a:ext uri="{FF2B5EF4-FFF2-40B4-BE49-F238E27FC236}">
              <a16:creationId xmlns:a16="http://schemas.microsoft.com/office/drawing/2014/main" id="{D1F57270-E6BC-4CBE-AAA9-1173BFD0253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434" name="AutoShape 12">
          <a:extLst>
            <a:ext uri="{FF2B5EF4-FFF2-40B4-BE49-F238E27FC236}">
              <a16:creationId xmlns:a16="http://schemas.microsoft.com/office/drawing/2014/main" id="{090C5268-29D6-4519-919C-D141951E523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435" name="AutoShape 12">
          <a:extLst>
            <a:ext uri="{FF2B5EF4-FFF2-40B4-BE49-F238E27FC236}">
              <a16:creationId xmlns:a16="http://schemas.microsoft.com/office/drawing/2014/main" id="{61D3C8C0-D9D4-483B-AABB-29E98827D0D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436" name="AutoShape 12">
          <a:extLst>
            <a:ext uri="{FF2B5EF4-FFF2-40B4-BE49-F238E27FC236}">
              <a16:creationId xmlns:a16="http://schemas.microsoft.com/office/drawing/2014/main" id="{0598C705-0D1F-4584-AF86-13A193CB97E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437" name="AutoShape 12">
          <a:extLst>
            <a:ext uri="{FF2B5EF4-FFF2-40B4-BE49-F238E27FC236}">
              <a16:creationId xmlns:a16="http://schemas.microsoft.com/office/drawing/2014/main" id="{FD8C24EE-A627-45BB-AA77-23B038C12AA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438" name="AutoShape 12">
          <a:extLst>
            <a:ext uri="{FF2B5EF4-FFF2-40B4-BE49-F238E27FC236}">
              <a16:creationId xmlns:a16="http://schemas.microsoft.com/office/drawing/2014/main" id="{321DE1D5-C28C-40C5-852A-D56C6AA1E1E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439" name="AutoShape 12">
          <a:extLst>
            <a:ext uri="{FF2B5EF4-FFF2-40B4-BE49-F238E27FC236}">
              <a16:creationId xmlns:a16="http://schemas.microsoft.com/office/drawing/2014/main" id="{C4C4E7F9-031F-466B-8E8C-92A3C7ADBDA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440" name="AutoShape 12">
          <a:extLst>
            <a:ext uri="{FF2B5EF4-FFF2-40B4-BE49-F238E27FC236}">
              <a16:creationId xmlns:a16="http://schemas.microsoft.com/office/drawing/2014/main" id="{9B46A383-26E4-4984-9BF8-E4E0E58838D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441" name="AutoShape 12">
          <a:extLst>
            <a:ext uri="{FF2B5EF4-FFF2-40B4-BE49-F238E27FC236}">
              <a16:creationId xmlns:a16="http://schemas.microsoft.com/office/drawing/2014/main" id="{5BED811C-616B-4A72-83DC-6A79289FE18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442" name="AutoShape 12">
          <a:extLst>
            <a:ext uri="{FF2B5EF4-FFF2-40B4-BE49-F238E27FC236}">
              <a16:creationId xmlns:a16="http://schemas.microsoft.com/office/drawing/2014/main" id="{577C0083-62A8-490A-A49B-B1147881883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443" name="AutoShape 12">
          <a:extLst>
            <a:ext uri="{FF2B5EF4-FFF2-40B4-BE49-F238E27FC236}">
              <a16:creationId xmlns:a16="http://schemas.microsoft.com/office/drawing/2014/main" id="{63748BF9-5346-41C1-BB45-7EE2962998E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444" name="AutoShape 12">
          <a:extLst>
            <a:ext uri="{FF2B5EF4-FFF2-40B4-BE49-F238E27FC236}">
              <a16:creationId xmlns:a16="http://schemas.microsoft.com/office/drawing/2014/main" id="{1C376DEE-F369-4355-A842-B94C7EC24FC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445" name="AutoShape 12">
          <a:extLst>
            <a:ext uri="{FF2B5EF4-FFF2-40B4-BE49-F238E27FC236}">
              <a16:creationId xmlns:a16="http://schemas.microsoft.com/office/drawing/2014/main" id="{F2F67C44-3993-48CA-94A1-F3095D91216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446" name="AutoShape 12">
          <a:extLst>
            <a:ext uri="{FF2B5EF4-FFF2-40B4-BE49-F238E27FC236}">
              <a16:creationId xmlns:a16="http://schemas.microsoft.com/office/drawing/2014/main" id="{D5F08D42-8A71-4801-9F37-0149F87FCDA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447" name="AutoShape 12">
          <a:extLst>
            <a:ext uri="{FF2B5EF4-FFF2-40B4-BE49-F238E27FC236}">
              <a16:creationId xmlns:a16="http://schemas.microsoft.com/office/drawing/2014/main" id="{E415C0B9-C95D-4F98-A835-7E935D78156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448" name="AutoShape 12">
          <a:extLst>
            <a:ext uri="{FF2B5EF4-FFF2-40B4-BE49-F238E27FC236}">
              <a16:creationId xmlns:a16="http://schemas.microsoft.com/office/drawing/2014/main" id="{1C8A5100-EC9A-4B87-8C85-29131367EA0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449" name="AutoShape 12">
          <a:extLst>
            <a:ext uri="{FF2B5EF4-FFF2-40B4-BE49-F238E27FC236}">
              <a16:creationId xmlns:a16="http://schemas.microsoft.com/office/drawing/2014/main" id="{AC4AA909-5C5B-4716-AD00-D8383DD3923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450" name="AutoShape 12">
          <a:extLst>
            <a:ext uri="{FF2B5EF4-FFF2-40B4-BE49-F238E27FC236}">
              <a16:creationId xmlns:a16="http://schemas.microsoft.com/office/drawing/2014/main" id="{B45BBF2E-F5C8-4472-AA1E-E70326AC153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451" name="AutoShape 12">
          <a:extLst>
            <a:ext uri="{FF2B5EF4-FFF2-40B4-BE49-F238E27FC236}">
              <a16:creationId xmlns:a16="http://schemas.microsoft.com/office/drawing/2014/main" id="{2CED87B8-0A0B-4783-A603-EE5192BAF0C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452" name="AutoShape 12">
          <a:extLst>
            <a:ext uri="{FF2B5EF4-FFF2-40B4-BE49-F238E27FC236}">
              <a16:creationId xmlns:a16="http://schemas.microsoft.com/office/drawing/2014/main" id="{8C7581E6-EE0B-4B3B-A019-CE7357B094D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453" name="AutoShape 12">
          <a:extLst>
            <a:ext uri="{FF2B5EF4-FFF2-40B4-BE49-F238E27FC236}">
              <a16:creationId xmlns:a16="http://schemas.microsoft.com/office/drawing/2014/main" id="{9BC70C83-4467-4834-B56D-2D12D95665A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454" name="AutoShape 12">
          <a:extLst>
            <a:ext uri="{FF2B5EF4-FFF2-40B4-BE49-F238E27FC236}">
              <a16:creationId xmlns:a16="http://schemas.microsoft.com/office/drawing/2014/main" id="{9885B1E9-2CB6-4A66-8428-2ACF9E75DD7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455" name="AutoShape 12">
          <a:extLst>
            <a:ext uri="{FF2B5EF4-FFF2-40B4-BE49-F238E27FC236}">
              <a16:creationId xmlns:a16="http://schemas.microsoft.com/office/drawing/2014/main" id="{E24AAAC9-4BF8-4D4E-BAA6-C7708B84ED2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456" name="AutoShape 12">
          <a:extLst>
            <a:ext uri="{FF2B5EF4-FFF2-40B4-BE49-F238E27FC236}">
              <a16:creationId xmlns:a16="http://schemas.microsoft.com/office/drawing/2014/main" id="{6652CE7A-060B-4313-820D-F7BE0349757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457" name="AutoShape 12">
          <a:extLst>
            <a:ext uri="{FF2B5EF4-FFF2-40B4-BE49-F238E27FC236}">
              <a16:creationId xmlns:a16="http://schemas.microsoft.com/office/drawing/2014/main" id="{800ECFB9-293B-4788-A4BF-0BA03B10C88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458" name="AutoShape 12">
          <a:extLst>
            <a:ext uri="{FF2B5EF4-FFF2-40B4-BE49-F238E27FC236}">
              <a16:creationId xmlns:a16="http://schemas.microsoft.com/office/drawing/2014/main" id="{144BDA72-2179-484C-84A6-B5A78581CE2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459" name="AutoShape 12">
          <a:extLst>
            <a:ext uri="{FF2B5EF4-FFF2-40B4-BE49-F238E27FC236}">
              <a16:creationId xmlns:a16="http://schemas.microsoft.com/office/drawing/2014/main" id="{6909AE36-8954-4DB9-96EF-9BF0F976B18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460" name="AutoShape 12">
          <a:extLst>
            <a:ext uri="{FF2B5EF4-FFF2-40B4-BE49-F238E27FC236}">
              <a16:creationId xmlns:a16="http://schemas.microsoft.com/office/drawing/2014/main" id="{3C72C8AF-B8B6-4257-9BD9-A0B6B805F59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461" name="AutoShape 12">
          <a:extLst>
            <a:ext uri="{FF2B5EF4-FFF2-40B4-BE49-F238E27FC236}">
              <a16:creationId xmlns:a16="http://schemas.microsoft.com/office/drawing/2014/main" id="{0B080462-E6B7-4543-ADFC-B41A1438F78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462" name="AutoShape 12">
          <a:extLst>
            <a:ext uri="{FF2B5EF4-FFF2-40B4-BE49-F238E27FC236}">
              <a16:creationId xmlns:a16="http://schemas.microsoft.com/office/drawing/2014/main" id="{53F02505-04FB-4DFA-9AF3-BDA33EC8573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463" name="AutoShape 12">
          <a:extLst>
            <a:ext uri="{FF2B5EF4-FFF2-40B4-BE49-F238E27FC236}">
              <a16:creationId xmlns:a16="http://schemas.microsoft.com/office/drawing/2014/main" id="{9882E7E5-DD94-4F1F-8E2A-BF098CADF5F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464" name="AutoShape 12">
          <a:extLst>
            <a:ext uri="{FF2B5EF4-FFF2-40B4-BE49-F238E27FC236}">
              <a16:creationId xmlns:a16="http://schemas.microsoft.com/office/drawing/2014/main" id="{34AD8F9A-2F03-4069-A883-EB0D28A9900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465" name="AutoShape 12">
          <a:extLst>
            <a:ext uri="{FF2B5EF4-FFF2-40B4-BE49-F238E27FC236}">
              <a16:creationId xmlns:a16="http://schemas.microsoft.com/office/drawing/2014/main" id="{E1E6634F-9098-4B99-999A-C333D7D7F7E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466" name="AutoShape 12">
          <a:extLst>
            <a:ext uri="{FF2B5EF4-FFF2-40B4-BE49-F238E27FC236}">
              <a16:creationId xmlns:a16="http://schemas.microsoft.com/office/drawing/2014/main" id="{826E6930-0615-49BE-BBCB-E584E76AD8A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467" name="AutoShape 12">
          <a:extLst>
            <a:ext uri="{FF2B5EF4-FFF2-40B4-BE49-F238E27FC236}">
              <a16:creationId xmlns:a16="http://schemas.microsoft.com/office/drawing/2014/main" id="{57522AE1-B9CC-49E8-86F5-22F493689BA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468" name="AutoShape 12">
          <a:extLst>
            <a:ext uri="{FF2B5EF4-FFF2-40B4-BE49-F238E27FC236}">
              <a16:creationId xmlns:a16="http://schemas.microsoft.com/office/drawing/2014/main" id="{8183E88B-8223-4079-B616-59BCCAA2E61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469" name="AutoShape 12">
          <a:extLst>
            <a:ext uri="{FF2B5EF4-FFF2-40B4-BE49-F238E27FC236}">
              <a16:creationId xmlns:a16="http://schemas.microsoft.com/office/drawing/2014/main" id="{79AE0DE1-22D2-4A24-B2D0-DC6B27B0184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470" name="AutoShape 12">
          <a:extLst>
            <a:ext uri="{FF2B5EF4-FFF2-40B4-BE49-F238E27FC236}">
              <a16:creationId xmlns:a16="http://schemas.microsoft.com/office/drawing/2014/main" id="{6EAE2343-CC41-4026-B796-5ABEB9637A7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471" name="AutoShape 12">
          <a:extLst>
            <a:ext uri="{FF2B5EF4-FFF2-40B4-BE49-F238E27FC236}">
              <a16:creationId xmlns:a16="http://schemas.microsoft.com/office/drawing/2014/main" id="{12CAE94A-B3E2-43B1-B343-E76BE7BF22B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472" name="AutoShape 12">
          <a:extLst>
            <a:ext uri="{FF2B5EF4-FFF2-40B4-BE49-F238E27FC236}">
              <a16:creationId xmlns:a16="http://schemas.microsoft.com/office/drawing/2014/main" id="{A06F2C1F-6522-4C5A-B76F-2D5EE8265DC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473" name="AutoShape 12">
          <a:extLst>
            <a:ext uri="{FF2B5EF4-FFF2-40B4-BE49-F238E27FC236}">
              <a16:creationId xmlns:a16="http://schemas.microsoft.com/office/drawing/2014/main" id="{9D029FC8-0E77-434C-A040-81576A52EB8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474" name="AutoShape 12">
          <a:extLst>
            <a:ext uri="{FF2B5EF4-FFF2-40B4-BE49-F238E27FC236}">
              <a16:creationId xmlns:a16="http://schemas.microsoft.com/office/drawing/2014/main" id="{DB81F162-8C30-482D-8E4C-2F4131A2C63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475" name="AutoShape 12">
          <a:extLst>
            <a:ext uri="{FF2B5EF4-FFF2-40B4-BE49-F238E27FC236}">
              <a16:creationId xmlns:a16="http://schemas.microsoft.com/office/drawing/2014/main" id="{12C2A270-9525-4293-A4A4-92480E9370B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476" name="AutoShape 12">
          <a:extLst>
            <a:ext uri="{FF2B5EF4-FFF2-40B4-BE49-F238E27FC236}">
              <a16:creationId xmlns:a16="http://schemas.microsoft.com/office/drawing/2014/main" id="{82886230-CF1F-4929-B955-49551FDE1A4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477" name="AutoShape 12">
          <a:extLst>
            <a:ext uri="{FF2B5EF4-FFF2-40B4-BE49-F238E27FC236}">
              <a16:creationId xmlns:a16="http://schemas.microsoft.com/office/drawing/2014/main" id="{B97E0C6E-8163-45F2-8894-7D9E10FA56B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478" name="AutoShape 12">
          <a:extLst>
            <a:ext uri="{FF2B5EF4-FFF2-40B4-BE49-F238E27FC236}">
              <a16:creationId xmlns:a16="http://schemas.microsoft.com/office/drawing/2014/main" id="{30C5227E-FF5C-4A03-8948-41C690F1001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479" name="AutoShape 12">
          <a:extLst>
            <a:ext uri="{FF2B5EF4-FFF2-40B4-BE49-F238E27FC236}">
              <a16:creationId xmlns:a16="http://schemas.microsoft.com/office/drawing/2014/main" id="{986693D6-A687-45D6-92A3-AC60F94B8F1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480" name="AutoShape 12">
          <a:extLst>
            <a:ext uri="{FF2B5EF4-FFF2-40B4-BE49-F238E27FC236}">
              <a16:creationId xmlns:a16="http://schemas.microsoft.com/office/drawing/2014/main" id="{04AD8BA5-8EB2-4DC3-8A01-A4FD650C258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481" name="AutoShape 12">
          <a:extLst>
            <a:ext uri="{FF2B5EF4-FFF2-40B4-BE49-F238E27FC236}">
              <a16:creationId xmlns:a16="http://schemas.microsoft.com/office/drawing/2014/main" id="{D0AAB4A6-7455-4452-AF8D-70821F682F9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482" name="AutoShape 12">
          <a:extLst>
            <a:ext uri="{FF2B5EF4-FFF2-40B4-BE49-F238E27FC236}">
              <a16:creationId xmlns:a16="http://schemas.microsoft.com/office/drawing/2014/main" id="{8E5955CC-3FE6-49AC-AADD-9A9A7284579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483" name="AutoShape 12">
          <a:extLst>
            <a:ext uri="{FF2B5EF4-FFF2-40B4-BE49-F238E27FC236}">
              <a16:creationId xmlns:a16="http://schemas.microsoft.com/office/drawing/2014/main" id="{335F6EF8-8C4D-444C-B246-9009AAB058A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484" name="AutoShape 12">
          <a:extLst>
            <a:ext uri="{FF2B5EF4-FFF2-40B4-BE49-F238E27FC236}">
              <a16:creationId xmlns:a16="http://schemas.microsoft.com/office/drawing/2014/main" id="{F356F72B-8018-4810-9AFF-EF3EB0F0BB8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485" name="AutoShape 12">
          <a:extLst>
            <a:ext uri="{FF2B5EF4-FFF2-40B4-BE49-F238E27FC236}">
              <a16:creationId xmlns:a16="http://schemas.microsoft.com/office/drawing/2014/main" id="{3E4A4019-185A-4B50-817C-F6E760B9A11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486" name="AutoShape 12">
          <a:extLst>
            <a:ext uri="{FF2B5EF4-FFF2-40B4-BE49-F238E27FC236}">
              <a16:creationId xmlns:a16="http://schemas.microsoft.com/office/drawing/2014/main" id="{4D84A313-8763-4264-ABBB-AAADE86FDE1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487" name="AutoShape 12">
          <a:extLst>
            <a:ext uri="{FF2B5EF4-FFF2-40B4-BE49-F238E27FC236}">
              <a16:creationId xmlns:a16="http://schemas.microsoft.com/office/drawing/2014/main" id="{143A1532-0200-4C9C-A301-C910435AFD9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488" name="AutoShape 12">
          <a:extLst>
            <a:ext uri="{FF2B5EF4-FFF2-40B4-BE49-F238E27FC236}">
              <a16:creationId xmlns:a16="http://schemas.microsoft.com/office/drawing/2014/main" id="{08FE2BD3-EB2D-43BC-AF7B-75BAD860E47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489" name="AutoShape 12">
          <a:extLst>
            <a:ext uri="{FF2B5EF4-FFF2-40B4-BE49-F238E27FC236}">
              <a16:creationId xmlns:a16="http://schemas.microsoft.com/office/drawing/2014/main" id="{79404ABF-800C-4B93-B0F0-D865E26BF94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490" name="AutoShape 12">
          <a:extLst>
            <a:ext uri="{FF2B5EF4-FFF2-40B4-BE49-F238E27FC236}">
              <a16:creationId xmlns:a16="http://schemas.microsoft.com/office/drawing/2014/main" id="{3C39E70C-E3D7-4964-816F-41E6C1385E7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491" name="AutoShape 12">
          <a:extLst>
            <a:ext uri="{FF2B5EF4-FFF2-40B4-BE49-F238E27FC236}">
              <a16:creationId xmlns:a16="http://schemas.microsoft.com/office/drawing/2014/main" id="{DD40926F-E5D1-4612-B9C9-D1F0974EBF6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492" name="AutoShape 12">
          <a:extLst>
            <a:ext uri="{FF2B5EF4-FFF2-40B4-BE49-F238E27FC236}">
              <a16:creationId xmlns:a16="http://schemas.microsoft.com/office/drawing/2014/main" id="{8AF1CCBC-F089-4B60-AF72-1BDEA9C0CA4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493" name="AutoShape 12">
          <a:extLst>
            <a:ext uri="{FF2B5EF4-FFF2-40B4-BE49-F238E27FC236}">
              <a16:creationId xmlns:a16="http://schemas.microsoft.com/office/drawing/2014/main" id="{9080A4D2-2CC3-4A88-9D41-718251487D5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494" name="AutoShape 12">
          <a:extLst>
            <a:ext uri="{FF2B5EF4-FFF2-40B4-BE49-F238E27FC236}">
              <a16:creationId xmlns:a16="http://schemas.microsoft.com/office/drawing/2014/main" id="{0C5B8282-DD45-4E36-8767-DACF1C18E06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495" name="AutoShape 12">
          <a:extLst>
            <a:ext uri="{FF2B5EF4-FFF2-40B4-BE49-F238E27FC236}">
              <a16:creationId xmlns:a16="http://schemas.microsoft.com/office/drawing/2014/main" id="{95851C5F-84BC-4606-A0CB-B3A70CA2A65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496" name="AutoShape 12">
          <a:extLst>
            <a:ext uri="{FF2B5EF4-FFF2-40B4-BE49-F238E27FC236}">
              <a16:creationId xmlns:a16="http://schemas.microsoft.com/office/drawing/2014/main" id="{2CBE0AC6-458E-4701-B5E1-AC380A48BF2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497" name="AutoShape 12">
          <a:extLst>
            <a:ext uri="{FF2B5EF4-FFF2-40B4-BE49-F238E27FC236}">
              <a16:creationId xmlns:a16="http://schemas.microsoft.com/office/drawing/2014/main" id="{A2C63132-A8BE-4E6F-AE21-C91D0B3E920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498" name="AutoShape 12">
          <a:extLst>
            <a:ext uri="{FF2B5EF4-FFF2-40B4-BE49-F238E27FC236}">
              <a16:creationId xmlns:a16="http://schemas.microsoft.com/office/drawing/2014/main" id="{48F39B16-4C60-4B34-91D2-46FAAEAE0E7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499" name="AutoShape 12">
          <a:extLst>
            <a:ext uri="{FF2B5EF4-FFF2-40B4-BE49-F238E27FC236}">
              <a16:creationId xmlns:a16="http://schemas.microsoft.com/office/drawing/2014/main" id="{77B71384-46E8-4829-A54B-A910E43E318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500" name="AutoShape 12">
          <a:extLst>
            <a:ext uri="{FF2B5EF4-FFF2-40B4-BE49-F238E27FC236}">
              <a16:creationId xmlns:a16="http://schemas.microsoft.com/office/drawing/2014/main" id="{8934436B-4F7F-4256-BBC3-D2E9FAD23AE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501" name="AutoShape 12">
          <a:extLst>
            <a:ext uri="{FF2B5EF4-FFF2-40B4-BE49-F238E27FC236}">
              <a16:creationId xmlns:a16="http://schemas.microsoft.com/office/drawing/2014/main" id="{EDBE9E14-D5DF-4872-9C15-54207E9E536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502" name="AutoShape 12">
          <a:extLst>
            <a:ext uri="{FF2B5EF4-FFF2-40B4-BE49-F238E27FC236}">
              <a16:creationId xmlns:a16="http://schemas.microsoft.com/office/drawing/2014/main" id="{F09B2BFA-7C05-4AB8-9F49-E97EEC4E23E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503" name="AutoShape 12">
          <a:extLst>
            <a:ext uri="{FF2B5EF4-FFF2-40B4-BE49-F238E27FC236}">
              <a16:creationId xmlns:a16="http://schemas.microsoft.com/office/drawing/2014/main" id="{49910F87-BE02-4A2B-9931-041071F261E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504" name="AutoShape 12">
          <a:extLst>
            <a:ext uri="{FF2B5EF4-FFF2-40B4-BE49-F238E27FC236}">
              <a16:creationId xmlns:a16="http://schemas.microsoft.com/office/drawing/2014/main" id="{78B138EE-7263-4675-85A1-897095D6904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505" name="AutoShape 12">
          <a:extLst>
            <a:ext uri="{FF2B5EF4-FFF2-40B4-BE49-F238E27FC236}">
              <a16:creationId xmlns:a16="http://schemas.microsoft.com/office/drawing/2014/main" id="{EB81F670-6029-4791-8F6D-17F717280D0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506" name="AutoShape 12">
          <a:extLst>
            <a:ext uri="{FF2B5EF4-FFF2-40B4-BE49-F238E27FC236}">
              <a16:creationId xmlns:a16="http://schemas.microsoft.com/office/drawing/2014/main" id="{09D344A6-1652-4902-8A07-584F636432F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507" name="AutoShape 12">
          <a:extLst>
            <a:ext uri="{FF2B5EF4-FFF2-40B4-BE49-F238E27FC236}">
              <a16:creationId xmlns:a16="http://schemas.microsoft.com/office/drawing/2014/main" id="{4C7FB796-FD8E-493C-99FA-11B1567E0B3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508" name="AutoShape 12">
          <a:extLst>
            <a:ext uri="{FF2B5EF4-FFF2-40B4-BE49-F238E27FC236}">
              <a16:creationId xmlns:a16="http://schemas.microsoft.com/office/drawing/2014/main" id="{F6CFBD53-9A2F-42D3-8CA9-DBD9F9AC361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509" name="AutoShape 12">
          <a:extLst>
            <a:ext uri="{FF2B5EF4-FFF2-40B4-BE49-F238E27FC236}">
              <a16:creationId xmlns:a16="http://schemas.microsoft.com/office/drawing/2014/main" id="{5BDD118A-1FD5-4679-AF51-24E6A248975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510" name="AutoShape 12">
          <a:extLst>
            <a:ext uri="{FF2B5EF4-FFF2-40B4-BE49-F238E27FC236}">
              <a16:creationId xmlns:a16="http://schemas.microsoft.com/office/drawing/2014/main" id="{15098F8D-6DFC-47CD-B998-A683F0F9F7B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511" name="AutoShape 12">
          <a:extLst>
            <a:ext uri="{FF2B5EF4-FFF2-40B4-BE49-F238E27FC236}">
              <a16:creationId xmlns:a16="http://schemas.microsoft.com/office/drawing/2014/main" id="{76433B9B-A98F-4A77-B601-7208999F144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512" name="AutoShape 12">
          <a:extLst>
            <a:ext uri="{FF2B5EF4-FFF2-40B4-BE49-F238E27FC236}">
              <a16:creationId xmlns:a16="http://schemas.microsoft.com/office/drawing/2014/main" id="{A0328C39-1305-4791-B7D6-D10D67BB59D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513" name="AutoShape 12">
          <a:extLst>
            <a:ext uri="{FF2B5EF4-FFF2-40B4-BE49-F238E27FC236}">
              <a16:creationId xmlns:a16="http://schemas.microsoft.com/office/drawing/2014/main" id="{B2F7E90F-2A6D-4B9D-8565-7F7FD65E74F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514" name="AutoShape 12">
          <a:extLst>
            <a:ext uri="{FF2B5EF4-FFF2-40B4-BE49-F238E27FC236}">
              <a16:creationId xmlns:a16="http://schemas.microsoft.com/office/drawing/2014/main" id="{A5336665-A796-41A5-9A23-67D5CCB67F6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515" name="AutoShape 12">
          <a:extLst>
            <a:ext uri="{FF2B5EF4-FFF2-40B4-BE49-F238E27FC236}">
              <a16:creationId xmlns:a16="http://schemas.microsoft.com/office/drawing/2014/main" id="{4761A5CF-1C25-4B59-8ED4-A4D025E1D63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516" name="AutoShape 12">
          <a:extLst>
            <a:ext uri="{FF2B5EF4-FFF2-40B4-BE49-F238E27FC236}">
              <a16:creationId xmlns:a16="http://schemas.microsoft.com/office/drawing/2014/main" id="{C1A044DD-E301-4C07-B3BC-99577D52A8A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517" name="AutoShape 12">
          <a:extLst>
            <a:ext uri="{FF2B5EF4-FFF2-40B4-BE49-F238E27FC236}">
              <a16:creationId xmlns:a16="http://schemas.microsoft.com/office/drawing/2014/main" id="{E0537509-8E7E-41FC-A961-69C0669C4F3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518" name="AutoShape 12">
          <a:extLst>
            <a:ext uri="{FF2B5EF4-FFF2-40B4-BE49-F238E27FC236}">
              <a16:creationId xmlns:a16="http://schemas.microsoft.com/office/drawing/2014/main" id="{87486457-6F50-43B4-8A52-2B5BC24C03B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519" name="AutoShape 12">
          <a:extLst>
            <a:ext uri="{FF2B5EF4-FFF2-40B4-BE49-F238E27FC236}">
              <a16:creationId xmlns:a16="http://schemas.microsoft.com/office/drawing/2014/main" id="{C497006C-7387-4521-B41D-A772ED3BA3F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520" name="AutoShape 12">
          <a:extLst>
            <a:ext uri="{FF2B5EF4-FFF2-40B4-BE49-F238E27FC236}">
              <a16:creationId xmlns:a16="http://schemas.microsoft.com/office/drawing/2014/main" id="{63183519-1137-4DFF-800C-D39AA5FAE1A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521" name="AutoShape 12">
          <a:extLst>
            <a:ext uri="{FF2B5EF4-FFF2-40B4-BE49-F238E27FC236}">
              <a16:creationId xmlns:a16="http://schemas.microsoft.com/office/drawing/2014/main" id="{65A4E1B5-5C3C-447A-9AEE-FB7A0878BD1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522" name="AutoShape 12">
          <a:extLst>
            <a:ext uri="{FF2B5EF4-FFF2-40B4-BE49-F238E27FC236}">
              <a16:creationId xmlns:a16="http://schemas.microsoft.com/office/drawing/2014/main" id="{A2FC794B-FEA5-4020-9B38-FCCB6215D65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523" name="AutoShape 12">
          <a:extLst>
            <a:ext uri="{FF2B5EF4-FFF2-40B4-BE49-F238E27FC236}">
              <a16:creationId xmlns:a16="http://schemas.microsoft.com/office/drawing/2014/main" id="{4CB29B92-B8B5-4B28-98D0-CB0828AEF97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524" name="AutoShape 12">
          <a:extLst>
            <a:ext uri="{FF2B5EF4-FFF2-40B4-BE49-F238E27FC236}">
              <a16:creationId xmlns:a16="http://schemas.microsoft.com/office/drawing/2014/main" id="{B498C076-F598-4628-A9F4-B580FCE090B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525" name="AutoShape 12">
          <a:extLst>
            <a:ext uri="{FF2B5EF4-FFF2-40B4-BE49-F238E27FC236}">
              <a16:creationId xmlns:a16="http://schemas.microsoft.com/office/drawing/2014/main" id="{DBD82646-FBD5-4323-9043-3EA4C565E48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526" name="AutoShape 12">
          <a:extLst>
            <a:ext uri="{FF2B5EF4-FFF2-40B4-BE49-F238E27FC236}">
              <a16:creationId xmlns:a16="http://schemas.microsoft.com/office/drawing/2014/main" id="{E0A608D4-0346-4C2E-AF58-DB3772FAD7A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527" name="AutoShape 12">
          <a:extLst>
            <a:ext uri="{FF2B5EF4-FFF2-40B4-BE49-F238E27FC236}">
              <a16:creationId xmlns:a16="http://schemas.microsoft.com/office/drawing/2014/main" id="{364A0D62-E4CE-44CB-87A4-22ECA737ED5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528" name="AutoShape 12">
          <a:extLst>
            <a:ext uri="{FF2B5EF4-FFF2-40B4-BE49-F238E27FC236}">
              <a16:creationId xmlns:a16="http://schemas.microsoft.com/office/drawing/2014/main" id="{18823436-1A68-45FA-A2A4-91610B3AF35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529" name="AutoShape 12">
          <a:extLst>
            <a:ext uri="{FF2B5EF4-FFF2-40B4-BE49-F238E27FC236}">
              <a16:creationId xmlns:a16="http://schemas.microsoft.com/office/drawing/2014/main" id="{9FAAA326-A466-48F0-8552-81761117778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530" name="AutoShape 12">
          <a:extLst>
            <a:ext uri="{FF2B5EF4-FFF2-40B4-BE49-F238E27FC236}">
              <a16:creationId xmlns:a16="http://schemas.microsoft.com/office/drawing/2014/main" id="{505F145C-3DFC-4675-8BEF-38EEC8BF2E2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531" name="AutoShape 12">
          <a:extLst>
            <a:ext uri="{FF2B5EF4-FFF2-40B4-BE49-F238E27FC236}">
              <a16:creationId xmlns:a16="http://schemas.microsoft.com/office/drawing/2014/main" id="{2AABED11-46A5-41DC-B97B-E404D2C8D31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532" name="AutoShape 12">
          <a:extLst>
            <a:ext uri="{FF2B5EF4-FFF2-40B4-BE49-F238E27FC236}">
              <a16:creationId xmlns:a16="http://schemas.microsoft.com/office/drawing/2014/main" id="{13F2E4FF-81B5-4C99-8492-0612B9B799B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533" name="AutoShape 12">
          <a:extLst>
            <a:ext uri="{FF2B5EF4-FFF2-40B4-BE49-F238E27FC236}">
              <a16:creationId xmlns:a16="http://schemas.microsoft.com/office/drawing/2014/main" id="{692F4340-64BA-4A8D-A9A3-D07D8B2E433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534" name="AutoShape 12">
          <a:extLst>
            <a:ext uri="{FF2B5EF4-FFF2-40B4-BE49-F238E27FC236}">
              <a16:creationId xmlns:a16="http://schemas.microsoft.com/office/drawing/2014/main" id="{3FE341D9-6261-4102-8D16-CED3D9B5A88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535" name="AutoShape 12">
          <a:extLst>
            <a:ext uri="{FF2B5EF4-FFF2-40B4-BE49-F238E27FC236}">
              <a16:creationId xmlns:a16="http://schemas.microsoft.com/office/drawing/2014/main" id="{C72B9639-D014-4297-B56B-585C9C3C17B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536" name="AutoShape 12">
          <a:extLst>
            <a:ext uri="{FF2B5EF4-FFF2-40B4-BE49-F238E27FC236}">
              <a16:creationId xmlns:a16="http://schemas.microsoft.com/office/drawing/2014/main" id="{AD0B284A-1485-4CB7-9380-A33396A8AA8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537" name="AutoShape 12">
          <a:extLst>
            <a:ext uri="{FF2B5EF4-FFF2-40B4-BE49-F238E27FC236}">
              <a16:creationId xmlns:a16="http://schemas.microsoft.com/office/drawing/2014/main" id="{7388B31D-4FE8-4696-BD71-7CDB436638C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538" name="AutoShape 12">
          <a:extLst>
            <a:ext uri="{FF2B5EF4-FFF2-40B4-BE49-F238E27FC236}">
              <a16:creationId xmlns:a16="http://schemas.microsoft.com/office/drawing/2014/main" id="{95EB6CF1-DCF1-48D5-9E27-B01389444D1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539" name="AutoShape 12">
          <a:extLst>
            <a:ext uri="{FF2B5EF4-FFF2-40B4-BE49-F238E27FC236}">
              <a16:creationId xmlns:a16="http://schemas.microsoft.com/office/drawing/2014/main" id="{84EAE27F-F9E9-4472-80B0-A2E83E73422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540" name="AutoShape 12">
          <a:extLst>
            <a:ext uri="{FF2B5EF4-FFF2-40B4-BE49-F238E27FC236}">
              <a16:creationId xmlns:a16="http://schemas.microsoft.com/office/drawing/2014/main" id="{B3235BA9-D194-4D0F-A851-27EC499A19E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541" name="AutoShape 12">
          <a:extLst>
            <a:ext uri="{FF2B5EF4-FFF2-40B4-BE49-F238E27FC236}">
              <a16:creationId xmlns:a16="http://schemas.microsoft.com/office/drawing/2014/main" id="{DCA9BE0A-0421-427A-94F5-57DDC3934FE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542" name="AutoShape 12">
          <a:extLst>
            <a:ext uri="{FF2B5EF4-FFF2-40B4-BE49-F238E27FC236}">
              <a16:creationId xmlns:a16="http://schemas.microsoft.com/office/drawing/2014/main" id="{1B7A8398-2607-453D-A513-2FF55AFA48F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543" name="AutoShape 12">
          <a:extLst>
            <a:ext uri="{FF2B5EF4-FFF2-40B4-BE49-F238E27FC236}">
              <a16:creationId xmlns:a16="http://schemas.microsoft.com/office/drawing/2014/main" id="{039BAA6D-4230-4B60-A477-22DCDD93DBB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544" name="AutoShape 12">
          <a:extLst>
            <a:ext uri="{FF2B5EF4-FFF2-40B4-BE49-F238E27FC236}">
              <a16:creationId xmlns:a16="http://schemas.microsoft.com/office/drawing/2014/main" id="{357BF848-3521-4A14-9246-38ED392A8A7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545" name="AutoShape 12">
          <a:extLst>
            <a:ext uri="{FF2B5EF4-FFF2-40B4-BE49-F238E27FC236}">
              <a16:creationId xmlns:a16="http://schemas.microsoft.com/office/drawing/2014/main" id="{2154988C-ED45-411B-840D-32037886108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546" name="AutoShape 12">
          <a:extLst>
            <a:ext uri="{FF2B5EF4-FFF2-40B4-BE49-F238E27FC236}">
              <a16:creationId xmlns:a16="http://schemas.microsoft.com/office/drawing/2014/main" id="{7BE5BC2C-F443-4095-999B-544A21EFDF2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547" name="AutoShape 12">
          <a:extLst>
            <a:ext uri="{FF2B5EF4-FFF2-40B4-BE49-F238E27FC236}">
              <a16:creationId xmlns:a16="http://schemas.microsoft.com/office/drawing/2014/main" id="{50D96E73-EF11-425F-A539-E6A4FC8AF8A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548" name="AutoShape 12">
          <a:extLst>
            <a:ext uri="{FF2B5EF4-FFF2-40B4-BE49-F238E27FC236}">
              <a16:creationId xmlns:a16="http://schemas.microsoft.com/office/drawing/2014/main" id="{D661BFB7-940A-418F-87FB-7A241B6844F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549" name="AutoShape 12">
          <a:extLst>
            <a:ext uri="{FF2B5EF4-FFF2-40B4-BE49-F238E27FC236}">
              <a16:creationId xmlns:a16="http://schemas.microsoft.com/office/drawing/2014/main" id="{E907C8F7-4CF0-4226-A384-C6921E1C3C3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550" name="AutoShape 12">
          <a:extLst>
            <a:ext uri="{FF2B5EF4-FFF2-40B4-BE49-F238E27FC236}">
              <a16:creationId xmlns:a16="http://schemas.microsoft.com/office/drawing/2014/main" id="{0EF23B0D-8C63-4EBC-B2BB-046519F128D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551" name="AutoShape 12">
          <a:extLst>
            <a:ext uri="{FF2B5EF4-FFF2-40B4-BE49-F238E27FC236}">
              <a16:creationId xmlns:a16="http://schemas.microsoft.com/office/drawing/2014/main" id="{89910BCA-D118-4EED-8FA6-27EA0FA227C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552" name="AutoShape 12">
          <a:extLst>
            <a:ext uri="{FF2B5EF4-FFF2-40B4-BE49-F238E27FC236}">
              <a16:creationId xmlns:a16="http://schemas.microsoft.com/office/drawing/2014/main" id="{6CD4DA5B-AEB4-47B6-9191-66546C9D705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553" name="AutoShape 12">
          <a:extLst>
            <a:ext uri="{FF2B5EF4-FFF2-40B4-BE49-F238E27FC236}">
              <a16:creationId xmlns:a16="http://schemas.microsoft.com/office/drawing/2014/main" id="{E53519EB-BABE-4D7D-BAE4-635E89E05B6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554" name="AutoShape 12">
          <a:extLst>
            <a:ext uri="{FF2B5EF4-FFF2-40B4-BE49-F238E27FC236}">
              <a16:creationId xmlns:a16="http://schemas.microsoft.com/office/drawing/2014/main" id="{59C8BAC7-6E0D-4ED5-A0E0-6DD81A9E77C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555" name="AutoShape 12">
          <a:extLst>
            <a:ext uri="{FF2B5EF4-FFF2-40B4-BE49-F238E27FC236}">
              <a16:creationId xmlns:a16="http://schemas.microsoft.com/office/drawing/2014/main" id="{2AD8CD28-C82B-41D1-94FD-6E28C171D73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556" name="AutoShape 12">
          <a:extLst>
            <a:ext uri="{FF2B5EF4-FFF2-40B4-BE49-F238E27FC236}">
              <a16:creationId xmlns:a16="http://schemas.microsoft.com/office/drawing/2014/main" id="{3A300B7F-EE5B-44FD-8E13-09201BABA04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557" name="AutoShape 12">
          <a:extLst>
            <a:ext uri="{FF2B5EF4-FFF2-40B4-BE49-F238E27FC236}">
              <a16:creationId xmlns:a16="http://schemas.microsoft.com/office/drawing/2014/main" id="{819B25D6-F8A2-43C2-BF5A-3CE98A370B7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558" name="AutoShape 12">
          <a:extLst>
            <a:ext uri="{FF2B5EF4-FFF2-40B4-BE49-F238E27FC236}">
              <a16:creationId xmlns:a16="http://schemas.microsoft.com/office/drawing/2014/main" id="{20EC5D68-19AF-427A-846F-FFDF5BADACE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559" name="AutoShape 12">
          <a:extLst>
            <a:ext uri="{FF2B5EF4-FFF2-40B4-BE49-F238E27FC236}">
              <a16:creationId xmlns:a16="http://schemas.microsoft.com/office/drawing/2014/main" id="{92DBB034-90CB-4BBE-95AA-1F42879C713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560" name="AutoShape 12">
          <a:extLst>
            <a:ext uri="{FF2B5EF4-FFF2-40B4-BE49-F238E27FC236}">
              <a16:creationId xmlns:a16="http://schemas.microsoft.com/office/drawing/2014/main" id="{7C37E902-6C11-4385-81B1-BDB932C8F57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561" name="AutoShape 12">
          <a:extLst>
            <a:ext uri="{FF2B5EF4-FFF2-40B4-BE49-F238E27FC236}">
              <a16:creationId xmlns:a16="http://schemas.microsoft.com/office/drawing/2014/main" id="{22894C27-3B78-4780-A4CF-E0BDD73E5DB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562" name="AutoShape 12">
          <a:extLst>
            <a:ext uri="{FF2B5EF4-FFF2-40B4-BE49-F238E27FC236}">
              <a16:creationId xmlns:a16="http://schemas.microsoft.com/office/drawing/2014/main" id="{C0F20391-1768-4415-8B1F-0463B743D15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563" name="AutoShape 12">
          <a:extLst>
            <a:ext uri="{FF2B5EF4-FFF2-40B4-BE49-F238E27FC236}">
              <a16:creationId xmlns:a16="http://schemas.microsoft.com/office/drawing/2014/main" id="{9A52F5E5-D0A7-47E1-AC18-DDBBA68E656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564" name="AutoShape 12">
          <a:extLst>
            <a:ext uri="{FF2B5EF4-FFF2-40B4-BE49-F238E27FC236}">
              <a16:creationId xmlns:a16="http://schemas.microsoft.com/office/drawing/2014/main" id="{E10A9A42-04AC-40FF-A186-9FEBF2EA7F6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565" name="AutoShape 12">
          <a:extLst>
            <a:ext uri="{FF2B5EF4-FFF2-40B4-BE49-F238E27FC236}">
              <a16:creationId xmlns:a16="http://schemas.microsoft.com/office/drawing/2014/main" id="{F364E28F-02C9-4267-9AAC-D0508F65693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566" name="AutoShape 12">
          <a:extLst>
            <a:ext uri="{FF2B5EF4-FFF2-40B4-BE49-F238E27FC236}">
              <a16:creationId xmlns:a16="http://schemas.microsoft.com/office/drawing/2014/main" id="{58AC3C12-29BC-4D45-9146-2AB0904EF09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567" name="AutoShape 12">
          <a:extLst>
            <a:ext uri="{FF2B5EF4-FFF2-40B4-BE49-F238E27FC236}">
              <a16:creationId xmlns:a16="http://schemas.microsoft.com/office/drawing/2014/main" id="{2CBFD82F-1AFF-41C7-9319-B25496FA1F7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568" name="AutoShape 12">
          <a:extLst>
            <a:ext uri="{FF2B5EF4-FFF2-40B4-BE49-F238E27FC236}">
              <a16:creationId xmlns:a16="http://schemas.microsoft.com/office/drawing/2014/main" id="{709C13AA-2953-4FE8-A014-A46E45BA396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569" name="AutoShape 12">
          <a:extLst>
            <a:ext uri="{FF2B5EF4-FFF2-40B4-BE49-F238E27FC236}">
              <a16:creationId xmlns:a16="http://schemas.microsoft.com/office/drawing/2014/main" id="{ED02CB7D-FB2C-4AD1-9E03-71F2BE97AC1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570" name="AutoShape 12">
          <a:extLst>
            <a:ext uri="{FF2B5EF4-FFF2-40B4-BE49-F238E27FC236}">
              <a16:creationId xmlns:a16="http://schemas.microsoft.com/office/drawing/2014/main" id="{4C16DC84-12FC-472B-A65F-E0BAF56D49C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571" name="AutoShape 12">
          <a:extLst>
            <a:ext uri="{FF2B5EF4-FFF2-40B4-BE49-F238E27FC236}">
              <a16:creationId xmlns:a16="http://schemas.microsoft.com/office/drawing/2014/main" id="{7A890DB5-0749-482A-8167-2EF09350E23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572" name="AutoShape 12">
          <a:extLst>
            <a:ext uri="{FF2B5EF4-FFF2-40B4-BE49-F238E27FC236}">
              <a16:creationId xmlns:a16="http://schemas.microsoft.com/office/drawing/2014/main" id="{A12C7813-412A-4DD3-B786-FE8D977A458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573" name="AutoShape 12">
          <a:extLst>
            <a:ext uri="{FF2B5EF4-FFF2-40B4-BE49-F238E27FC236}">
              <a16:creationId xmlns:a16="http://schemas.microsoft.com/office/drawing/2014/main" id="{9344E695-F8E1-427B-B649-9F9ED21DF71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574" name="AutoShape 12">
          <a:extLst>
            <a:ext uri="{FF2B5EF4-FFF2-40B4-BE49-F238E27FC236}">
              <a16:creationId xmlns:a16="http://schemas.microsoft.com/office/drawing/2014/main" id="{55C9AA73-3C4F-4012-BB9E-E03E9792B26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575" name="AutoShape 12">
          <a:extLst>
            <a:ext uri="{FF2B5EF4-FFF2-40B4-BE49-F238E27FC236}">
              <a16:creationId xmlns:a16="http://schemas.microsoft.com/office/drawing/2014/main" id="{5C84F363-5912-489E-8383-E0225E4F7E2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576" name="AutoShape 12">
          <a:extLst>
            <a:ext uri="{FF2B5EF4-FFF2-40B4-BE49-F238E27FC236}">
              <a16:creationId xmlns:a16="http://schemas.microsoft.com/office/drawing/2014/main" id="{3919C190-F1B4-4F5A-BF0D-DA8D6F86119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577" name="AutoShape 12">
          <a:extLst>
            <a:ext uri="{FF2B5EF4-FFF2-40B4-BE49-F238E27FC236}">
              <a16:creationId xmlns:a16="http://schemas.microsoft.com/office/drawing/2014/main" id="{056FB20C-6CBE-4BAB-BE4D-396011516EA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578" name="AutoShape 12">
          <a:extLst>
            <a:ext uri="{FF2B5EF4-FFF2-40B4-BE49-F238E27FC236}">
              <a16:creationId xmlns:a16="http://schemas.microsoft.com/office/drawing/2014/main" id="{5AC29388-B8A6-49F3-B572-46EE11D0643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579" name="AutoShape 12">
          <a:extLst>
            <a:ext uri="{FF2B5EF4-FFF2-40B4-BE49-F238E27FC236}">
              <a16:creationId xmlns:a16="http://schemas.microsoft.com/office/drawing/2014/main" id="{7BFD414E-E110-4E92-96CB-C28AD7D8B93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580" name="AutoShape 12">
          <a:extLst>
            <a:ext uri="{FF2B5EF4-FFF2-40B4-BE49-F238E27FC236}">
              <a16:creationId xmlns:a16="http://schemas.microsoft.com/office/drawing/2014/main" id="{D6EAB6AA-A4D7-4B9E-8950-AA1ED9D0DC6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581" name="AutoShape 12">
          <a:extLst>
            <a:ext uri="{FF2B5EF4-FFF2-40B4-BE49-F238E27FC236}">
              <a16:creationId xmlns:a16="http://schemas.microsoft.com/office/drawing/2014/main" id="{064F963D-E6E4-4848-997C-EF274B772A9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582" name="AutoShape 12">
          <a:extLst>
            <a:ext uri="{FF2B5EF4-FFF2-40B4-BE49-F238E27FC236}">
              <a16:creationId xmlns:a16="http://schemas.microsoft.com/office/drawing/2014/main" id="{3DF7EDB8-9983-4652-A71C-F459FC1F838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583" name="AutoShape 12">
          <a:extLst>
            <a:ext uri="{FF2B5EF4-FFF2-40B4-BE49-F238E27FC236}">
              <a16:creationId xmlns:a16="http://schemas.microsoft.com/office/drawing/2014/main" id="{F17FDCDE-2956-4C89-BC91-79FF4BF1A09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584" name="AutoShape 12">
          <a:extLst>
            <a:ext uri="{FF2B5EF4-FFF2-40B4-BE49-F238E27FC236}">
              <a16:creationId xmlns:a16="http://schemas.microsoft.com/office/drawing/2014/main" id="{0A0B9445-9A73-4895-B439-4B7C2B7126B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585" name="AutoShape 12">
          <a:extLst>
            <a:ext uri="{FF2B5EF4-FFF2-40B4-BE49-F238E27FC236}">
              <a16:creationId xmlns:a16="http://schemas.microsoft.com/office/drawing/2014/main" id="{BA0ACBFB-B966-49C2-968B-B874CC35C41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586" name="AutoShape 12">
          <a:extLst>
            <a:ext uri="{FF2B5EF4-FFF2-40B4-BE49-F238E27FC236}">
              <a16:creationId xmlns:a16="http://schemas.microsoft.com/office/drawing/2014/main" id="{5F7452FD-524D-46C2-B782-CFCC3FF30AA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587" name="AutoShape 12">
          <a:extLst>
            <a:ext uri="{FF2B5EF4-FFF2-40B4-BE49-F238E27FC236}">
              <a16:creationId xmlns:a16="http://schemas.microsoft.com/office/drawing/2014/main" id="{F7E63EBD-C09C-4A8F-85B0-8A8E5B1CF16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588" name="AutoShape 12">
          <a:extLst>
            <a:ext uri="{FF2B5EF4-FFF2-40B4-BE49-F238E27FC236}">
              <a16:creationId xmlns:a16="http://schemas.microsoft.com/office/drawing/2014/main" id="{4035B074-AAB7-4EC0-AE20-2A67A99B1A8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589" name="AutoShape 12">
          <a:extLst>
            <a:ext uri="{FF2B5EF4-FFF2-40B4-BE49-F238E27FC236}">
              <a16:creationId xmlns:a16="http://schemas.microsoft.com/office/drawing/2014/main" id="{96A8A76F-5268-4340-8CBF-E5118E8CAAC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590" name="AutoShape 12">
          <a:extLst>
            <a:ext uri="{FF2B5EF4-FFF2-40B4-BE49-F238E27FC236}">
              <a16:creationId xmlns:a16="http://schemas.microsoft.com/office/drawing/2014/main" id="{F32708DF-A252-4A1F-A2DD-D986F8BF983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591" name="AutoShape 12">
          <a:extLst>
            <a:ext uri="{FF2B5EF4-FFF2-40B4-BE49-F238E27FC236}">
              <a16:creationId xmlns:a16="http://schemas.microsoft.com/office/drawing/2014/main" id="{A79FC5FE-E28D-44E7-85AD-7503603F214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592" name="AutoShape 12">
          <a:extLst>
            <a:ext uri="{FF2B5EF4-FFF2-40B4-BE49-F238E27FC236}">
              <a16:creationId xmlns:a16="http://schemas.microsoft.com/office/drawing/2014/main" id="{257DC2C9-482D-4A05-AAEF-5AB1515C4DE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593" name="AutoShape 12">
          <a:extLst>
            <a:ext uri="{FF2B5EF4-FFF2-40B4-BE49-F238E27FC236}">
              <a16:creationId xmlns:a16="http://schemas.microsoft.com/office/drawing/2014/main" id="{FB8CD28F-9862-42AD-9703-E349B1C4C54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594" name="AutoShape 12">
          <a:extLst>
            <a:ext uri="{FF2B5EF4-FFF2-40B4-BE49-F238E27FC236}">
              <a16:creationId xmlns:a16="http://schemas.microsoft.com/office/drawing/2014/main" id="{3224CDB3-1765-406B-B356-314108BBB36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595" name="AutoShape 12">
          <a:extLst>
            <a:ext uri="{FF2B5EF4-FFF2-40B4-BE49-F238E27FC236}">
              <a16:creationId xmlns:a16="http://schemas.microsoft.com/office/drawing/2014/main" id="{E402E5F6-E5FF-4B1A-8179-833A50E90A0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596" name="AutoShape 12">
          <a:extLst>
            <a:ext uri="{FF2B5EF4-FFF2-40B4-BE49-F238E27FC236}">
              <a16:creationId xmlns:a16="http://schemas.microsoft.com/office/drawing/2014/main" id="{28411DFB-871F-4118-B5F5-8FD490139F4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597" name="AutoShape 12">
          <a:extLst>
            <a:ext uri="{FF2B5EF4-FFF2-40B4-BE49-F238E27FC236}">
              <a16:creationId xmlns:a16="http://schemas.microsoft.com/office/drawing/2014/main" id="{382B23C2-D3D5-4478-80DA-8593111AF8B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598" name="AutoShape 12">
          <a:extLst>
            <a:ext uri="{FF2B5EF4-FFF2-40B4-BE49-F238E27FC236}">
              <a16:creationId xmlns:a16="http://schemas.microsoft.com/office/drawing/2014/main" id="{E582B7C7-08E3-4CAC-96F1-FCE8516E622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599" name="AutoShape 12">
          <a:extLst>
            <a:ext uri="{FF2B5EF4-FFF2-40B4-BE49-F238E27FC236}">
              <a16:creationId xmlns:a16="http://schemas.microsoft.com/office/drawing/2014/main" id="{7DBE00FF-3491-4D95-8A16-931DB920643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600" name="AutoShape 12">
          <a:extLst>
            <a:ext uri="{FF2B5EF4-FFF2-40B4-BE49-F238E27FC236}">
              <a16:creationId xmlns:a16="http://schemas.microsoft.com/office/drawing/2014/main" id="{8CBCB10C-EDEE-46A4-99F1-5F488DBF250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601" name="AutoShape 12">
          <a:extLst>
            <a:ext uri="{FF2B5EF4-FFF2-40B4-BE49-F238E27FC236}">
              <a16:creationId xmlns:a16="http://schemas.microsoft.com/office/drawing/2014/main" id="{34D53386-53FB-4768-9F43-85CE31FECF8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602" name="AutoShape 12">
          <a:extLst>
            <a:ext uri="{FF2B5EF4-FFF2-40B4-BE49-F238E27FC236}">
              <a16:creationId xmlns:a16="http://schemas.microsoft.com/office/drawing/2014/main" id="{B75C3753-E537-4BAA-99F6-AFAE7EE60FF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603" name="AutoShape 12">
          <a:extLst>
            <a:ext uri="{FF2B5EF4-FFF2-40B4-BE49-F238E27FC236}">
              <a16:creationId xmlns:a16="http://schemas.microsoft.com/office/drawing/2014/main" id="{CE3FF2D0-F0AB-4403-B407-61E558A080D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604" name="AutoShape 12">
          <a:extLst>
            <a:ext uri="{FF2B5EF4-FFF2-40B4-BE49-F238E27FC236}">
              <a16:creationId xmlns:a16="http://schemas.microsoft.com/office/drawing/2014/main" id="{EA02C1E3-7552-4283-9BD5-9B734DB3BCD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605" name="AutoShape 12">
          <a:extLst>
            <a:ext uri="{FF2B5EF4-FFF2-40B4-BE49-F238E27FC236}">
              <a16:creationId xmlns:a16="http://schemas.microsoft.com/office/drawing/2014/main" id="{A546F669-2812-4D36-90C2-9D3682BBE0A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606" name="AutoShape 12">
          <a:extLst>
            <a:ext uri="{FF2B5EF4-FFF2-40B4-BE49-F238E27FC236}">
              <a16:creationId xmlns:a16="http://schemas.microsoft.com/office/drawing/2014/main" id="{530FDEC4-E1F0-4A09-8E5A-6DE9771B49E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607" name="AutoShape 12">
          <a:extLst>
            <a:ext uri="{FF2B5EF4-FFF2-40B4-BE49-F238E27FC236}">
              <a16:creationId xmlns:a16="http://schemas.microsoft.com/office/drawing/2014/main" id="{39D54F2D-CCD7-4932-9751-AFA6B8A1F81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608" name="AutoShape 12">
          <a:extLst>
            <a:ext uri="{FF2B5EF4-FFF2-40B4-BE49-F238E27FC236}">
              <a16:creationId xmlns:a16="http://schemas.microsoft.com/office/drawing/2014/main" id="{6750143A-264E-44B4-99D9-D2B19AC476B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609" name="AutoShape 12">
          <a:extLst>
            <a:ext uri="{FF2B5EF4-FFF2-40B4-BE49-F238E27FC236}">
              <a16:creationId xmlns:a16="http://schemas.microsoft.com/office/drawing/2014/main" id="{E406A1E7-F3C5-4A0F-9DE9-40F9F1557B8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610" name="AutoShape 12">
          <a:extLst>
            <a:ext uri="{FF2B5EF4-FFF2-40B4-BE49-F238E27FC236}">
              <a16:creationId xmlns:a16="http://schemas.microsoft.com/office/drawing/2014/main" id="{DC7C6F5F-20E4-48CF-A282-D9EF87139EC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611" name="AutoShape 12">
          <a:extLst>
            <a:ext uri="{FF2B5EF4-FFF2-40B4-BE49-F238E27FC236}">
              <a16:creationId xmlns:a16="http://schemas.microsoft.com/office/drawing/2014/main" id="{CCECDEC4-C966-45A2-AA02-45377F97057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612" name="AutoShape 12">
          <a:extLst>
            <a:ext uri="{FF2B5EF4-FFF2-40B4-BE49-F238E27FC236}">
              <a16:creationId xmlns:a16="http://schemas.microsoft.com/office/drawing/2014/main" id="{723D7D4B-AAB0-46E5-96A3-0858B7E88E8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613" name="AutoShape 12">
          <a:extLst>
            <a:ext uri="{FF2B5EF4-FFF2-40B4-BE49-F238E27FC236}">
              <a16:creationId xmlns:a16="http://schemas.microsoft.com/office/drawing/2014/main" id="{E4C6CA95-A59B-4FCE-BAD0-F2B9E5D492B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614" name="AutoShape 12">
          <a:extLst>
            <a:ext uri="{FF2B5EF4-FFF2-40B4-BE49-F238E27FC236}">
              <a16:creationId xmlns:a16="http://schemas.microsoft.com/office/drawing/2014/main" id="{D64122BD-00FE-4B45-B77B-4B63C77005A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615" name="AutoShape 12">
          <a:extLst>
            <a:ext uri="{FF2B5EF4-FFF2-40B4-BE49-F238E27FC236}">
              <a16:creationId xmlns:a16="http://schemas.microsoft.com/office/drawing/2014/main" id="{AEF5B3FE-6EE1-429C-BBA3-8E6C8E6F874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616" name="AutoShape 12">
          <a:extLst>
            <a:ext uri="{FF2B5EF4-FFF2-40B4-BE49-F238E27FC236}">
              <a16:creationId xmlns:a16="http://schemas.microsoft.com/office/drawing/2014/main" id="{FE61A159-F188-4787-B737-7EDF4A119F4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617" name="AutoShape 12">
          <a:extLst>
            <a:ext uri="{FF2B5EF4-FFF2-40B4-BE49-F238E27FC236}">
              <a16:creationId xmlns:a16="http://schemas.microsoft.com/office/drawing/2014/main" id="{31974A47-7461-40EF-A7B0-B078C80E4C3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618" name="AutoShape 12">
          <a:extLst>
            <a:ext uri="{FF2B5EF4-FFF2-40B4-BE49-F238E27FC236}">
              <a16:creationId xmlns:a16="http://schemas.microsoft.com/office/drawing/2014/main" id="{36F40638-888B-4CF9-865D-8ECBF9C16C6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619" name="AutoShape 12">
          <a:extLst>
            <a:ext uri="{FF2B5EF4-FFF2-40B4-BE49-F238E27FC236}">
              <a16:creationId xmlns:a16="http://schemas.microsoft.com/office/drawing/2014/main" id="{FA881400-6E5D-4913-B193-84783D2A6C2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620" name="AutoShape 12">
          <a:extLst>
            <a:ext uri="{FF2B5EF4-FFF2-40B4-BE49-F238E27FC236}">
              <a16:creationId xmlns:a16="http://schemas.microsoft.com/office/drawing/2014/main" id="{6EDEF2B6-4C78-4787-B763-8C70569267E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621" name="AutoShape 12">
          <a:extLst>
            <a:ext uri="{FF2B5EF4-FFF2-40B4-BE49-F238E27FC236}">
              <a16:creationId xmlns:a16="http://schemas.microsoft.com/office/drawing/2014/main" id="{4CA37EF9-6D4D-4BC7-8D4C-9BD1D763C20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622" name="AutoShape 12">
          <a:extLst>
            <a:ext uri="{FF2B5EF4-FFF2-40B4-BE49-F238E27FC236}">
              <a16:creationId xmlns:a16="http://schemas.microsoft.com/office/drawing/2014/main" id="{B802A6F4-33D6-4471-AC5F-009E3918072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623" name="AutoShape 12">
          <a:extLst>
            <a:ext uri="{FF2B5EF4-FFF2-40B4-BE49-F238E27FC236}">
              <a16:creationId xmlns:a16="http://schemas.microsoft.com/office/drawing/2014/main" id="{1B0EB16E-499F-46E8-854B-0E347E39DB0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624" name="AutoShape 12">
          <a:extLst>
            <a:ext uri="{FF2B5EF4-FFF2-40B4-BE49-F238E27FC236}">
              <a16:creationId xmlns:a16="http://schemas.microsoft.com/office/drawing/2014/main" id="{DACFC8C1-E8FA-4F6C-9436-DEC4F95CD2D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625" name="AutoShape 12">
          <a:extLst>
            <a:ext uri="{FF2B5EF4-FFF2-40B4-BE49-F238E27FC236}">
              <a16:creationId xmlns:a16="http://schemas.microsoft.com/office/drawing/2014/main" id="{E54D3712-BEC4-49FC-B448-16703C9B7BD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626" name="AutoShape 12">
          <a:extLst>
            <a:ext uri="{FF2B5EF4-FFF2-40B4-BE49-F238E27FC236}">
              <a16:creationId xmlns:a16="http://schemas.microsoft.com/office/drawing/2014/main" id="{B1A3F652-3795-4F9D-9E4C-3CF583EABDE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627" name="AutoShape 12">
          <a:extLst>
            <a:ext uri="{FF2B5EF4-FFF2-40B4-BE49-F238E27FC236}">
              <a16:creationId xmlns:a16="http://schemas.microsoft.com/office/drawing/2014/main" id="{78325154-EF8C-49D7-B0F9-C42D2046B58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628" name="AutoShape 12">
          <a:extLst>
            <a:ext uri="{FF2B5EF4-FFF2-40B4-BE49-F238E27FC236}">
              <a16:creationId xmlns:a16="http://schemas.microsoft.com/office/drawing/2014/main" id="{5DEBCB24-5C67-4B4C-AF09-ED39CA48BEB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629" name="AutoShape 12">
          <a:extLst>
            <a:ext uri="{FF2B5EF4-FFF2-40B4-BE49-F238E27FC236}">
              <a16:creationId xmlns:a16="http://schemas.microsoft.com/office/drawing/2014/main" id="{4EB2D9B2-E45F-4E44-A773-A796086F350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630" name="AutoShape 12">
          <a:extLst>
            <a:ext uri="{FF2B5EF4-FFF2-40B4-BE49-F238E27FC236}">
              <a16:creationId xmlns:a16="http://schemas.microsoft.com/office/drawing/2014/main" id="{D12636F1-F4B0-499A-8162-AD1CC91937B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631" name="AutoShape 12">
          <a:extLst>
            <a:ext uri="{FF2B5EF4-FFF2-40B4-BE49-F238E27FC236}">
              <a16:creationId xmlns:a16="http://schemas.microsoft.com/office/drawing/2014/main" id="{029AD761-1CFA-49F7-9718-7E8CF9E8A8A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632" name="AutoShape 12">
          <a:extLst>
            <a:ext uri="{FF2B5EF4-FFF2-40B4-BE49-F238E27FC236}">
              <a16:creationId xmlns:a16="http://schemas.microsoft.com/office/drawing/2014/main" id="{AC4D1FD4-986E-471E-8BF4-49789334212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633" name="AutoShape 12">
          <a:extLst>
            <a:ext uri="{FF2B5EF4-FFF2-40B4-BE49-F238E27FC236}">
              <a16:creationId xmlns:a16="http://schemas.microsoft.com/office/drawing/2014/main" id="{4192B726-E70F-46D6-8A18-05AF042AEEC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634" name="AutoShape 12">
          <a:extLst>
            <a:ext uri="{FF2B5EF4-FFF2-40B4-BE49-F238E27FC236}">
              <a16:creationId xmlns:a16="http://schemas.microsoft.com/office/drawing/2014/main" id="{C191B722-23E2-4747-899E-296947DFFD3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635" name="AutoShape 12">
          <a:extLst>
            <a:ext uri="{FF2B5EF4-FFF2-40B4-BE49-F238E27FC236}">
              <a16:creationId xmlns:a16="http://schemas.microsoft.com/office/drawing/2014/main" id="{96B6CFE5-930B-4BA9-A32A-4D5E72061D4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636" name="AutoShape 12">
          <a:extLst>
            <a:ext uri="{FF2B5EF4-FFF2-40B4-BE49-F238E27FC236}">
              <a16:creationId xmlns:a16="http://schemas.microsoft.com/office/drawing/2014/main" id="{B09AD8C9-D79C-4D08-B477-4463E02E406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637" name="AutoShape 12">
          <a:extLst>
            <a:ext uri="{FF2B5EF4-FFF2-40B4-BE49-F238E27FC236}">
              <a16:creationId xmlns:a16="http://schemas.microsoft.com/office/drawing/2014/main" id="{9AA0FEBD-5B70-45C7-A74F-4E2CBA98A57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638" name="AutoShape 12">
          <a:extLst>
            <a:ext uri="{FF2B5EF4-FFF2-40B4-BE49-F238E27FC236}">
              <a16:creationId xmlns:a16="http://schemas.microsoft.com/office/drawing/2014/main" id="{0852BF02-3F46-4356-8127-5DC19A9BBD8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639" name="AutoShape 12">
          <a:extLst>
            <a:ext uri="{FF2B5EF4-FFF2-40B4-BE49-F238E27FC236}">
              <a16:creationId xmlns:a16="http://schemas.microsoft.com/office/drawing/2014/main" id="{D0BF149D-8EEB-4AC9-B546-A2AC619AA9B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640" name="AutoShape 12">
          <a:extLst>
            <a:ext uri="{FF2B5EF4-FFF2-40B4-BE49-F238E27FC236}">
              <a16:creationId xmlns:a16="http://schemas.microsoft.com/office/drawing/2014/main" id="{3857526D-A202-44B0-BEEE-A6B4123D8BC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641" name="AutoShape 12">
          <a:extLst>
            <a:ext uri="{FF2B5EF4-FFF2-40B4-BE49-F238E27FC236}">
              <a16:creationId xmlns:a16="http://schemas.microsoft.com/office/drawing/2014/main" id="{AB7225B6-4D67-4BE4-9BCD-77A46DFBEEB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642" name="AutoShape 12">
          <a:extLst>
            <a:ext uri="{FF2B5EF4-FFF2-40B4-BE49-F238E27FC236}">
              <a16:creationId xmlns:a16="http://schemas.microsoft.com/office/drawing/2014/main" id="{5BB78D56-853D-4004-9157-B29534434DB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643" name="AutoShape 12">
          <a:extLst>
            <a:ext uri="{FF2B5EF4-FFF2-40B4-BE49-F238E27FC236}">
              <a16:creationId xmlns:a16="http://schemas.microsoft.com/office/drawing/2014/main" id="{93957ED3-8355-4124-9525-5596A664087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644" name="AutoShape 12">
          <a:extLst>
            <a:ext uri="{FF2B5EF4-FFF2-40B4-BE49-F238E27FC236}">
              <a16:creationId xmlns:a16="http://schemas.microsoft.com/office/drawing/2014/main" id="{383BB594-C814-43E0-98D6-B7D6BFB8749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645" name="AutoShape 12">
          <a:extLst>
            <a:ext uri="{FF2B5EF4-FFF2-40B4-BE49-F238E27FC236}">
              <a16:creationId xmlns:a16="http://schemas.microsoft.com/office/drawing/2014/main" id="{43BAB113-81FC-4763-BE8A-1285A5C2CB8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646" name="AutoShape 12">
          <a:extLst>
            <a:ext uri="{FF2B5EF4-FFF2-40B4-BE49-F238E27FC236}">
              <a16:creationId xmlns:a16="http://schemas.microsoft.com/office/drawing/2014/main" id="{6084C95D-F5FA-486E-AF49-9DB49A5CF0F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647" name="AutoShape 12">
          <a:extLst>
            <a:ext uri="{FF2B5EF4-FFF2-40B4-BE49-F238E27FC236}">
              <a16:creationId xmlns:a16="http://schemas.microsoft.com/office/drawing/2014/main" id="{690FC095-6E19-456F-8B50-2960A12B4E8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648" name="AutoShape 12">
          <a:extLst>
            <a:ext uri="{FF2B5EF4-FFF2-40B4-BE49-F238E27FC236}">
              <a16:creationId xmlns:a16="http://schemas.microsoft.com/office/drawing/2014/main" id="{CAF65A69-C470-4DAF-B06D-0B65E53C5FF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649" name="AutoShape 12">
          <a:extLst>
            <a:ext uri="{FF2B5EF4-FFF2-40B4-BE49-F238E27FC236}">
              <a16:creationId xmlns:a16="http://schemas.microsoft.com/office/drawing/2014/main" id="{723BC6BC-2E91-4E04-96F6-49DF8040442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650" name="AutoShape 12">
          <a:extLst>
            <a:ext uri="{FF2B5EF4-FFF2-40B4-BE49-F238E27FC236}">
              <a16:creationId xmlns:a16="http://schemas.microsoft.com/office/drawing/2014/main" id="{E0BA8AB9-52A0-4B54-9A22-5349195B034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651" name="AutoShape 12">
          <a:extLst>
            <a:ext uri="{FF2B5EF4-FFF2-40B4-BE49-F238E27FC236}">
              <a16:creationId xmlns:a16="http://schemas.microsoft.com/office/drawing/2014/main" id="{588382C3-B7FD-41DC-861B-58FEB60FCDD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652" name="AutoShape 12">
          <a:extLst>
            <a:ext uri="{FF2B5EF4-FFF2-40B4-BE49-F238E27FC236}">
              <a16:creationId xmlns:a16="http://schemas.microsoft.com/office/drawing/2014/main" id="{4B1D3DF6-04FE-461F-9370-486B7589322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653" name="AutoShape 12">
          <a:extLst>
            <a:ext uri="{FF2B5EF4-FFF2-40B4-BE49-F238E27FC236}">
              <a16:creationId xmlns:a16="http://schemas.microsoft.com/office/drawing/2014/main" id="{F98839C5-24CE-4E97-9B06-BEBACA8D6D3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654" name="AutoShape 12">
          <a:extLst>
            <a:ext uri="{FF2B5EF4-FFF2-40B4-BE49-F238E27FC236}">
              <a16:creationId xmlns:a16="http://schemas.microsoft.com/office/drawing/2014/main" id="{CA2567E4-E89B-43C9-9F12-13ADAE26802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655" name="AutoShape 12">
          <a:extLst>
            <a:ext uri="{FF2B5EF4-FFF2-40B4-BE49-F238E27FC236}">
              <a16:creationId xmlns:a16="http://schemas.microsoft.com/office/drawing/2014/main" id="{C290CF40-B321-4C6E-B6A2-1BCE41096FE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656" name="AutoShape 12">
          <a:extLst>
            <a:ext uri="{FF2B5EF4-FFF2-40B4-BE49-F238E27FC236}">
              <a16:creationId xmlns:a16="http://schemas.microsoft.com/office/drawing/2014/main" id="{6EE5721D-847B-4EA6-8587-2BB691B80F5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657" name="AutoShape 12">
          <a:extLst>
            <a:ext uri="{FF2B5EF4-FFF2-40B4-BE49-F238E27FC236}">
              <a16:creationId xmlns:a16="http://schemas.microsoft.com/office/drawing/2014/main" id="{B10692F1-DCFC-467C-9F24-A93B52E9C90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658" name="AutoShape 12">
          <a:extLst>
            <a:ext uri="{FF2B5EF4-FFF2-40B4-BE49-F238E27FC236}">
              <a16:creationId xmlns:a16="http://schemas.microsoft.com/office/drawing/2014/main" id="{2C5C2F1A-CB7D-4AD2-99BB-1405DEDA251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659" name="AutoShape 12">
          <a:extLst>
            <a:ext uri="{FF2B5EF4-FFF2-40B4-BE49-F238E27FC236}">
              <a16:creationId xmlns:a16="http://schemas.microsoft.com/office/drawing/2014/main" id="{1C060936-1F3B-4A45-9CF6-06EBEFB082C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660" name="AutoShape 12">
          <a:extLst>
            <a:ext uri="{FF2B5EF4-FFF2-40B4-BE49-F238E27FC236}">
              <a16:creationId xmlns:a16="http://schemas.microsoft.com/office/drawing/2014/main" id="{A2E37F6C-835A-4781-9584-D799CC19ED7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661" name="AutoShape 12">
          <a:extLst>
            <a:ext uri="{FF2B5EF4-FFF2-40B4-BE49-F238E27FC236}">
              <a16:creationId xmlns:a16="http://schemas.microsoft.com/office/drawing/2014/main" id="{6328EF41-7831-4FAB-A162-3B2F75A2D06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662" name="AutoShape 12">
          <a:extLst>
            <a:ext uri="{FF2B5EF4-FFF2-40B4-BE49-F238E27FC236}">
              <a16:creationId xmlns:a16="http://schemas.microsoft.com/office/drawing/2014/main" id="{60D18B63-824C-4EA8-B2FB-76050308CB2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663" name="AutoShape 12">
          <a:extLst>
            <a:ext uri="{FF2B5EF4-FFF2-40B4-BE49-F238E27FC236}">
              <a16:creationId xmlns:a16="http://schemas.microsoft.com/office/drawing/2014/main" id="{BA193D73-0117-4AC8-B89C-C58F42D4C27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664" name="AutoShape 12">
          <a:extLst>
            <a:ext uri="{FF2B5EF4-FFF2-40B4-BE49-F238E27FC236}">
              <a16:creationId xmlns:a16="http://schemas.microsoft.com/office/drawing/2014/main" id="{9A21409C-4906-41BD-9BC6-97E8FFD6CC9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665" name="AutoShape 12">
          <a:extLst>
            <a:ext uri="{FF2B5EF4-FFF2-40B4-BE49-F238E27FC236}">
              <a16:creationId xmlns:a16="http://schemas.microsoft.com/office/drawing/2014/main" id="{164B18E1-F2B3-4805-96F5-5B75F856C1E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666" name="AutoShape 12">
          <a:extLst>
            <a:ext uri="{FF2B5EF4-FFF2-40B4-BE49-F238E27FC236}">
              <a16:creationId xmlns:a16="http://schemas.microsoft.com/office/drawing/2014/main" id="{50D26CA9-189E-4F89-99B1-2A3F3F1EBF0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667" name="AutoShape 12">
          <a:extLst>
            <a:ext uri="{FF2B5EF4-FFF2-40B4-BE49-F238E27FC236}">
              <a16:creationId xmlns:a16="http://schemas.microsoft.com/office/drawing/2014/main" id="{73FB46A1-B3FD-41CA-B554-43B6BA29B38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668" name="AutoShape 12">
          <a:extLst>
            <a:ext uri="{FF2B5EF4-FFF2-40B4-BE49-F238E27FC236}">
              <a16:creationId xmlns:a16="http://schemas.microsoft.com/office/drawing/2014/main" id="{22F18B3D-039B-4F5D-9980-D8D1B28996A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669" name="AutoShape 12">
          <a:extLst>
            <a:ext uri="{FF2B5EF4-FFF2-40B4-BE49-F238E27FC236}">
              <a16:creationId xmlns:a16="http://schemas.microsoft.com/office/drawing/2014/main" id="{B42B15EF-D749-4C22-B667-A82560275C5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670" name="AutoShape 12">
          <a:extLst>
            <a:ext uri="{FF2B5EF4-FFF2-40B4-BE49-F238E27FC236}">
              <a16:creationId xmlns:a16="http://schemas.microsoft.com/office/drawing/2014/main" id="{58E1BC5E-5DB0-4EF4-B1E7-414A19D60D3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671" name="AutoShape 12">
          <a:extLst>
            <a:ext uri="{FF2B5EF4-FFF2-40B4-BE49-F238E27FC236}">
              <a16:creationId xmlns:a16="http://schemas.microsoft.com/office/drawing/2014/main" id="{E8FA4F47-C9D0-4252-9233-844E27AA2F2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672" name="AutoShape 12">
          <a:extLst>
            <a:ext uri="{FF2B5EF4-FFF2-40B4-BE49-F238E27FC236}">
              <a16:creationId xmlns:a16="http://schemas.microsoft.com/office/drawing/2014/main" id="{14A62730-CEF7-4B2D-8A32-B5E9FF18271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673" name="AutoShape 12">
          <a:extLst>
            <a:ext uri="{FF2B5EF4-FFF2-40B4-BE49-F238E27FC236}">
              <a16:creationId xmlns:a16="http://schemas.microsoft.com/office/drawing/2014/main" id="{27A2DEEB-2D99-4A22-91A2-2B39D6A124D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674" name="AutoShape 12">
          <a:extLst>
            <a:ext uri="{FF2B5EF4-FFF2-40B4-BE49-F238E27FC236}">
              <a16:creationId xmlns:a16="http://schemas.microsoft.com/office/drawing/2014/main" id="{365503C6-0C57-4F7F-8F18-40B3FC955D6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675" name="AutoShape 12">
          <a:extLst>
            <a:ext uri="{FF2B5EF4-FFF2-40B4-BE49-F238E27FC236}">
              <a16:creationId xmlns:a16="http://schemas.microsoft.com/office/drawing/2014/main" id="{12E79379-0811-42AC-BBA9-63BDC49A677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676" name="AutoShape 12">
          <a:extLst>
            <a:ext uri="{FF2B5EF4-FFF2-40B4-BE49-F238E27FC236}">
              <a16:creationId xmlns:a16="http://schemas.microsoft.com/office/drawing/2014/main" id="{38C17141-212A-4F79-89AA-02F4470A499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677" name="AutoShape 12">
          <a:extLst>
            <a:ext uri="{FF2B5EF4-FFF2-40B4-BE49-F238E27FC236}">
              <a16:creationId xmlns:a16="http://schemas.microsoft.com/office/drawing/2014/main" id="{ECD80F09-5D72-42C1-9AB9-FBD04C291C5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678" name="AutoShape 12">
          <a:extLst>
            <a:ext uri="{FF2B5EF4-FFF2-40B4-BE49-F238E27FC236}">
              <a16:creationId xmlns:a16="http://schemas.microsoft.com/office/drawing/2014/main" id="{DC63874E-F486-4636-906A-2989289C4BD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679" name="AutoShape 12">
          <a:extLst>
            <a:ext uri="{FF2B5EF4-FFF2-40B4-BE49-F238E27FC236}">
              <a16:creationId xmlns:a16="http://schemas.microsoft.com/office/drawing/2014/main" id="{8147F365-9249-4ECD-A9F3-C10F5CF93F8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680" name="AutoShape 12">
          <a:extLst>
            <a:ext uri="{FF2B5EF4-FFF2-40B4-BE49-F238E27FC236}">
              <a16:creationId xmlns:a16="http://schemas.microsoft.com/office/drawing/2014/main" id="{B7FB12B4-4039-4809-8071-67804DD2C42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681" name="AutoShape 12">
          <a:extLst>
            <a:ext uri="{FF2B5EF4-FFF2-40B4-BE49-F238E27FC236}">
              <a16:creationId xmlns:a16="http://schemas.microsoft.com/office/drawing/2014/main" id="{10C18FE3-FB81-4B2C-8330-B9291635F23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682" name="AutoShape 12">
          <a:extLst>
            <a:ext uri="{FF2B5EF4-FFF2-40B4-BE49-F238E27FC236}">
              <a16:creationId xmlns:a16="http://schemas.microsoft.com/office/drawing/2014/main" id="{33E8E20B-3BA3-4D92-96A0-0A104387F60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683" name="AutoShape 12">
          <a:extLst>
            <a:ext uri="{FF2B5EF4-FFF2-40B4-BE49-F238E27FC236}">
              <a16:creationId xmlns:a16="http://schemas.microsoft.com/office/drawing/2014/main" id="{07B3D222-D48D-4668-83E2-9BD5AB1B1D9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684" name="AutoShape 12">
          <a:extLst>
            <a:ext uri="{FF2B5EF4-FFF2-40B4-BE49-F238E27FC236}">
              <a16:creationId xmlns:a16="http://schemas.microsoft.com/office/drawing/2014/main" id="{C35BEA6C-9D04-42C8-98CC-CCCA06317A5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685" name="AutoShape 12">
          <a:extLst>
            <a:ext uri="{FF2B5EF4-FFF2-40B4-BE49-F238E27FC236}">
              <a16:creationId xmlns:a16="http://schemas.microsoft.com/office/drawing/2014/main" id="{2C879816-D910-40F2-A10B-4FBD5A43968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686" name="AutoShape 12">
          <a:extLst>
            <a:ext uri="{FF2B5EF4-FFF2-40B4-BE49-F238E27FC236}">
              <a16:creationId xmlns:a16="http://schemas.microsoft.com/office/drawing/2014/main" id="{1882D7D5-452C-4621-8C83-56B09E54ACF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687" name="AutoShape 12">
          <a:extLst>
            <a:ext uri="{FF2B5EF4-FFF2-40B4-BE49-F238E27FC236}">
              <a16:creationId xmlns:a16="http://schemas.microsoft.com/office/drawing/2014/main" id="{63C143C1-A29D-42B0-B417-D0F6210ACFA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688" name="AutoShape 12">
          <a:extLst>
            <a:ext uri="{FF2B5EF4-FFF2-40B4-BE49-F238E27FC236}">
              <a16:creationId xmlns:a16="http://schemas.microsoft.com/office/drawing/2014/main" id="{06E3C946-E667-4924-94F3-14405F6D23B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689" name="AutoShape 12">
          <a:extLst>
            <a:ext uri="{FF2B5EF4-FFF2-40B4-BE49-F238E27FC236}">
              <a16:creationId xmlns:a16="http://schemas.microsoft.com/office/drawing/2014/main" id="{DD308F0E-3D01-4B64-9E37-49950D8776B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690" name="AutoShape 12">
          <a:extLst>
            <a:ext uri="{FF2B5EF4-FFF2-40B4-BE49-F238E27FC236}">
              <a16:creationId xmlns:a16="http://schemas.microsoft.com/office/drawing/2014/main" id="{ED8DA859-CDC3-439D-8A08-D675461B7C0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691" name="AutoShape 12">
          <a:extLst>
            <a:ext uri="{FF2B5EF4-FFF2-40B4-BE49-F238E27FC236}">
              <a16:creationId xmlns:a16="http://schemas.microsoft.com/office/drawing/2014/main" id="{AE7E7A3F-F2B8-4B70-ABAC-B4345EA927C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692" name="AutoShape 12">
          <a:extLst>
            <a:ext uri="{FF2B5EF4-FFF2-40B4-BE49-F238E27FC236}">
              <a16:creationId xmlns:a16="http://schemas.microsoft.com/office/drawing/2014/main" id="{FF190757-6E24-4383-98E3-171377F05C3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693" name="AutoShape 12">
          <a:extLst>
            <a:ext uri="{FF2B5EF4-FFF2-40B4-BE49-F238E27FC236}">
              <a16:creationId xmlns:a16="http://schemas.microsoft.com/office/drawing/2014/main" id="{D4E9EB0C-5B77-4E22-BEA4-E46CAE402C2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694" name="AutoShape 12">
          <a:extLst>
            <a:ext uri="{FF2B5EF4-FFF2-40B4-BE49-F238E27FC236}">
              <a16:creationId xmlns:a16="http://schemas.microsoft.com/office/drawing/2014/main" id="{3A0E95D3-5348-40C3-BB2A-E598F4E6014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695" name="AutoShape 12">
          <a:extLst>
            <a:ext uri="{FF2B5EF4-FFF2-40B4-BE49-F238E27FC236}">
              <a16:creationId xmlns:a16="http://schemas.microsoft.com/office/drawing/2014/main" id="{1CC82875-10AF-46AF-ADAE-969BFDFFEC9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696" name="AutoShape 12">
          <a:extLst>
            <a:ext uri="{FF2B5EF4-FFF2-40B4-BE49-F238E27FC236}">
              <a16:creationId xmlns:a16="http://schemas.microsoft.com/office/drawing/2014/main" id="{0A56CC15-51C6-44C9-8E59-EDDDAA2D534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697" name="AutoShape 12">
          <a:extLst>
            <a:ext uri="{FF2B5EF4-FFF2-40B4-BE49-F238E27FC236}">
              <a16:creationId xmlns:a16="http://schemas.microsoft.com/office/drawing/2014/main" id="{1A4A99CD-88C1-46F7-86F6-B0EDEC720A5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698" name="AutoShape 12">
          <a:extLst>
            <a:ext uri="{FF2B5EF4-FFF2-40B4-BE49-F238E27FC236}">
              <a16:creationId xmlns:a16="http://schemas.microsoft.com/office/drawing/2014/main" id="{58F9DD5B-FE8B-4887-9DAB-CE8B81C8016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699" name="AutoShape 12">
          <a:extLst>
            <a:ext uri="{FF2B5EF4-FFF2-40B4-BE49-F238E27FC236}">
              <a16:creationId xmlns:a16="http://schemas.microsoft.com/office/drawing/2014/main" id="{80D277B5-29AC-4F69-A75A-B3DFCC2D452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700" name="AutoShape 12">
          <a:extLst>
            <a:ext uri="{FF2B5EF4-FFF2-40B4-BE49-F238E27FC236}">
              <a16:creationId xmlns:a16="http://schemas.microsoft.com/office/drawing/2014/main" id="{2ED72E8B-1CE5-4B0C-A6BD-E1D974480A0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304800" cy="304094"/>
    <xdr:sp macro="" textlink="">
      <xdr:nvSpPr>
        <xdr:cNvPr id="5701" name="AutoShape 12">
          <a:extLst>
            <a:ext uri="{FF2B5EF4-FFF2-40B4-BE49-F238E27FC236}">
              <a16:creationId xmlns:a16="http://schemas.microsoft.com/office/drawing/2014/main" id="{736388E9-E29E-40E1-A735-7545FEE7212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702" name="AutoShape 12">
          <a:extLst>
            <a:ext uri="{FF2B5EF4-FFF2-40B4-BE49-F238E27FC236}">
              <a16:creationId xmlns:a16="http://schemas.microsoft.com/office/drawing/2014/main" id="{C4F5F8CC-F76D-459E-8E47-8FBD1DFC115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703" name="AutoShape 12">
          <a:extLst>
            <a:ext uri="{FF2B5EF4-FFF2-40B4-BE49-F238E27FC236}">
              <a16:creationId xmlns:a16="http://schemas.microsoft.com/office/drawing/2014/main" id="{3A39F275-2400-4E7B-9FB4-AA33C0A5140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704" name="AutoShape 12">
          <a:extLst>
            <a:ext uri="{FF2B5EF4-FFF2-40B4-BE49-F238E27FC236}">
              <a16:creationId xmlns:a16="http://schemas.microsoft.com/office/drawing/2014/main" id="{35C04DD5-319D-4884-9EC6-EA9D5BD5A4C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705" name="AutoShape 12">
          <a:extLst>
            <a:ext uri="{FF2B5EF4-FFF2-40B4-BE49-F238E27FC236}">
              <a16:creationId xmlns:a16="http://schemas.microsoft.com/office/drawing/2014/main" id="{EDF277C7-DE81-47A3-A2C0-C91BA45C20F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706" name="AutoShape 12">
          <a:extLst>
            <a:ext uri="{FF2B5EF4-FFF2-40B4-BE49-F238E27FC236}">
              <a16:creationId xmlns:a16="http://schemas.microsoft.com/office/drawing/2014/main" id="{CFD12F5D-71D1-47A1-BD39-37C72E5A6E4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707" name="AutoShape 12">
          <a:extLst>
            <a:ext uri="{FF2B5EF4-FFF2-40B4-BE49-F238E27FC236}">
              <a16:creationId xmlns:a16="http://schemas.microsoft.com/office/drawing/2014/main" id="{2A69F8D9-C0DC-4C75-9D07-771F913968D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708" name="AutoShape 12">
          <a:extLst>
            <a:ext uri="{FF2B5EF4-FFF2-40B4-BE49-F238E27FC236}">
              <a16:creationId xmlns:a16="http://schemas.microsoft.com/office/drawing/2014/main" id="{5D88683D-54A6-4CC5-8D5C-C45B27E9690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709" name="AutoShape 12">
          <a:extLst>
            <a:ext uri="{FF2B5EF4-FFF2-40B4-BE49-F238E27FC236}">
              <a16:creationId xmlns:a16="http://schemas.microsoft.com/office/drawing/2014/main" id="{D073DA1E-99DD-421B-AAC7-BB90D28A3CB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710" name="AutoShape 12">
          <a:extLst>
            <a:ext uri="{FF2B5EF4-FFF2-40B4-BE49-F238E27FC236}">
              <a16:creationId xmlns:a16="http://schemas.microsoft.com/office/drawing/2014/main" id="{8471EFEA-E887-4DAA-AE07-B0B8F8C050C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711" name="AutoShape 12">
          <a:extLst>
            <a:ext uri="{FF2B5EF4-FFF2-40B4-BE49-F238E27FC236}">
              <a16:creationId xmlns:a16="http://schemas.microsoft.com/office/drawing/2014/main" id="{A1989BA7-9381-4647-BDD3-9DA65F496EE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712" name="AutoShape 12">
          <a:extLst>
            <a:ext uri="{FF2B5EF4-FFF2-40B4-BE49-F238E27FC236}">
              <a16:creationId xmlns:a16="http://schemas.microsoft.com/office/drawing/2014/main" id="{B0D75DD4-0988-43EC-9D1A-DB16785253B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713" name="AutoShape 12">
          <a:extLst>
            <a:ext uri="{FF2B5EF4-FFF2-40B4-BE49-F238E27FC236}">
              <a16:creationId xmlns:a16="http://schemas.microsoft.com/office/drawing/2014/main" id="{B505A50C-AA22-4B91-8BFD-059A525DA77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714" name="AutoShape 12">
          <a:extLst>
            <a:ext uri="{FF2B5EF4-FFF2-40B4-BE49-F238E27FC236}">
              <a16:creationId xmlns:a16="http://schemas.microsoft.com/office/drawing/2014/main" id="{15B8BADC-FE4D-47D9-AB70-3BCCB172E93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715" name="AutoShape 12">
          <a:extLst>
            <a:ext uri="{FF2B5EF4-FFF2-40B4-BE49-F238E27FC236}">
              <a16:creationId xmlns:a16="http://schemas.microsoft.com/office/drawing/2014/main" id="{232E4FC9-EC36-4FDE-BCD5-6212E7E6A5B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716" name="AutoShape 12">
          <a:extLst>
            <a:ext uri="{FF2B5EF4-FFF2-40B4-BE49-F238E27FC236}">
              <a16:creationId xmlns:a16="http://schemas.microsoft.com/office/drawing/2014/main" id="{18F0E539-D99F-4811-B81D-3807B04978D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717" name="AutoShape 12">
          <a:extLst>
            <a:ext uri="{FF2B5EF4-FFF2-40B4-BE49-F238E27FC236}">
              <a16:creationId xmlns:a16="http://schemas.microsoft.com/office/drawing/2014/main" id="{B1DF4C70-C03D-4EBB-9F01-734EB52EB28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718" name="AutoShape 12">
          <a:extLst>
            <a:ext uri="{FF2B5EF4-FFF2-40B4-BE49-F238E27FC236}">
              <a16:creationId xmlns:a16="http://schemas.microsoft.com/office/drawing/2014/main" id="{D2C38732-8E8B-40DA-A3EB-10B111F0680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719" name="AutoShape 12">
          <a:extLst>
            <a:ext uri="{FF2B5EF4-FFF2-40B4-BE49-F238E27FC236}">
              <a16:creationId xmlns:a16="http://schemas.microsoft.com/office/drawing/2014/main" id="{89FACD9A-0DCE-4C45-963D-B54DB605249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720" name="AutoShape 12">
          <a:extLst>
            <a:ext uri="{FF2B5EF4-FFF2-40B4-BE49-F238E27FC236}">
              <a16:creationId xmlns:a16="http://schemas.microsoft.com/office/drawing/2014/main" id="{A88DC89C-AE5A-425E-B107-141703C8CF3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721" name="AutoShape 12">
          <a:extLst>
            <a:ext uri="{FF2B5EF4-FFF2-40B4-BE49-F238E27FC236}">
              <a16:creationId xmlns:a16="http://schemas.microsoft.com/office/drawing/2014/main" id="{33CCE5EF-EF08-47CC-8CFC-58FD4F54BD9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722" name="AutoShape 12">
          <a:extLst>
            <a:ext uri="{FF2B5EF4-FFF2-40B4-BE49-F238E27FC236}">
              <a16:creationId xmlns:a16="http://schemas.microsoft.com/office/drawing/2014/main" id="{DC7E53E1-9CFA-4774-8607-EC5190A2311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723" name="AutoShape 12">
          <a:extLst>
            <a:ext uri="{FF2B5EF4-FFF2-40B4-BE49-F238E27FC236}">
              <a16:creationId xmlns:a16="http://schemas.microsoft.com/office/drawing/2014/main" id="{0256F05A-4295-44F3-9E2F-4BC9191861C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724" name="AutoShape 12">
          <a:extLst>
            <a:ext uri="{FF2B5EF4-FFF2-40B4-BE49-F238E27FC236}">
              <a16:creationId xmlns:a16="http://schemas.microsoft.com/office/drawing/2014/main" id="{20CE80AA-6AA9-4B16-819C-09BAF33C3CF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725" name="AutoShape 12">
          <a:extLst>
            <a:ext uri="{FF2B5EF4-FFF2-40B4-BE49-F238E27FC236}">
              <a16:creationId xmlns:a16="http://schemas.microsoft.com/office/drawing/2014/main" id="{48E9288D-338F-4455-8086-B016705122E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726" name="AutoShape 12">
          <a:extLst>
            <a:ext uri="{FF2B5EF4-FFF2-40B4-BE49-F238E27FC236}">
              <a16:creationId xmlns:a16="http://schemas.microsoft.com/office/drawing/2014/main" id="{0A78A6B2-43E3-4E80-9C9D-DC1B373EB70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727" name="AutoShape 12">
          <a:extLst>
            <a:ext uri="{FF2B5EF4-FFF2-40B4-BE49-F238E27FC236}">
              <a16:creationId xmlns:a16="http://schemas.microsoft.com/office/drawing/2014/main" id="{25CD114A-7F58-4212-BAC0-8B3B2A6EE2F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728" name="AutoShape 12">
          <a:extLst>
            <a:ext uri="{FF2B5EF4-FFF2-40B4-BE49-F238E27FC236}">
              <a16:creationId xmlns:a16="http://schemas.microsoft.com/office/drawing/2014/main" id="{CFA2BEB8-FE70-4649-B8D2-732C9100A19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729" name="AutoShape 12">
          <a:extLst>
            <a:ext uri="{FF2B5EF4-FFF2-40B4-BE49-F238E27FC236}">
              <a16:creationId xmlns:a16="http://schemas.microsoft.com/office/drawing/2014/main" id="{A7E9496E-D575-41B2-90FA-A5605AD51C2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730" name="AutoShape 12">
          <a:extLst>
            <a:ext uri="{FF2B5EF4-FFF2-40B4-BE49-F238E27FC236}">
              <a16:creationId xmlns:a16="http://schemas.microsoft.com/office/drawing/2014/main" id="{461DA7A1-90A2-43A3-A145-F9D550F6FAB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731" name="AutoShape 12">
          <a:extLst>
            <a:ext uri="{FF2B5EF4-FFF2-40B4-BE49-F238E27FC236}">
              <a16:creationId xmlns:a16="http://schemas.microsoft.com/office/drawing/2014/main" id="{4C21BDD2-25EE-4D5C-A2DC-E6BE1350ED9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732" name="AutoShape 12">
          <a:extLst>
            <a:ext uri="{FF2B5EF4-FFF2-40B4-BE49-F238E27FC236}">
              <a16:creationId xmlns:a16="http://schemas.microsoft.com/office/drawing/2014/main" id="{D2B3B8EB-667A-49FF-8CC5-60DB8357D09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733" name="AutoShape 12">
          <a:extLst>
            <a:ext uri="{FF2B5EF4-FFF2-40B4-BE49-F238E27FC236}">
              <a16:creationId xmlns:a16="http://schemas.microsoft.com/office/drawing/2014/main" id="{849DA148-46A7-4AE1-88A9-15E70B81152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734" name="AutoShape 12">
          <a:extLst>
            <a:ext uri="{FF2B5EF4-FFF2-40B4-BE49-F238E27FC236}">
              <a16:creationId xmlns:a16="http://schemas.microsoft.com/office/drawing/2014/main" id="{CC3C5E01-1D7B-4E17-8333-2EF292BEEC2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735" name="AutoShape 12">
          <a:extLst>
            <a:ext uri="{FF2B5EF4-FFF2-40B4-BE49-F238E27FC236}">
              <a16:creationId xmlns:a16="http://schemas.microsoft.com/office/drawing/2014/main" id="{111D7A76-CA1C-4F5B-829A-63E40FDB2D9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736" name="AutoShape 12">
          <a:extLst>
            <a:ext uri="{FF2B5EF4-FFF2-40B4-BE49-F238E27FC236}">
              <a16:creationId xmlns:a16="http://schemas.microsoft.com/office/drawing/2014/main" id="{44FF55C2-CE67-4BA3-8BBB-366672BCC71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737" name="AutoShape 12">
          <a:extLst>
            <a:ext uri="{FF2B5EF4-FFF2-40B4-BE49-F238E27FC236}">
              <a16:creationId xmlns:a16="http://schemas.microsoft.com/office/drawing/2014/main" id="{3DD2058D-F4DF-450E-A86E-78BBF312C49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738" name="AutoShape 12">
          <a:extLst>
            <a:ext uri="{FF2B5EF4-FFF2-40B4-BE49-F238E27FC236}">
              <a16:creationId xmlns:a16="http://schemas.microsoft.com/office/drawing/2014/main" id="{1D0DF931-3397-497B-BDC7-307BF80F70B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739" name="AutoShape 12">
          <a:extLst>
            <a:ext uri="{FF2B5EF4-FFF2-40B4-BE49-F238E27FC236}">
              <a16:creationId xmlns:a16="http://schemas.microsoft.com/office/drawing/2014/main" id="{AC2B91FC-F861-464E-B8EE-4B5AC7C9E57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740" name="AutoShape 12">
          <a:extLst>
            <a:ext uri="{FF2B5EF4-FFF2-40B4-BE49-F238E27FC236}">
              <a16:creationId xmlns:a16="http://schemas.microsoft.com/office/drawing/2014/main" id="{3CBD346F-360B-42C5-B9A3-EDF892433A5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741" name="AutoShape 12">
          <a:extLst>
            <a:ext uri="{FF2B5EF4-FFF2-40B4-BE49-F238E27FC236}">
              <a16:creationId xmlns:a16="http://schemas.microsoft.com/office/drawing/2014/main" id="{343B920A-91FB-4023-A0FE-0E46034D1A1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742" name="AutoShape 12">
          <a:extLst>
            <a:ext uri="{FF2B5EF4-FFF2-40B4-BE49-F238E27FC236}">
              <a16:creationId xmlns:a16="http://schemas.microsoft.com/office/drawing/2014/main" id="{4970F578-5C47-424C-A9B1-9B9C195F681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743" name="AutoShape 12">
          <a:extLst>
            <a:ext uri="{FF2B5EF4-FFF2-40B4-BE49-F238E27FC236}">
              <a16:creationId xmlns:a16="http://schemas.microsoft.com/office/drawing/2014/main" id="{FD4D602B-F142-4FE1-91EB-5F8C2AE56F5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744" name="AutoShape 12">
          <a:extLst>
            <a:ext uri="{FF2B5EF4-FFF2-40B4-BE49-F238E27FC236}">
              <a16:creationId xmlns:a16="http://schemas.microsoft.com/office/drawing/2014/main" id="{DFB77492-FD39-4F5D-9A07-56F0E8DDDD8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745" name="AutoShape 12">
          <a:extLst>
            <a:ext uri="{FF2B5EF4-FFF2-40B4-BE49-F238E27FC236}">
              <a16:creationId xmlns:a16="http://schemas.microsoft.com/office/drawing/2014/main" id="{5D4F48DE-22F1-493E-9519-727FA6ACAA4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746" name="AutoShape 12">
          <a:extLst>
            <a:ext uri="{FF2B5EF4-FFF2-40B4-BE49-F238E27FC236}">
              <a16:creationId xmlns:a16="http://schemas.microsoft.com/office/drawing/2014/main" id="{F33A9F83-D67B-4565-B675-D782CE772FF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747" name="AutoShape 12">
          <a:extLst>
            <a:ext uri="{FF2B5EF4-FFF2-40B4-BE49-F238E27FC236}">
              <a16:creationId xmlns:a16="http://schemas.microsoft.com/office/drawing/2014/main" id="{28B641CE-7EF4-4718-A9C1-18BE22D530D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748" name="AutoShape 12">
          <a:extLst>
            <a:ext uri="{FF2B5EF4-FFF2-40B4-BE49-F238E27FC236}">
              <a16:creationId xmlns:a16="http://schemas.microsoft.com/office/drawing/2014/main" id="{8D4F9188-3CEF-4B9E-9FD2-D4220C21F49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749" name="AutoShape 12">
          <a:extLst>
            <a:ext uri="{FF2B5EF4-FFF2-40B4-BE49-F238E27FC236}">
              <a16:creationId xmlns:a16="http://schemas.microsoft.com/office/drawing/2014/main" id="{921EE435-A72D-4B57-9991-9CB1BB73D88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750" name="AutoShape 12">
          <a:extLst>
            <a:ext uri="{FF2B5EF4-FFF2-40B4-BE49-F238E27FC236}">
              <a16:creationId xmlns:a16="http://schemas.microsoft.com/office/drawing/2014/main" id="{42AABE7A-F426-4B23-A184-0D9F86AF5F1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751" name="AutoShape 12">
          <a:extLst>
            <a:ext uri="{FF2B5EF4-FFF2-40B4-BE49-F238E27FC236}">
              <a16:creationId xmlns:a16="http://schemas.microsoft.com/office/drawing/2014/main" id="{D3297575-0B13-4F16-8202-E3586B82911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752" name="AutoShape 12">
          <a:extLst>
            <a:ext uri="{FF2B5EF4-FFF2-40B4-BE49-F238E27FC236}">
              <a16:creationId xmlns:a16="http://schemas.microsoft.com/office/drawing/2014/main" id="{C0F9C4A8-1169-47FD-89C2-095855B0B59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753" name="AutoShape 12">
          <a:extLst>
            <a:ext uri="{FF2B5EF4-FFF2-40B4-BE49-F238E27FC236}">
              <a16:creationId xmlns:a16="http://schemas.microsoft.com/office/drawing/2014/main" id="{EB9E5FDD-CD2C-4AC8-A6E8-6EA0A11BA27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754" name="AutoShape 12">
          <a:extLst>
            <a:ext uri="{FF2B5EF4-FFF2-40B4-BE49-F238E27FC236}">
              <a16:creationId xmlns:a16="http://schemas.microsoft.com/office/drawing/2014/main" id="{9A114F70-225B-4970-803A-C1ED29801E4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755" name="AutoShape 12">
          <a:extLst>
            <a:ext uri="{FF2B5EF4-FFF2-40B4-BE49-F238E27FC236}">
              <a16:creationId xmlns:a16="http://schemas.microsoft.com/office/drawing/2014/main" id="{89167797-4D50-4467-81F8-C7B82411FA9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756" name="AutoShape 12">
          <a:extLst>
            <a:ext uri="{FF2B5EF4-FFF2-40B4-BE49-F238E27FC236}">
              <a16:creationId xmlns:a16="http://schemas.microsoft.com/office/drawing/2014/main" id="{332B4EC6-E800-4D31-8FA2-8E3F236069D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757" name="AutoShape 12">
          <a:extLst>
            <a:ext uri="{FF2B5EF4-FFF2-40B4-BE49-F238E27FC236}">
              <a16:creationId xmlns:a16="http://schemas.microsoft.com/office/drawing/2014/main" id="{683D2403-F119-4EBE-9F39-4B3A8450114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758" name="AutoShape 12">
          <a:extLst>
            <a:ext uri="{FF2B5EF4-FFF2-40B4-BE49-F238E27FC236}">
              <a16:creationId xmlns:a16="http://schemas.microsoft.com/office/drawing/2014/main" id="{0C3C7054-7D88-4C99-A4D9-4CD145B9BF0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759" name="AutoShape 12">
          <a:extLst>
            <a:ext uri="{FF2B5EF4-FFF2-40B4-BE49-F238E27FC236}">
              <a16:creationId xmlns:a16="http://schemas.microsoft.com/office/drawing/2014/main" id="{233BCA77-18A5-473A-97B1-EF01F3109BA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760" name="AutoShape 12">
          <a:extLst>
            <a:ext uri="{FF2B5EF4-FFF2-40B4-BE49-F238E27FC236}">
              <a16:creationId xmlns:a16="http://schemas.microsoft.com/office/drawing/2014/main" id="{676F34C2-036E-4D28-BB7F-6766F4F05B6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761" name="AutoShape 12">
          <a:extLst>
            <a:ext uri="{FF2B5EF4-FFF2-40B4-BE49-F238E27FC236}">
              <a16:creationId xmlns:a16="http://schemas.microsoft.com/office/drawing/2014/main" id="{E5B35B22-E1D5-45B0-AC15-70A8200AA47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762" name="AutoShape 12">
          <a:extLst>
            <a:ext uri="{FF2B5EF4-FFF2-40B4-BE49-F238E27FC236}">
              <a16:creationId xmlns:a16="http://schemas.microsoft.com/office/drawing/2014/main" id="{0FDE4F16-8626-4083-8EE4-0767964E6CD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763" name="AutoShape 12">
          <a:extLst>
            <a:ext uri="{FF2B5EF4-FFF2-40B4-BE49-F238E27FC236}">
              <a16:creationId xmlns:a16="http://schemas.microsoft.com/office/drawing/2014/main" id="{D4806D6B-2002-4DAB-9820-4FE55041C2C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764" name="AutoShape 12">
          <a:extLst>
            <a:ext uri="{FF2B5EF4-FFF2-40B4-BE49-F238E27FC236}">
              <a16:creationId xmlns:a16="http://schemas.microsoft.com/office/drawing/2014/main" id="{000DF0C1-6A00-4593-B1CB-28217FD20F6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765" name="AutoShape 12">
          <a:extLst>
            <a:ext uri="{FF2B5EF4-FFF2-40B4-BE49-F238E27FC236}">
              <a16:creationId xmlns:a16="http://schemas.microsoft.com/office/drawing/2014/main" id="{81E612BD-6FCD-49D3-8C14-C0A70C6A215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766" name="AutoShape 12">
          <a:extLst>
            <a:ext uri="{FF2B5EF4-FFF2-40B4-BE49-F238E27FC236}">
              <a16:creationId xmlns:a16="http://schemas.microsoft.com/office/drawing/2014/main" id="{B359A618-7CCC-461B-B293-F44FF93F3AE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767" name="AutoShape 12">
          <a:extLst>
            <a:ext uri="{FF2B5EF4-FFF2-40B4-BE49-F238E27FC236}">
              <a16:creationId xmlns:a16="http://schemas.microsoft.com/office/drawing/2014/main" id="{A66B09A6-D4D2-4BA3-9EF9-6F8C6D00A47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768" name="AutoShape 12">
          <a:extLst>
            <a:ext uri="{FF2B5EF4-FFF2-40B4-BE49-F238E27FC236}">
              <a16:creationId xmlns:a16="http://schemas.microsoft.com/office/drawing/2014/main" id="{6CF04E48-6F0F-4597-A0A1-7F4885E9005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769" name="AutoShape 12">
          <a:extLst>
            <a:ext uri="{FF2B5EF4-FFF2-40B4-BE49-F238E27FC236}">
              <a16:creationId xmlns:a16="http://schemas.microsoft.com/office/drawing/2014/main" id="{64D3E8BB-7DA2-4693-A8E2-AD9836B8A8A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770" name="AutoShape 12">
          <a:extLst>
            <a:ext uri="{FF2B5EF4-FFF2-40B4-BE49-F238E27FC236}">
              <a16:creationId xmlns:a16="http://schemas.microsoft.com/office/drawing/2014/main" id="{299C260F-7BFD-4F01-944E-CD141395A0C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771" name="AutoShape 12">
          <a:extLst>
            <a:ext uri="{FF2B5EF4-FFF2-40B4-BE49-F238E27FC236}">
              <a16:creationId xmlns:a16="http://schemas.microsoft.com/office/drawing/2014/main" id="{F0683142-B4E2-4039-8B91-585CB908AD3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772" name="AutoShape 12">
          <a:extLst>
            <a:ext uri="{FF2B5EF4-FFF2-40B4-BE49-F238E27FC236}">
              <a16:creationId xmlns:a16="http://schemas.microsoft.com/office/drawing/2014/main" id="{5E17C188-C3DF-4ED3-9D47-227DC8F1E27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773" name="AutoShape 12">
          <a:extLst>
            <a:ext uri="{FF2B5EF4-FFF2-40B4-BE49-F238E27FC236}">
              <a16:creationId xmlns:a16="http://schemas.microsoft.com/office/drawing/2014/main" id="{039DD788-6B73-48F9-8CDA-F426249541C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774" name="AutoShape 12">
          <a:extLst>
            <a:ext uri="{FF2B5EF4-FFF2-40B4-BE49-F238E27FC236}">
              <a16:creationId xmlns:a16="http://schemas.microsoft.com/office/drawing/2014/main" id="{8EDADEBC-D710-4571-B534-58D9B12E9A8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775" name="AutoShape 12">
          <a:extLst>
            <a:ext uri="{FF2B5EF4-FFF2-40B4-BE49-F238E27FC236}">
              <a16:creationId xmlns:a16="http://schemas.microsoft.com/office/drawing/2014/main" id="{E88A64D5-3CD7-42E9-8B71-6469A060EE2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776" name="AutoShape 12">
          <a:extLst>
            <a:ext uri="{FF2B5EF4-FFF2-40B4-BE49-F238E27FC236}">
              <a16:creationId xmlns:a16="http://schemas.microsoft.com/office/drawing/2014/main" id="{384F7950-9E93-4D33-AACE-82848D2DA20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777" name="AutoShape 12">
          <a:extLst>
            <a:ext uri="{FF2B5EF4-FFF2-40B4-BE49-F238E27FC236}">
              <a16:creationId xmlns:a16="http://schemas.microsoft.com/office/drawing/2014/main" id="{EEC39DF4-67FD-44AF-A263-63C15928541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778" name="AutoShape 12">
          <a:extLst>
            <a:ext uri="{FF2B5EF4-FFF2-40B4-BE49-F238E27FC236}">
              <a16:creationId xmlns:a16="http://schemas.microsoft.com/office/drawing/2014/main" id="{618EAFCC-C6C4-45CF-BCBF-1EFCF45174C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779" name="AutoShape 12">
          <a:extLst>
            <a:ext uri="{FF2B5EF4-FFF2-40B4-BE49-F238E27FC236}">
              <a16:creationId xmlns:a16="http://schemas.microsoft.com/office/drawing/2014/main" id="{1A4C8AF5-A05A-4C33-95DB-89AC970D0EE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780" name="AutoShape 12">
          <a:extLst>
            <a:ext uri="{FF2B5EF4-FFF2-40B4-BE49-F238E27FC236}">
              <a16:creationId xmlns:a16="http://schemas.microsoft.com/office/drawing/2014/main" id="{7F517E7D-1A61-483E-91DE-9BD01134841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781" name="AutoShape 12">
          <a:extLst>
            <a:ext uri="{FF2B5EF4-FFF2-40B4-BE49-F238E27FC236}">
              <a16:creationId xmlns:a16="http://schemas.microsoft.com/office/drawing/2014/main" id="{202E3F68-2301-4D5C-BA03-B2A5DB485AE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782" name="AutoShape 12">
          <a:extLst>
            <a:ext uri="{FF2B5EF4-FFF2-40B4-BE49-F238E27FC236}">
              <a16:creationId xmlns:a16="http://schemas.microsoft.com/office/drawing/2014/main" id="{CBDC932F-9F68-4EB8-A731-FE42669943E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783" name="AutoShape 12">
          <a:extLst>
            <a:ext uri="{FF2B5EF4-FFF2-40B4-BE49-F238E27FC236}">
              <a16:creationId xmlns:a16="http://schemas.microsoft.com/office/drawing/2014/main" id="{4542480B-6424-4CBE-83F5-59BB4AFBC3C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784" name="AutoShape 12">
          <a:extLst>
            <a:ext uri="{FF2B5EF4-FFF2-40B4-BE49-F238E27FC236}">
              <a16:creationId xmlns:a16="http://schemas.microsoft.com/office/drawing/2014/main" id="{654D871D-D0A3-4AF1-8CF4-14911F2C648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785" name="AutoShape 12">
          <a:extLst>
            <a:ext uri="{FF2B5EF4-FFF2-40B4-BE49-F238E27FC236}">
              <a16:creationId xmlns:a16="http://schemas.microsoft.com/office/drawing/2014/main" id="{9B16FCCF-9E70-4792-912C-BA1F8B6DA89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786" name="AutoShape 12">
          <a:extLst>
            <a:ext uri="{FF2B5EF4-FFF2-40B4-BE49-F238E27FC236}">
              <a16:creationId xmlns:a16="http://schemas.microsoft.com/office/drawing/2014/main" id="{343B65A8-F987-43BF-B760-947FACE0EE0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787" name="AutoShape 12">
          <a:extLst>
            <a:ext uri="{FF2B5EF4-FFF2-40B4-BE49-F238E27FC236}">
              <a16:creationId xmlns:a16="http://schemas.microsoft.com/office/drawing/2014/main" id="{238AA479-418A-4A19-997C-C2777C79335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788" name="AutoShape 12">
          <a:extLst>
            <a:ext uri="{FF2B5EF4-FFF2-40B4-BE49-F238E27FC236}">
              <a16:creationId xmlns:a16="http://schemas.microsoft.com/office/drawing/2014/main" id="{D5CFB7C9-DFAD-4AD3-A8C4-ED1089DE841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789" name="AutoShape 12">
          <a:extLst>
            <a:ext uri="{FF2B5EF4-FFF2-40B4-BE49-F238E27FC236}">
              <a16:creationId xmlns:a16="http://schemas.microsoft.com/office/drawing/2014/main" id="{A706C860-C47C-4D7C-8DBA-1957FD8B37C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790" name="AutoShape 12">
          <a:extLst>
            <a:ext uri="{FF2B5EF4-FFF2-40B4-BE49-F238E27FC236}">
              <a16:creationId xmlns:a16="http://schemas.microsoft.com/office/drawing/2014/main" id="{E99385AC-CFD1-46E0-ABFC-6292C652B6A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791" name="AutoShape 12">
          <a:extLst>
            <a:ext uri="{FF2B5EF4-FFF2-40B4-BE49-F238E27FC236}">
              <a16:creationId xmlns:a16="http://schemas.microsoft.com/office/drawing/2014/main" id="{8F65BD46-6F30-4456-A80B-C99A005BB8A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792" name="AutoShape 12">
          <a:extLst>
            <a:ext uri="{FF2B5EF4-FFF2-40B4-BE49-F238E27FC236}">
              <a16:creationId xmlns:a16="http://schemas.microsoft.com/office/drawing/2014/main" id="{BBE39D84-AADF-42D2-8EE2-B0186DC09B7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793" name="AutoShape 12">
          <a:extLst>
            <a:ext uri="{FF2B5EF4-FFF2-40B4-BE49-F238E27FC236}">
              <a16:creationId xmlns:a16="http://schemas.microsoft.com/office/drawing/2014/main" id="{DD940EFB-EAF6-4A34-A054-63DE5AC310A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794" name="AutoShape 12">
          <a:extLst>
            <a:ext uri="{FF2B5EF4-FFF2-40B4-BE49-F238E27FC236}">
              <a16:creationId xmlns:a16="http://schemas.microsoft.com/office/drawing/2014/main" id="{5D879B79-0552-4BEA-B14A-354CC7BB9D0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795" name="AutoShape 12">
          <a:extLst>
            <a:ext uri="{FF2B5EF4-FFF2-40B4-BE49-F238E27FC236}">
              <a16:creationId xmlns:a16="http://schemas.microsoft.com/office/drawing/2014/main" id="{2AF10158-2634-462E-A51C-15783886154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796" name="AutoShape 12">
          <a:extLst>
            <a:ext uri="{FF2B5EF4-FFF2-40B4-BE49-F238E27FC236}">
              <a16:creationId xmlns:a16="http://schemas.microsoft.com/office/drawing/2014/main" id="{28C066C1-1577-4D72-87BE-9E8AD4685B0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797" name="AutoShape 12">
          <a:extLst>
            <a:ext uri="{FF2B5EF4-FFF2-40B4-BE49-F238E27FC236}">
              <a16:creationId xmlns:a16="http://schemas.microsoft.com/office/drawing/2014/main" id="{55148F50-8FDF-4B4A-9D8A-1FC27701ECA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798" name="AutoShape 12">
          <a:extLst>
            <a:ext uri="{FF2B5EF4-FFF2-40B4-BE49-F238E27FC236}">
              <a16:creationId xmlns:a16="http://schemas.microsoft.com/office/drawing/2014/main" id="{3E8BF5BB-F63E-4CFF-98EE-1E834B80D10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799" name="AutoShape 12">
          <a:extLst>
            <a:ext uri="{FF2B5EF4-FFF2-40B4-BE49-F238E27FC236}">
              <a16:creationId xmlns:a16="http://schemas.microsoft.com/office/drawing/2014/main" id="{47536CCE-F908-4E0D-95D6-9342EC743FF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800" name="AutoShape 12">
          <a:extLst>
            <a:ext uri="{FF2B5EF4-FFF2-40B4-BE49-F238E27FC236}">
              <a16:creationId xmlns:a16="http://schemas.microsoft.com/office/drawing/2014/main" id="{1D037C46-754C-4D57-904A-D8584EA4032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801" name="AutoShape 12">
          <a:extLst>
            <a:ext uri="{FF2B5EF4-FFF2-40B4-BE49-F238E27FC236}">
              <a16:creationId xmlns:a16="http://schemas.microsoft.com/office/drawing/2014/main" id="{2EBCC67F-9664-433B-B291-B5F84D8FD12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802" name="AutoShape 12">
          <a:extLst>
            <a:ext uri="{FF2B5EF4-FFF2-40B4-BE49-F238E27FC236}">
              <a16:creationId xmlns:a16="http://schemas.microsoft.com/office/drawing/2014/main" id="{D7BAC8FF-1149-43C0-AA63-E05500E3B82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803" name="AutoShape 12">
          <a:extLst>
            <a:ext uri="{FF2B5EF4-FFF2-40B4-BE49-F238E27FC236}">
              <a16:creationId xmlns:a16="http://schemas.microsoft.com/office/drawing/2014/main" id="{93A25040-AF85-48CA-BC95-7D14C2CA8FD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804" name="AutoShape 12">
          <a:extLst>
            <a:ext uri="{FF2B5EF4-FFF2-40B4-BE49-F238E27FC236}">
              <a16:creationId xmlns:a16="http://schemas.microsoft.com/office/drawing/2014/main" id="{521FF4E7-BABA-45E5-B792-8A19951CE2E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805" name="AutoShape 12">
          <a:extLst>
            <a:ext uri="{FF2B5EF4-FFF2-40B4-BE49-F238E27FC236}">
              <a16:creationId xmlns:a16="http://schemas.microsoft.com/office/drawing/2014/main" id="{C496E4E4-C6D7-41BD-9171-6453A24BF85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806" name="AutoShape 12">
          <a:extLst>
            <a:ext uri="{FF2B5EF4-FFF2-40B4-BE49-F238E27FC236}">
              <a16:creationId xmlns:a16="http://schemas.microsoft.com/office/drawing/2014/main" id="{B542E975-364D-447B-BB1E-92F02C6F029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807" name="AutoShape 12">
          <a:extLst>
            <a:ext uri="{FF2B5EF4-FFF2-40B4-BE49-F238E27FC236}">
              <a16:creationId xmlns:a16="http://schemas.microsoft.com/office/drawing/2014/main" id="{4A1C59AD-3C8D-42D3-94C3-20FE6C1D7CA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808" name="AutoShape 12">
          <a:extLst>
            <a:ext uri="{FF2B5EF4-FFF2-40B4-BE49-F238E27FC236}">
              <a16:creationId xmlns:a16="http://schemas.microsoft.com/office/drawing/2014/main" id="{ACD70D90-322E-4FD7-9F3A-612EFA4F6AE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809" name="AutoShape 12">
          <a:extLst>
            <a:ext uri="{FF2B5EF4-FFF2-40B4-BE49-F238E27FC236}">
              <a16:creationId xmlns:a16="http://schemas.microsoft.com/office/drawing/2014/main" id="{149048DF-C6C3-47DF-AF0E-9FD872FDF5D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810" name="AutoShape 12">
          <a:extLst>
            <a:ext uri="{FF2B5EF4-FFF2-40B4-BE49-F238E27FC236}">
              <a16:creationId xmlns:a16="http://schemas.microsoft.com/office/drawing/2014/main" id="{DD8CD17E-796A-4F1D-836A-3DA50F33B8C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811" name="AutoShape 12">
          <a:extLst>
            <a:ext uri="{FF2B5EF4-FFF2-40B4-BE49-F238E27FC236}">
              <a16:creationId xmlns:a16="http://schemas.microsoft.com/office/drawing/2014/main" id="{C942A3B2-37A7-42A9-8BC9-4ABE47564C2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812" name="AutoShape 12">
          <a:extLst>
            <a:ext uri="{FF2B5EF4-FFF2-40B4-BE49-F238E27FC236}">
              <a16:creationId xmlns:a16="http://schemas.microsoft.com/office/drawing/2014/main" id="{A77996F3-02A4-4187-A16E-18508C8F2EA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813" name="AutoShape 12">
          <a:extLst>
            <a:ext uri="{FF2B5EF4-FFF2-40B4-BE49-F238E27FC236}">
              <a16:creationId xmlns:a16="http://schemas.microsoft.com/office/drawing/2014/main" id="{FFD5E11E-616F-442B-81E4-941B85E2AC8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814" name="AutoShape 12">
          <a:extLst>
            <a:ext uri="{FF2B5EF4-FFF2-40B4-BE49-F238E27FC236}">
              <a16:creationId xmlns:a16="http://schemas.microsoft.com/office/drawing/2014/main" id="{2394001B-ED37-4563-95B8-09CA2422FC8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815" name="AutoShape 12">
          <a:extLst>
            <a:ext uri="{FF2B5EF4-FFF2-40B4-BE49-F238E27FC236}">
              <a16:creationId xmlns:a16="http://schemas.microsoft.com/office/drawing/2014/main" id="{B0853A58-9DA4-4F97-A302-1DE28B16E88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816" name="AutoShape 12">
          <a:extLst>
            <a:ext uri="{FF2B5EF4-FFF2-40B4-BE49-F238E27FC236}">
              <a16:creationId xmlns:a16="http://schemas.microsoft.com/office/drawing/2014/main" id="{2348520E-1881-4F35-84B3-457D6A72969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817" name="AutoShape 12">
          <a:extLst>
            <a:ext uri="{FF2B5EF4-FFF2-40B4-BE49-F238E27FC236}">
              <a16:creationId xmlns:a16="http://schemas.microsoft.com/office/drawing/2014/main" id="{5F794085-A3E5-4EF8-A4DA-9C566D28F78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818" name="AutoShape 12">
          <a:extLst>
            <a:ext uri="{FF2B5EF4-FFF2-40B4-BE49-F238E27FC236}">
              <a16:creationId xmlns:a16="http://schemas.microsoft.com/office/drawing/2014/main" id="{552CC358-FB3C-4A1A-B23D-25D5FFF56DD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819" name="AutoShape 12">
          <a:extLst>
            <a:ext uri="{FF2B5EF4-FFF2-40B4-BE49-F238E27FC236}">
              <a16:creationId xmlns:a16="http://schemas.microsoft.com/office/drawing/2014/main" id="{AAEDF513-D0D8-4E2B-B438-16CF083548B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820" name="AutoShape 12">
          <a:extLst>
            <a:ext uri="{FF2B5EF4-FFF2-40B4-BE49-F238E27FC236}">
              <a16:creationId xmlns:a16="http://schemas.microsoft.com/office/drawing/2014/main" id="{5E7A09D5-51B4-4DDB-A86D-88AAB989654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821" name="AutoShape 12">
          <a:extLst>
            <a:ext uri="{FF2B5EF4-FFF2-40B4-BE49-F238E27FC236}">
              <a16:creationId xmlns:a16="http://schemas.microsoft.com/office/drawing/2014/main" id="{AFF7A409-8339-49CF-B291-74D09B4A9D4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822" name="AutoShape 12">
          <a:extLst>
            <a:ext uri="{FF2B5EF4-FFF2-40B4-BE49-F238E27FC236}">
              <a16:creationId xmlns:a16="http://schemas.microsoft.com/office/drawing/2014/main" id="{A6ACF3B2-6110-4432-89B4-8525095865F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823" name="AutoShape 12">
          <a:extLst>
            <a:ext uri="{FF2B5EF4-FFF2-40B4-BE49-F238E27FC236}">
              <a16:creationId xmlns:a16="http://schemas.microsoft.com/office/drawing/2014/main" id="{EAB6BC30-534F-4C29-81EB-E81B6893FB4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824" name="AutoShape 12">
          <a:extLst>
            <a:ext uri="{FF2B5EF4-FFF2-40B4-BE49-F238E27FC236}">
              <a16:creationId xmlns:a16="http://schemas.microsoft.com/office/drawing/2014/main" id="{72BEBEF3-8CEF-4CB0-93F1-315AE88928F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825" name="AutoShape 12">
          <a:extLst>
            <a:ext uri="{FF2B5EF4-FFF2-40B4-BE49-F238E27FC236}">
              <a16:creationId xmlns:a16="http://schemas.microsoft.com/office/drawing/2014/main" id="{D0DAC92F-2511-4500-A3C3-2EB6CEB9C00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826" name="AutoShape 12">
          <a:extLst>
            <a:ext uri="{FF2B5EF4-FFF2-40B4-BE49-F238E27FC236}">
              <a16:creationId xmlns:a16="http://schemas.microsoft.com/office/drawing/2014/main" id="{526C69FD-5FDA-467E-8A9F-B45CD10C092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827" name="AutoShape 12">
          <a:extLst>
            <a:ext uri="{FF2B5EF4-FFF2-40B4-BE49-F238E27FC236}">
              <a16:creationId xmlns:a16="http://schemas.microsoft.com/office/drawing/2014/main" id="{2B820860-796F-40AF-A9C5-BDAEB6EA022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828" name="AutoShape 12">
          <a:extLst>
            <a:ext uri="{FF2B5EF4-FFF2-40B4-BE49-F238E27FC236}">
              <a16:creationId xmlns:a16="http://schemas.microsoft.com/office/drawing/2014/main" id="{CEF0F8DC-DAE7-41A4-A94F-22044F3ED8B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829" name="AutoShape 12">
          <a:extLst>
            <a:ext uri="{FF2B5EF4-FFF2-40B4-BE49-F238E27FC236}">
              <a16:creationId xmlns:a16="http://schemas.microsoft.com/office/drawing/2014/main" id="{93F0C7EA-A5AE-4FEA-A856-1D74F69766C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830" name="AutoShape 12">
          <a:extLst>
            <a:ext uri="{FF2B5EF4-FFF2-40B4-BE49-F238E27FC236}">
              <a16:creationId xmlns:a16="http://schemas.microsoft.com/office/drawing/2014/main" id="{3EF5D7A6-13E7-42B7-9654-8F98E72D6DA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831" name="AutoShape 12">
          <a:extLst>
            <a:ext uri="{FF2B5EF4-FFF2-40B4-BE49-F238E27FC236}">
              <a16:creationId xmlns:a16="http://schemas.microsoft.com/office/drawing/2014/main" id="{AB3A2E80-8AEA-4046-A72A-43ABB5BCDB9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832" name="AutoShape 12">
          <a:extLst>
            <a:ext uri="{FF2B5EF4-FFF2-40B4-BE49-F238E27FC236}">
              <a16:creationId xmlns:a16="http://schemas.microsoft.com/office/drawing/2014/main" id="{78752594-D54E-4E51-9125-84CAAB05144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833" name="AutoShape 12">
          <a:extLst>
            <a:ext uri="{FF2B5EF4-FFF2-40B4-BE49-F238E27FC236}">
              <a16:creationId xmlns:a16="http://schemas.microsoft.com/office/drawing/2014/main" id="{A0BFF135-454A-4127-A86F-4BAB5BC2FA6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834" name="AutoShape 12">
          <a:extLst>
            <a:ext uri="{FF2B5EF4-FFF2-40B4-BE49-F238E27FC236}">
              <a16:creationId xmlns:a16="http://schemas.microsoft.com/office/drawing/2014/main" id="{8A2A3F92-1FA2-4A5D-9655-5FEF863D865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835" name="AutoShape 12">
          <a:extLst>
            <a:ext uri="{FF2B5EF4-FFF2-40B4-BE49-F238E27FC236}">
              <a16:creationId xmlns:a16="http://schemas.microsoft.com/office/drawing/2014/main" id="{0EF7464C-A8D5-48AE-80A9-52A4AC8B890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836" name="AutoShape 12">
          <a:extLst>
            <a:ext uri="{FF2B5EF4-FFF2-40B4-BE49-F238E27FC236}">
              <a16:creationId xmlns:a16="http://schemas.microsoft.com/office/drawing/2014/main" id="{F77D356D-F750-43AA-894C-E9881AB102F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837" name="AutoShape 12">
          <a:extLst>
            <a:ext uri="{FF2B5EF4-FFF2-40B4-BE49-F238E27FC236}">
              <a16:creationId xmlns:a16="http://schemas.microsoft.com/office/drawing/2014/main" id="{2839F48D-AFD7-421F-9FFD-B6EED467B51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838" name="AutoShape 12">
          <a:extLst>
            <a:ext uri="{FF2B5EF4-FFF2-40B4-BE49-F238E27FC236}">
              <a16:creationId xmlns:a16="http://schemas.microsoft.com/office/drawing/2014/main" id="{3E64892B-69B1-4DDA-95AE-2679DB79DA1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839" name="AutoShape 12">
          <a:extLst>
            <a:ext uri="{FF2B5EF4-FFF2-40B4-BE49-F238E27FC236}">
              <a16:creationId xmlns:a16="http://schemas.microsoft.com/office/drawing/2014/main" id="{C5F0802C-200A-4F2E-AFDD-DDEF1A6531A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840" name="AutoShape 12">
          <a:extLst>
            <a:ext uri="{FF2B5EF4-FFF2-40B4-BE49-F238E27FC236}">
              <a16:creationId xmlns:a16="http://schemas.microsoft.com/office/drawing/2014/main" id="{D08819E6-372D-4E8C-9DA5-9178AAFCCB2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841" name="AutoShape 12">
          <a:extLst>
            <a:ext uri="{FF2B5EF4-FFF2-40B4-BE49-F238E27FC236}">
              <a16:creationId xmlns:a16="http://schemas.microsoft.com/office/drawing/2014/main" id="{E3975CB1-5845-46BB-ACF7-9A6D943DF07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842" name="AutoShape 12">
          <a:extLst>
            <a:ext uri="{FF2B5EF4-FFF2-40B4-BE49-F238E27FC236}">
              <a16:creationId xmlns:a16="http://schemas.microsoft.com/office/drawing/2014/main" id="{530EAFF9-7BCA-4574-A702-C037AF76185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843" name="AutoShape 12">
          <a:extLst>
            <a:ext uri="{FF2B5EF4-FFF2-40B4-BE49-F238E27FC236}">
              <a16:creationId xmlns:a16="http://schemas.microsoft.com/office/drawing/2014/main" id="{F4272BE2-74C0-45A4-AC46-5DC46859F88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844" name="AutoShape 12">
          <a:extLst>
            <a:ext uri="{FF2B5EF4-FFF2-40B4-BE49-F238E27FC236}">
              <a16:creationId xmlns:a16="http://schemas.microsoft.com/office/drawing/2014/main" id="{5CE39542-A0CD-4978-AFD2-7E05B2E086A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845" name="AutoShape 12">
          <a:extLst>
            <a:ext uri="{FF2B5EF4-FFF2-40B4-BE49-F238E27FC236}">
              <a16:creationId xmlns:a16="http://schemas.microsoft.com/office/drawing/2014/main" id="{055D7B74-1FEF-4E43-B0E5-F964E8C73CF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846" name="AutoShape 12">
          <a:extLst>
            <a:ext uri="{FF2B5EF4-FFF2-40B4-BE49-F238E27FC236}">
              <a16:creationId xmlns:a16="http://schemas.microsoft.com/office/drawing/2014/main" id="{9D8AE933-345E-4EC3-B33D-BE73BAE070D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847" name="AutoShape 12">
          <a:extLst>
            <a:ext uri="{FF2B5EF4-FFF2-40B4-BE49-F238E27FC236}">
              <a16:creationId xmlns:a16="http://schemas.microsoft.com/office/drawing/2014/main" id="{B87DB2A9-F593-4A5B-8B3B-39C41B28B93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848" name="AutoShape 12">
          <a:extLst>
            <a:ext uri="{FF2B5EF4-FFF2-40B4-BE49-F238E27FC236}">
              <a16:creationId xmlns:a16="http://schemas.microsoft.com/office/drawing/2014/main" id="{40E46C6B-4732-4A5C-B241-EAD315A3935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849" name="AutoShape 12">
          <a:extLst>
            <a:ext uri="{FF2B5EF4-FFF2-40B4-BE49-F238E27FC236}">
              <a16:creationId xmlns:a16="http://schemas.microsoft.com/office/drawing/2014/main" id="{9A53E89C-A1F0-4871-AAC2-C546CB088F8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850" name="AutoShape 12">
          <a:extLst>
            <a:ext uri="{FF2B5EF4-FFF2-40B4-BE49-F238E27FC236}">
              <a16:creationId xmlns:a16="http://schemas.microsoft.com/office/drawing/2014/main" id="{D7595C49-AFE2-488A-AD09-1CE36C6A7B3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851" name="AutoShape 12">
          <a:extLst>
            <a:ext uri="{FF2B5EF4-FFF2-40B4-BE49-F238E27FC236}">
              <a16:creationId xmlns:a16="http://schemas.microsoft.com/office/drawing/2014/main" id="{BABDF199-0323-4474-8D4F-427A4D7FD6F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852" name="AutoShape 12">
          <a:extLst>
            <a:ext uri="{FF2B5EF4-FFF2-40B4-BE49-F238E27FC236}">
              <a16:creationId xmlns:a16="http://schemas.microsoft.com/office/drawing/2014/main" id="{D730270F-7174-4006-BEDF-F2FF02577E2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853" name="AutoShape 12">
          <a:extLst>
            <a:ext uri="{FF2B5EF4-FFF2-40B4-BE49-F238E27FC236}">
              <a16:creationId xmlns:a16="http://schemas.microsoft.com/office/drawing/2014/main" id="{D5CBC3EE-7D49-4D34-B31C-84B1E12602F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854" name="AutoShape 12">
          <a:extLst>
            <a:ext uri="{FF2B5EF4-FFF2-40B4-BE49-F238E27FC236}">
              <a16:creationId xmlns:a16="http://schemas.microsoft.com/office/drawing/2014/main" id="{3D2CCCA7-D27E-49AB-9F53-90E0793668F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855" name="AutoShape 12">
          <a:extLst>
            <a:ext uri="{FF2B5EF4-FFF2-40B4-BE49-F238E27FC236}">
              <a16:creationId xmlns:a16="http://schemas.microsoft.com/office/drawing/2014/main" id="{0BE46C1A-60DC-4360-B310-1ED298DA8B2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856" name="AutoShape 12">
          <a:extLst>
            <a:ext uri="{FF2B5EF4-FFF2-40B4-BE49-F238E27FC236}">
              <a16:creationId xmlns:a16="http://schemas.microsoft.com/office/drawing/2014/main" id="{5409D984-BE1A-456B-86EB-7FF2E02BE9D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857" name="AutoShape 12">
          <a:extLst>
            <a:ext uri="{FF2B5EF4-FFF2-40B4-BE49-F238E27FC236}">
              <a16:creationId xmlns:a16="http://schemas.microsoft.com/office/drawing/2014/main" id="{3AB2DDE5-DBF1-4B1F-89DA-0FBFBEF685E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858" name="AutoShape 12">
          <a:extLst>
            <a:ext uri="{FF2B5EF4-FFF2-40B4-BE49-F238E27FC236}">
              <a16:creationId xmlns:a16="http://schemas.microsoft.com/office/drawing/2014/main" id="{63824C4B-0AF0-4BC1-84DC-B485E2083DE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859" name="AutoShape 12">
          <a:extLst>
            <a:ext uri="{FF2B5EF4-FFF2-40B4-BE49-F238E27FC236}">
              <a16:creationId xmlns:a16="http://schemas.microsoft.com/office/drawing/2014/main" id="{8B5B7116-E245-45D9-86E7-75E1F7115B1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860" name="AutoShape 12">
          <a:extLst>
            <a:ext uri="{FF2B5EF4-FFF2-40B4-BE49-F238E27FC236}">
              <a16:creationId xmlns:a16="http://schemas.microsoft.com/office/drawing/2014/main" id="{782587C5-7539-4979-858D-9B319534E2E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861" name="AutoShape 12">
          <a:extLst>
            <a:ext uri="{FF2B5EF4-FFF2-40B4-BE49-F238E27FC236}">
              <a16:creationId xmlns:a16="http://schemas.microsoft.com/office/drawing/2014/main" id="{FC80D92D-D2F6-40C5-915A-1F93F83599A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862" name="AutoShape 12">
          <a:extLst>
            <a:ext uri="{FF2B5EF4-FFF2-40B4-BE49-F238E27FC236}">
              <a16:creationId xmlns:a16="http://schemas.microsoft.com/office/drawing/2014/main" id="{B9A0C88E-5B1B-43A8-A0B5-174B22EA15F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863" name="AutoShape 12">
          <a:extLst>
            <a:ext uri="{FF2B5EF4-FFF2-40B4-BE49-F238E27FC236}">
              <a16:creationId xmlns:a16="http://schemas.microsoft.com/office/drawing/2014/main" id="{76CA452C-166D-479E-824C-439B7F78E12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864" name="AutoShape 12">
          <a:extLst>
            <a:ext uri="{FF2B5EF4-FFF2-40B4-BE49-F238E27FC236}">
              <a16:creationId xmlns:a16="http://schemas.microsoft.com/office/drawing/2014/main" id="{FBC661D9-B119-4C82-ABEB-52E70562A4D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865" name="AutoShape 12">
          <a:extLst>
            <a:ext uri="{FF2B5EF4-FFF2-40B4-BE49-F238E27FC236}">
              <a16:creationId xmlns:a16="http://schemas.microsoft.com/office/drawing/2014/main" id="{6CDDD5C9-5823-4393-86AC-54E270D7914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866" name="AutoShape 12">
          <a:extLst>
            <a:ext uri="{FF2B5EF4-FFF2-40B4-BE49-F238E27FC236}">
              <a16:creationId xmlns:a16="http://schemas.microsoft.com/office/drawing/2014/main" id="{527EBBB1-985E-4C69-9BF8-3C2361AFF70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867" name="AutoShape 12">
          <a:extLst>
            <a:ext uri="{FF2B5EF4-FFF2-40B4-BE49-F238E27FC236}">
              <a16:creationId xmlns:a16="http://schemas.microsoft.com/office/drawing/2014/main" id="{90B75A0A-A974-4941-AD45-97C73A79203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868" name="AutoShape 12">
          <a:extLst>
            <a:ext uri="{FF2B5EF4-FFF2-40B4-BE49-F238E27FC236}">
              <a16:creationId xmlns:a16="http://schemas.microsoft.com/office/drawing/2014/main" id="{4FCF30DD-69C8-4A18-9536-8A2C19E6F5F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869" name="AutoShape 12">
          <a:extLst>
            <a:ext uri="{FF2B5EF4-FFF2-40B4-BE49-F238E27FC236}">
              <a16:creationId xmlns:a16="http://schemas.microsoft.com/office/drawing/2014/main" id="{4460C9EF-6421-4754-AB0E-0B23C691308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870" name="AutoShape 12">
          <a:extLst>
            <a:ext uri="{FF2B5EF4-FFF2-40B4-BE49-F238E27FC236}">
              <a16:creationId xmlns:a16="http://schemas.microsoft.com/office/drawing/2014/main" id="{A24F73FB-7CED-420C-B0E6-6414B71337C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871" name="AutoShape 12">
          <a:extLst>
            <a:ext uri="{FF2B5EF4-FFF2-40B4-BE49-F238E27FC236}">
              <a16:creationId xmlns:a16="http://schemas.microsoft.com/office/drawing/2014/main" id="{2453A846-2713-4719-8F4A-E50BFD2F56A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872" name="AutoShape 12">
          <a:extLst>
            <a:ext uri="{FF2B5EF4-FFF2-40B4-BE49-F238E27FC236}">
              <a16:creationId xmlns:a16="http://schemas.microsoft.com/office/drawing/2014/main" id="{59E69E3E-DA77-424A-8C8B-FD189B19A69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873" name="AutoShape 12">
          <a:extLst>
            <a:ext uri="{FF2B5EF4-FFF2-40B4-BE49-F238E27FC236}">
              <a16:creationId xmlns:a16="http://schemas.microsoft.com/office/drawing/2014/main" id="{1FA6F0CF-E641-470E-91E7-EE0A353A522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874" name="AutoShape 12">
          <a:extLst>
            <a:ext uri="{FF2B5EF4-FFF2-40B4-BE49-F238E27FC236}">
              <a16:creationId xmlns:a16="http://schemas.microsoft.com/office/drawing/2014/main" id="{BE57C440-C659-4B5B-B738-16EEB560CF4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875" name="AutoShape 12">
          <a:extLst>
            <a:ext uri="{FF2B5EF4-FFF2-40B4-BE49-F238E27FC236}">
              <a16:creationId xmlns:a16="http://schemas.microsoft.com/office/drawing/2014/main" id="{4A682E1F-1847-48E0-B695-ECE8A97D138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876" name="AutoShape 12">
          <a:extLst>
            <a:ext uri="{FF2B5EF4-FFF2-40B4-BE49-F238E27FC236}">
              <a16:creationId xmlns:a16="http://schemas.microsoft.com/office/drawing/2014/main" id="{5639ED2B-954A-4088-AD96-7D7174393BD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877" name="AutoShape 12">
          <a:extLst>
            <a:ext uri="{FF2B5EF4-FFF2-40B4-BE49-F238E27FC236}">
              <a16:creationId xmlns:a16="http://schemas.microsoft.com/office/drawing/2014/main" id="{C59BD118-65F5-4E09-993D-2B3169822F6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878" name="AutoShape 12">
          <a:extLst>
            <a:ext uri="{FF2B5EF4-FFF2-40B4-BE49-F238E27FC236}">
              <a16:creationId xmlns:a16="http://schemas.microsoft.com/office/drawing/2014/main" id="{3A8783A1-5041-4E0D-9CC6-DD931771F6D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879" name="AutoShape 12">
          <a:extLst>
            <a:ext uri="{FF2B5EF4-FFF2-40B4-BE49-F238E27FC236}">
              <a16:creationId xmlns:a16="http://schemas.microsoft.com/office/drawing/2014/main" id="{66ED447C-99FE-459C-A853-43D50C3A23F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880" name="AutoShape 12">
          <a:extLst>
            <a:ext uri="{FF2B5EF4-FFF2-40B4-BE49-F238E27FC236}">
              <a16:creationId xmlns:a16="http://schemas.microsoft.com/office/drawing/2014/main" id="{6BC30D39-D675-49B6-BD40-063E56FC41C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881" name="AutoShape 12">
          <a:extLst>
            <a:ext uri="{FF2B5EF4-FFF2-40B4-BE49-F238E27FC236}">
              <a16:creationId xmlns:a16="http://schemas.microsoft.com/office/drawing/2014/main" id="{2CF87CEA-AF8C-48D1-8110-C9339E219C9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882" name="AutoShape 12">
          <a:extLst>
            <a:ext uri="{FF2B5EF4-FFF2-40B4-BE49-F238E27FC236}">
              <a16:creationId xmlns:a16="http://schemas.microsoft.com/office/drawing/2014/main" id="{79C79969-094C-4227-9EE5-ACF9CD3D52A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883" name="AutoShape 12">
          <a:extLst>
            <a:ext uri="{FF2B5EF4-FFF2-40B4-BE49-F238E27FC236}">
              <a16:creationId xmlns:a16="http://schemas.microsoft.com/office/drawing/2014/main" id="{130607C7-0755-4E94-9EFD-1C2E22578AA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884" name="AutoShape 12">
          <a:extLst>
            <a:ext uri="{FF2B5EF4-FFF2-40B4-BE49-F238E27FC236}">
              <a16:creationId xmlns:a16="http://schemas.microsoft.com/office/drawing/2014/main" id="{BEE5F24B-FF3D-479C-AC30-56E0FD25C75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885" name="AutoShape 12">
          <a:extLst>
            <a:ext uri="{FF2B5EF4-FFF2-40B4-BE49-F238E27FC236}">
              <a16:creationId xmlns:a16="http://schemas.microsoft.com/office/drawing/2014/main" id="{6DA02304-2E0A-4DDC-929B-702AE8808B7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886" name="AutoShape 12">
          <a:extLst>
            <a:ext uri="{FF2B5EF4-FFF2-40B4-BE49-F238E27FC236}">
              <a16:creationId xmlns:a16="http://schemas.microsoft.com/office/drawing/2014/main" id="{245E1FBA-C02B-4E9D-8666-7BF8C11447A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887" name="AutoShape 12">
          <a:extLst>
            <a:ext uri="{FF2B5EF4-FFF2-40B4-BE49-F238E27FC236}">
              <a16:creationId xmlns:a16="http://schemas.microsoft.com/office/drawing/2014/main" id="{E24EADBD-C669-45A9-995C-497E022DC08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888" name="AutoShape 12">
          <a:extLst>
            <a:ext uri="{FF2B5EF4-FFF2-40B4-BE49-F238E27FC236}">
              <a16:creationId xmlns:a16="http://schemas.microsoft.com/office/drawing/2014/main" id="{1684D514-8B0C-4D89-88F6-D8254BD0B23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889" name="AutoShape 12">
          <a:extLst>
            <a:ext uri="{FF2B5EF4-FFF2-40B4-BE49-F238E27FC236}">
              <a16:creationId xmlns:a16="http://schemas.microsoft.com/office/drawing/2014/main" id="{55324625-2144-41E0-B969-6368955C552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890" name="AutoShape 12">
          <a:extLst>
            <a:ext uri="{FF2B5EF4-FFF2-40B4-BE49-F238E27FC236}">
              <a16:creationId xmlns:a16="http://schemas.microsoft.com/office/drawing/2014/main" id="{FCA7E6F3-5EF5-45CE-BE72-D741F7659B3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891" name="AutoShape 12">
          <a:extLst>
            <a:ext uri="{FF2B5EF4-FFF2-40B4-BE49-F238E27FC236}">
              <a16:creationId xmlns:a16="http://schemas.microsoft.com/office/drawing/2014/main" id="{0BC0999C-BE61-4AB5-8E7D-B44A3765A01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892" name="AutoShape 12">
          <a:extLst>
            <a:ext uri="{FF2B5EF4-FFF2-40B4-BE49-F238E27FC236}">
              <a16:creationId xmlns:a16="http://schemas.microsoft.com/office/drawing/2014/main" id="{5668346C-7927-46CF-A905-EE503837376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893" name="AutoShape 12">
          <a:extLst>
            <a:ext uri="{FF2B5EF4-FFF2-40B4-BE49-F238E27FC236}">
              <a16:creationId xmlns:a16="http://schemas.microsoft.com/office/drawing/2014/main" id="{206BC81D-920E-4142-B988-CD06CA7D50B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894" name="AutoShape 12">
          <a:extLst>
            <a:ext uri="{FF2B5EF4-FFF2-40B4-BE49-F238E27FC236}">
              <a16:creationId xmlns:a16="http://schemas.microsoft.com/office/drawing/2014/main" id="{0DFE52EC-C4AC-48CD-AFA5-15535D344F9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895" name="AutoShape 12">
          <a:extLst>
            <a:ext uri="{FF2B5EF4-FFF2-40B4-BE49-F238E27FC236}">
              <a16:creationId xmlns:a16="http://schemas.microsoft.com/office/drawing/2014/main" id="{7F27E228-93C6-4A5C-84D5-70C76D082E8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896" name="AutoShape 12">
          <a:extLst>
            <a:ext uri="{FF2B5EF4-FFF2-40B4-BE49-F238E27FC236}">
              <a16:creationId xmlns:a16="http://schemas.microsoft.com/office/drawing/2014/main" id="{DF354DCB-F4A5-4B50-804D-3E17C42F6C5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897" name="AutoShape 12">
          <a:extLst>
            <a:ext uri="{FF2B5EF4-FFF2-40B4-BE49-F238E27FC236}">
              <a16:creationId xmlns:a16="http://schemas.microsoft.com/office/drawing/2014/main" id="{0E1FF2E5-7E90-4621-AF0D-166C9713475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898" name="AutoShape 12">
          <a:extLst>
            <a:ext uri="{FF2B5EF4-FFF2-40B4-BE49-F238E27FC236}">
              <a16:creationId xmlns:a16="http://schemas.microsoft.com/office/drawing/2014/main" id="{E7C8ADCE-A528-4199-BB47-D6FF6AC10F4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899" name="AutoShape 12">
          <a:extLst>
            <a:ext uri="{FF2B5EF4-FFF2-40B4-BE49-F238E27FC236}">
              <a16:creationId xmlns:a16="http://schemas.microsoft.com/office/drawing/2014/main" id="{E0119A80-012A-4E93-9F08-346500B78FD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900" name="AutoShape 12">
          <a:extLst>
            <a:ext uri="{FF2B5EF4-FFF2-40B4-BE49-F238E27FC236}">
              <a16:creationId xmlns:a16="http://schemas.microsoft.com/office/drawing/2014/main" id="{C73496B7-D3BB-4A82-B5F4-634F47710F1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901" name="AutoShape 12">
          <a:extLst>
            <a:ext uri="{FF2B5EF4-FFF2-40B4-BE49-F238E27FC236}">
              <a16:creationId xmlns:a16="http://schemas.microsoft.com/office/drawing/2014/main" id="{1A3951B0-AAFE-46C6-BD1D-4847C743F73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902" name="AutoShape 12">
          <a:extLst>
            <a:ext uri="{FF2B5EF4-FFF2-40B4-BE49-F238E27FC236}">
              <a16:creationId xmlns:a16="http://schemas.microsoft.com/office/drawing/2014/main" id="{51506B69-BAB2-4F14-B7C7-2212A5A9623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903" name="AutoShape 12">
          <a:extLst>
            <a:ext uri="{FF2B5EF4-FFF2-40B4-BE49-F238E27FC236}">
              <a16:creationId xmlns:a16="http://schemas.microsoft.com/office/drawing/2014/main" id="{09C2F12E-9A27-4457-B8F7-125D2EDCAFC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904" name="AutoShape 12">
          <a:extLst>
            <a:ext uri="{FF2B5EF4-FFF2-40B4-BE49-F238E27FC236}">
              <a16:creationId xmlns:a16="http://schemas.microsoft.com/office/drawing/2014/main" id="{1A02B98B-E9D4-4430-AE15-97BDD0F0607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905" name="AutoShape 12">
          <a:extLst>
            <a:ext uri="{FF2B5EF4-FFF2-40B4-BE49-F238E27FC236}">
              <a16:creationId xmlns:a16="http://schemas.microsoft.com/office/drawing/2014/main" id="{8F75E1E8-6226-43EB-BF56-8E025AA8270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906" name="AutoShape 12">
          <a:extLst>
            <a:ext uri="{FF2B5EF4-FFF2-40B4-BE49-F238E27FC236}">
              <a16:creationId xmlns:a16="http://schemas.microsoft.com/office/drawing/2014/main" id="{AE071F42-39D8-41BF-9AFD-DDB760C58D0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907" name="AutoShape 12">
          <a:extLst>
            <a:ext uri="{FF2B5EF4-FFF2-40B4-BE49-F238E27FC236}">
              <a16:creationId xmlns:a16="http://schemas.microsoft.com/office/drawing/2014/main" id="{F010E284-3ABA-4C07-AEBB-112A0741405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908" name="AutoShape 12">
          <a:extLst>
            <a:ext uri="{FF2B5EF4-FFF2-40B4-BE49-F238E27FC236}">
              <a16:creationId xmlns:a16="http://schemas.microsoft.com/office/drawing/2014/main" id="{A41E6728-E5CE-4D01-AE04-78C4CE7D29A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909" name="AutoShape 12">
          <a:extLst>
            <a:ext uri="{FF2B5EF4-FFF2-40B4-BE49-F238E27FC236}">
              <a16:creationId xmlns:a16="http://schemas.microsoft.com/office/drawing/2014/main" id="{1B1E58F0-4DDC-439B-854B-2F848C6AF56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910" name="AutoShape 12">
          <a:extLst>
            <a:ext uri="{FF2B5EF4-FFF2-40B4-BE49-F238E27FC236}">
              <a16:creationId xmlns:a16="http://schemas.microsoft.com/office/drawing/2014/main" id="{4E7A1EB6-82E6-409C-922B-5A063FE14B3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911" name="AutoShape 12">
          <a:extLst>
            <a:ext uri="{FF2B5EF4-FFF2-40B4-BE49-F238E27FC236}">
              <a16:creationId xmlns:a16="http://schemas.microsoft.com/office/drawing/2014/main" id="{D1380EEB-EAED-43B8-8CCF-54721652E02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912" name="AutoShape 12">
          <a:extLst>
            <a:ext uri="{FF2B5EF4-FFF2-40B4-BE49-F238E27FC236}">
              <a16:creationId xmlns:a16="http://schemas.microsoft.com/office/drawing/2014/main" id="{FAA57E2E-4154-483B-A4F0-24324A6A48C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913" name="AutoShape 12">
          <a:extLst>
            <a:ext uri="{FF2B5EF4-FFF2-40B4-BE49-F238E27FC236}">
              <a16:creationId xmlns:a16="http://schemas.microsoft.com/office/drawing/2014/main" id="{AA351074-DE1D-4AFB-8F43-1978EEA694F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914" name="AutoShape 12">
          <a:extLst>
            <a:ext uri="{FF2B5EF4-FFF2-40B4-BE49-F238E27FC236}">
              <a16:creationId xmlns:a16="http://schemas.microsoft.com/office/drawing/2014/main" id="{E324A2ED-38B8-43E2-BC91-89031736881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915" name="AutoShape 12">
          <a:extLst>
            <a:ext uri="{FF2B5EF4-FFF2-40B4-BE49-F238E27FC236}">
              <a16:creationId xmlns:a16="http://schemas.microsoft.com/office/drawing/2014/main" id="{E13A791D-138D-4593-9719-456EDA134CB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916" name="AutoShape 12">
          <a:extLst>
            <a:ext uri="{FF2B5EF4-FFF2-40B4-BE49-F238E27FC236}">
              <a16:creationId xmlns:a16="http://schemas.microsoft.com/office/drawing/2014/main" id="{11248CA5-41EF-498B-BED5-DE1E51C5E66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917" name="AutoShape 12">
          <a:extLst>
            <a:ext uri="{FF2B5EF4-FFF2-40B4-BE49-F238E27FC236}">
              <a16:creationId xmlns:a16="http://schemas.microsoft.com/office/drawing/2014/main" id="{88A4034D-2163-4C32-8E6D-9FADF69585D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918" name="AutoShape 12">
          <a:extLst>
            <a:ext uri="{FF2B5EF4-FFF2-40B4-BE49-F238E27FC236}">
              <a16:creationId xmlns:a16="http://schemas.microsoft.com/office/drawing/2014/main" id="{2739499C-21DA-4879-81E9-F6E4BD21D13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919" name="AutoShape 12">
          <a:extLst>
            <a:ext uri="{FF2B5EF4-FFF2-40B4-BE49-F238E27FC236}">
              <a16:creationId xmlns:a16="http://schemas.microsoft.com/office/drawing/2014/main" id="{914FFBAF-FF9A-4DFD-98A6-D464AF89D8C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920" name="AutoShape 12">
          <a:extLst>
            <a:ext uri="{FF2B5EF4-FFF2-40B4-BE49-F238E27FC236}">
              <a16:creationId xmlns:a16="http://schemas.microsoft.com/office/drawing/2014/main" id="{1DAE424E-2BD0-4CEB-AFBE-64C5B144797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921" name="AutoShape 12">
          <a:extLst>
            <a:ext uri="{FF2B5EF4-FFF2-40B4-BE49-F238E27FC236}">
              <a16:creationId xmlns:a16="http://schemas.microsoft.com/office/drawing/2014/main" id="{FD230039-68C2-487C-A25C-9C15856A0E1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922" name="AutoShape 12">
          <a:extLst>
            <a:ext uri="{FF2B5EF4-FFF2-40B4-BE49-F238E27FC236}">
              <a16:creationId xmlns:a16="http://schemas.microsoft.com/office/drawing/2014/main" id="{DC52FF22-0300-4187-8C32-B2BF0247346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923" name="AutoShape 12">
          <a:extLst>
            <a:ext uri="{FF2B5EF4-FFF2-40B4-BE49-F238E27FC236}">
              <a16:creationId xmlns:a16="http://schemas.microsoft.com/office/drawing/2014/main" id="{EB38F496-13F4-4A78-BDB0-523D4169306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924" name="AutoShape 12">
          <a:extLst>
            <a:ext uri="{FF2B5EF4-FFF2-40B4-BE49-F238E27FC236}">
              <a16:creationId xmlns:a16="http://schemas.microsoft.com/office/drawing/2014/main" id="{9206F5B8-8FE1-406B-951E-DE38DA8B495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925" name="AutoShape 12">
          <a:extLst>
            <a:ext uri="{FF2B5EF4-FFF2-40B4-BE49-F238E27FC236}">
              <a16:creationId xmlns:a16="http://schemas.microsoft.com/office/drawing/2014/main" id="{C39E6F78-882B-4E3E-A6ED-8A7E0F442CA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926" name="AutoShape 12">
          <a:extLst>
            <a:ext uri="{FF2B5EF4-FFF2-40B4-BE49-F238E27FC236}">
              <a16:creationId xmlns:a16="http://schemas.microsoft.com/office/drawing/2014/main" id="{CBBFB9C5-A3A1-4884-91C0-81715FE1B82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927" name="AutoShape 12">
          <a:extLst>
            <a:ext uri="{FF2B5EF4-FFF2-40B4-BE49-F238E27FC236}">
              <a16:creationId xmlns:a16="http://schemas.microsoft.com/office/drawing/2014/main" id="{51E17C7E-B5AF-4C16-AAA5-AC66178E954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928" name="AutoShape 12">
          <a:extLst>
            <a:ext uri="{FF2B5EF4-FFF2-40B4-BE49-F238E27FC236}">
              <a16:creationId xmlns:a16="http://schemas.microsoft.com/office/drawing/2014/main" id="{4D0480D1-1BB6-4BDD-A6A7-3FC39C315B8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929" name="AutoShape 12">
          <a:extLst>
            <a:ext uri="{FF2B5EF4-FFF2-40B4-BE49-F238E27FC236}">
              <a16:creationId xmlns:a16="http://schemas.microsoft.com/office/drawing/2014/main" id="{C95E5469-0009-4F76-8CA5-ECE991A422E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930" name="AutoShape 12">
          <a:extLst>
            <a:ext uri="{FF2B5EF4-FFF2-40B4-BE49-F238E27FC236}">
              <a16:creationId xmlns:a16="http://schemas.microsoft.com/office/drawing/2014/main" id="{D3BF1CEB-D50E-47E5-95A1-0478F498DFB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931" name="AutoShape 12">
          <a:extLst>
            <a:ext uri="{FF2B5EF4-FFF2-40B4-BE49-F238E27FC236}">
              <a16:creationId xmlns:a16="http://schemas.microsoft.com/office/drawing/2014/main" id="{E5D01131-CB52-4DAE-90D3-9E020BA335E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932" name="AutoShape 12">
          <a:extLst>
            <a:ext uri="{FF2B5EF4-FFF2-40B4-BE49-F238E27FC236}">
              <a16:creationId xmlns:a16="http://schemas.microsoft.com/office/drawing/2014/main" id="{4C2D982D-CAC5-4181-B7A2-A1CC18FFCFF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933" name="AutoShape 12">
          <a:extLst>
            <a:ext uri="{FF2B5EF4-FFF2-40B4-BE49-F238E27FC236}">
              <a16:creationId xmlns:a16="http://schemas.microsoft.com/office/drawing/2014/main" id="{344EF737-E7A8-402C-A6C0-26FC2566184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934" name="AutoShape 12">
          <a:extLst>
            <a:ext uri="{FF2B5EF4-FFF2-40B4-BE49-F238E27FC236}">
              <a16:creationId xmlns:a16="http://schemas.microsoft.com/office/drawing/2014/main" id="{13C13E23-7716-4A6A-8BE4-5CC5FECFA96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935" name="AutoShape 12">
          <a:extLst>
            <a:ext uri="{FF2B5EF4-FFF2-40B4-BE49-F238E27FC236}">
              <a16:creationId xmlns:a16="http://schemas.microsoft.com/office/drawing/2014/main" id="{E22D08E5-5B04-4652-863B-0671DE133CB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936" name="AutoShape 12">
          <a:extLst>
            <a:ext uri="{FF2B5EF4-FFF2-40B4-BE49-F238E27FC236}">
              <a16:creationId xmlns:a16="http://schemas.microsoft.com/office/drawing/2014/main" id="{44E8306A-9C1C-4217-A4DF-A3017E82436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937" name="AutoShape 12">
          <a:extLst>
            <a:ext uri="{FF2B5EF4-FFF2-40B4-BE49-F238E27FC236}">
              <a16:creationId xmlns:a16="http://schemas.microsoft.com/office/drawing/2014/main" id="{025C21C7-D36B-4E6E-AAB4-EE5EAF21C04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938" name="AutoShape 12">
          <a:extLst>
            <a:ext uri="{FF2B5EF4-FFF2-40B4-BE49-F238E27FC236}">
              <a16:creationId xmlns:a16="http://schemas.microsoft.com/office/drawing/2014/main" id="{F6E72046-E1EB-41FA-AF55-20BEA2B3CB3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939" name="AutoShape 12">
          <a:extLst>
            <a:ext uri="{FF2B5EF4-FFF2-40B4-BE49-F238E27FC236}">
              <a16:creationId xmlns:a16="http://schemas.microsoft.com/office/drawing/2014/main" id="{907DDCD7-A9F0-4E9B-85C0-1C6F29C436A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940" name="AutoShape 12">
          <a:extLst>
            <a:ext uri="{FF2B5EF4-FFF2-40B4-BE49-F238E27FC236}">
              <a16:creationId xmlns:a16="http://schemas.microsoft.com/office/drawing/2014/main" id="{37217401-394C-4751-BDA0-663487F0D84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941" name="AutoShape 12">
          <a:extLst>
            <a:ext uri="{FF2B5EF4-FFF2-40B4-BE49-F238E27FC236}">
              <a16:creationId xmlns:a16="http://schemas.microsoft.com/office/drawing/2014/main" id="{B75DEDB4-DC03-4556-A262-8B55CCF513E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942" name="AutoShape 12">
          <a:extLst>
            <a:ext uri="{FF2B5EF4-FFF2-40B4-BE49-F238E27FC236}">
              <a16:creationId xmlns:a16="http://schemas.microsoft.com/office/drawing/2014/main" id="{719C01C2-01F5-4002-B0E5-A8A9CB87E55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943" name="AutoShape 12">
          <a:extLst>
            <a:ext uri="{FF2B5EF4-FFF2-40B4-BE49-F238E27FC236}">
              <a16:creationId xmlns:a16="http://schemas.microsoft.com/office/drawing/2014/main" id="{F75AFB15-3677-4F18-9404-FF16FA3EDE7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944" name="AutoShape 12">
          <a:extLst>
            <a:ext uri="{FF2B5EF4-FFF2-40B4-BE49-F238E27FC236}">
              <a16:creationId xmlns:a16="http://schemas.microsoft.com/office/drawing/2014/main" id="{DC53F288-5A01-4CF2-991D-23CF0A848D2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945" name="AutoShape 12">
          <a:extLst>
            <a:ext uri="{FF2B5EF4-FFF2-40B4-BE49-F238E27FC236}">
              <a16:creationId xmlns:a16="http://schemas.microsoft.com/office/drawing/2014/main" id="{AE486F6B-E342-4B77-AE25-E62B2C01511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946" name="AutoShape 12">
          <a:extLst>
            <a:ext uri="{FF2B5EF4-FFF2-40B4-BE49-F238E27FC236}">
              <a16:creationId xmlns:a16="http://schemas.microsoft.com/office/drawing/2014/main" id="{05A37C51-5CFD-4B13-B82C-8A9EB7B22A8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947" name="AutoShape 12">
          <a:extLst>
            <a:ext uri="{FF2B5EF4-FFF2-40B4-BE49-F238E27FC236}">
              <a16:creationId xmlns:a16="http://schemas.microsoft.com/office/drawing/2014/main" id="{3360A573-BE5C-434F-9052-F95F8E7C169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948" name="AutoShape 12">
          <a:extLst>
            <a:ext uri="{FF2B5EF4-FFF2-40B4-BE49-F238E27FC236}">
              <a16:creationId xmlns:a16="http://schemas.microsoft.com/office/drawing/2014/main" id="{B6167802-323B-40F6-8C32-AF11FEDA660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949" name="AutoShape 12">
          <a:extLst>
            <a:ext uri="{FF2B5EF4-FFF2-40B4-BE49-F238E27FC236}">
              <a16:creationId xmlns:a16="http://schemas.microsoft.com/office/drawing/2014/main" id="{40C11320-743E-460C-A6A5-FBE5D470CAD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950" name="AutoShape 12">
          <a:extLst>
            <a:ext uri="{FF2B5EF4-FFF2-40B4-BE49-F238E27FC236}">
              <a16:creationId xmlns:a16="http://schemas.microsoft.com/office/drawing/2014/main" id="{6C621FD0-69D7-4A38-A944-67F32F691D1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951" name="AutoShape 12">
          <a:extLst>
            <a:ext uri="{FF2B5EF4-FFF2-40B4-BE49-F238E27FC236}">
              <a16:creationId xmlns:a16="http://schemas.microsoft.com/office/drawing/2014/main" id="{B938739C-96E6-4C1C-8180-5F5E31EB32E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952" name="AutoShape 12">
          <a:extLst>
            <a:ext uri="{FF2B5EF4-FFF2-40B4-BE49-F238E27FC236}">
              <a16:creationId xmlns:a16="http://schemas.microsoft.com/office/drawing/2014/main" id="{ECEDD0CB-10A0-4626-9A22-9B9BF0AC16B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953" name="AutoShape 12">
          <a:extLst>
            <a:ext uri="{FF2B5EF4-FFF2-40B4-BE49-F238E27FC236}">
              <a16:creationId xmlns:a16="http://schemas.microsoft.com/office/drawing/2014/main" id="{694CF831-DDF2-4F7C-9F58-7D6BBF7FD21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954" name="AutoShape 12">
          <a:extLst>
            <a:ext uri="{FF2B5EF4-FFF2-40B4-BE49-F238E27FC236}">
              <a16:creationId xmlns:a16="http://schemas.microsoft.com/office/drawing/2014/main" id="{CDA82CD5-D259-4BC2-A57B-8C6C19D00A7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955" name="AutoShape 12">
          <a:extLst>
            <a:ext uri="{FF2B5EF4-FFF2-40B4-BE49-F238E27FC236}">
              <a16:creationId xmlns:a16="http://schemas.microsoft.com/office/drawing/2014/main" id="{452B1FA1-383E-4D00-BFB2-FB2F6924E70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956" name="AutoShape 12">
          <a:extLst>
            <a:ext uri="{FF2B5EF4-FFF2-40B4-BE49-F238E27FC236}">
              <a16:creationId xmlns:a16="http://schemas.microsoft.com/office/drawing/2014/main" id="{5456725C-5682-4441-8327-03FEFA7C0DB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957" name="AutoShape 12">
          <a:extLst>
            <a:ext uri="{FF2B5EF4-FFF2-40B4-BE49-F238E27FC236}">
              <a16:creationId xmlns:a16="http://schemas.microsoft.com/office/drawing/2014/main" id="{3AEA586F-624E-4B94-A319-97AEA7DFBD0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958" name="AutoShape 12">
          <a:extLst>
            <a:ext uri="{FF2B5EF4-FFF2-40B4-BE49-F238E27FC236}">
              <a16:creationId xmlns:a16="http://schemas.microsoft.com/office/drawing/2014/main" id="{795948A5-9BA0-4D08-A028-6848FBDB1FC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959" name="AutoShape 12">
          <a:extLst>
            <a:ext uri="{FF2B5EF4-FFF2-40B4-BE49-F238E27FC236}">
              <a16:creationId xmlns:a16="http://schemas.microsoft.com/office/drawing/2014/main" id="{AFA3554A-83B5-4F63-B6F6-55C7EC67192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960" name="AutoShape 12">
          <a:extLst>
            <a:ext uri="{FF2B5EF4-FFF2-40B4-BE49-F238E27FC236}">
              <a16:creationId xmlns:a16="http://schemas.microsoft.com/office/drawing/2014/main" id="{F88B9606-CC81-4E27-9542-510C53711D7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961" name="AutoShape 12">
          <a:extLst>
            <a:ext uri="{FF2B5EF4-FFF2-40B4-BE49-F238E27FC236}">
              <a16:creationId xmlns:a16="http://schemas.microsoft.com/office/drawing/2014/main" id="{4CCF4CDD-F577-49E8-ACE8-F34B4AEFBE0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962" name="AutoShape 12">
          <a:extLst>
            <a:ext uri="{FF2B5EF4-FFF2-40B4-BE49-F238E27FC236}">
              <a16:creationId xmlns:a16="http://schemas.microsoft.com/office/drawing/2014/main" id="{AE2C14F5-44E8-41F1-B35D-4DD52D931A8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963" name="AutoShape 12">
          <a:extLst>
            <a:ext uri="{FF2B5EF4-FFF2-40B4-BE49-F238E27FC236}">
              <a16:creationId xmlns:a16="http://schemas.microsoft.com/office/drawing/2014/main" id="{B7873AEC-8706-4C76-B636-E36C647D6A5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964" name="AutoShape 12">
          <a:extLst>
            <a:ext uri="{FF2B5EF4-FFF2-40B4-BE49-F238E27FC236}">
              <a16:creationId xmlns:a16="http://schemas.microsoft.com/office/drawing/2014/main" id="{6ED46CA9-6437-4C6C-A5C8-90FAA11B54B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965" name="AutoShape 12">
          <a:extLst>
            <a:ext uri="{FF2B5EF4-FFF2-40B4-BE49-F238E27FC236}">
              <a16:creationId xmlns:a16="http://schemas.microsoft.com/office/drawing/2014/main" id="{92081187-CC96-49FB-B5A8-3AD5C4A1FEB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966" name="AutoShape 12">
          <a:extLst>
            <a:ext uri="{FF2B5EF4-FFF2-40B4-BE49-F238E27FC236}">
              <a16:creationId xmlns:a16="http://schemas.microsoft.com/office/drawing/2014/main" id="{6209A790-32BC-44AC-869D-FBB09AD2904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967" name="AutoShape 12">
          <a:extLst>
            <a:ext uri="{FF2B5EF4-FFF2-40B4-BE49-F238E27FC236}">
              <a16:creationId xmlns:a16="http://schemas.microsoft.com/office/drawing/2014/main" id="{78D78EEF-E89B-4DD9-95B8-BD90B40ACE4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968" name="AutoShape 12">
          <a:extLst>
            <a:ext uri="{FF2B5EF4-FFF2-40B4-BE49-F238E27FC236}">
              <a16:creationId xmlns:a16="http://schemas.microsoft.com/office/drawing/2014/main" id="{6E85BCB2-2D50-4577-B904-B7A584BE8D0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969" name="AutoShape 12">
          <a:extLst>
            <a:ext uri="{FF2B5EF4-FFF2-40B4-BE49-F238E27FC236}">
              <a16:creationId xmlns:a16="http://schemas.microsoft.com/office/drawing/2014/main" id="{1F1D7773-A108-4281-B8E4-37188F84D8C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970" name="AutoShape 12">
          <a:extLst>
            <a:ext uri="{FF2B5EF4-FFF2-40B4-BE49-F238E27FC236}">
              <a16:creationId xmlns:a16="http://schemas.microsoft.com/office/drawing/2014/main" id="{B638986D-882D-4D0B-A65B-5EF821A0C0D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971" name="AutoShape 12">
          <a:extLst>
            <a:ext uri="{FF2B5EF4-FFF2-40B4-BE49-F238E27FC236}">
              <a16:creationId xmlns:a16="http://schemas.microsoft.com/office/drawing/2014/main" id="{B6F3A9F7-41E5-444D-A74E-E760E321B99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972" name="AutoShape 12">
          <a:extLst>
            <a:ext uri="{FF2B5EF4-FFF2-40B4-BE49-F238E27FC236}">
              <a16:creationId xmlns:a16="http://schemas.microsoft.com/office/drawing/2014/main" id="{BC9E8704-07FE-4494-94F9-5436F35BFB5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973" name="AutoShape 12">
          <a:extLst>
            <a:ext uri="{FF2B5EF4-FFF2-40B4-BE49-F238E27FC236}">
              <a16:creationId xmlns:a16="http://schemas.microsoft.com/office/drawing/2014/main" id="{322125E2-B2D5-447C-8628-561BAE873B0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974" name="AutoShape 12">
          <a:extLst>
            <a:ext uri="{FF2B5EF4-FFF2-40B4-BE49-F238E27FC236}">
              <a16:creationId xmlns:a16="http://schemas.microsoft.com/office/drawing/2014/main" id="{BB0D3F45-1A03-43EE-8875-F9154DFAD05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975" name="AutoShape 12">
          <a:extLst>
            <a:ext uri="{FF2B5EF4-FFF2-40B4-BE49-F238E27FC236}">
              <a16:creationId xmlns:a16="http://schemas.microsoft.com/office/drawing/2014/main" id="{8919493F-EE10-4442-89AC-28ECB705726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976" name="AutoShape 12">
          <a:extLst>
            <a:ext uri="{FF2B5EF4-FFF2-40B4-BE49-F238E27FC236}">
              <a16:creationId xmlns:a16="http://schemas.microsoft.com/office/drawing/2014/main" id="{AE790FA0-753B-4400-A7F9-3B5624FF4E4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977" name="AutoShape 12">
          <a:extLst>
            <a:ext uri="{FF2B5EF4-FFF2-40B4-BE49-F238E27FC236}">
              <a16:creationId xmlns:a16="http://schemas.microsoft.com/office/drawing/2014/main" id="{4FAFF009-10B9-49AE-9409-F85AE190460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978" name="AutoShape 12">
          <a:extLst>
            <a:ext uri="{FF2B5EF4-FFF2-40B4-BE49-F238E27FC236}">
              <a16:creationId xmlns:a16="http://schemas.microsoft.com/office/drawing/2014/main" id="{4A2C83AC-FC9B-48FC-91BD-1897D784DA2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979" name="AutoShape 12">
          <a:extLst>
            <a:ext uri="{FF2B5EF4-FFF2-40B4-BE49-F238E27FC236}">
              <a16:creationId xmlns:a16="http://schemas.microsoft.com/office/drawing/2014/main" id="{CDC18530-3499-4D95-BE6D-591BABA08D1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980" name="AutoShape 12">
          <a:extLst>
            <a:ext uri="{FF2B5EF4-FFF2-40B4-BE49-F238E27FC236}">
              <a16:creationId xmlns:a16="http://schemas.microsoft.com/office/drawing/2014/main" id="{C3896457-43D1-461B-8655-1AADAD93625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981" name="AutoShape 12">
          <a:extLst>
            <a:ext uri="{FF2B5EF4-FFF2-40B4-BE49-F238E27FC236}">
              <a16:creationId xmlns:a16="http://schemas.microsoft.com/office/drawing/2014/main" id="{999AA5C3-7C62-43D1-AA18-898A5E3DA60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982" name="AutoShape 12">
          <a:extLst>
            <a:ext uri="{FF2B5EF4-FFF2-40B4-BE49-F238E27FC236}">
              <a16:creationId xmlns:a16="http://schemas.microsoft.com/office/drawing/2014/main" id="{58B3EF0C-676E-4189-BEE7-0BAB127FC81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983" name="AutoShape 12">
          <a:extLst>
            <a:ext uri="{FF2B5EF4-FFF2-40B4-BE49-F238E27FC236}">
              <a16:creationId xmlns:a16="http://schemas.microsoft.com/office/drawing/2014/main" id="{27CC22E9-BC0B-411D-BF17-4A6E75EF1F2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984" name="AutoShape 12">
          <a:extLst>
            <a:ext uri="{FF2B5EF4-FFF2-40B4-BE49-F238E27FC236}">
              <a16:creationId xmlns:a16="http://schemas.microsoft.com/office/drawing/2014/main" id="{D4F15FAC-7182-4E10-BA83-BCED39BBC4D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985" name="AutoShape 12">
          <a:extLst>
            <a:ext uri="{FF2B5EF4-FFF2-40B4-BE49-F238E27FC236}">
              <a16:creationId xmlns:a16="http://schemas.microsoft.com/office/drawing/2014/main" id="{31320634-E27D-41F1-82DB-2D0C0BD89E0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986" name="AutoShape 12">
          <a:extLst>
            <a:ext uri="{FF2B5EF4-FFF2-40B4-BE49-F238E27FC236}">
              <a16:creationId xmlns:a16="http://schemas.microsoft.com/office/drawing/2014/main" id="{7F2B0A11-801C-46CE-8380-29089F1B6E3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987" name="AutoShape 12">
          <a:extLst>
            <a:ext uri="{FF2B5EF4-FFF2-40B4-BE49-F238E27FC236}">
              <a16:creationId xmlns:a16="http://schemas.microsoft.com/office/drawing/2014/main" id="{7EA7D248-75BA-40E6-8781-C3A1DB1D8B5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647</xdr:row>
      <xdr:rowOff>0</xdr:rowOff>
    </xdr:from>
    <xdr:ext cx="304800" cy="304094"/>
    <xdr:sp macro="" textlink="">
      <xdr:nvSpPr>
        <xdr:cNvPr id="5988" name="AutoShape 12">
          <a:extLst>
            <a:ext uri="{FF2B5EF4-FFF2-40B4-BE49-F238E27FC236}">
              <a16:creationId xmlns:a16="http://schemas.microsoft.com/office/drawing/2014/main" id="{46F6705F-C162-45F6-91B1-DACEFA78BB4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5989" name="AutoShape 12">
          <a:extLst>
            <a:ext uri="{FF2B5EF4-FFF2-40B4-BE49-F238E27FC236}">
              <a16:creationId xmlns:a16="http://schemas.microsoft.com/office/drawing/2014/main" id="{1BB8C1F0-1A6C-4D16-9CD0-B9BB5DD2FAE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5990" name="AutoShape 12">
          <a:extLst>
            <a:ext uri="{FF2B5EF4-FFF2-40B4-BE49-F238E27FC236}">
              <a16:creationId xmlns:a16="http://schemas.microsoft.com/office/drawing/2014/main" id="{180D4DA8-0069-424F-B5C4-8D0DCB1AB95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5991" name="AutoShape 12">
          <a:extLst>
            <a:ext uri="{FF2B5EF4-FFF2-40B4-BE49-F238E27FC236}">
              <a16:creationId xmlns:a16="http://schemas.microsoft.com/office/drawing/2014/main" id="{44C56831-A501-4E6B-8D54-C9F812B6F49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5992" name="AutoShape 12">
          <a:extLst>
            <a:ext uri="{FF2B5EF4-FFF2-40B4-BE49-F238E27FC236}">
              <a16:creationId xmlns:a16="http://schemas.microsoft.com/office/drawing/2014/main" id="{A508B3F2-FA2B-467B-B021-AD788338D85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5993" name="AutoShape 12">
          <a:extLst>
            <a:ext uri="{FF2B5EF4-FFF2-40B4-BE49-F238E27FC236}">
              <a16:creationId xmlns:a16="http://schemas.microsoft.com/office/drawing/2014/main" id="{B6FB12F5-B0FB-4EE6-9306-8800A5C4C5E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5994" name="AutoShape 12">
          <a:extLst>
            <a:ext uri="{FF2B5EF4-FFF2-40B4-BE49-F238E27FC236}">
              <a16:creationId xmlns:a16="http://schemas.microsoft.com/office/drawing/2014/main" id="{DC56ACA5-B6F7-4C20-BF90-F89E4AFC17C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5995" name="AutoShape 12">
          <a:extLst>
            <a:ext uri="{FF2B5EF4-FFF2-40B4-BE49-F238E27FC236}">
              <a16:creationId xmlns:a16="http://schemas.microsoft.com/office/drawing/2014/main" id="{00029083-1A7D-4CBA-91DF-0933C7B6ED9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5996" name="AutoShape 12">
          <a:extLst>
            <a:ext uri="{FF2B5EF4-FFF2-40B4-BE49-F238E27FC236}">
              <a16:creationId xmlns:a16="http://schemas.microsoft.com/office/drawing/2014/main" id="{CB88027C-983C-4785-91FD-94F260C85A8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5997" name="AutoShape 12">
          <a:extLst>
            <a:ext uri="{FF2B5EF4-FFF2-40B4-BE49-F238E27FC236}">
              <a16:creationId xmlns:a16="http://schemas.microsoft.com/office/drawing/2014/main" id="{E80CBF98-A66C-4076-915A-761EF3261A9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5998" name="AutoShape 12">
          <a:extLst>
            <a:ext uri="{FF2B5EF4-FFF2-40B4-BE49-F238E27FC236}">
              <a16:creationId xmlns:a16="http://schemas.microsoft.com/office/drawing/2014/main" id="{C2B6A128-06AE-4AE3-88FE-D3E449532B0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5999" name="AutoShape 12">
          <a:extLst>
            <a:ext uri="{FF2B5EF4-FFF2-40B4-BE49-F238E27FC236}">
              <a16:creationId xmlns:a16="http://schemas.microsoft.com/office/drawing/2014/main" id="{663081A9-C70F-442E-B125-5006E32B11E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6000" name="AutoShape 12">
          <a:extLst>
            <a:ext uri="{FF2B5EF4-FFF2-40B4-BE49-F238E27FC236}">
              <a16:creationId xmlns:a16="http://schemas.microsoft.com/office/drawing/2014/main" id="{DC28AA44-720F-40A2-9265-5B020DE4CD1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6001" name="AutoShape 12">
          <a:extLst>
            <a:ext uri="{FF2B5EF4-FFF2-40B4-BE49-F238E27FC236}">
              <a16:creationId xmlns:a16="http://schemas.microsoft.com/office/drawing/2014/main" id="{F189FA57-9021-42C9-9C2A-899ED5405BE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6002" name="AutoShape 12">
          <a:extLst>
            <a:ext uri="{FF2B5EF4-FFF2-40B4-BE49-F238E27FC236}">
              <a16:creationId xmlns:a16="http://schemas.microsoft.com/office/drawing/2014/main" id="{CDCEF369-532D-41D5-9300-87F8D454741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6003" name="AutoShape 12">
          <a:extLst>
            <a:ext uri="{FF2B5EF4-FFF2-40B4-BE49-F238E27FC236}">
              <a16:creationId xmlns:a16="http://schemas.microsoft.com/office/drawing/2014/main" id="{9CBAB484-7099-454A-93A3-2A56A2C5CAA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6004" name="AutoShape 12">
          <a:extLst>
            <a:ext uri="{FF2B5EF4-FFF2-40B4-BE49-F238E27FC236}">
              <a16:creationId xmlns:a16="http://schemas.microsoft.com/office/drawing/2014/main" id="{FB45DA69-0770-446C-BD06-34A63AC3B7E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6005" name="AutoShape 12">
          <a:extLst>
            <a:ext uri="{FF2B5EF4-FFF2-40B4-BE49-F238E27FC236}">
              <a16:creationId xmlns:a16="http://schemas.microsoft.com/office/drawing/2014/main" id="{CE2C81ED-A451-4A0E-A6AC-E94265F494E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6006" name="AutoShape 12">
          <a:extLst>
            <a:ext uri="{FF2B5EF4-FFF2-40B4-BE49-F238E27FC236}">
              <a16:creationId xmlns:a16="http://schemas.microsoft.com/office/drawing/2014/main" id="{79A8D51A-1641-46C9-BA4C-1C2D84D3117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6007" name="AutoShape 12">
          <a:extLst>
            <a:ext uri="{FF2B5EF4-FFF2-40B4-BE49-F238E27FC236}">
              <a16:creationId xmlns:a16="http://schemas.microsoft.com/office/drawing/2014/main" id="{7840329E-6138-49BE-A06D-B87F8FD2802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6008" name="AutoShape 12">
          <a:extLst>
            <a:ext uri="{FF2B5EF4-FFF2-40B4-BE49-F238E27FC236}">
              <a16:creationId xmlns:a16="http://schemas.microsoft.com/office/drawing/2014/main" id="{9D8AA60F-8A85-4F76-B9B5-320C1206E08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6009" name="AutoShape 12">
          <a:extLst>
            <a:ext uri="{FF2B5EF4-FFF2-40B4-BE49-F238E27FC236}">
              <a16:creationId xmlns:a16="http://schemas.microsoft.com/office/drawing/2014/main" id="{98B53CB0-4352-4748-A650-CB912041FEE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6010" name="AutoShape 12">
          <a:extLst>
            <a:ext uri="{FF2B5EF4-FFF2-40B4-BE49-F238E27FC236}">
              <a16:creationId xmlns:a16="http://schemas.microsoft.com/office/drawing/2014/main" id="{135FDA28-A457-4AFE-803B-39B557A22A5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6011" name="AutoShape 12">
          <a:extLst>
            <a:ext uri="{FF2B5EF4-FFF2-40B4-BE49-F238E27FC236}">
              <a16:creationId xmlns:a16="http://schemas.microsoft.com/office/drawing/2014/main" id="{6225D030-F4A7-4C14-AA5A-2B86B6D372F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6012" name="AutoShape 12">
          <a:extLst>
            <a:ext uri="{FF2B5EF4-FFF2-40B4-BE49-F238E27FC236}">
              <a16:creationId xmlns:a16="http://schemas.microsoft.com/office/drawing/2014/main" id="{B7DF482D-9DB1-45D0-AD26-74E35620528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6013" name="AutoShape 12">
          <a:extLst>
            <a:ext uri="{FF2B5EF4-FFF2-40B4-BE49-F238E27FC236}">
              <a16:creationId xmlns:a16="http://schemas.microsoft.com/office/drawing/2014/main" id="{052F0EB0-7C30-49BE-8296-F94464D77B7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6014" name="AutoShape 12">
          <a:extLst>
            <a:ext uri="{FF2B5EF4-FFF2-40B4-BE49-F238E27FC236}">
              <a16:creationId xmlns:a16="http://schemas.microsoft.com/office/drawing/2014/main" id="{D8C82401-D131-444C-A76A-674492ED6C2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6015" name="AutoShape 12">
          <a:extLst>
            <a:ext uri="{FF2B5EF4-FFF2-40B4-BE49-F238E27FC236}">
              <a16:creationId xmlns:a16="http://schemas.microsoft.com/office/drawing/2014/main" id="{833C3DBE-494A-4A05-8284-A53727E7344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6016" name="AutoShape 12">
          <a:extLst>
            <a:ext uri="{FF2B5EF4-FFF2-40B4-BE49-F238E27FC236}">
              <a16:creationId xmlns:a16="http://schemas.microsoft.com/office/drawing/2014/main" id="{0AF6FD11-D80C-4412-B309-330CD744973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6017" name="AutoShape 12">
          <a:extLst>
            <a:ext uri="{FF2B5EF4-FFF2-40B4-BE49-F238E27FC236}">
              <a16:creationId xmlns:a16="http://schemas.microsoft.com/office/drawing/2014/main" id="{4F46769C-B570-4801-BB97-660DFEA213F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6018" name="AutoShape 12">
          <a:extLst>
            <a:ext uri="{FF2B5EF4-FFF2-40B4-BE49-F238E27FC236}">
              <a16:creationId xmlns:a16="http://schemas.microsoft.com/office/drawing/2014/main" id="{FD5BA1C8-91F4-482A-A3D7-DCC8B01816F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6019" name="AutoShape 12">
          <a:extLst>
            <a:ext uri="{FF2B5EF4-FFF2-40B4-BE49-F238E27FC236}">
              <a16:creationId xmlns:a16="http://schemas.microsoft.com/office/drawing/2014/main" id="{A5DCEADB-EDE2-4F82-918B-404F6667A7A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6020" name="AutoShape 12">
          <a:extLst>
            <a:ext uri="{FF2B5EF4-FFF2-40B4-BE49-F238E27FC236}">
              <a16:creationId xmlns:a16="http://schemas.microsoft.com/office/drawing/2014/main" id="{47A564D6-B063-4199-86FD-BB441994BD8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6021" name="AutoShape 12">
          <a:extLst>
            <a:ext uri="{FF2B5EF4-FFF2-40B4-BE49-F238E27FC236}">
              <a16:creationId xmlns:a16="http://schemas.microsoft.com/office/drawing/2014/main" id="{8FEC91B6-D20B-4702-9C5B-BA34F4863C4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6022" name="AutoShape 12">
          <a:extLst>
            <a:ext uri="{FF2B5EF4-FFF2-40B4-BE49-F238E27FC236}">
              <a16:creationId xmlns:a16="http://schemas.microsoft.com/office/drawing/2014/main" id="{F062B8CD-BA9B-4199-AE7B-C7F17999B6C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6023" name="AutoShape 12">
          <a:extLst>
            <a:ext uri="{FF2B5EF4-FFF2-40B4-BE49-F238E27FC236}">
              <a16:creationId xmlns:a16="http://schemas.microsoft.com/office/drawing/2014/main" id="{E6FB5C5A-BD7D-4EB0-A2BE-BFEC4DB2EDC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6024" name="AutoShape 12">
          <a:extLst>
            <a:ext uri="{FF2B5EF4-FFF2-40B4-BE49-F238E27FC236}">
              <a16:creationId xmlns:a16="http://schemas.microsoft.com/office/drawing/2014/main" id="{31A0C344-8569-4A51-AE6E-942B35ED1B3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6025" name="AutoShape 12">
          <a:extLst>
            <a:ext uri="{FF2B5EF4-FFF2-40B4-BE49-F238E27FC236}">
              <a16:creationId xmlns:a16="http://schemas.microsoft.com/office/drawing/2014/main" id="{59A32F86-C505-4E5E-BEC8-E4E5A0D8CE8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6026" name="AutoShape 12">
          <a:extLst>
            <a:ext uri="{FF2B5EF4-FFF2-40B4-BE49-F238E27FC236}">
              <a16:creationId xmlns:a16="http://schemas.microsoft.com/office/drawing/2014/main" id="{422F8EDB-AEFB-467F-A0DA-33D407FB276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6027" name="AutoShape 12">
          <a:extLst>
            <a:ext uri="{FF2B5EF4-FFF2-40B4-BE49-F238E27FC236}">
              <a16:creationId xmlns:a16="http://schemas.microsoft.com/office/drawing/2014/main" id="{08EB5859-224F-4F2B-B2D9-412F5553717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6028" name="AutoShape 12">
          <a:extLst>
            <a:ext uri="{FF2B5EF4-FFF2-40B4-BE49-F238E27FC236}">
              <a16:creationId xmlns:a16="http://schemas.microsoft.com/office/drawing/2014/main" id="{DA603A02-C994-47B0-8536-ACE182ED682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6029" name="AutoShape 12">
          <a:extLst>
            <a:ext uri="{FF2B5EF4-FFF2-40B4-BE49-F238E27FC236}">
              <a16:creationId xmlns:a16="http://schemas.microsoft.com/office/drawing/2014/main" id="{D215DFDB-E741-4F85-A9DF-307E3B23CB7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6030" name="AutoShape 12">
          <a:extLst>
            <a:ext uri="{FF2B5EF4-FFF2-40B4-BE49-F238E27FC236}">
              <a16:creationId xmlns:a16="http://schemas.microsoft.com/office/drawing/2014/main" id="{CE7F3290-5941-4196-9385-974DD8EB627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6031" name="AutoShape 12">
          <a:extLst>
            <a:ext uri="{FF2B5EF4-FFF2-40B4-BE49-F238E27FC236}">
              <a16:creationId xmlns:a16="http://schemas.microsoft.com/office/drawing/2014/main" id="{E6BB8CCD-BDA0-4014-95F0-40810D7CC12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6032" name="AutoShape 12">
          <a:extLst>
            <a:ext uri="{FF2B5EF4-FFF2-40B4-BE49-F238E27FC236}">
              <a16:creationId xmlns:a16="http://schemas.microsoft.com/office/drawing/2014/main" id="{D5AD96BF-BB28-4EF7-90A8-4284C04F9F6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6033" name="AutoShape 12">
          <a:extLst>
            <a:ext uri="{FF2B5EF4-FFF2-40B4-BE49-F238E27FC236}">
              <a16:creationId xmlns:a16="http://schemas.microsoft.com/office/drawing/2014/main" id="{B596952C-B6B8-47B7-A192-16FF334B089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6034" name="AutoShape 12">
          <a:extLst>
            <a:ext uri="{FF2B5EF4-FFF2-40B4-BE49-F238E27FC236}">
              <a16:creationId xmlns:a16="http://schemas.microsoft.com/office/drawing/2014/main" id="{F9A240A1-4616-4888-8B76-8FAE2397C24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6035" name="AutoShape 12">
          <a:extLst>
            <a:ext uri="{FF2B5EF4-FFF2-40B4-BE49-F238E27FC236}">
              <a16:creationId xmlns:a16="http://schemas.microsoft.com/office/drawing/2014/main" id="{839E9F5F-D634-46F5-B3FA-15E7F4C818A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6036" name="AutoShape 12">
          <a:extLst>
            <a:ext uri="{FF2B5EF4-FFF2-40B4-BE49-F238E27FC236}">
              <a16:creationId xmlns:a16="http://schemas.microsoft.com/office/drawing/2014/main" id="{AC1C7354-2CBF-4659-879F-6F75A2B552D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6037" name="AutoShape 12">
          <a:extLst>
            <a:ext uri="{FF2B5EF4-FFF2-40B4-BE49-F238E27FC236}">
              <a16:creationId xmlns:a16="http://schemas.microsoft.com/office/drawing/2014/main" id="{9D8293F9-8935-4BB2-A2F6-35CAAB41C29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6038" name="AutoShape 12">
          <a:extLst>
            <a:ext uri="{FF2B5EF4-FFF2-40B4-BE49-F238E27FC236}">
              <a16:creationId xmlns:a16="http://schemas.microsoft.com/office/drawing/2014/main" id="{4B82FEBD-C5A2-4930-9870-7F41E85BBC8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6039" name="AutoShape 12">
          <a:extLst>
            <a:ext uri="{FF2B5EF4-FFF2-40B4-BE49-F238E27FC236}">
              <a16:creationId xmlns:a16="http://schemas.microsoft.com/office/drawing/2014/main" id="{A56F837E-8BA1-4B6E-BBB2-E1B9B954D80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6040" name="AutoShape 12">
          <a:extLst>
            <a:ext uri="{FF2B5EF4-FFF2-40B4-BE49-F238E27FC236}">
              <a16:creationId xmlns:a16="http://schemas.microsoft.com/office/drawing/2014/main" id="{8D18ADBA-60BD-45EE-AFAF-6F4A41E82AB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6041" name="AutoShape 12">
          <a:extLst>
            <a:ext uri="{FF2B5EF4-FFF2-40B4-BE49-F238E27FC236}">
              <a16:creationId xmlns:a16="http://schemas.microsoft.com/office/drawing/2014/main" id="{34EAF733-0237-4D48-B47E-08A61761CCA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6042" name="AutoShape 12">
          <a:extLst>
            <a:ext uri="{FF2B5EF4-FFF2-40B4-BE49-F238E27FC236}">
              <a16:creationId xmlns:a16="http://schemas.microsoft.com/office/drawing/2014/main" id="{907F5365-7E04-4F71-865A-322556658E7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6043" name="AutoShape 12">
          <a:extLst>
            <a:ext uri="{FF2B5EF4-FFF2-40B4-BE49-F238E27FC236}">
              <a16:creationId xmlns:a16="http://schemas.microsoft.com/office/drawing/2014/main" id="{37A208C0-EE82-4264-B321-1D34C8006B1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6044" name="AutoShape 12">
          <a:extLst>
            <a:ext uri="{FF2B5EF4-FFF2-40B4-BE49-F238E27FC236}">
              <a16:creationId xmlns:a16="http://schemas.microsoft.com/office/drawing/2014/main" id="{1D7AAF8D-FD3F-4EAE-83A2-00D6C428983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6045" name="AutoShape 12">
          <a:extLst>
            <a:ext uri="{FF2B5EF4-FFF2-40B4-BE49-F238E27FC236}">
              <a16:creationId xmlns:a16="http://schemas.microsoft.com/office/drawing/2014/main" id="{2F34B5E3-AD87-44A3-951E-43E82AB742C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6046" name="AutoShape 12">
          <a:extLst>
            <a:ext uri="{FF2B5EF4-FFF2-40B4-BE49-F238E27FC236}">
              <a16:creationId xmlns:a16="http://schemas.microsoft.com/office/drawing/2014/main" id="{42677BC7-2B9D-44E8-A2A7-0A0F8AC8D53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6047" name="AutoShape 12">
          <a:extLst>
            <a:ext uri="{FF2B5EF4-FFF2-40B4-BE49-F238E27FC236}">
              <a16:creationId xmlns:a16="http://schemas.microsoft.com/office/drawing/2014/main" id="{F5DA9C57-1572-4481-B8D2-DEFE7E117CC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6048" name="AutoShape 12">
          <a:extLst>
            <a:ext uri="{FF2B5EF4-FFF2-40B4-BE49-F238E27FC236}">
              <a16:creationId xmlns:a16="http://schemas.microsoft.com/office/drawing/2014/main" id="{477517B5-DBC3-4A17-94BA-85BF29E4BE7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6049" name="AutoShape 12">
          <a:extLst>
            <a:ext uri="{FF2B5EF4-FFF2-40B4-BE49-F238E27FC236}">
              <a16:creationId xmlns:a16="http://schemas.microsoft.com/office/drawing/2014/main" id="{2C61EAA1-AE0E-4D72-ADE7-B2D1E88360F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6050" name="AutoShape 12">
          <a:extLst>
            <a:ext uri="{FF2B5EF4-FFF2-40B4-BE49-F238E27FC236}">
              <a16:creationId xmlns:a16="http://schemas.microsoft.com/office/drawing/2014/main" id="{1E3C6E29-4309-4E06-BF3F-F885E9FC241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6051" name="AutoShape 12">
          <a:extLst>
            <a:ext uri="{FF2B5EF4-FFF2-40B4-BE49-F238E27FC236}">
              <a16:creationId xmlns:a16="http://schemas.microsoft.com/office/drawing/2014/main" id="{26C26E7E-28C0-4A3E-B845-98EDED592BC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6052" name="AutoShape 12">
          <a:extLst>
            <a:ext uri="{FF2B5EF4-FFF2-40B4-BE49-F238E27FC236}">
              <a16:creationId xmlns:a16="http://schemas.microsoft.com/office/drawing/2014/main" id="{4FFA8397-12AA-4102-A88B-59B6EB5BAD0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6053" name="AutoShape 12">
          <a:extLst>
            <a:ext uri="{FF2B5EF4-FFF2-40B4-BE49-F238E27FC236}">
              <a16:creationId xmlns:a16="http://schemas.microsoft.com/office/drawing/2014/main" id="{D6FACC57-749A-44C8-AA62-577CBEEDC11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6054" name="AutoShape 12">
          <a:extLst>
            <a:ext uri="{FF2B5EF4-FFF2-40B4-BE49-F238E27FC236}">
              <a16:creationId xmlns:a16="http://schemas.microsoft.com/office/drawing/2014/main" id="{0DAC2272-0D7E-4502-A7D4-A0B53EC7230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6055" name="AutoShape 12">
          <a:extLst>
            <a:ext uri="{FF2B5EF4-FFF2-40B4-BE49-F238E27FC236}">
              <a16:creationId xmlns:a16="http://schemas.microsoft.com/office/drawing/2014/main" id="{E97A1CBB-EE92-4124-B784-AEB85E1BF1E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6056" name="AutoShape 12">
          <a:extLst>
            <a:ext uri="{FF2B5EF4-FFF2-40B4-BE49-F238E27FC236}">
              <a16:creationId xmlns:a16="http://schemas.microsoft.com/office/drawing/2014/main" id="{F807C482-BBC2-49A1-A91B-339D0FE8888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6057" name="AutoShape 12">
          <a:extLst>
            <a:ext uri="{FF2B5EF4-FFF2-40B4-BE49-F238E27FC236}">
              <a16:creationId xmlns:a16="http://schemas.microsoft.com/office/drawing/2014/main" id="{309DE6F2-8125-471F-85F0-51D4FE4C54B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6058" name="AutoShape 12">
          <a:extLst>
            <a:ext uri="{FF2B5EF4-FFF2-40B4-BE49-F238E27FC236}">
              <a16:creationId xmlns:a16="http://schemas.microsoft.com/office/drawing/2014/main" id="{2F23798F-0E54-46CE-B809-8C6A3568877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6059" name="AutoShape 12">
          <a:extLst>
            <a:ext uri="{FF2B5EF4-FFF2-40B4-BE49-F238E27FC236}">
              <a16:creationId xmlns:a16="http://schemas.microsoft.com/office/drawing/2014/main" id="{57BE13AE-160E-4B91-B5A0-37DE9AAC28F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6060" name="AutoShape 12">
          <a:extLst>
            <a:ext uri="{FF2B5EF4-FFF2-40B4-BE49-F238E27FC236}">
              <a16:creationId xmlns:a16="http://schemas.microsoft.com/office/drawing/2014/main" id="{89DA8951-7A3B-450F-81AF-3F0FABCD4CD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6061" name="AutoShape 12">
          <a:extLst>
            <a:ext uri="{FF2B5EF4-FFF2-40B4-BE49-F238E27FC236}">
              <a16:creationId xmlns:a16="http://schemas.microsoft.com/office/drawing/2014/main" id="{67D14487-5CB0-43C3-B691-088C3685B8C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6062" name="AutoShape 12">
          <a:extLst>
            <a:ext uri="{FF2B5EF4-FFF2-40B4-BE49-F238E27FC236}">
              <a16:creationId xmlns:a16="http://schemas.microsoft.com/office/drawing/2014/main" id="{3C8800EB-3C64-451F-8245-33E0BD8C239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6063" name="AutoShape 12">
          <a:extLst>
            <a:ext uri="{FF2B5EF4-FFF2-40B4-BE49-F238E27FC236}">
              <a16:creationId xmlns:a16="http://schemas.microsoft.com/office/drawing/2014/main" id="{0FC66DF0-45D4-4A64-B984-091AEB60E3F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6064" name="AutoShape 12">
          <a:extLst>
            <a:ext uri="{FF2B5EF4-FFF2-40B4-BE49-F238E27FC236}">
              <a16:creationId xmlns:a16="http://schemas.microsoft.com/office/drawing/2014/main" id="{61132CD6-6FEC-4F18-AF4A-3EA29718163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6065" name="AutoShape 12">
          <a:extLst>
            <a:ext uri="{FF2B5EF4-FFF2-40B4-BE49-F238E27FC236}">
              <a16:creationId xmlns:a16="http://schemas.microsoft.com/office/drawing/2014/main" id="{11997C92-C567-4A2D-AF2F-88110179C43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6066" name="AutoShape 12">
          <a:extLst>
            <a:ext uri="{FF2B5EF4-FFF2-40B4-BE49-F238E27FC236}">
              <a16:creationId xmlns:a16="http://schemas.microsoft.com/office/drawing/2014/main" id="{8EDF8D4A-0F01-4EA8-A6B1-5D7EA9D65A1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6067" name="AutoShape 12">
          <a:extLst>
            <a:ext uri="{FF2B5EF4-FFF2-40B4-BE49-F238E27FC236}">
              <a16:creationId xmlns:a16="http://schemas.microsoft.com/office/drawing/2014/main" id="{E8813966-0234-4412-8CD9-795AE43C1F2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6068" name="AutoShape 12">
          <a:extLst>
            <a:ext uri="{FF2B5EF4-FFF2-40B4-BE49-F238E27FC236}">
              <a16:creationId xmlns:a16="http://schemas.microsoft.com/office/drawing/2014/main" id="{0317C6DE-2C76-4D2D-8CE8-F94D7D788DA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6069" name="AutoShape 12">
          <a:extLst>
            <a:ext uri="{FF2B5EF4-FFF2-40B4-BE49-F238E27FC236}">
              <a16:creationId xmlns:a16="http://schemas.microsoft.com/office/drawing/2014/main" id="{0B0200BC-F9E4-424A-840F-55C74F02A83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6070" name="AutoShape 12">
          <a:extLst>
            <a:ext uri="{FF2B5EF4-FFF2-40B4-BE49-F238E27FC236}">
              <a16:creationId xmlns:a16="http://schemas.microsoft.com/office/drawing/2014/main" id="{FE104501-B76F-4C5C-BBF8-311C9235DFF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6071" name="AutoShape 12">
          <a:extLst>
            <a:ext uri="{FF2B5EF4-FFF2-40B4-BE49-F238E27FC236}">
              <a16:creationId xmlns:a16="http://schemas.microsoft.com/office/drawing/2014/main" id="{625DA442-9E5A-4905-A88C-CD902C98D4B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6072" name="AutoShape 12">
          <a:extLst>
            <a:ext uri="{FF2B5EF4-FFF2-40B4-BE49-F238E27FC236}">
              <a16:creationId xmlns:a16="http://schemas.microsoft.com/office/drawing/2014/main" id="{34F2538E-52BB-4D1A-A5D2-4B8B1BDB2D3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6073" name="AutoShape 12">
          <a:extLst>
            <a:ext uri="{FF2B5EF4-FFF2-40B4-BE49-F238E27FC236}">
              <a16:creationId xmlns:a16="http://schemas.microsoft.com/office/drawing/2014/main" id="{58C15B32-3EC7-457A-88A2-0084CEB4AC9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6074" name="AutoShape 12">
          <a:extLst>
            <a:ext uri="{FF2B5EF4-FFF2-40B4-BE49-F238E27FC236}">
              <a16:creationId xmlns:a16="http://schemas.microsoft.com/office/drawing/2014/main" id="{3713454C-3FE8-42D1-A7AE-783CAD7AA1B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6075" name="AutoShape 12">
          <a:extLst>
            <a:ext uri="{FF2B5EF4-FFF2-40B4-BE49-F238E27FC236}">
              <a16:creationId xmlns:a16="http://schemas.microsoft.com/office/drawing/2014/main" id="{DE5D2C01-6D63-4BB1-BA1F-67A7DAA5616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6076" name="AutoShape 12">
          <a:extLst>
            <a:ext uri="{FF2B5EF4-FFF2-40B4-BE49-F238E27FC236}">
              <a16:creationId xmlns:a16="http://schemas.microsoft.com/office/drawing/2014/main" id="{1463D2FC-E627-43C7-A5F5-E8BC97EF351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6077" name="AutoShape 12">
          <a:extLst>
            <a:ext uri="{FF2B5EF4-FFF2-40B4-BE49-F238E27FC236}">
              <a16:creationId xmlns:a16="http://schemas.microsoft.com/office/drawing/2014/main" id="{01095154-2747-41BB-BD7A-A5C1FAC465D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6078" name="AutoShape 12">
          <a:extLst>
            <a:ext uri="{FF2B5EF4-FFF2-40B4-BE49-F238E27FC236}">
              <a16:creationId xmlns:a16="http://schemas.microsoft.com/office/drawing/2014/main" id="{EFE5EBD7-F1EE-4DAC-AA1B-30F3314303A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6079" name="AutoShape 12">
          <a:extLst>
            <a:ext uri="{FF2B5EF4-FFF2-40B4-BE49-F238E27FC236}">
              <a16:creationId xmlns:a16="http://schemas.microsoft.com/office/drawing/2014/main" id="{6C9149D3-BCD4-411A-8C06-EE043F3D86A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6080" name="AutoShape 12">
          <a:extLst>
            <a:ext uri="{FF2B5EF4-FFF2-40B4-BE49-F238E27FC236}">
              <a16:creationId xmlns:a16="http://schemas.microsoft.com/office/drawing/2014/main" id="{0861F256-1C8E-4DF0-802C-A9C2DA39EC0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6081" name="AutoShape 12">
          <a:extLst>
            <a:ext uri="{FF2B5EF4-FFF2-40B4-BE49-F238E27FC236}">
              <a16:creationId xmlns:a16="http://schemas.microsoft.com/office/drawing/2014/main" id="{561D0262-FA4F-461F-A7FC-6B3C022959B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6082" name="AutoShape 12">
          <a:extLst>
            <a:ext uri="{FF2B5EF4-FFF2-40B4-BE49-F238E27FC236}">
              <a16:creationId xmlns:a16="http://schemas.microsoft.com/office/drawing/2014/main" id="{915B0B81-09B4-4CA8-B69B-34B4D4E48CC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6083" name="AutoShape 12">
          <a:extLst>
            <a:ext uri="{FF2B5EF4-FFF2-40B4-BE49-F238E27FC236}">
              <a16:creationId xmlns:a16="http://schemas.microsoft.com/office/drawing/2014/main" id="{A845CA8E-3094-4B1F-A455-10E940FC1BB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6084" name="AutoShape 12">
          <a:extLst>
            <a:ext uri="{FF2B5EF4-FFF2-40B4-BE49-F238E27FC236}">
              <a16:creationId xmlns:a16="http://schemas.microsoft.com/office/drawing/2014/main" id="{EDE38FF2-628C-4D70-9834-8D20B5B6786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6085" name="AutoShape 12">
          <a:extLst>
            <a:ext uri="{FF2B5EF4-FFF2-40B4-BE49-F238E27FC236}">
              <a16:creationId xmlns:a16="http://schemas.microsoft.com/office/drawing/2014/main" id="{0F11A61E-EC51-4558-A781-7D48ADB10DE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6086" name="AutoShape 12">
          <a:extLst>
            <a:ext uri="{FF2B5EF4-FFF2-40B4-BE49-F238E27FC236}">
              <a16:creationId xmlns:a16="http://schemas.microsoft.com/office/drawing/2014/main" id="{9B220F2C-D28A-4EB9-ABA3-8FA699285ED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6087" name="AutoShape 12">
          <a:extLst>
            <a:ext uri="{FF2B5EF4-FFF2-40B4-BE49-F238E27FC236}">
              <a16:creationId xmlns:a16="http://schemas.microsoft.com/office/drawing/2014/main" id="{D1E34B32-DBC0-4D5D-BA83-0B27F0E3DCC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6088" name="AutoShape 12">
          <a:extLst>
            <a:ext uri="{FF2B5EF4-FFF2-40B4-BE49-F238E27FC236}">
              <a16:creationId xmlns:a16="http://schemas.microsoft.com/office/drawing/2014/main" id="{1882104E-08F3-448C-8657-5E68175C49F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6089" name="AutoShape 12">
          <a:extLst>
            <a:ext uri="{FF2B5EF4-FFF2-40B4-BE49-F238E27FC236}">
              <a16:creationId xmlns:a16="http://schemas.microsoft.com/office/drawing/2014/main" id="{898F62B8-8BE2-4AFB-A063-2E8E5BCF8F8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6090" name="AutoShape 12">
          <a:extLst>
            <a:ext uri="{FF2B5EF4-FFF2-40B4-BE49-F238E27FC236}">
              <a16:creationId xmlns:a16="http://schemas.microsoft.com/office/drawing/2014/main" id="{A7121501-544F-4C9F-AC2C-562A95617DB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6091" name="AutoShape 12">
          <a:extLst>
            <a:ext uri="{FF2B5EF4-FFF2-40B4-BE49-F238E27FC236}">
              <a16:creationId xmlns:a16="http://schemas.microsoft.com/office/drawing/2014/main" id="{02094356-57A2-4509-95FD-76F8148E7C0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6092" name="AutoShape 12">
          <a:extLst>
            <a:ext uri="{FF2B5EF4-FFF2-40B4-BE49-F238E27FC236}">
              <a16:creationId xmlns:a16="http://schemas.microsoft.com/office/drawing/2014/main" id="{B7A27D3C-CA93-4933-AFB6-3481C96595F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6093" name="AutoShape 12">
          <a:extLst>
            <a:ext uri="{FF2B5EF4-FFF2-40B4-BE49-F238E27FC236}">
              <a16:creationId xmlns:a16="http://schemas.microsoft.com/office/drawing/2014/main" id="{3A094D8E-73D0-40C4-8EEA-B2840447483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6094" name="AutoShape 12">
          <a:extLst>
            <a:ext uri="{FF2B5EF4-FFF2-40B4-BE49-F238E27FC236}">
              <a16:creationId xmlns:a16="http://schemas.microsoft.com/office/drawing/2014/main" id="{F2D30300-5666-4150-9295-0C5CC7112F5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6095" name="AutoShape 12">
          <a:extLst>
            <a:ext uri="{FF2B5EF4-FFF2-40B4-BE49-F238E27FC236}">
              <a16:creationId xmlns:a16="http://schemas.microsoft.com/office/drawing/2014/main" id="{649F5E2C-BAC8-47BB-B3B4-91ACC7BF680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6096" name="AutoShape 12">
          <a:extLst>
            <a:ext uri="{FF2B5EF4-FFF2-40B4-BE49-F238E27FC236}">
              <a16:creationId xmlns:a16="http://schemas.microsoft.com/office/drawing/2014/main" id="{5812B48D-61DB-416B-9132-6A555E1C387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6097" name="AutoShape 12">
          <a:extLst>
            <a:ext uri="{FF2B5EF4-FFF2-40B4-BE49-F238E27FC236}">
              <a16:creationId xmlns:a16="http://schemas.microsoft.com/office/drawing/2014/main" id="{B4448027-A021-4E57-B4CC-0A7D2685480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6098" name="AutoShape 12">
          <a:extLst>
            <a:ext uri="{FF2B5EF4-FFF2-40B4-BE49-F238E27FC236}">
              <a16:creationId xmlns:a16="http://schemas.microsoft.com/office/drawing/2014/main" id="{43E9E135-187E-4AB1-893C-F63CD3025AB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6099" name="AutoShape 12">
          <a:extLst>
            <a:ext uri="{FF2B5EF4-FFF2-40B4-BE49-F238E27FC236}">
              <a16:creationId xmlns:a16="http://schemas.microsoft.com/office/drawing/2014/main" id="{F5718038-B1B7-40CD-8C5E-E21E108ADF5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6100" name="AutoShape 12">
          <a:extLst>
            <a:ext uri="{FF2B5EF4-FFF2-40B4-BE49-F238E27FC236}">
              <a16:creationId xmlns:a16="http://schemas.microsoft.com/office/drawing/2014/main" id="{B167696A-1FD4-4173-884C-C5DC831A8BE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6101" name="AutoShape 12">
          <a:extLst>
            <a:ext uri="{FF2B5EF4-FFF2-40B4-BE49-F238E27FC236}">
              <a16:creationId xmlns:a16="http://schemas.microsoft.com/office/drawing/2014/main" id="{D10AB7A2-A4A7-4D84-8F0A-5E88A3BE8A7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6102" name="AutoShape 12">
          <a:extLst>
            <a:ext uri="{FF2B5EF4-FFF2-40B4-BE49-F238E27FC236}">
              <a16:creationId xmlns:a16="http://schemas.microsoft.com/office/drawing/2014/main" id="{C193517F-CD28-4A7E-92E6-4F2B9FBA350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6103" name="AutoShape 12">
          <a:extLst>
            <a:ext uri="{FF2B5EF4-FFF2-40B4-BE49-F238E27FC236}">
              <a16:creationId xmlns:a16="http://schemas.microsoft.com/office/drawing/2014/main" id="{48EE36B5-A6A0-4957-94A1-A8D185F9EC6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6104" name="AutoShape 12">
          <a:extLst>
            <a:ext uri="{FF2B5EF4-FFF2-40B4-BE49-F238E27FC236}">
              <a16:creationId xmlns:a16="http://schemas.microsoft.com/office/drawing/2014/main" id="{F1078054-E4E3-4F1D-950B-F87DFC8F4A9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6105" name="AutoShape 12">
          <a:extLst>
            <a:ext uri="{FF2B5EF4-FFF2-40B4-BE49-F238E27FC236}">
              <a16:creationId xmlns:a16="http://schemas.microsoft.com/office/drawing/2014/main" id="{D2C5CBB5-A03B-4525-BEC0-83C74FE7C15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6106" name="AutoShape 12">
          <a:extLst>
            <a:ext uri="{FF2B5EF4-FFF2-40B4-BE49-F238E27FC236}">
              <a16:creationId xmlns:a16="http://schemas.microsoft.com/office/drawing/2014/main" id="{8D652A49-8978-4656-89D3-CD9CC56F5D3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6107" name="AutoShape 12">
          <a:extLst>
            <a:ext uri="{FF2B5EF4-FFF2-40B4-BE49-F238E27FC236}">
              <a16:creationId xmlns:a16="http://schemas.microsoft.com/office/drawing/2014/main" id="{069FEF27-A91A-4204-B4A3-EA1CE8154BB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6108" name="AutoShape 12">
          <a:extLst>
            <a:ext uri="{FF2B5EF4-FFF2-40B4-BE49-F238E27FC236}">
              <a16:creationId xmlns:a16="http://schemas.microsoft.com/office/drawing/2014/main" id="{DEC00790-98F9-4961-B506-4A8D2635F68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6109" name="AutoShape 12">
          <a:extLst>
            <a:ext uri="{FF2B5EF4-FFF2-40B4-BE49-F238E27FC236}">
              <a16:creationId xmlns:a16="http://schemas.microsoft.com/office/drawing/2014/main" id="{3FA97103-60C3-4E26-9528-A277993CADB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6110" name="AutoShape 12">
          <a:extLst>
            <a:ext uri="{FF2B5EF4-FFF2-40B4-BE49-F238E27FC236}">
              <a16:creationId xmlns:a16="http://schemas.microsoft.com/office/drawing/2014/main" id="{50092816-E374-4D50-B56E-AD034DFB34D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6111" name="AutoShape 12">
          <a:extLst>
            <a:ext uri="{FF2B5EF4-FFF2-40B4-BE49-F238E27FC236}">
              <a16:creationId xmlns:a16="http://schemas.microsoft.com/office/drawing/2014/main" id="{66730A30-2BDA-4576-9D45-A47E1EC7F84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6112" name="AutoShape 12">
          <a:extLst>
            <a:ext uri="{FF2B5EF4-FFF2-40B4-BE49-F238E27FC236}">
              <a16:creationId xmlns:a16="http://schemas.microsoft.com/office/drawing/2014/main" id="{3141B9C0-DF12-4E75-AF10-9A968F00524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6113" name="AutoShape 12">
          <a:extLst>
            <a:ext uri="{FF2B5EF4-FFF2-40B4-BE49-F238E27FC236}">
              <a16:creationId xmlns:a16="http://schemas.microsoft.com/office/drawing/2014/main" id="{DF8A8D12-FF2C-4021-9E2B-DE53E34B60B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6114" name="AutoShape 12">
          <a:extLst>
            <a:ext uri="{FF2B5EF4-FFF2-40B4-BE49-F238E27FC236}">
              <a16:creationId xmlns:a16="http://schemas.microsoft.com/office/drawing/2014/main" id="{A0BD752C-B8A3-4BC6-98D7-FB189DDC223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6115" name="AutoShape 12">
          <a:extLst>
            <a:ext uri="{FF2B5EF4-FFF2-40B4-BE49-F238E27FC236}">
              <a16:creationId xmlns:a16="http://schemas.microsoft.com/office/drawing/2014/main" id="{7A3A59E6-FE84-4871-A7E3-45EB59D044A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6116" name="AutoShape 12">
          <a:extLst>
            <a:ext uri="{FF2B5EF4-FFF2-40B4-BE49-F238E27FC236}">
              <a16:creationId xmlns:a16="http://schemas.microsoft.com/office/drawing/2014/main" id="{2CA2D053-A658-496D-9138-0F986C9E5ED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6117" name="AutoShape 12">
          <a:extLst>
            <a:ext uri="{FF2B5EF4-FFF2-40B4-BE49-F238E27FC236}">
              <a16:creationId xmlns:a16="http://schemas.microsoft.com/office/drawing/2014/main" id="{750C434D-A028-4E1D-8A39-6CCD29D2D5A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6118" name="AutoShape 12">
          <a:extLst>
            <a:ext uri="{FF2B5EF4-FFF2-40B4-BE49-F238E27FC236}">
              <a16:creationId xmlns:a16="http://schemas.microsoft.com/office/drawing/2014/main" id="{4BA09C82-EA14-47AF-BCD1-2C4366B767C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6119" name="AutoShape 12">
          <a:extLst>
            <a:ext uri="{FF2B5EF4-FFF2-40B4-BE49-F238E27FC236}">
              <a16:creationId xmlns:a16="http://schemas.microsoft.com/office/drawing/2014/main" id="{2468ED41-2C00-4227-B045-70CFA962AF3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6120" name="AutoShape 12">
          <a:extLst>
            <a:ext uri="{FF2B5EF4-FFF2-40B4-BE49-F238E27FC236}">
              <a16:creationId xmlns:a16="http://schemas.microsoft.com/office/drawing/2014/main" id="{2379A863-1260-4C3D-94EE-7A39FBD1795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6121" name="AutoShape 12">
          <a:extLst>
            <a:ext uri="{FF2B5EF4-FFF2-40B4-BE49-F238E27FC236}">
              <a16:creationId xmlns:a16="http://schemas.microsoft.com/office/drawing/2014/main" id="{12DE4C7F-5C6E-4AA2-A46E-11FEC3D64A7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6122" name="AutoShape 12">
          <a:extLst>
            <a:ext uri="{FF2B5EF4-FFF2-40B4-BE49-F238E27FC236}">
              <a16:creationId xmlns:a16="http://schemas.microsoft.com/office/drawing/2014/main" id="{66DC3117-7506-4873-8074-D1CF59C5199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6123" name="AutoShape 12">
          <a:extLst>
            <a:ext uri="{FF2B5EF4-FFF2-40B4-BE49-F238E27FC236}">
              <a16:creationId xmlns:a16="http://schemas.microsoft.com/office/drawing/2014/main" id="{D3D14114-C306-4ADF-8F6A-F805422BF5E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6124" name="AutoShape 12">
          <a:extLst>
            <a:ext uri="{FF2B5EF4-FFF2-40B4-BE49-F238E27FC236}">
              <a16:creationId xmlns:a16="http://schemas.microsoft.com/office/drawing/2014/main" id="{EE4C738E-316F-492E-95F4-298B58419C7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6125" name="AutoShape 12">
          <a:extLst>
            <a:ext uri="{FF2B5EF4-FFF2-40B4-BE49-F238E27FC236}">
              <a16:creationId xmlns:a16="http://schemas.microsoft.com/office/drawing/2014/main" id="{BC1349DE-BCFE-4765-81E0-A6EE8623740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6126" name="AutoShape 12">
          <a:extLst>
            <a:ext uri="{FF2B5EF4-FFF2-40B4-BE49-F238E27FC236}">
              <a16:creationId xmlns:a16="http://schemas.microsoft.com/office/drawing/2014/main" id="{7FD8B784-A06A-47D6-BC51-FDE84838C88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6127" name="AutoShape 12">
          <a:extLst>
            <a:ext uri="{FF2B5EF4-FFF2-40B4-BE49-F238E27FC236}">
              <a16:creationId xmlns:a16="http://schemas.microsoft.com/office/drawing/2014/main" id="{4E4384AD-CC62-4AE7-9D7F-7CFC54606BD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6128" name="AutoShape 12">
          <a:extLst>
            <a:ext uri="{FF2B5EF4-FFF2-40B4-BE49-F238E27FC236}">
              <a16:creationId xmlns:a16="http://schemas.microsoft.com/office/drawing/2014/main" id="{DF45064F-3910-44A7-B742-43F1D0F8CF1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6129" name="AutoShape 12">
          <a:extLst>
            <a:ext uri="{FF2B5EF4-FFF2-40B4-BE49-F238E27FC236}">
              <a16:creationId xmlns:a16="http://schemas.microsoft.com/office/drawing/2014/main" id="{79E936F6-8D14-4D37-B70F-A00609995FD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6130" name="AutoShape 12">
          <a:extLst>
            <a:ext uri="{FF2B5EF4-FFF2-40B4-BE49-F238E27FC236}">
              <a16:creationId xmlns:a16="http://schemas.microsoft.com/office/drawing/2014/main" id="{3BE08B72-50B9-44AA-84FA-794F4F61686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6131" name="AutoShape 12">
          <a:extLst>
            <a:ext uri="{FF2B5EF4-FFF2-40B4-BE49-F238E27FC236}">
              <a16:creationId xmlns:a16="http://schemas.microsoft.com/office/drawing/2014/main" id="{0A88EEA2-F778-4EE0-B8BE-719C7725273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6132" name="AutoShape 12">
          <a:extLst>
            <a:ext uri="{FF2B5EF4-FFF2-40B4-BE49-F238E27FC236}">
              <a16:creationId xmlns:a16="http://schemas.microsoft.com/office/drawing/2014/main" id="{E5B46F2E-70B0-492C-9046-9E7CAE28016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6133" name="AutoShape 12">
          <a:extLst>
            <a:ext uri="{FF2B5EF4-FFF2-40B4-BE49-F238E27FC236}">
              <a16:creationId xmlns:a16="http://schemas.microsoft.com/office/drawing/2014/main" id="{F42BF5B1-6989-4C75-A074-564DFC33593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6134" name="AutoShape 12">
          <a:extLst>
            <a:ext uri="{FF2B5EF4-FFF2-40B4-BE49-F238E27FC236}">
              <a16:creationId xmlns:a16="http://schemas.microsoft.com/office/drawing/2014/main" id="{C54AD3FA-19BD-4C96-A3A6-610A0C91E07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6135" name="AutoShape 12">
          <a:extLst>
            <a:ext uri="{FF2B5EF4-FFF2-40B4-BE49-F238E27FC236}">
              <a16:creationId xmlns:a16="http://schemas.microsoft.com/office/drawing/2014/main" id="{171F9397-7D4F-4963-8020-20BFE4C2E77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6136" name="AutoShape 12">
          <a:extLst>
            <a:ext uri="{FF2B5EF4-FFF2-40B4-BE49-F238E27FC236}">
              <a16:creationId xmlns:a16="http://schemas.microsoft.com/office/drawing/2014/main" id="{BDF872EE-E0DF-431B-8815-736C48308C5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6137" name="AutoShape 12">
          <a:extLst>
            <a:ext uri="{FF2B5EF4-FFF2-40B4-BE49-F238E27FC236}">
              <a16:creationId xmlns:a16="http://schemas.microsoft.com/office/drawing/2014/main" id="{2A093A64-9D38-4B20-8D01-678FB003CD2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6138" name="AutoShape 12">
          <a:extLst>
            <a:ext uri="{FF2B5EF4-FFF2-40B4-BE49-F238E27FC236}">
              <a16:creationId xmlns:a16="http://schemas.microsoft.com/office/drawing/2014/main" id="{FD2F79EB-6E2E-4FC3-8C81-81D339D4635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6139" name="AutoShape 12">
          <a:extLst>
            <a:ext uri="{FF2B5EF4-FFF2-40B4-BE49-F238E27FC236}">
              <a16:creationId xmlns:a16="http://schemas.microsoft.com/office/drawing/2014/main" id="{DDD9B7C8-8395-46EC-AFE4-8B40873EA74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6140" name="AutoShape 12">
          <a:extLst>
            <a:ext uri="{FF2B5EF4-FFF2-40B4-BE49-F238E27FC236}">
              <a16:creationId xmlns:a16="http://schemas.microsoft.com/office/drawing/2014/main" id="{FCD711A6-A217-4FD7-985B-222E80E67EE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6141" name="AutoShape 12">
          <a:extLst>
            <a:ext uri="{FF2B5EF4-FFF2-40B4-BE49-F238E27FC236}">
              <a16:creationId xmlns:a16="http://schemas.microsoft.com/office/drawing/2014/main" id="{0239E2D9-B5E3-4878-BA49-B230F2F484A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6142" name="AutoShape 12">
          <a:extLst>
            <a:ext uri="{FF2B5EF4-FFF2-40B4-BE49-F238E27FC236}">
              <a16:creationId xmlns:a16="http://schemas.microsoft.com/office/drawing/2014/main" id="{9BF06EA9-F0A8-4309-A45B-96F789108F5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6143" name="AutoShape 12">
          <a:extLst>
            <a:ext uri="{FF2B5EF4-FFF2-40B4-BE49-F238E27FC236}">
              <a16:creationId xmlns:a16="http://schemas.microsoft.com/office/drawing/2014/main" id="{3FEF4995-8DC5-4F27-9B14-1D9B7DB3751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6144" name="AutoShape 12">
          <a:extLst>
            <a:ext uri="{FF2B5EF4-FFF2-40B4-BE49-F238E27FC236}">
              <a16:creationId xmlns:a16="http://schemas.microsoft.com/office/drawing/2014/main" id="{0A0BF47E-4A35-4E71-AD48-3C20FA0F1F6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6145" name="AutoShape 12">
          <a:extLst>
            <a:ext uri="{FF2B5EF4-FFF2-40B4-BE49-F238E27FC236}">
              <a16:creationId xmlns:a16="http://schemas.microsoft.com/office/drawing/2014/main" id="{60CC5843-CF79-4550-96AF-2BCE438C21F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6146" name="AutoShape 12">
          <a:extLst>
            <a:ext uri="{FF2B5EF4-FFF2-40B4-BE49-F238E27FC236}">
              <a16:creationId xmlns:a16="http://schemas.microsoft.com/office/drawing/2014/main" id="{44D61B37-24F8-428C-B6A9-8ED47ACBAA7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6147" name="AutoShape 12">
          <a:extLst>
            <a:ext uri="{FF2B5EF4-FFF2-40B4-BE49-F238E27FC236}">
              <a16:creationId xmlns:a16="http://schemas.microsoft.com/office/drawing/2014/main" id="{43EF1181-901D-48B2-8A12-DE55D53424D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6148" name="AutoShape 12">
          <a:extLst>
            <a:ext uri="{FF2B5EF4-FFF2-40B4-BE49-F238E27FC236}">
              <a16:creationId xmlns:a16="http://schemas.microsoft.com/office/drawing/2014/main" id="{6DD63ADF-7C4C-40B7-B643-91D0202CD2B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6149" name="AutoShape 12">
          <a:extLst>
            <a:ext uri="{FF2B5EF4-FFF2-40B4-BE49-F238E27FC236}">
              <a16:creationId xmlns:a16="http://schemas.microsoft.com/office/drawing/2014/main" id="{A3851D35-5A65-46D9-9767-08C08E6B134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6150" name="AutoShape 12">
          <a:extLst>
            <a:ext uri="{FF2B5EF4-FFF2-40B4-BE49-F238E27FC236}">
              <a16:creationId xmlns:a16="http://schemas.microsoft.com/office/drawing/2014/main" id="{EE77EDAE-9D37-48BA-BE18-59C39C10C34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6151" name="AutoShape 12">
          <a:extLst>
            <a:ext uri="{FF2B5EF4-FFF2-40B4-BE49-F238E27FC236}">
              <a16:creationId xmlns:a16="http://schemas.microsoft.com/office/drawing/2014/main" id="{800536C7-E0F8-4DB2-83D4-E0876032E5D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6152" name="AutoShape 12">
          <a:extLst>
            <a:ext uri="{FF2B5EF4-FFF2-40B4-BE49-F238E27FC236}">
              <a16:creationId xmlns:a16="http://schemas.microsoft.com/office/drawing/2014/main" id="{4D376E8C-2370-41A0-83D3-CD18C3A83FE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6153" name="AutoShape 12">
          <a:extLst>
            <a:ext uri="{FF2B5EF4-FFF2-40B4-BE49-F238E27FC236}">
              <a16:creationId xmlns:a16="http://schemas.microsoft.com/office/drawing/2014/main" id="{94CCB77F-772E-42E1-BA2A-12EA28868DB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6154" name="AutoShape 12">
          <a:extLst>
            <a:ext uri="{FF2B5EF4-FFF2-40B4-BE49-F238E27FC236}">
              <a16:creationId xmlns:a16="http://schemas.microsoft.com/office/drawing/2014/main" id="{806D8838-9F85-4C2F-9B7E-74C52A6E55B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6155" name="AutoShape 12">
          <a:extLst>
            <a:ext uri="{FF2B5EF4-FFF2-40B4-BE49-F238E27FC236}">
              <a16:creationId xmlns:a16="http://schemas.microsoft.com/office/drawing/2014/main" id="{ED4B97AF-C63C-4B03-9A17-5C14F3B4045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6156" name="AutoShape 12">
          <a:extLst>
            <a:ext uri="{FF2B5EF4-FFF2-40B4-BE49-F238E27FC236}">
              <a16:creationId xmlns:a16="http://schemas.microsoft.com/office/drawing/2014/main" id="{20D4E277-F1DB-4700-9837-CEAEB7E3CF1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6157" name="AutoShape 12">
          <a:extLst>
            <a:ext uri="{FF2B5EF4-FFF2-40B4-BE49-F238E27FC236}">
              <a16:creationId xmlns:a16="http://schemas.microsoft.com/office/drawing/2014/main" id="{7A1D7114-B567-4BED-98D2-3F0289793B1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6158" name="AutoShape 12">
          <a:extLst>
            <a:ext uri="{FF2B5EF4-FFF2-40B4-BE49-F238E27FC236}">
              <a16:creationId xmlns:a16="http://schemas.microsoft.com/office/drawing/2014/main" id="{4D8FF05A-EE8A-41EE-8DBC-15883D4A9BD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6159" name="AutoShape 12">
          <a:extLst>
            <a:ext uri="{FF2B5EF4-FFF2-40B4-BE49-F238E27FC236}">
              <a16:creationId xmlns:a16="http://schemas.microsoft.com/office/drawing/2014/main" id="{A18B1EBF-211F-4927-BDFB-AE6985D8289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6160" name="AutoShape 12">
          <a:extLst>
            <a:ext uri="{FF2B5EF4-FFF2-40B4-BE49-F238E27FC236}">
              <a16:creationId xmlns:a16="http://schemas.microsoft.com/office/drawing/2014/main" id="{2DE10720-C042-498D-BAC0-F7F5B49B279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6161" name="AutoShape 12">
          <a:extLst>
            <a:ext uri="{FF2B5EF4-FFF2-40B4-BE49-F238E27FC236}">
              <a16:creationId xmlns:a16="http://schemas.microsoft.com/office/drawing/2014/main" id="{6DF474DE-5798-461D-AD3A-2CEFA0B9082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6162" name="AutoShape 12">
          <a:extLst>
            <a:ext uri="{FF2B5EF4-FFF2-40B4-BE49-F238E27FC236}">
              <a16:creationId xmlns:a16="http://schemas.microsoft.com/office/drawing/2014/main" id="{039D168B-8E28-4137-ACB1-A7E58941D62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6163" name="AutoShape 12">
          <a:extLst>
            <a:ext uri="{FF2B5EF4-FFF2-40B4-BE49-F238E27FC236}">
              <a16:creationId xmlns:a16="http://schemas.microsoft.com/office/drawing/2014/main" id="{D48733C9-F3E6-4F10-B182-F12CF033E3B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6164" name="AutoShape 12">
          <a:extLst>
            <a:ext uri="{FF2B5EF4-FFF2-40B4-BE49-F238E27FC236}">
              <a16:creationId xmlns:a16="http://schemas.microsoft.com/office/drawing/2014/main" id="{69EA3FEE-6003-4A06-9018-F5618176D0F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6165" name="AutoShape 12">
          <a:extLst>
            <a:ext uri="{FF2B5EF4-FFF2-40B4-BE49-F238E27FC236}">
              <a16:creationId xmlns:a16="http://schemas.microsoft.com/office/drawing/2014/main" id="{A58112DA-A1BC-4CF9-8622-06081EB1469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6166" name="AutoShape 12">
          <a:extLst>
            <a:ext uri="{FF2B5EF4-FFF2-40B4-BE49-F238E27FC236}">
              <a16:creationId xmlns:a16="http://schemas.microsoft.com/office/drawing/2014/main" id="{4FBF4D53-3922-4676-AC9B-4483797FE23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6167" name="AutoShape 12">
          <a:extLst>
            <a:ext uri="{FF2B5EF4-FFF2-40B4-BE49-F238E27FC236}">
              <a16:creationId xmlns:a16="http://schemas.microsoft.com/office/drawing/2014/main" id="{58A437DF-07C3-4D17-9B3D-F16F04E5903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6168" name="AutoShape 12">
          <a:extLst>
            <a:ext uri="{FF2B5EF4-FFF2-40B4-BE49-F238E27FC236}">
              <a16:creationId xmlns:a16="http://schemas.microsoft.com/office/drawing/2014/main" id="{78774993-AA65-45D5-B125-62133BB6060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6169" name="AutoShape 12">
          <a:extLst>
            <a:ext uri="{FF2B5EF4-FFF2-40B4-BE49-F238E27FC236}">
              <a16:creationId xmlns:a16="http://schemas.microsoft.com/office/drawing/2014/main" id="{B595DB12-A0D1-4CCC-AC5B-E7D7307959B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6170" name="AutoShape 12">
          <a:extLst>
            <a:ext uri="{FF2B5EF4-FFF2-40B4-BE49-F238E27FC236}">
              <a16:creationId xmlns:a16="http://schemas.microsoft.com/office/drawing/2014/main" id="{389AA210-B5B7-475D-A55A-EE4D2CCDD5A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6171" name="AutoShape 12">
          <a:extLst>
            <a:ext uri="{FF2B5EF4-FFF2-40B4-BE49-F238E27FC236}">
              <a16:creationId xmlns:a16="http://schemas.microsoft.com/office/drawing/2014/main" id="{BDF1D0C2-C8B5-43AD-9C83-4B76F903471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6172" name="AutoShape 12">
          <a:extLst>
            <a:ext uri="{FF2B5EF4-FFF2-40B4-BE49-F238E27FC236}">
              <a16:creationId xmlns:a16="http://schemas.microsoft.com/office/drawing/2014/main" id="{C37E3D95-FBF4-46FE-B129-7E0FD37C38C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6173" name="AutoShape 12">
          <a:extLst>
            <a:ext uri="{FF2B5EF4-FFF2-40B4-BE49-F238E27FC236}">
              <a16:creationId xmlns:a16="http://schemas.microsoft.com/office/drawing/2014/main" id="{2A2C18A0-6C54-4935-A944-17F10116F4F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6174" name="AutoShape 12">
          <a:extLst>
            <a:ext uri="{FF2B5EF4-FFF2-40B4-BE49-F238E27FC236}">
              <a16:creationId xmlns:a16="http://schemas.microsoft.com/office/drawing/2014/main" id="{AB31F7FA-22EF-4DF6-A64C-F4D789EA8FB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6175" name="AutoShape 12">
          <a:extLst>
            <a:ext uri="{FF2B5EF4-FFF2-40B4-BE49-F238E27FC236}">
              <a16:creationId xmlns:a16="http://schemas.microsoft.com/office/drawing/2014/main" id="{94B5F707-FA00-4181-B71A-5DA3CC9794A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6176" name="AutoShape 12">
          <a:extLst>
            <a:ext uri="{FF2B5EF4-FFF2-40B4-BE49-F238E27FC236}">
              <a16:creationId xmlns:a16="http://schemas.microsoft.com/office/drawing/2014/main" id="{B850D7D9-3281-48BF-9092-7826005C987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6177" name="AutoShape 12">
          <a:extLst>
            <a:ext uri="{FF2B5EF4-FFF2-40B4-BE49-F238E27FC236}">
              <a16:creationId xmlns:a16="http://schemas.microsoft.com/office/drawing/2014/main" id="{72E42203-2564-433F-965E-6DAAC794FF7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6178" name="AutoShape 12">
          <a:extLst>
            <a:ext uri="{FF2B5EF4-FFF2-40B4-BE49-F238E27FC236}">
              <a16:creationId xmlns:a16="http://schemas.microsoft.com/office/drawing/2014/main" id="{12ADB78E-7C37-47A6-8C61-509B8BFB3B0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6179" name="AutoShape 12">
          <a:extLst>
            <a:ext uri="{FF2B5EF4-FFF2-40B4-BE49-F238E27FC236}">
              <a16:creationId xmlns:a16="http://schemas.microsoft.com/office/drawing/2014/main" id="{14D583A3-423A-4A16-9792-387433DDAFC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6180" name="AutoShape 12">
          <a:extLst>
            <a:ext uri="{FF2B5EF4-FFF2-40B4-BE49-F238E27FC236}">
              <a16:creationId xmlns:a16="http://schemas.microsoft.com/office/drawing/2014/main" id="{0960ACD5-18EF-4A32-90E4-D190D472502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6181" name="AutoShape 12">
          <a:extLst>
            <a:ext uri="{FF2B5EF4-FFF2-40B4-BE49-F238E27FC236}">
              <a16:creationId xmlns:a16="http://schemas.microsoft.com/office/drawing/2014/main" id="{2EE6C593-E4EB-4ED8-B665-9FA97EF8311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6182" name="AutoShape 12">
          <a:extLst>
            <a:ext uri="{FF2B5EF4-FFF2-40B4-BE49-F238E27FC236}">
              <a16:creationId xmlns:a16="http://schemas.microsoft.com/office/drawing/2014/main" id="{E6473559-57BA-48B3-8064-AB819EA5A9C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6183" name="AutoShape 12">
          <a:extLst>
            <a:ext uri="{FF2B5EF4-FFF2-40B4-BE49-F238E27FC236}">
              <a16:creationId xmlns:a16="http://schemas.microsoft.com/office/drawing/2014/main" id="{D1CD5FC2-A1F4-4C01-BFF5-FF37A5064F3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6184" name="AutoShape 12">
          <a:extLst>
            <a:ext uri="{FF2B5EF4-FFF2-40B4-BE49-F238E27FC236}">
              <a16:creationId xmlns:a16="http://schemas.microsoft.com/office/drawing/2014/main" id="{63DE738A-4C03-4CE0-B580-67E2A55C626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6185" name="AutoShape 12">
          <a:extLst>
            <a:ext uri="{FF2B5EF4-FFF2-40B4-BE49-F238E27FC236}">
              <a16:creationId xmlns:a16="http://schemas.microsoft.com/office/drawing/2014/main" id="{D2D0F08F-0B23-41C4-8B10-F3F3B83C552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6186" name="AutoShape 12">
          <a:extLst>
            <a:ext uri="{FF2B5EF4-FFF2-40B4-BE49-F238E27FC236}">
              <a16:creationId xmlns:a16="http://schemas.microsoft.com/office/drawing/2014/main" id="{61957850-CA30-47E1-8F3A-3EEB4A937EB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6187" name="AutoShape 12">
          <a:extLst>
            <a:ext uri="{FF2B5EF4-FFF2-40B4-BE49-F238E27FC236}">
              <a16:creationId xmlns:a16="http://schemas.microsoft.com/office/drawing/2014/main" id="{E735F2E5-D400-47C2-9BFE-7EA0A9C4C10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6188" name="AutoShape 12">
          <a:extLst>
            <a:ext uri="{FF2B5EF4-FFF2-40B4-BE49-F238E27FC236}">
              <a16:creationId xmlns:a16="http://schemas.microsoft.com/office/drawing/2014/main" id="{1A696712-1160-44F2-B9A8-C06F710055E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6189" name="AutoShape 12">
          <a:extLst>
            <a:ext uri="{FF2B5EF4-FFF2-40B4-BE49-F238E27FC236}">
              <a16:creationId xmlns:a16="http://schemas.microsoft.com/office/drawing/2014/main" id="{A9933723-18FC-4B85-8608-E4304D844E4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6190" name="AutoShape 12">
          <a:extLst>
            <a:ext uri="{FF2B5EF4-FFF2-40B4-BE49-F238E27FC236}">
              <a16:creationId xmlns:a16="http://schemas.microsoft.com/office/drawing/2014/main" id="{9FB3284B-DEC2-4D8D-B025-9713CF4DD8D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6191" name="AutoShape 12">
          <a:extLst>
            <a:ext uri="{FF2B5EF4-FFF2-40B4-BE49-F238E27FC236}">
              <a16:creationId xmlns:a16="http://schemas.microsoft.com/office/drawing/2014/main" id="{8723DC0B-5CF5-45CA-9920-39C9102850D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6192" name="AutoShape 12">
          <a:extLst>
            <a:ext uri="{FF2B5EF4-FFF2-40B4-BE49-F238E27FC236}">
              <a16:creationId xmlns:a16="http://schemas.microsoft.com/office/drawing/2014/main" id="{04FDCDBF-0B2B-4BDA-B345-FC9D720314A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6193" name="AutoShape 12">
          <a:extLst>
            <a:ext uri="{FF2B5EF4-FFF2-40B4-BE49-F238E27FC236}">
              <a16:creationId xmlns:a16="http://schemas.microsoft.com/office/drawing/2014/main" id="{2B312D4B-E519-4039-987B-EB7C5A65A3D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6194" name="AutoShape 12">
          <a:extLst>
            <a:ext uri="{FF2B5EF4-FFF2-40B4-BE49-F238E27FC236}">
              <a16:creationId xmlns:a16="http://schemas.microsoft.com/office/drawing/2014/main" id="{2EDD567F-C6E4-47BE-9B64-46F8174B4B6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6195" name="AutoShape 12">
          <a:extLst>
            <a:ext uri="{FF2B5EF4-FFF2-40B4-BE49-F238E27FC236}">
              <a16:creationId xmlns:a16="http://schemas.microsoft.com/office/drawing/2014/main" id="{050857ED-ADB8-4E7D-A990-925FA6F8CB1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6196" name="AutoShape 12">
          <a:extLst>
            <a:ext uri="{FF2B5EF4-FFF2-40B4-BE49-F238E27FC236}">
              <a16:creationId xmlns:a16="http://schemas.microsoft.com/office/drawing/2014/main" id="{3FC73965-18E7-4280-BE69-0B09F09C637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6197" name="AutoShape 12">
          <a:extLst>
            <a:ext uri="{FF2B5EF4-FFF2-40B4-BE49-F238E27FC236}">
              <a16:creationId xmlns:a16="http://schemas.microsoft.com/office/drawing/2014/main" id="{7AFD61F0-694B-4E76-96A9-45EF7E5D3CD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6198" name="AutoShape 12">
          <a:extLst>
            <a:ext uri="{FF2B5EF4-FFF2-40B4-BE49-F238E27FC236}">
              <a16:creationId xmlns:a16="http://schemas.microsoft.com/office/drawing/2014/main" id="{9694001F-3811-43D8-99C3-2036140B26B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6199" name="AutoShape 12">
          <a:extLst>
            <a:ext uri="{FF2B5EF4-FFF2-40B4-BE49-F238E27FC236}">
              <a16:creationId xmlns:a16="http://schemas.microsoft.com/office/drawing/2014/main" id="{5F08ED2D-CA0B-4BBD-91D6-7D2F54F8B07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6200" name="AutoShape 12">
          <a:extLst>
            <a:ext uri="{FF2B5EF4-FFF2-40B4-BE49-F238E27FC236}">
              <a16:creationId xmlns:a16="http://schemas.microsoft.com/office/drawing/2014/main" id="{F5361275-75C8-4597-AF78-1E1FEE256F4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6201" name="AutoShape 12">
          <a:extLst>
            <a:ext uri="{FF2B5EF4-FFF2-40B4-BE49-F238E27FC236}">
              <a16:creationId xmlns:a16="http://schemas.microsoft.com/office/drawing/2014/main" id="{03759AA6-E659-47B1-8F3B-BAC86F2B765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6202" name="AutoShape 12">
          <a:extLst>
            <a:ext uri="{FF2B5EF4-FFF2-40B4-BE49-F238E27FC236}">
              <a16:creationId xmlns:a16="http://schemas.microsoft.com/office/drawing/2014/main" id="{8627A8F3-5E22-4E24-B6F8-8A66ED33EEB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6203" name="AutoShape 12">
          <a:extLst>
            <a:ext uri="{FF2B5EF4-FFF2-40B4-BE49-F238E27FC236}">
              <a16:creationId xmlns:a16="http://schemas.microsoft.com/office/drawing/2014/main" id="{8CA7CA7C-94AE-4130-AA44-A0E91CF40EA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6204" name="AutoShape 12">
          <a:extLst>
            <a:ext uri="{FF2B5EF4-FFF2-40B4-BE49-F238E27FC236}">
              <a16:creationId xmlns:a16="http://schemas.microsoft.com/office/drawing/2014/main" id="{3D926BCF-D903-46A9-BB46-E754E882159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6205" name="AutoShape 12">
          <a:extLst>
            <a:ext uri="{FF2B5EF4-FFF2-40B4-BE49-F238E27FC236}">
              <a16:creationId xmlns:a16="http://schemas.microsoft.com/office/drawing/2014/main" id="{8BEAE6F4-7133-4D31-BF1A-093B5B62805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6206" name="AutoShape 12">
          <a:extLst>
            <a:ext uri="{FF2B5EF4-FFF2-40B4-BE49-F238E27FC236}">
              <a16:creationId xmlns:a16="http://schemas.microsoft.com/office/drawing/2014/main" id="{33CE8182-7A6B-49DC-BC80-5E2E2B9835A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6207" name="AutoShape 12">
          <a:extLst>
            <a:ext uri="{FF2B5EF4-FFF2-40B4-BE49-F238E27FC236}">
              <a16:creationId xmlns:a16="http://schemas.microsoft.com/office/drawing/2014/main" id="{D1BCFE02-741C-4A9B-869A-8C5D7095D05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6208" name="AutoShape 12">
          <a:extLst>
            <a:ext uri="{FF2B5EF4-FFF2-40B4-BE49-F238E27FC236}">
              <a16:creationId xmlns:a16="http://schemas.microsoft.com/office/drawing/2014/main" id="{B71674D2-2C7F-4CD6-A01B-5FF11BBE945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6209" name="AutoShape 12">
          <a:extLst>
            <a:ext uri="{FF2B5EF4-FFF2-40B4-BE49-F238E27FC236}">
              <a16:creationId xmlns:a16="http://schemas.microsoft.com/office/drawing/2014/main" id="{7B318A21-9F90-4BC3-93C2-62BD173B929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6210" name="AutoShape 12">
          <a:extLst>
            <a:ext uri="{FF2B5EF4-FFF2-40B4-BE49-F238E27FC236}">
              <a16:creationId xmlns:a16="http://schemas.microsoft.com/office/drawing/2014/main" id="{7FCCAD68-F0A5-49DD-AD8E-F204C5E2C69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6211" name="AutoShape 12">
          <a:extLst>
            <a:ext uri="{FF2B5EF4-FFF2-40B4-BE49-F238E27FC236}">
              <a16:creationId xmlns:a16="http://schemas.microsoft.com/office/drawing/2014/main" id="{9D2F4BC8-4162-4F3F-8536-97B282CF3C9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6212" name="AutoShape 12">
          <a:extLst>
            <a:ext uri="{FF2B5EF4-FFF2-40B4-BE49-F238E27FC236}">
              <a16:creationId xmlns:a16="http://schemas.microsoft.com/office/drawing/2014/main" id="{DAFB4A3E-6D95-4C8F-8E18-B3493BA0615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6213" name="AutoShape 12">
          <a:extLst>
            <a:ext uri="{FF2B5EF4-FFF2-40B4-BE49-F238E27FC236}">
              <a16:creationId xmlns:a16="http://schemas.microsoft.com/office/drawing/2014/main" id="{FAD4098C-297B-4B76-A218-AE6D1D1707D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6214" name="AutoShape 12">
          <a:extLst>
            <a:ext uri="{FF2B5EF4-FFF2-40B4-BE49-F238E27FC236}">
              <a16:creationId xmlns:a16="http://schemas.microsoft.com/office/drawing/2014/main" id="{74A57A2E-BA30-445F-9D5B-469C05BACEA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6215" name="AutoShape 12">
          <a:extLst>
            <a:ext uri="{FF2B5EF4-FFF2-40B4-BE49-F238E27FC236}">
              <a16:creationId xmlns:a16="http://schemas.microsoft.com/office/drawing/2014/main" id="{2D4ACAF7-7FDB-46BD-8ED1-26BDC638FDB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6216" name="AutoShape 12">
          <a:extLst>
            <a:ext uri="{FF2B5EF4-FFF2-40B4-BE49-F238E27FC236}">
              <a16:creationId xmlns:a16="http://schemas.microsoft.com/office/drawing/2014/main" id="{5289A124-1A29-42FD-9422-F8490F9EB92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6217" name="AutoShape 12">
          <a:extLst>
            <a:ext uri="{FF2B5EF4-FFF2-40B4-BE49-F238E27FC236}">
              <a16:creationId xmlns:a16="http://schemas.microsoft.com/office/drawing/2014/main" id="{59EC6131-4F97-4328-A751-8EE78813979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6218" name="AutoShape 12">
          <a:extLst>
            <a:ext uri="{FF2B5EF4-FFF2-40B4-BE49-F238E27FC236}">
              <a16:creationId xmlns:a16="http://schemas.microsoft.com/office/drawing/2014/main" id="{E7853893-7C00-4152-B1C9-E74FBE13C12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6219" name="AutoShape 12">
          <a:extLst>
            <a:ext uri="{FF2B5EF4-FFF2-40B4-BE49-F238E27FC236}">
              <a16:creationId xmlns:a16="http://schemas.microsoft.com/office/drawing/2014/main" id="{2272996B-0738-44E5-8BE2-F1A18B9957F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6220" name="AutoShape 12">
          <a:extLst>
            <a:ext uri="{FF2B5EF4-FFF2-40B4-BE49-F238E27FC236}">
              <a16:creationId xmlns:a16="http://schemas.microsoft.com/office/drawing/2014/main" id="{C415927F-7039-4E3A-B654-39AA434E6B3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6221" name="AutoShape 12">
          <a:extLst>
            <a:ext uri="{FF2B5EF4-FFF2-40B4-BE49-F238E27FC236}">
              <a16:creationId xmlns:a16="http://schemas.microsoft.com/office/drawing/2014/main" id="{E62337B8-D421-461C-AAF1-1A169987110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6222" name="AutoShape 12">
          <a:extLst>
            <a:ext uri="{FF2B5EF4-FFF2-40B4-BE49-F238E27FC236}">
              <a16:creationId xmlns:a16="http://schemas.microsoft.com/office/drawing/2014/main" id="{FDAC61C6-1DFC-4A81-B685-57630F71EF6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6223" name="AutoShape 12">
          <a:extLst>
            <a:ext uri="{FF2B5EF4-FFF2-40B4-BE49-F238E27FC236}">
              <a16:creationId xmlns:a16="http://schemas.microsoft.com/office/drawing/2014/main" id="{84C12B36-30DD-4CD8-94F6-31EB7BC87CE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6224" name="AutoShape 12">
          <a:extLst>
            <a:ext uri="{FF2B5EF4-FFF2-40B4-BE49-F238E27FC236}">
              <a16:creationId xmlns:a16="http://schemas.microsoft.com/office/drawing/2014/main" id="{863FEE63-B0F3-4F1C-B821-A17784CADF4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6225" name="AutoShape 12">
          <a:extLst>
            <a:ext uri="{FF2B5EF4-FFF2-40B4-BE49-F238E27FC236}">
              <a16:creationId xmlns:a16="http://schemas.microsoft.com/office/drawing/2014/main" id="{37220339-40B1-4C0B-97B3-A6AC51C084D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6226" name="AutoShape 12">
          <a:extLst>
            <a:ext uri="{FF2B5EF4-FFF2-40B4-BE49-F238E27FC236}">
              <a16:creationId xmlns:a16="http://schemas.microsoft.com/office/drawing/2014/main" id="{622ED700-1A05-48C9-909F-FB2486E3033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6227" name="AutoShape 12">
          <a:extLst>
            <a:ext uri="{FF2B5EF4-FFF2-40B4-BE49-F238E27FC236}">
              <a16:creationId xmlns:a16="http://schemas.microsoft.com/office/drawing/2014/main" id="{4C9245E4-0627-450B-920F-3C54DC7733D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6228" name="AutoShape 12">
          <a:extLst>
            <a:ext uri="{FF2B5EF4-FFF2-40B4-BE49-F238E27FC236}">
              <a16:creationId xmlns:a16="http://schemas.microsoft.com/office/drawing/2014/main" id="{8D9B6C3C-C0DA-44C9-A66E-299513AD459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6229" name="AutoShape 12">
          <a:extLst>
            <a:ext uri="{FF2B5EF4-FFF2-40B4-BE49-F238E27FC236}">
              <a16:creationId xmlns:a16="http://schemas.microsoft.com/office/drawing/2014/main" id="{432AC849-1EFB-4A4C-B9D1-C14A3DB1E71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6230" name="AutoShape 12">
          <a:extLst>
            <a:ext uri="{FF2B5EF4-FFF2-40B4-BE49-F238E27FC236}">
              <a16:creationId xmlns:a16="http://schemas.microsoft.com/office/drawing/2014/main" id="{5807307F-8B7E-4FC5-A33B-00E2656C094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6231" name="AutoShape 12">
          <a:extLst>
            <a:ext uri="{FF2B5EF4-FFF2-40B4-BE49-F238E27FC236}">
              <a16:creationId xmlns:a16="http://schemas.microsoft.com/office/drawing/2014/main" id="{ED918220-794D-45CE-A70C-C11F9877DBA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6232" name="AutoShape 12">
          <a:extLst>
            <a:ext uri="{FF2B5EF4-FFF2-40B4-BE49-F238E27FC236}">
              <a16:creationId xmlns:a16="http://schemas.microsoft.com/office/drawing/2014/main" id="{841A810C-3169-45E2-B7FB-609C3F33BBD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6233" name="AutoShape 12">
          <a:extLst>
            <a:ext uri="{FF2B5EF4-FFF2-40B4-BE49-F238E27FC236}">
              <a16:creationId xmlns:a16="http://schemas.microsoft.com/office/drawing/2014/main" id="{D236AA4E-468B-42BF-A14B-F0FC5A30931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6234" name="AutoShape 12">
          <a:extLst>
            <a:ext uri="{FF2B5EF4-FFF2-40B4-BE49-F238E27FC236}">
              <a16:creationId xmlns:a16="http://schemas.microsoft.com/office/drawing/2014/main" id="{F9082C41-E9CD-4C97-8DDC-8E900AFDA60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6235" name="AutoShape 12">
          <a:extLst>
            <a:ext uri="{FF2B5EF4-FFF2-40B4-BE49-F238E27FC236}">
              <a16:creationId xmlns:a16="http://schemas.microsoft.com/office/drawing/2014/main" id="{0F281CED-1515-4F21-8B9D-826F022D627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6236" name="AutoShape 12">
          <a:extLst>
            <a:ext uri="{FF2B5EF4-FFF2-40B4-BE49-F238E27FC236}">
              <a16:creationId xmlns:a16="http://schemas.microsoft.com/office/drawing/2014/main" id="{19D59E84-C173-41F8-84F2-F7FE46555AC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6237" name="AutoShape 12">
          <a:extLst>
            <a:ext uri="{FF2B5EF4-FFF2-40B4-BE49-F238E27FC236}">
              <a16:creationId xmlns:a16="http://schemas.microsoft.com/office/drawing/2014/main" id="{FDBD8306-33AE-402C-943B-ED2C031F7A6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6238" name="AutoShape 12">
          <a:extLst>
            <a:ext uri="{FF2B5EF4-FFF2-40B4-BE49-F238E27FC236}">
              <a16:creationId xmlns:a16="http://schemas.microsoft.com/office/drawing/2014/main" id="{618C26EB-DD89-47EC-88F2-85416304AF3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6239" name="AutoShape 12">
          <a:extLst>
            <a:ext uri="{FF2B5EF4-FFF2-40B4-BE49-F238E27FC236}">
              <a16:creationId xmlns:a16="http://schemas.microsoft.com/office/drawing/2014/main" id="{60A3534D-4E58-415A-A2E4-7CFB603EB8B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6240" name="AutoShape 12">
          <a:extLst>
            <a:ext uri="{FF2B5EF4-FFF2-40B4-BE49-F238E27FC236}">
              <a16:creationId xmlns:a16="http://schemas.microsoft.com/office/drawing/2014/main" id="{B8E0334F-C1AF-4142-B90A-7A9C1FDB7B9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6241" name="AutoShape 12">
          <a:extLst>
            <a:ext uri="{FF2B5EF4-FFF2-40B4-BE49-F238E27FC236}">
              <a16:creationId xmlns:a16="http://schemas.microsoft.com/office/drawing/2014/main" id="{288496A7-3940-4C49-A3EC-27757983613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6242" name="AutoShape 12">
          <a:extLst>
            <a:ext uri="{FF2B5EF4-FFF2-40B4-BE49-F238E27FC236}">
              <a16:creationId xmlns:a16="http://schemas.microsoft.com/office/drawing/2014/main" id="{E7A24CF5-E02A-435F-B136-6FFAC4CD53A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6243" name="AutoShape 12">
          <a:extLst>
            <a:ext uri="{FF2B5EF4-FFF2-40B4-BE49-F238E27FC236}">
              <a16:creationId xmlns:a16="http://schemas.microsoft.com/office/drawing/2014/main" id="{4DC8BFC5-82DB-4CB8-81FC-7041FA56045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6244" name="AutoShape 12">
          <a:extLst>
            <a:ext uri="{FF2B5EF4-FFF2-40B4-BE49-F238E27FC236}">
              <a16:creationId xmlns:a16="http://schemas.microsoft.com/office/drawing/2014/main" id="{C316DF4D-7EE1-48EF-994C-E4C751CC6CB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6245" name="AutoShape 12">
          <a:extLst>
            <a:ext uri="{FF2B5EF4-FFF2-40B4-BE49-F238E27FC236}">
              <a16:creationId xmlns:a16="http://schemas.microsoft.com/office/drawing/2014/main" id="{62E195E2-9D19-4503-985F-E8D1B8E25D2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6246" name="AutoShape 12">
          <a:extLst>
            <a:ext uri="{FF2B5EF4-FFF2-40B4-BE49-F238E27FC236}">
              <a16:creationId xmlns:a16="http://schemas.microsoft.com/office/drawing/2014/main" id="{3DF9CAE6-1858-47ED-899A-24CDCDD6CB7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6247" name="AutoShape 12">
          <a:extLst>
            <a:ext uri="{FF2B5EF4-FFF2-40B4-BE49-F238E27FC236}">
              <a16:creationId xmlns:a16="http://schemas.microsoft.com/office/drawing/2014/main" id="{AE26A868-4438-4069-9FC1-8B6C0A85DD7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6248" name="AutoShape 12">
          <a:extLst>
            <a:ext uri="{FF2B5EF4-FFF2-40B4-BE49-F238E27FC236}">
              <a16:creationId xmlns:a16="http://schemas.microsoft.com/office/drawing/2014/main" id="{F2D0F55C-B995-4119-9CE9-2B6A2434CC4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6249" name="AutoShape 12">
          <a:extLst>
            <a:ext uri="{FF2B5EF4-FFF2-40B4-BE49-F238E27FC236}">
              <a16:creationId xmlns:a16="http://schemas.microsoft.com/office/drawing/2014/main" id="{03F5EC28-146B-4F41-936D-7D90C311C26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6250" name="AutoShape 12">
          <a:extLst>
            <a:ext uri="{FF2B5EF4-FFF2-40B4-BE49-F238E27FC236}">
              <a16:creationId xmlns:a16="http://schemas.microsoft.com/office/drawing/2014/main" id="{D5893029-38AB-4FE9-99E6-28906AE7017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6251" name="AutoShape 12">
          <a:extLst>
            <a:ext uri="{FF2B5EF4-FFF2-40B4-BE49-F238E27FC236}">
              <a16:creationId xmlns:a16="http://schemas.microsoft.com/office/drawing/2014/main" id="{17328543-1581-48CD-8909-2C7C5DB37E2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6252" name="AutoShape 12">
          <a:extLst>
            <a:ext uri="{FF2B5EF4-FFF2-40B4-BE49-F238E27FC236}">
              <a16:creationId xmlns:a16="http://schemas.microsoft.com/office/drawing/2014/main" id="{E0A4B3A2-8EA0-4F8F-8E90-EA9C814DAAE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6253" name="AutoShape 12">
          <a:extLst>
            <a:ext uri="{FF2B5EF4-FFF2-40B4-BE49-F238E27FC236}">
              <a16:creationId xmlns:a16="http://schemas.microsoft.com/office/drawing/2014/main" id="{8205B6B4-5422-4021-887C-06F2E7990EC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6254" name="AutoShape 12">
          <a:extLst>
            <a:ext uri="{FF2B5EF4-FFF2-40B4-BE49-F238E27FC236}">
              <a16:creationId xmlns:a16="http://schemas.microsoft.com/office/drawing/2014/main" id="{D062E42B-59C7-4EBA-8E57-1B4C27049FB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6255" name="AutoShape 12">
          <a:extLst>
            <a:ext uri="{FF2B5EF4-FFF2-40B4-BE49-F238E27FC236}">
              <a16:creationId xmlns:a16="http://schemas.microsoft.com/office/drawing/2014/main" id="{CEA693C6-A944-4390-8B13-C2134053A6F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6256" name="AutoShape 12">
          <a:extLst>
            <a:ext uri="{FF2B5EF4-FFF2-40B4-BE49-F238E27FC236}">
              <a16:creationId xmlns:a16="http://schemas.microsoft.com/office/drawing/2014/main" id="{9FA091DF-583F-4665-8FFA-FA1450FD828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6257" name="AutoShape 12">
          <a:extLst>
            <a:ext uri="{FF2B5EF4-FFF2-40B4-BE49-F238E27FC236}">
              <a16:creationId xmlns:a16="http://schemas.microsoft.com/office/drawing/2014/main" id="{AF762852-A6EE-48F9-82F7-E9C42EDEB3D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6258" name="AutoShape 12">
          <a:extLst>
            <a:ext uri="{FF2B5EF4-FFF2-40B4-BE49-F238E27FC236}">
              <a16:creationId xmlns:a16="http://schemas.microsoft.com/office/drawing/2014/main" id="{A6EAE59E-734E-4C93-90D2-259A8CB94E9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6259" name="AutoShape 12">
          <a:extLst>
            <a:ext uri="{FF2B5EF4-FFF2-40B4-BE49-F238E27FC236}">
              <a16:creationId xmlns:a16="http://schemas.microsoft.com/office/drawing/2014/main" id="{D20A5004-319B-41D3-B226-CE4867263A2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6260" name="AutoShape 12">
          <a:extLst>
            <a:ext uri="{FF2B5EF4-FFF2-40B4-BE49-F238E27FC236}">
              <a16:creationId xmlns:a16="http://schemas.microsoft.com/office/drawing/2014/main" id="{0E0D8D86-3EAE-4A65-A1DA-B0938B4B736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6261" name="AutoShape 12">
          <a:extLst>
            <a:ext uri="{FF2B5EF4-FFF2-40B4-BE49-F238E27FC236}">
              <a16:creationId xmlns:a16="http://schemas.microsoft.com/office/drawing/2014/main" id="{7E0AC216-A59A-4297-80ED-85CF3E1C284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6262" name="AutoShape 12">
          <a:extLst>
            <a:ext uri="{FF2B5EF4-FFF2-40B4-BE49-F238E27FC236}">
              <a16:creationId xmlns:a16="http://schemas.microsoft.com/office/drawing/2014/main" id="{AB6B0669-02A0-405E-9593-36CF59AFABB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6263" name="AutoShape 12">
          <a:extLst>
            <a:ext uri="{FF2B5EF4-FFF2-40B4-BE49-F238E27FC236}">
              <a16:creationId xmlns:a16="http://schemas.microsoft.com/office/drawing/2014/main" id="{AD538081-8468-4CA6-97EA-6F5142FD3FE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6264" name="AutoShape 12">
          <a:extLst>
            <a:ext uri="{FF2B5EF4-FFF2-40B4-BE49-F238E27FC236}">
              <a16:creationId xmlns:a16="http://schemas.microsoft.com/office/drawing/2014/main" id="{DE8D8A7E-8374-43E4-91F7-BDF9CE37481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6265" name="AutoShape 12">
          <a:extLst>
            <a:ext uri="{FF2B5EF4-FFF2-40B4-BE49-F238E27FC236}">
              <a16:creationId xmlns:a16="http://schemas.microsoft.com/office/drawing/2014/main" id="{C5A4DB36-EE28-491C-A4C1-589A0CEB3EF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6266" name="AutoShape 12">
          <a:extLst>
            <a:ext uri="{FF2B5EF4-FFF2-40B4-BE49-F238E27FC236}">
              <a16:creationId xmlns:a16="http://schemas.microsoft.com/office/drawing/2014/main" id="{A5D3DF5A-15A8-4A82-8A5C-3308356016F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6267" name="AutoShape 12">
          <a:extLst>
            <a:ext uri="{FF2B5EF4-FFF2-40B4-BE49-F238E27FC236}">
              <a16:creationId xmlns:a16="http://schemas.microsoft.com/office/drawing/2014/main" id="{FD68A55F-4E15-4513-80EE-2018859DAA6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6268" name="AutoShape 12">
          <a:extLst>
            <a:ext uri="{FF2B5EF4-FFF2-40B4-BE49-F238E27FC236}">
              <a16:creationId xmlns:a16="http://schemas.microsoft.com/office/drawing/2014/main" id="{F74B445B-44F1-47DB-B1A0-1637A2DF258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6269" name="AutoShape 12">
          <a:extLst>
            <a:ext uri="{FF2B5EF4-FFF2-40B4-BE49-F238E27FC236}">
              <a16:creationId xmlns:a16="http://schemas.microsoft.com/office/drawing/2014/main" id="{7EA52B4C-501E-477D-9019-6330E805260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6270" name="AutoShape 12">
          <a:extLst>
            <a:ext uri="{FF2B5EF4-FFF2-40B4-BE49-F238E27FC236}">
              <a16:creationId xmlns:a16="http://schemas.microsoft.com/office/drawing/2014/main" id="{9838A0FF-2559-4DEE-8B31-4873E849F66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6271" name="AutoShape 12">
          <a:extLst>
            <a:ext uri="{FF2B5EF4-FFF2-40B4-BE49-F238E27FC236}">
              <a16:creationId xmlns:a16="http://schemas.microsoft.com/office/drawing/2014/main" id="{A9D8E66D-F1AF-4A4C-AE64-E19F406D418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6272" name="AutoShape 12">
          <a:extLst>
            <a:ext uri="{FF2B5EF4-FFF2-40B4-BE49-F238E27FC236}">
              <a16:creationId xmlns:a16="http://schemas.microsoft.com/office/drawing/2014/main" id="{0E10DAF4-65AE-4ED6-89D6-C192F460443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6273" name="AutoShape 12">
          <a:extLst>
            <a:ext uri="{FF2B5EF4-FFF2-40B4-BE49-F238E27FC236}">
              <a16:creationId xmlns:a16="http://schemas.microsoft.com/office/drawing/2014/main" id="{37295724-5593-4EF7-8914-0FA65432113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6274" name="AutoShape 12">
          <a:extLst>
            <a:ext uri="{FF2B5EF4-FFF2-40B4-BE49-F238E27FC236}">
              <a16:creationId xmlns:a16="http://schemas.microsoft.com/office/drawing/2014/main" id="{D41311C2-14F1-486D-A2BC-CB70A1F218A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722</xdr:row>
      <xdr:rowOff>0</xdr:rowOff>
    </xdr:from>
    <xdr:ext cx="304800" cy="304094"/>
    <xdr:sp macro="" textlink="">
      <xdr:nvSpPr>
        <xdr:cNvPr id="6275" name="AutoShape 12">
          <a:extLst>
            <a:ext uri="{FF2B5EF4-FFF2-40B4-BE49-F238E27FC236}">
              <a16:creationId xmlns:a16="http://schemas.microsoft.com/office/drawing/2014/main" id="{3606A156-F05F-419F-BBEA-C8BF09CB215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276" name="AutoShape 12">
          <a:extLst>
            <a:ext uri="{FF2B5EF4-FFF2-40B4-BE49-F238E27FC236}">
              <a16:creationId xmlns:a16="http://schemas.microsoft.com/office/drawing/2014/main" id="{A92251BD-964D-4D33-9FF0-1357E9B5F27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277" name="AutoShape 12">
          <a:extLst>
            <a:ext uri="{FF2B5EF4-FFF2-40B4-BE49-F238E27FC236}">
              <a16:creationId xmlns:a16="http://schemas.microsoft.com/office/drawing/2014/main" id="{957EA9CC-37E9-4FFB-83A9-42FD3030441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278" name="AutoShape 12">
          <a:extLst>
            <a:ext uri="{FF2B5EF4-FFF2-40B4-BE49-F238E27FC236}">
              <a16:creationId xmlns:a16="http://schemas.microsoft.com/office/drawing/2014/main" id="{85DE5FE9-E995-4081-A887-8E1F521DD66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279" name="AutoShape 12">
          <a:extLst>
            <a:ext uri="{FF2B5EF4-FFF2-40B4-BE49-F238E27FC236}">
              <a16:creationId xmlns:a16="http://schemas.microsoft.com/office/drawing/2014/main" id="{52A1629D-52BA-46D6-BBAC-EB263764094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280" name="AutoShape 12">
          <a:extLst>
            <a:ext uri="{FF2B5EF4-FFF2-40B4-BE49-F238E27FC236}">
              <a16:creationId xmlns:a16="http://schemas.microsoft.com/office/drawing/2014/main" id="{C1425603-799B-4D12-AE7B-548005FF124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281" name="AutoShape 12">
          <a:extLst>
            <a:ext uri="{FF2B5EF4-FFF2-40B4-BE49-F238E27FC236}">
              <a16:creationId xmlns:a16="http://schemas.microsoft.com/office/drawing/2014/main" id="{6C4DB4CA-C9DC-458D-B441-FDF0CAEFFC1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282" name="AutoShape 12">
          <a:extLst>
            <a:ext uri="{FF2B5EF4-FFF2-40B4-BE49-F238E27FC236}">
              <a16:creationId xmlns:a16="http://schemas.microsoft.com/office/drawing/2014/main" id="{0612A0D0-B3A2-4845-BF45-201C2FFFD57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283" name="AutoShape 12">
          <a:extLst>
            <a:ext uri="{FF2B5EF4-FFF2-40B4-BE49-F238E27FC236}">
              <a16:creationId xmlns:a16="http://schemas.microsoft.com/office/drawing/2014/main" id="{30BE0C0F-A780-4675-8B3E-7E0E2FBAB86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284" name="AutoShape 12">
          <a:extLst>
            <a:ext uri="{FF2B5EF4-FFF2-40B4-BE49-F238E27FC236}">
              <a16:creationId xmlns:a16="http://schemas.microsoft.com/office/drawing/2014/main" id="{B53228A2-9DCC-44C4-B8F1-82B65593F63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285" name="AutoShape 12">
          <a:extLst>
            <a:ext uri="{FF2B5EF4-FFF2-40B4-BE49-F238E27FC236}">
              <a16:creationId xmlns:a16="http://schemas.microsoft.com/office/drawing/2014/main" id="{3E4A95D7-C7C0-4D03-B812-B34B1236307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286" name="AutoShape 12">
          <a:extLst>
            <a:ext uri="{FF2B5EF4-FFF2-40B4-BE49-F238E27FC236}">
              <a16:creationId xmlns:a16="http://schemas.microsoft.com/office/drawing/2014/main" id="{0EEB3BB3-28EE-4E23-B3DA-555365C2B4E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287" name="AutoShape 12">
          <a:extLst>
            <a:ext uri="{FF2B5EF4-FFF2-40B4-BE49-F238E27FC236}">
              <a16:creationId xmlns:a16="http://schemas.microsoft.com/office/drawing/2014/main" id="{CEE7DE3E-3148-4917-AF9D-FFB012DD36A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288" name="AutoShape 12">
          <a:extLst>
            <a:ext uri="{FF2B5EF4-FFF2-40B4-BE49-F238E27FC236}">
              <a16:creationId xmlns:a16="http://schemas.microsoft.com/office/drawing/2014/main" id="{056FAB37-7359-44F1-A075-97461EEBC41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289" name="AutoShape 12">
          <a:extLst>
            <a:ext uri="{FF2B5EF4-FFF2-40B4-BE49-F238E27FC236}">
              <a16:creationId xmlns:a16="http://schemas.microsoft.com/office/drawing/2014/main" id="{47689A0D-CB46-4ABD-891A-61312D1ABD1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290" name="AutoShape 12">
          <a:extLst>
            <a:ext uri="{FF2B5EF4-FFF2-40B4-BE49-F238E27FC236}">
              <a16:creationId xmlns:a16="http://schemas.microsoft.com/office/drawing/2014/main" id="{851C1DCA-6F27-47D8-A053-5D26329E722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291" name="AutoShape 12">
          <a:extLst>
            <a:ext uri="{FF2B5EF4-FFF2-40B4-BE49-F238E27FC236}">
              <a16:creationId xmlns:a16="http://schemas.microsoft.com/office/drawing/2014/main" id="{1F998AAE-A9AA-42BA-8639-95DF9121B3E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292" name="AutoShape 12">
          <a:extLst>
            <a:ext uri="{FF2B5EF4-FFF2-40B4-BE49-F238E27FC236}">
              <a16:creationId xmlns:a16="http://schemas.microsoft.com/office/drawing/2014/main" id="{51D56028-C657-4FE8-BE40-5602824CCD5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293" name="AutoShape 12">
          <a:extLst>
            <a:ext uri="{FF2B5EF4-FFF2-40B4-BE49-F238E27FC236}">
              <a16:creationId xmlns:a16="http://schemas.microsoft.com/office/drawing/2014/main" id="{0A3981AF-52B1-4320-8838-598169E3942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294" name="AutoShape 12">
          <a:extLst>
            <a:ext uri="{FF2B5EF4-FFF2-40B4-BE49-F238E27FC236}">
              <a16:creationId xmlns:a16="http://schemas.microsoft.com/office/drawing/2014/main" id="{34F2D6EA-85E5-415F-AA56-857DA8C7ED2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295" name="AutoShape 12">
          <a:extLst>
            <a:ext uri="{FF2B5EF4-FFF2-40B4-BE49-F238E27FC236}">
              <a16:creationId xmlns:a16="http://schemas.microsoft.com/office/drawing/2014/main" id="{9504A37D-15E1-42B9-BE16-9D5C5813BB6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296" name="AutoShape 12">
          <a:extLst>
            <a:ext uri="{FF2B5EF4-FFF2-40B4-BE49-F238E27FC236}">
              <a16:creationId xmlns:a16="http://schemas.microsoft.com/office/drawing/2014/main" id="{F8FD736B-8802-46C2-858F-D031D021CB0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297" name="AutoShape 12">
          <a:extLst>
            <a:ext uri="{FF2B5EF4-FFF2-40B4-BE49-F238E27FC236}">
              <a16:creationId xmlns:a16="http://schemas.microsoft.com/office/drawing/2014/main" id="{4B286F82-2C6D-4A81-A556-F8563B492C3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298" name="AutoShape 12">
          <a:extLst>
            <a:ext uri="{FF2B5EF4-FFF2-40B4-BE49-F238E27FC236}">
              <a16:creationId xmlns:a16="http://schemas.microsoft.com/office/drawing/2014/main" id="{93FCE895-09D5-4DBF-8C0C-C330437CA64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299" name="AutoShape 12">
          <a:extLst>
            <a:ext uri="{FF2B5EF4-FFF2-40B4-BE49-F238E27FC236}">
              <a16:creationId xmlns:a16="http://schemas.microsoft.com/office/drawing/2014/main" id="{DC6BCB7A-9FC9-4816-B379-5003061F2F9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300" name="AutoShape 12">
          <a:extLst>
            <a:ext uri="{FF2B5EF4-FFF2-40B4-BE49-F238E27FC236}">
              <a16:creationId xmlns:a16="http://schemas.microsoft.com/office/drawing/2014/main" id="{89977633-6519-4C65-9CE5-3D9AF1BFDD5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301" name="AutoShape 12">
          <a:extLst>
            <a:ext uri="{FF2B5EF4-FFF2-40B4-BE49-F238E27FC236}">
              <a16:creationId xmlns:a16="http://schemas.microsoft.com/office/drawing/2014/main" id="{3E260CBD-54BE-450D-8D98-959E9002BEC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302" name="AutoShape 12">
          <a:extLst>
            <a:ext uri="{FF2B5EF4-FFF2-40B4-BE49-F238E27FC236}">
              <a16:creationId xmlns:a16="http://schemas.microsoft.com/office/drawing/2014/main" id="{CDB334B1-AD59-4146-83C3-6353EFFD9F6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303" name="AutoShape 12">
          <a:extLst>
            <a:ext uri="{FF2B5EF4-FFF2-40B4-BE49-F238E27FC236}">
              <a16:creationId xmlns:a16="http://schemas.microsoft.com/office/drawing/2014/main" id="{497199C9-1453-4B10-8E90-1301D542739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304" name="AutoShape 12">
          <a:extLst>
            <a:ext uri="{FF2B5EF4-FFF2-40B4-BE49-F238E27FC236}">
              <a16:creationId xmlns:a16="http://schemas.microsoft.com/office/drawing/2014/main" id="{337B6347-F1E8-4EF2-8534-588FDD98232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305" name="AutoShape 12">
          <a:extLst>
            <a:ext uri="{FF2B5EF4-FFF2-40B4-BE49-F238E27FC236}">
              <a16:creationId xmlns:a16="http://schemas.microsoft.com/office/drawing/2014/main" id="{4CCE1151-B895-4326-8599-4950CAEF4DC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306" name="AutoShape 12">
          <a:extLst>
            <a:ext uri="{FF2B5EF4-FFF2-40B4-BE49-F238E27FC236}">
              <a16:creationId xmlns:a16="http://schemas.microsoft.com/office/drawing/2014/main" id="{31538DF1-D391-4977-861C-80AE185226E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307" name="AutoShape 12">
          <a:extLst>
            <a:ext uri="{FF2B5EF4-FFF2-40B4-BE49-F238E27FC236}">
              <a16:creationId xmlns:a16="http://schemas.microsoft.com/office/drawing/2014/main" id="{2F71675B-7B6D-49B9-B590-932BCF3C383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308" name="AutoShape 12">
          <a:extLst>
            <a:ext uri="{FF2B5EF4-FFF2-40B4-BE49-F238E27FC236}">
              <a16:creationId xmlns:a16="http://schemas.microsoft.com/office/drawing/2014/main" id="{F9B4D7AE-3A31-48DC-8744-ACD98B12919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309" name="AutoShape 12">
          <a:extLst>
            <a:ext uri="{FF2B5EF4-FFF2-40B4-BE49-F238E27FC236}">
              <a16:creationId xmlns:a16="http://schemas.microsoft.com/office/drawing/2014/main" id="{80E10446-40B0-430D-9BB9-BB987C2A319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310" name="AutoShape 12">
          <a:extLst>
            <a:ext uri="{FF2B5EF4-FFF2-40B4-BE49-F238E27FC236}">
              <a16:creationId xmlns:a16="http://schemas.microsoft.com/office/drawing/2014/main" id="{FBE7449F-B96A-472A-AD94-584CAFB4465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311" name="AutoShape 12">
          <a:extLst>
            <a:ext uri="{FF2B5EF4-FFF2-40B4-BE49-F238E27FC236}">
              <a16:creationId xmlns:a16="http://schemas.microsoft.com/office/drawing/2014/main" id="{CBDA2F66-E1EF-4FD3-820A-54C5A85FE7E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312" name="AutoShape 12">
          <a:extLst>
            <a:ext uri="{FF2B5EF4-FFF2-40B4-BE49-F238E27FC236}">
              <a16:creationId xmlns:a16="http://schemas.microsoft.com/office/drawing/2014/main" id="{A8D7DFDD-F8A4-4FAF-ACB9-54DC3B0212D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313" name="AutoShape 12">
          <a:extLst>
            <a:ext uri="{FF2B5EF4-FFF2-40B4-BE49-F238E27FC236}">
              <a16:creationId xmlns:a16="http://schemas.microsoft.com/office/drawing/2014/main" id="{FFEF2BD5-64E4-40A2-8E8A-7F4DD99C8A2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314" name="AutoShape 12">
          <a:extLst>
            <a:ext uri="{FF2B5EF4-FFF2-40B4-BE49-F238E27FC236}">
              <a16:creationId xmlns:a16="http://schemas.microsoft.com/office/drawing/2014/main" id="{802A21C4-E9CE-46B8-B4F0-56DBC51E9CE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315" name="AutoShape 12">
          <a:extLst>
            <a:ext uri="{FF2B5EF4-FFF2-40B4-BE49-F238E27FC236}">
              <a16:creationId xmlns:a16="http://schemas.microsoft.com/office/drawing/2014/main" id="{C63754FD-A90C-4C54-87C1-FC80188BB0C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316" name="AutoShape 12">
          <a:extLst>
            <a:ext uri="{FF2B5EF4-FFF2-40B4-BE49-F238E27FC236}">
              <a16:creationId xmlns:a16="http://schemas.microsoft.com/office/drawing/2014/main" id="{6D1ACA91-F9D0-41AD-95E0-8ECF87BAEB4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317" name="AutoShape 12">
          <a:extLst>
            <a:ext uri="{FF2B5EF4-FFF2-40B4-BE49-F238E27FC236}">
              <a16:creationId xmlns:a16="http://schemas.microsoft.com/office/drawing/2014/main" id="{F397A7AD-C419-449A-BA26-32A5E85006F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318" name="AutoShape 12">
          <a:extLst>
            <a:ext uri="{FF2B5EF4-FFF2-40B4-BE49-F238E27FC236}">
              <a16:creationId xmlns:a16="http://schemas.microsoft.com/office/drawing/2014/main" id="{D7FD3C4A-7774-4A5F-B140-9962E46F8A8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319" name="AutoShape 12">
          <a:extLst>
            <a:ext uri="{FF2B5EF4-FFF2-40B4-BE49-F238E27FC236}">
              <a16:creationId xmlns:a16="http://schemas.microsoft.com/office/drawing/2014/main" id="{61F59CFA-8779-44B3-9922-A7CADF8CD78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320" name="AutoShape 12">
          <a:extLst>
            <a:ext uri="{FF2B5EF4-FFF2-40B4-BE49-F238E27FC236}">
              <a16:creationId xmlns:a16="http://schemas.microsoft.com/office/drawing/2014/main" id="{9AC1C80C-2BEA-46C8-9F29-A76F0B09956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321" name="AutoShape 12">
          <a:extLst>
            <a:ext uri="{FF2B5EF4-FFF2-40B4-BE49-F238E27FC236}">
              <a16:creationId xmlns:a16="http://schemas.microsoft.com/office/drawing/2014/main" id="{A8D84AE0-5F23-434E-8000-CDF8C8750CF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322" name="AutoShape 12">
          <a:extLst>
            <a:ext uri="{FF2B5EF4-FFF2-40B4-BE49-F238E27FC236}">
              <a16:creationId xmlns:a16="http://schemas.microsoft.com/office/drawing/2014/main" id="{2917F47E-745C-4936-9EDF-7E360D7F140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323" name="AutoShape 12">
          <a:extLst>
            <a:ext uri="{FF2B5EF4-FFF2-40B4-BE49-F238E27FC236}">
              <a16:creationId xmlns:a16="http://schemas.microsoft.com/office/drawing/2014/main" id="{BC07CF98-E1BD-45DB-A8F2-8C3416BE59F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324" name="AutoShape 12">
          <a:extLst>
            <a:ext uri="{FF2B5EF4-FFF2-40B4-BE49-F238E27FC236}">
              <a16:creationId xmlns:a16="http://schemas.microsoft.com/office/drawing/2014/main" id="{4569DFE4-4D94-4396-B5AA-BA98A951584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325" name="AutoShape 12">
          <a:extLst>
            <a:ext uri="{FF2B5EF4-FFF2-40B4-BE49-F238E27FC236}">
              <a16:creationId xmlns:a16="http://schemas.microsoft.com/office/drawing/2014/main" id="{980D5FB0-11A9-4E06-8CD1-DE6D3A7AD20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326" name="AutoShape 12">
          <a:extLst>
            <a:ext uri="{FF2B5EF4-FFF2-40B4-BE49-F238E27FC236}">
              <a16:creationId xmlns:a16="http://schemas.microsoft.com/office/drawing/2014/main" id="{3E3C0405-21E3-4BA1-981E-FFAE01C4616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327" name="AutoShape 12">
          <a:extLst>
            <a:ext uri="{FF2B5EF4-FFF2-40B4-BE49-F238E27FC236}">
              <a16:creationId xmlns:a16="http://schemas.microsoft.com/office/drawing/2014/main" id="{16D0F3AF-967E-473A-9171-A757BA32EF7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328" name="AutoShape 12">
          <a:extLst>
            <a:ext uri="{FF2B5EF4-FFF2-40B4-BE49-F238E27FC236}">
              <a16:creationId xmlns:a16="http://schemas.microsoft.com/office/drawing/2014/main" id="{7DE312DF-FCBF-49B5-95B7-B94B55377F8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329" name="AutoShape 12">
          <a:extLst>
            <a:ext uri="{FF2B5EF4-FFF2-40B4-BE49-F238E27FC236}">
              <a16:creationId xmlns:a16="http://schemas.microsoft.com/office/drawing/2014/main" id="{3A5E4977-9880-4632-AE1C-E0F16FEC502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330" name="AutoShape 12">
          <a:extLst>
            <a:ext uri="{FF2B5EF4-FFF2-40B4-BE49-F238E27FC236}">
              <a16:creationId xmlns:a16="http://schemas.microsoft.com/office/drawing/2014/main" id="{D76D2362-7182-439A-89AF-D8C56C1563D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331" name="AutoShape 12">
          <a:extLst>
            <a:ext uri="{FF2B5EF4-FFF2-40B4-BE49-F238E27FC236}">
              <a16:creationId xmlns:a16="http://schemas.microsoft.com/office/drawing/2014/main" id="{042C6425-A626-4BD4-B97E-2EF84524EF2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332" name="AutoShape 12">
          <a:extLst>
            <a:ext uri="{FF2B5EF4-FFF2-40B4-BE49-F238E27FC236}">
              <a16:creationId xmlns:a16="http://schemas.microsoft.com/office/drawing/2014/main" id="{11A9A3AC-ECD4-4432-A938-1A105BB7A5D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333" name="AutoShape 12">
          <a:extLst>
            <a:ext uri="{FF2B5EF4-FFF2-40B4-BE49-F238E27FC236}">
              <a16:creationId xmlns:a16="http://schemas.microsoft.com/office/drawing/2014/main" id="{D90F0795-9D3E-4450-B19E-8ED4350A34B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334" name="AutoShape 12">
          <a:extLst>
            <a:ext uri="{FF2B5EF4-FFF2-40B4-BE49-F238E27FC236}">
              <a16:creationId xmlns:a16="http://schemas.microsoft.com/office/drawing/2014/main" id="{9A118CF9-3289-445D-B523-92B34D3C18F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335" name="AutoShape 12">
          <a:extLst>
            <a:ext uri="{FF2B5EF4-FFF2-40B4-BE49-F238E27FC236}">
              <a16:creationId xmlns:a16="http://schemas.microsoft.com/office/drawing/2014/main" id="{C620FB38-4F2C-404B-821C-80A0A7AE003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336" name="AutoShape 12">
          <a:extLst>
            <a:ext uri="{FF2B5EF4-FFF2-40B4-BE49-F238E27FC236}">
              <a16:creationId xmlns:a16="http://schemas.microsoft.com/office/drawing/2014/main" id="{6717C6E4-E4E9-41BF-B9A3-D737D8F5D2E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337" name="AutoShape 12">
          <a:extLst>
            <a:ext uri="{FF2B5EF4-FFF2-40B4-BE49-F238E27FC236}">
              <a16:creationId xmlns:a16="http://schemas.microsoft.com/office/drawing/2014/main" id="{AA0AB9B8-29BE-4044-99E7-A9BAD6216F8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338" name="AutoShape 12">
          <a:extLst>
            <a:ext uri="{FF2B5EF4-FFF2-40B4-BE49-F238E27FC236}">
              <a16:creationId xmlns:a16="http://schemas.microsoft.com/office/drawing/2014/main" id="{033E1FC5-9A76-4326-9BE2-6F75E87F863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339" name="AutoShape 12">
          <a:extLst>
            <a:ext uri="{FF2B5EF4-FFF2-40B4-BE49-F238E27FC236}">
              <a16:creationId xmlns:a16="http://schemas.microsoft.com/office/drawing/2014/main" id="{032BB536-E802-4CA4-B9BB-A0CE3AEFECA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340" name="AutoShape 12">
          <a:extLst>
            <a:ext uri="{FF2B5EF4-FFF2-40B4-BE49-F238E27FC236}">
              <a16:creationId xmlns:a16="http://schemas.microsoft.com/office/drawing/2014/main" id="{4A935D5E-A4EB-4C0E-9E22-6D84BF0D46C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341" name="AutoShape 12">
          <a:extLst>
            <a:ext uri="{FF2B5EF4-FFF2-40B4-BE49-F238E27FC236}">
              <a16:creationId xmlns:a16="http://schemas.microsoft.com/office/drawing/2014/main" id="{AD59095E-3001-4DE8-ACE7-1219F9B025C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342" name="AutoShape 12">
          <a:extLst>
            <a:ext uri="{FF2B5EF4-FFF2-40B4-BE49-F238E27FC236}">
              <a16:creationId xmlns:a16="http://schemas.microsoft.com/office/drawing/2014/main" id="{48879C5B-6D72-4771-A8B9-435ED81F72A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343" name="AutoShape 12">
          <a:extLst>
            <a:ext uri="{FF2B5EF4-FFF2-40B4-BE49-F238E27FC236}">
              <a16:creationId xmlns:a16="http://schemas.microsoft.com/office/drawing/2014/main" id="{D007E560-F2C3-473E-829E-74DF2A99690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344" name="AutoShape 12">
          <a:extLst>
            <a:ext uri="{FF2B5EF4-FFF2-40B4-BE49-F238E27FC236}">
              <a16:creationId xmlns:a16="http://schemas.microsoft.com/office/drawing/2014/main" id="{45CB321F-C8AE-42CE-B5A1-D1CBE3B1541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345" name="AutoShape 12">
          <a:extLst>
            <a:ext uri="{FF2B5EF4-FFF2-40B4-BE49-F238E27FC236}">
              <a16:creationId xmlns:a16="http://schemas.microsoft.com/office/drawing/2014/main" id="{F8B9F3E1-E29A-4488-9174-2E382AF2A68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346" name="AutoShape 12">
          <a:extLst>
            <a:ext uri="{FF2B5EF4-FFF2-40B4-BE49-F238E27FC236}">
              <a16:creationId xmlns:a16="http://schemas.microsoft.com/office/drawing/2014/main" id="{BEEC3191-CF24-49C8-9137-77E3E4ABDE8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347" name="AutoShape 12">
          <a:extLst>
            <a:ext uri="{FF2B5EF4-FFF2-40B4-BE49-F238E27FC236}">
              <a16:creationId xmlns:a16="http://schemas.microsoft.com/office/drawing/2014/main" id="{235BBFDB-0371-467F-9236-8E6B4126869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348" name="AutoShape 12">
          <a:extLst>
            <a:ext uri="{FF2B5EF4-FFF2-40B4-BE49-F238E27FC236}">
              <a16:creationId xmlns:a16="http://schemas.microsoft.com/office/drawing/2014/main" id="{0D72C6A9-3A8B-4509-9747-D2FA1C5B20D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349" name="AutoShape 12">
          <a:extLst>
            <a:ext uri="{FF2B5EF4-FFF2-40B4-BE49-F238E27FC236}">
              <a16:creationId xmlns:a16="http://schemas.microsoft.com/office/drawing/2014/main" id="{84BA7F52-2D73-4935-B9CD-48C11A49E7F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350" name="AutoShape 12">
          <a:extLst>
            <a:ext uri="{FF2B5EF4-FFF2-40B4-BE49-F238E27FC236}">
              <a16:creationId xmlns:a16="http://schemas.microsoft.com/office/drawing/2014/main" id="{0192F571-DAF5-4B4F-9C9A-6842E5AFE57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351" name="AutoShape 12">
          <a:extLst>
            <a:ext uri="{FF2B5EF4-FFF2-40B4-BE49-F238E27FC236}">
              <a16:creationId xmlns:a16="http://schemas.microsoft.com/office/drawing/2014/main" id="{DC41B458-BBE2-4BFB-BD81-E213857C845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352" name="AutoShape 12">
          <a:extLst>
            <a:ext uri="{FF2B5EF4-FFF2-40B4-BE49-F238E27FC236}">
              <a16:creationId xmlns:a16="http://schemas.microsoft.com/office/drawing/2014/main" id="{10AF7346-D31A-434D-B741-685BAB82A3B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353" name="AutoShape 12">
          <a:extLst>
            <a:ext uri="{FF2B5EF4-FFF2-40B4-BE49-F238E27FC236}">
              <a16:creationId xmlns:a16="http://schemas.microsoft.com/office/drawing/2014/main" id="{24DE57D3-94FE-463F-8BE0-5DDC4F42B6E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354" name="AutoShape 12">
          <a:extLst>
            <a:ext uri="{FF2B5EF4-FFF2-40B4-BE49-F238E27FC236}">
              <a16:creationId xmlns:a16="http://schemas.microsoft.com/office/drawing/2014/main" id="{126B7A07-CE58-4606-B729-2C04BF843DA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355" name="AutoShape 12">
          <a:extLst>
            <a:ext uri="{FF2B5EF4-FFF2-40B4-BE49-F238E27FC236}">
              <a16:creationId xmlns:a16="http://schemas.microsoft.com/office/drawing/2014/main" id="{A3B67C65-63D8-4105-A451-3A59A899BD7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356" name="AutoShape 12">
          <a:extLst>
            <a:ext uri="{FF2B5EF4-FFF2-40B4-BE49-F238E27FC236}">
              <a16:creationId xmlns:a16="http://schemas.microsoft.com/office/drawing/2014/main" id="{5B1E0767-30B7-467B-974B-0E84628594E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357" name="AutoShape 12">
          <a:extLst>
            <a:ext uri="{FF2B5EF4-FFF2-40B4-BE49-F238E27FC236}">
              <a16:creationId xmlns:a16="http://schemas.microsoft.com/office/drawing/2014/main" id="{932320C8-5D5B-4912-AF6E-0080D00C9B0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358" name="AutoShape 12">
          <a:extLst>
            <a:ext uri="{FF2B5EF4-FFF2-40B4-BE49-F238E27FC236}">
              <a16:creationId xmlns:a16="http://schemas.microsoft.com/office/drawing/2014/main" id="{04F61A9F-6036-43CF-B3A2-3A3668B5845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359" name="AutoShape 12">
          <a:extLst>
            <a:ext uri="{FF2B5EF4-FFF2-40B4-BE49-F238E27FC236}">
              <a16:creationId xmlns:a16="http://schemas.microsoft.com/office/drawing/2014/main" id="{D70750CC-6316-43A0-9F2C-E5E092D008B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360" name="AutoShape 12">
          <a:extLst>
            <a:ext uri="{FF2B5EF4-FFF2-40B4-BE49-F238E27FC236}">
              <a16:creationId xmlns:a16="http://schemas.microsoft.com/office/drawing/2014/main" id="{34EA31B8-D109-4281-9273-BF0429DCC21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361" name="AutoShape 12">
          <a:extLst>
            <a:ext uri="{FF2B5EF4-FFF2-40B4-BE49-F238E27FC236}">
              <a16:creationId xmlns:a16="http://schemas.microsoft.com/office/drawing/2014/main" id="{F2E7E655-8245-4182-8FC2-A989F381481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362" name="AutoShape 12">
          <a:extLst>
            <a:ext uri="{FF2B5EF4-FFF2-40B4-BE49-F238E27FC236}">
              <a16:creationId xmlns:a16="http://schemas.microsoft.com/office/drawing/2014/main" id="{28AFB85E-EB2A-4D6D-938F-61EED3BFA5D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363" name="AutoShape 12">
          <a:extLst>
            <a:ext uri="{FF2B5EF4-FFF2-40B4-BE49-F238E27FC236}">
              <a16:creationId xmlns:a16="http://schemas.microsoft.com/office/drawing/2014/main" id="{1F1A9DFA-48F7-476B-B7C1-B4FF08375ED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364" name="AutoShape 12">
          <a:extLst>
            <a:ext uri="{FF2B5EF4-FFF2-40B4-BE49-F238E27FC236}">
              <a16:creationId xmlns:a16="http://schemas.microsoft.com/office/drawing/2014/main" id="{D4C766C9-86FB-4488-945B-7319888FF33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365" name="AutoShape 12">
          <a:extLst>
            <a:ext uri="{FF2B5EF4-FFF2-40B4-BE49-F238E27FC236}">
              <a16:creationId xmlns:a16="http://schemas.microsoft.com/office/drawing/2014/main" id="{B47FB4D4-61BB-4DDC-81D8-AD1969DBF35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366" name="AutoShape 12">
          <a:extLst>
            <a:ext uri="{FF2B5EF4-FFF2-40B4-BE49-F238E27FC236}">
              <a16:creationId xmlns:a16="http://schemas.microsoft.com/office/drawing/2014/main" id="{527D7CA1-4CA6-4BD1-9167-D720985FE4E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367" name="AutoShape 12">
          <a:extLst>
            <a:ext uri="{FF2B5EF4-FFF2-40B4-BE49-F238E27FC236}">
              <a16:creationId xmlns:a16="http://schemas.microsoft.com/office/drawing/2014/main" id="{481A9FC4-19F1-4CB4-9077-9FF976306FF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368" name="AutoShape 12">
          <a:extLst>
            <a:ext uri="{FF2B5EF4-FFF2-40B4-BE49-F238E27FC236}">
              <a16:creationId xmlns:a16="http://schemas.microsoft.com/office/drawing/2014/main" id="{9D169FD3-125D-4102-82E6-45D5978AD5C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369" name="AutoShape 12">
          <a:extLst>
            <a:ext uri="{FF2B5EF4-FFF2-40B4-BE49-F238E27FC236}">
              <a16:creationId xmlns:a16="http://schemas.microsoft.com/office/drawing/2014/main" id="{EEFCEA7F-ABC2-48CC-8BD5-30D056232CD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370" name="AutoShape 12">
          <a:extLst>
            <a:ext uri="{FF2B5EF4-FFF2-40B4-BE49-F238E27FC236}">
              <a16:creationId xmlns:a16="http://schemas.microsoft.com/office/drawing/2014/main" id="{A4CBD136-6316-4FB6-9A62-76E38DB8FB5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371" name="AutoShape 12">
          <a:extLst>
            <a:ext uri="{FF2B5EF4-FFF2-40B4-BE49-F238E27FC236}">
              <a16:creationId xmlns:a16="http://schemas.microsoft.com/office/drawing/2014/main" id="{E87EF77A-CA0B-41AE-974B-2CB224A87E8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372" name="AutoShape 12">
          <a:extLst>
            <a:ext uri="{FF2B5EF4-FFF2-40B4-BE49-F238E27FC236}">
              <a16:creationId xmlns:a16="http://schemas.microsoft.com/office/drawing/2014/main" id="{6494B33F-821E-4F57-A0AB-6A99596DCCD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373" name="AutoShape 12">
          <a:extLst>
            <a:ext uri="{FF2B5EF4-FFF2-40B4-BE49-F238E27FC236}">
              <a16:creationId xmlns:a16="http://schemas.microsoft.com/office/drawing/2014/main" id="{4555100A-B195-4B85-8670-0C89813456C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374" name="AutoShape 12">
          <a:extLst>
            <a:ext uri="{FF2B5EF4-FFF2-40B4-BE49-F238E27FC236}">
              <a16:creationId xmlns:a16="http://schemas.microsoft.com/office/drawing/2014/main" id="{E139C06A-6BB5-4BF3-A921-33153857FB1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375" name="AutoShape 12">
          <a:extLst>
            <a:ext uri="{FF2B5EF4-FFF2-40B4-BE49-F238E27FC236}">
              <a16:creationId xmlns:a16="http://schemas.microsoft.com/office/drawing/2014/main" id="{C5468A0C-115B-4D49-B023-EDB3E869DD8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376" name="AutoShape 12">
          <a:extLst>
            <a:ext uri="{FF2B5EF4-FFF2-40B4-BE49-F238E27FC236}">
              <a16:creationId xmlns:a16="http://schemas.microsoft.com/office/drawing/2014/main" id="{B079659B-C21E-4DEC-8193-B49FF30AB3E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377" name="AutoShape 12">
          <a:extLst>
            <a:ext uri="{FF2B5EF4-FFF2-40B4-BE49-F238E27FC236}">
              <a16:creationId xmlns:a16="http://schemas.microsoft.com/office/drawing/2014/main" id="{B772A439-985D-4142-9129-74F293748AB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378" name="AutoShape 12">
          <a:extLst>
            <a:ext uri="{FF2B5EF4-FFF2-40B4-BE49-F238E27FC236}">
              <a16:creationId xmlns:a16="http://schemas.microsoft.com/office/drawing/2014/main" id="{905F5B0D-0A4F-4A02-BDD5-F03EDA4E777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379" name="AutoShape 12">
          <a:extLst>
            <a:ext uri="{FF2B5EF4-FFF2-40B4-BE49-F238E27FC236}">
              <a16:creationId xmlns:a16="http://schemas.microsoft.com/office/drawing/2014/main" id="{FCC245D2-F646-4CAB-8D59-456592CDFEB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380" name="AutoShape 12">
          <a:extLst>
            <a:ext uri="{FF2B5EF4-FFF2-40B4-BE49-F238E27FC236}">
              <a16:creationId xmlns:a16="http://schemas.microsoft.com/office/drawing/2014/main" id="{2DF5A28B-E9CA-4BE7-BA9E-8A3C89F61A6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381" name="AutoShape 12">
          <a:extLst>
            <a:ext uri="{FF2B5EF4-FFF2-40B4-BE49-F238E27FC236}">
              <a16:creationId xmlns:a16="http://schemas.microsoft.com/office/drawing/2014/main" id="{1EAB7747-BE3C-4E91-BE90-63B1BBC1F5C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382" name="AutoShape 12">
          <a:extLst>
            <a:ext uri="{FF2B5EF4-FFF2-40B4-BE49-F238E27FC236}">
              <a16:creationId xmlns:a16="http://schemas.microsoft.com/office/drawing/2014/main" id="{E674491D-80C6-4D06-8291-1353BA7F73C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383" name="AutoShape 12">
          <a:extLst>
            <a:ext uri="{FF2B5EF4-FFF2-40B4-BE49-F238E27FC236}">
              <a16:creationId xmlns:a16="http://schemas.microsoft.com/office/drawing/2014/main" id="{1F995612-75DA-48D3-A1DC-F5DC5A9FB89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384" name="AutoShape 12">
          <a:extLst>
            <a:ext uri="{FF2B5EF4-FFF2-40B4-BE49-F238E27FC236}">
              <a16:creationId xmlns:a16="http://schemas.microsoft.com/office/drawing/2014/main" id="{B9707645-FB2D-4ECD-B3CD-0F918EC1973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385" name="AutoShape 12">
          <a:extLst>
            <a:ext uri="{FF2B5EF4-FFF2-40B4-BE49-F238E27FC236}">
              <a16:creationId xmlns:a16="http://schemas.microsoft.com/office/drawing/2014/main" id="{2D6E43B6-FF9B-4C07-80F4-625E803718B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386" name="AutoShape 12">
          <a:extLst>
            <a:ext uri="{FF2B5EF4-FFF2-40B4-BE49-F238E27FC236}">
              <a16:creationId xmlns:a16="http://schemas.microsoft.com/office/drawing/2014/main" id="{9CCB9CFA-B4B7-473A-A9ED-01FC8600414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387" name="AutoShape 12">
          <a:extLst>
            <a:ext uri="{FF2B5EF4-FFF2-40B4-BE49-F238E27FC236}">
              <a16:creationId xmlns:a16="http://schemas.microsoft.com/office/drawing/2014/main" id="{DDF35997-8E2E-4303-9EF5-AC23B16D98A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388" name="AutoShape 12">
          <a:extLst>
            <a:ext uri="{FF2B5EF4-FFF2-40B4-BE49-F238E27FC236}">
              <a16:creationId xmlns:a16="http://schemas.microsoft.com/office/drawing/2014/main" id="{E7B0DFEF-93C0-48DA-B888-66859FFCDF8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389" name="AutoShape 12">
          <a:extLst>
            <a:ext uri="{FF2B5EF4-FFF2-40B4-BE49-F238E27FC236}">
              <a16:creationId xmlns:a16="http://schemas.microsoft.com/office/drawing/2014/main" id="{7580AE76-FCD5-4AF3-BEF4-181D470B7A6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390" name="AutoShape 12">
          <a:extLst>
            <a:ext uri="{FF2B5EF4-FFF2-40B4-BE49-F238E27FC236}">
              <a16:creationId xmlns:a16="http://schemas.microsoft.com/office/drawing/2014/main" id="{A0398991-B28B-44F6-92B9-A002917B351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391" name="AutoShape 12">
          <a:extLst>
            <a:ext uri="{FF2B5EF4-FFF2-40B4-BE49-F238E27FC236}">
              <a16:creationId xmlns:a16="http://schemas.microsoft.com/office/drawing/2014/main" id="{ED41E22D-7A86-433A-9CC0-A5A68F38B8D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392" name="AutoShape 12">
          <a:extLst>
            <a:ext uri="{FF2B5EF4-FFF2-40B4-BE49-F238E27FC236}">
              <a16:creationId xmlns:a16="http://schemas.microsoft.com/office/drawing/2014/main" id="{1F2D5BDE-B830-4B06-BB7C-6AB00B6158D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393" name="AutoShape 12">
          <a:extLst>
            <a:ext uri="{FF2B5EF4-FFF2-40B4-BE49-F238E27FC236}">
              <a16:creationId xmlns:a16="http://schemas.microsoft.com/office/drawing/2014/main" id="{700E9BD1-0FF4-4BC7-BA8A-5D60D3046EB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394" name="AutoShape 12">
          <a:extLst>
            <a:ext uri="{FF2B5EF4-FFF2-40B4-BE49-F238E27FC236}">
              <a16:creationId xmlns:a16="http://schemas.microsoft.com/office/drawing/2014/main" id="{1761B180-13B2-485D-B73D-D2AAB139F2D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395" name="AutoShape 12">
          <a:extLst>
            <a:ext uri="{FF2B5EF4-FFF2-40B4-BE49-F238E27FC236}">
              <a16:creationId xmlns:a16="http://schemas.microsoft.com/office/drawing/2014/main" id="{0B403C00-ABC5-4652-878F-574A5C90444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396" name="AutoShape 12">
          <a:extLst>
            <a:ext uri="{FF2B5EF4-FFF2-40B4-BE49-F238E27FC236}">
              <a16:creationId xmlns:a16="http://schemas.microsoft.com/office/drawing/2014/main" id="{34ED9ED4-2DF1-4537-AA8C-059DCDE2C1F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397" name="AutoShape 12">
          <a:extLst>
            <a:ext uri="{FF2B5EF4-FFF2-40B4-BE49-F238E27FC236}">
              <a16:creationId xmlns:a16="http://schemas.microsoft.com/office/drawing/2014/main" id="{BCFB4169-A76F-4805-A316-187E70B8558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398" name="AutoShape 12">
          <a:extLst>
            <a:ext uri="{FF2B5EF4-FFF2-40B4-BE49-F238E27FC236}">
              <a16:creationId xmlns:a16="http://schemas.microsoft.com/office/drawing/2014/main" id="{79C58C1D-1CD2-4EC0-B5FB-B17DD0D279F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399" name="AutoShape 12">
          <a:extLst>
            <a:ext uri="{FF2B5EF4-FFF2-40B4-BE49-F238E27FC236}">
              <a16:creationId xmlns:a16="http://schemas.microsoft.com/office/drawing/2014/main" id="{9621E78B-6AAC-48DA-B2A3-86244B5DA8B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400" name="AutoShape 12">
          <a:extLst>
            <a:ext uri="{FF2B5EF4-FFF2-40B4-BE49-F238E27FC236}">
              <a16:creationId xmlns:a16="http://schemas.microsoft.com/office/drawing/2014/main" id="{7B85CAE2-06AF-42FA-A83C-DBCECD85852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401" name="AutoShape 12">
          <a:extLst>
            <a:ext uri="{FF2B5EF4-FFF2-40B4-BE49-F238E27FC236}">
              <a16:creationId xmlns:a16="http://schemas.microsoft.com/office/drawing/2014/main" id="{399167C9-9525-416B-BA6A-8616CDD6F40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402" name="AutoShape 12">
          <a:extLst>
            <a:ext uri="{FF2B5EF4-FFF2-40B4-BE49-F238E27FC236}">
              <a16:creationId xmlns:a16="http://schemas.microsoft.com/office/drawing/2014/main" id="{2D7A0CA7-1794-4D50-8A47-AA1BE98CDB1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403" name="AutoShape 12">
          <a:extLst>
            <a:ext uri="{FF2B5EF4-FFF2-40B4-BE49-F238E27FC236}">
              <a16:creationId xmlns:a16="http://schemas.microsoft.com/office/drawing/2014/main" id="{E0634E32-949E-4947-8977-6A3DC7280E3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404" name="AutoShape 12">
          <a:extLst>
            <a:ext uri="{FF2B5EF4-FFF2-40B4-BE49-F238E27FC236}">
              <a16:creationId xmlns:a16="http://schemas.microsoft.com/office/drawing/2014/main" id="{49D05BB6-A8A5-479C-8B7B-49531B67430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405" name="AutoShape 12">
          <a:extLst>
            <a:ext uri="{FF2B5EF4-FFF2-40B4-BE49-F238E27FC236}">
              <a16:creationId xmlns:a16="http://schemas.microsoft.com/office/drawing/2014/main" id="{901AC5B3-6BBA-46AE-BAA6-8CD8FF0F88E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406" name="AutoShape 12">
          <a:extLst>
            <a:ext uri="{FF2B5EF4-FFF2-40B4-BE49-F238E27FC236}">
              <a16:creationId xmlns:a16="http://schemas.microsoft.com/office/drawing/2014/main" id="{7C8CFDBE-7FEC-46C2-B6BE-26FC6003EFE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407" name="AutoShape 12">
          <a:extLst>
            <a:ext uri="{FF2B5EF4-FFF2-40B4-BE49-F238E27FC236}">
              <a16:creationId xmlns:a16="http://schemas.microsoft.com/office/drawing/2014/main" id="{174D31BE-9A57-46AA-BAAB-AFCF5AF7AB3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408" name="AutoShape 12">
          <a:extLst>
            <a:ext uri="{FF2B5EF4-FFF2-40B4-BE49-F238E27FC236}">
              <a16:creationId xmlns:a16="http://schemas.microsoft.com/office/drawing/2014/main" id="{B60A1EDC-F0F6-4176-813B-EB5BA901AE4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409" name="AutoShape 12">
          <a:extLst>
            <a:ext uri="{FF2B5EF4-FFF2-40B4-BE49-F238E27FC236}">
              <a16:creationId xmlns:a16="http://schemas.microsoft.com/office/drawing/2014/main" id="{0EA84040-D052-4096-AA04-1D989FBB236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410" name="AutoShape 12">
          <a:extLst>
            <a:ext uri="{FF2B5EF4-FFF2-40B4-BE49-F238E27FC236}">
              <a16:creationId xmlns:a16="http://schemas.microsoft.com/office/drawing/2014/main" id="{517432C3-6425-4D6C-AF8B-BA7BFE4BE16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411" name="AutoShape 12">
          <a:extLst>
            <a:ext uri="{FF2B5EF4-FFF2-40B4-BE49-F238E27FC236}">
              <a16:creationId xmlns:a16="http://schemas.microsoft.com/office/drawing/2014/main" id="{D803AE4E-FA25-42FF-B0F4-F5BBC92DD62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412" name="AutoShape 12">
          <a:extLst>
            <a:ext uri="{FF2B5EF4-FFF2-40B4-BE49-F238E27FC236}">
              <a16:creationId xmlns:a16="http://schemas.microsoft.com/office/drawing/2014/main" id="{D797D61B-10A9-490B-952E-475D77E45CE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413" name="AutoShape 12">
          <a:extLst>
            <a:ext uri="{FF2B5EF4-FFF2-40B4-BE49-F238E27FC236}">
              <a16:creationId xmlns:a16="http://schemas.microsoft.com/office/drawing/2014/main" id="{3158531B-D189-49B1-BFDE-9C575ADD1AA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414" name="AutoShape 12">
          <a:extLst>
            <a:ext uri="{FF2B5EF4-FFF2-40B4-BE49-F238E27FC236}">
              <a16:creationId xmlns:a16="http://schemas.microsoft.com/office/drawing/2014/main" id="{9091E403-D07B-4924-9099-3CAE9545F8F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415" name="AutoShape 12">
          <a:extLst>
            <a:ext uri="{FF2B5EF4-FFF2-40B4-BE49-F238E27FC236}">
              <a16:creationId xmlns:a16="http://schemas.microsoft.com/office/drawing/2014/main" id="{49AE2B8F-F330-427D-96ED-9922D4A2A59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416" name="AutoShape 12">
          <a:extLst>
            <a:ext uri="{FF2B5EF4-FFF2-40B4-BE49-F238E27FC236}">
              <a16:creationId xmlns:a16="http://schemas.microsoft.com/office/drawing/2014/main" id="{1027BB94-CB13-46E6-B00A-422F025E61A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417" name="AutoShape 12">
          <a:extLst>
            <a:ext uri="{FF2B5EF4-FFF2-40B4-BE49-F238E27FC236}">
              <a16:creationId xmlns:a16="http://schemas.microsoft.com/office/drawing/2014/main" id="{7FA61190-BB62-4254-969F-9B332AA6F49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418" name="AutoShape 12">
          <a:extLst>
            <a:ext uri="{FF2B5EF4-FFF2-40B4-BE49-F238E27FC236}">
              <a16:creationId xmlns:a16="http://schemas.microsoft.com/office/drawing/2014/main" id="{84D4B13E-10E1-423E-BD4A-6281973F96C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419" name="AutoShape 12">
          <a:extLst>
            <a:ext uri="{FF2B5EF4-FFF2-40B4-BE49-F238E27FC236}">
              <a16:creationId xmlns:a16="http://schemas.microsoft.com/office/drawing/2014/main" id="{55CF3808-FC2E-41AC-8F61-200C03378B2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420" name="AutoShape 12">
          <a:extLst>
            <a:ext uri="{FF2B5EF4-FFF2-40B4-BE49-F238E27FC236}">
              <a16:creationId xmlns:a16="http://schemas.microsoft.com/office/drawing/2014/main" id="{1AA4AA16-310E-4CE5-AAAE-E1040DADF23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421" name="AutoShape 12">
          <a:extLst>
            <a:ext uri="{FF2B5EF4-FFF2-40B4-BE49-F238E27FC236}">
              <a16:creationId xmlns:a16="http://schemas.microsoft.com/office/drawing/2014/main" id="{F675A76B-6220-4D04-9C2F-4D61BB398A7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422" name="AutoShape 12">
          <a:extLst>
            <a:ext uri="{FF2B5EF4-FFF2-40B4-BE49-F238E27FC236}">
              <a16:creationId xmlns:a16="http://schemas.microsoft.com/office/drawing/2014/main" id="{2838A56E-61E8-4AF8-A475-D727B38AECD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423" name="AutoShape 12">
          <a:extLst>
            <a:ext uri="{FF2B5EF4-FFF2-40B4-BE49-F238E27FC236}">
              <a16:creationId xmlns:a16="http://schemas.microsoft.com/office/drawing/2014/main" id="{E2D8B82E-076E-49A3-81A1-90C54696B61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424" name="AutoShape 12">
          <a:extLst>
            <a:ext uri="{FF2B5EF4-FFF2-40B4-BE49-F238E27FC236}">
              <a16:creationId xmlns:a16="http://schemas.microsoft.com/office/drawing/2014/main" id="{1D85DB7B-7255-44A1-9121-E655FEEE4D7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425" name="AutoShape 12">
          <a:extLst>
            <a:ext uri="{FF2B5EF4-FFF2-40B4-BE49-F238E27FC236}">
              <a16:creationId xmlns:a16="http://schemas.microsoft.com/office/drawing/2014/main" id="{B2A19036-B7AD-4F0D-9F5E-26C45089BC1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426" name="AutoShape 12">
          <a:extLst>
            <a:ext uri="{FF2B5EF4-FFF2-40B4-BE49-F238E27FC236}">
              <a16:creationId xmlns:a16="http://schemas.microsoft.com/office/drawing/2014/main" id="{0A9718F9-ADD0-401C-90E9-780D9F565C7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427" name="AutoShape 12">
          <a:extLst>
            <a:ext uri="{FF2B5EF4-FFF2-40B4-BE49-F238E27FC236}">
              <a16:creationId xmlns:a16="http://schemas.microsoft.com/office/drawing/2014/main" id="{D114786C-FCD8-4288-9675-20841F914C3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428" name="AutoShape 12">
          <a:extLst>
            <a:ext uri="{FF2B5EF4-FFF2-40B4-BE49-F238E27FC236}">
              <a16:creationId xmlns:a16="http://schemas.microsoft.com/office/drawing/2014/main" id="{0921AF08-8D3E-4D65-8237-6AC34E693C1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429" name="AutoShape 12">
          <a:extLst>
            <a:ext uri="{FF2B5EF4-FFF2-40B4-BE49-F238E27FC236}">
              <a16:creationId xmlns:a16="http://schemas.microsoft.com/office/drawing/2014/main" id="{91939E53-BE71-43D7-95AB-D10A96F43BC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430" name="AutoShape 12">
          <a:extLst>
            <a:ext uri="{FF2B5EF4-FFF2-40B4-BE49-F238E27FC236}">
              <a16:creationId xmlns:a16="http://schemas.microsoft.com/office/drawing/2014/main" id="{60BB855D-0EE2-4B81-BA34-33DFE96C0FA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431" name="AutoShape 12">
          <a:extLst>
            <a:ext uri="{FF2B5EF4-FFF2-40B4-BE49-F238E27FC236}">
              <a16:creationId xmlns:a16="http://schemas.microsoft.com/office/drawing/2014/main" id="{AF01EE65-1D8D-41BF-9BB0-CBE256060E9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432" name="AutoShape 12">
          <a:extLst>
            <a:ext uri="{FF2B5EF4-FFF2-40B4-BE49-F238E27FC236}">
              <a16:creationId xmlns:a16="http://schemas.microsoft.com/office/drawing/2014/main" id="{7DEAC4D0-7EF3-4733-8DF6-EC8C2AA801C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433" name="AutoShape 12">
          <a:extLst>
            <a:ext uri="{FF2B5EF4-FFF2-40B4-BE49-F238E27FC236}">
              <a16:creationId xmlns:a16="http://schemas.microsoft.com/office/drawing/2014/main" id="{28D08898-CC56-47C4-A24B-F5E685F28EE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434" name="AutoShape 12">
          <a:extLst>
            <a:ext uri="{FF2B5EF4-FFF2-40B4-BE49-F238E27FC236}">
              <a16:creationId xmlns:a16="http://schemas.microsoft.com/office/drawing/2014/main" id="{5281DFDD-58E3-42FB-A703-D4BEDDB1699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435" name="AutoShape 12">
          <a:extLst>
            <a:ext uri="{FF2B5EF4-FFF2-40B4-BE49-F238E27FC236}">
              <a16:creationId xmlns:a16="http://schemas.microsoft.com/office/drawing/2014/main" id="{2AB5AD0F-15C6-4043-BE5D-3E89BA39854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436" name="AutoShape 12">
          <a:extLst>
            <a:ext uri="{FF2B5EF4-FFF2-40B4-BE49-F238E27FC236}">
              <a16:creationId xmlns:a16="http://schemas.microsoft.com/office/drawing/2014/main" id="{6F183217-D3D5-46D1-A7B2-CCAB4C15462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437" name="AutoShape 12">
          <a:extLst>
            <a:ext uri="{FF2B5EF4-FFF2-40B4-BE49-F238E27FC236}">
              <a16:creationId xmlns:a16="http://schemas.microsoft.com/office/drawing/2014/main" id="{024E0084-1785-4B6A-8DB1-2FF22F9B935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438" name="AutoShape 12">
          <a:extLst>
            <a:ext uri="{FF2B5EF4-FFF2-40B4-BE49-F238E27FC236}">
              <a16:creationId xmlns:a16="http://schemas.microsoft.com/office/drawing/2014/main" id="{7DCB2949-AD5C-484B-B41F-193D0BC557E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439" name="AutoShape 12">
          <a:extLst>
            <a:ext uri="{FF2B5EF4-FFF2-40B4-BE49-F238E27FC236}">
              <a16:creationId xmlns:a16="http://schemas.microsoft.com/office/drawing/2014/main" id="{726F25C0-38D9-4596-9DC7-65F42BC2F02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440" name="AutoShape 12">
          <a:extLst>
            <a:ext uri="{FF2B5EF4-FFF2-40B4-BE49-F238E27FC236}">
              <a16:creationId xmlns:a16="http://schemas.microsoft.com/office/drawing/2014/main" id="{AA0D9640-7567-41B4-AC22-74A45A8308D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441" name="AutoShape 12">
          <a:extLst>
            <a:ext uri="{FF2B5EF4-FFF2-40B4-BE49-F238E27FC236}">
              <a16:creationId xmlns:a16="http://schemas.microsoft.com/office/drawing/2014/main" id="{DC485BDA-ED0F-4F07-97C5-4591442FBD0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442" name="AutoShape 12">
          <a:extLst>
            <a:ext uri="{FF2B5EF4-FFF2-40B4-BE49-F238E27FC236}">
              <a16:creationId xmlns:a16="http://schemas.microsoft.com/office/drawing/2014/main" id="{7A4A00CA-F1C1-4A77-B683-82B68EEA3CB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443" name="AutoShape 12">
          <a:extLst>
            <a:ext uri="{FF2B5EF4-FFF2-40B4-BE49-F238E27FC236}">
              <a16:creationId xmlns:a16="http://schemas.microsoft.com/office/drawing/2014/main" id="{F9AFECE2-63A2-4F64-9334-B13AD319A3E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444" name="AutoShape 12">
          <a:extLst>
            <a:ext uri="{FF2B5EF4-FFF2-40B4-BE49-F238E27FC236}">
              <a16:creationId xmlns:a16="http://schemas.microsoft.com/office/drawing/2014/main" id="{74077F7B-0849-491B-A760-E942108732D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445" name="AutoShape 12">
          <a:extLst>
            <a:ext uri="{FF2B5EF4-FFF2-40B4-BE49-F238E27FC236}">
              <a16:creationId xmlns:a16="http://schemas.microsoft.com/office/drawing/2014/main" id="{E55FD3E4-F620-4B42-87F4-70DA80F3F69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446" name="AutoShape 12">
          <a:extLst>
            <a:ext uri="{FF2B5EF4-FFF2-40B4-BE49-F238E27FC236}">
              <a16:creationId xmlns:a16="http://schemas.microsoft.com/office/drawing/2014/main" id="{380FA370-9646-470A-91B1-19460B8420E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447" name="AutoShape 12">
          <a:extLst>
            <a:ext uri="{FF2B5EF4-FFF2-40B4-BE49-F238E27FC236}">
              <a16:creationId xmlns:a16="http://schemas.microsoft.com/office/drawing/2014/main" id="{D0386C2F-E020-46C8-A75F-BD3A8F99B33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448" name="AutoShape 12">
          <a:extLst>
            <a:ext uri="{FF2B5EF4-FFF2-40B4-BE49-F238E27FC236}">
              <a16:creationId xmlns:a16="http://schemas.microsoft.com/office/drawing/2014/main" id="{111C5046-8505-4684-B4CF-489CA1904B4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449" name="AutoShape 12">
          <a:extLst>
            <a:ext uri="{FF2B5EF4-FFF2-40B4-BE49-F238E27FC236}">
              <a16:creationId xmlns:a16="http://schemas.microsoft.com/office/drawing/2014/main" id="{692899B0-1A51-4C68-A0C8-46C12EE0513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450" name="AutoShape 12">
          <a:extLst>
            <a:ext uri="{FF2B5EF4-FFF2-40B4-BE49-F238E27FC236}">
              <a16:creationId xmlns:a16="http://schemas.microsoft.com/office/drawing/2014/main" id="{6F9DE074-351D-4A95-B660-39EDBF28C52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451" name="AutoShape 12">
          <a:extLst>
            <a:ext uri="{FF2B5EF4-FFF2-40B4-BE49-F238E27FC236}">
              <a16:creationId xmlns:a16="http://schemas.microsoft.com/office/drawing/2014/main" id="{896EF874-48F5-4D5A-90E1-67F2E29C2C4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452" name="AutoShape 12">
          <a:extLst>
            <a:ext uri="{FF2B5EF4-FFF2-40B4-BE49-F238E27FC236}">
              <a16:creationId xmlns:a16="http://schemas.microsoft.com/office/drawing/2014/main" id="{B7A8D5FB-B066-4A51-8C42-853722486A8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453" name="AutoShape 12">
          <a:extLst>
            <a:ext uri="{FF2B5EF4-FFF2-40B4-BE49-F238E27FC236}">
              <a16:creationId xmlns:a16="http://schemas.microsoft.com/office/drawing/2014/main" id="{16C2B564-36DB-49F8-A526-932D97A38A0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454" name="AutoShape 12">
          <a:extLst>
            <a:ext uri="{FF2B5EF4-FFF2-40B4-BE49-F238E27FC236}">
              <a16:creationId xmlns:a16="http://schemas.microsoft.com/office/drawing/2014/main" id="{0A6CC3BE-7F4F-447E-9FA8-DF307566F15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455" name="AutoShape 12">
          <a:extLst>
            <a:ext uri="{FF2B5EF4-FFF2-40B4-BE49-F238E27FC236}">
              <a16:creationId xmlns:a16="http://schemas.microsoft.com/office/drawing/2014/main" id="{271F49E7-8A62-4971-AAF3-3FA57F1FD2C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456" name="AutoShape 12">
          <a:extLst>
            <a:ext uri="{FF2B5EF4-FFF2-40B4-BE49-F238E27FC236}">
              <a16:creationId xmlns:a16="http://schemas.microsoft.com/office/drawing/2014/main" id="{E2A03E6E-D90A-484B-BA36-A88861DAF3E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457" name="AutoShape 12">
          <a:extLst>
            <a:ext uri="{FF2B5EF4-FFF2-40B4-BE49-F238E27FC236}">
              <a16:creationId xmlns:a16="http://schemas.microsoft.com/office/drawing/2014/main" id="{B26DF2FA-3F40-4A42-AA96-BF9A4623B88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458" name="AutoShape 12">
          <a:extLst>
            <a:ext uri="{FF2B5EF4-FFF2-40B4-BE49-F238E27FC236}">
              <a16:creationId xmlns:a16="http://schemas.microsoft.com/office/drawing/2014/main" id="{F039FA0D-819A-4D14-8525-7908F3384DF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459" name="AutoShape 12">
          <a:extLst>
            <a:ext uri="{FF2B5EF4-FFF2-40B4-BE49-F238E27FC236}">
              <a16:creationId xmlns:a16="http://schemas.microsoft.com/office/drawing/2014/main" id="{CA372F70-1B2C-4A17-9434-67FAB2852A8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460" name="AutoShape 12">
          <a:extLst>
            <a:ext uri="{FF2B5EF4-FFF2-40B4-BE49-F238E27FC236}">
              <a16:creationId xmlns:a16="http://schemas.microsoft.com/office/drawing/2014/main" id="{2CE2246B-8201-4E99-9B6B-2D7674358A7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461" name="AutoShape 12">
          <a:extLst>
            <a:ext uri="{FF2B5EF4-FFF2-40B4-BE49-F238E27FC236}">
              <a16:creationId xmlns:a16="http://schemas.microsoft.com/office/drawing/2014/main" id="{59BDCAE5-1F09-4ADA-B782-F7FBCADAA7C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462" name="AutoShape 12">
          <a:extLst>
            <a:ext uri="{FF2B5EF4-FFF2-40B4-BE49-F238E27FC236}">
              <a16:creationId xmlns:a16="http://schemas.microsoft.com/office/drawing/2014/main" id="{83003293-FFAF-4996-812E-1D724D111D0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463" name="AutoShape 12">
          <a:extLst>
            <a:ext uri="{FF2B5EF4-FFF2-40B4-BE49-F238E27FC236}">
              <a16:creationId xmlns:a16="http://schemas.microsoft.com/office/drawing/2014/main" id="{900FE09F-BDD1-4ABF-A3A2-4EA2AA9A777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464" name="AutoShape 12">
          <a:extLst>
            <a:ext uri="{FF2B5EF4-FFF2-40B4-BE49-F238E27FC236}">
              <a16:creationId xmlns:a16="http://schemas.microsoft.com/office/drawing/2014/main" id="{D0CF9CCA-5132-4192-A143-56432529531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465" name="AutoShape 12">
          <a:extLst>
            <a:ext uri="{FF2B5EF4-FFF2-40B4-BE49-F238E27FC236}">
              <a16:creationId xmlns:a16="http://schemas.microsoft.com/office/drawing/2014/main" id="{5D76C4A1-8B3E-4941-B05A-1B4CD5CC2EA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466" name="AutoShape 12">
          <a:extLst>
            <a:ext uri="{FF2B5EF4-FFF2-40B4-BE49-F238E27FC236}">
              <a16:creationId xmlns:a16="http://schemas.microsoft.com/office/drawing/2014/main" id="{87FEE246-0B44-4A70-844E-276D96B374F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467" name="AutoShape 12">
          <a:extLst>
            <a:ext uri="{FF2B5EF4-FFF2-40B4-BE49-F238E27FC236}">
              <a16:creationId xmlns:a16="http://schemas.microsoft.com/office/drawing/2014/main" id="{4BB58D39-1738-4239-9691-4E775ABC4D6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468" name="AutoShape 12">
          <a:extLst>
            <a:ext uri="{FF2B5EF4-FFF2-40B4-BE49-F238E27FC236}">
              <a16:creationId xmlns:a16="http://schemas.microsoft.com/office/drawing/2014/main" id="{27ABB6E0-7FE5-4482-82C2-9CAD9195AF4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469" name="AutoShape 12">
          <a:extLst>
            <a:ext uri="{FF2B5EF4-FFF2-40B4-BE49-F238E27FC236}">
              <a16:creationId xmlns:a16="http://schemas.microsoft.com/office/drawing/2014/main" id="{41095133-514D-45F2-983B-99C05EFD2B7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470" name="AutoShape 12">
          <a:extLst>
            <a:ext uri="{FF2B5EF4-FFF2-40B4-BE49-F238E27FC236}">
              <a16:creationId xmlns:a16="http://schemas.microsoft.com/office/drawing/2014/main" id="{7C2FF00A-1653-4CC2-974B-1D0519E163F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471" name="AutoShape 12">
          <a:extLst>
            <a:ext uri="{FF2B5EF4-FFF2-40B4-BE49-F238E27FC236}">
              <a16:creationId xmlns:a16="http://schemas.microsoft.com/office/drawing/2014/main" id="{C1761459-8B5E-4574-A5EC-06491F2D537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472" name="AutoShape 12">
          <a:extLst>
            <a:ext uri="{FF2B5EF4-FFF2-40B4-BE49-F238E27FC236}">
              <a16:creationId xmlns:a16="http://schemas.microsoft.com/office/drawing/2014/main" id="{7A1C8B40-AC5E-4FAE-BFC9-B039CE0AF4D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473" name="AutoShape 12">
          <a:extLst>
            <a:ext uri="{FF2B5EF4-FFF2-40B4-BE49-F238E27FC236}">
              <a16:creationId xmlns:a16="http://schemas.microsoft.com/office/drawing/2014/main" id="{44A692A0-DC06-4577-8ADF-389B943B55C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474" name="AutoShape 12">
          <a:extLst>
            <a:ext uri="{FF2B5EF4-FFF2-40B4-BE49-F238E27FC236}">
              <a16:creationId xmlns:a16="http://schemas.microsoft.com/office/drawing/2014/main" id="{BDDFC443-F3B9-4177-BB0D-510817F1C13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475" name="AutoShape 12">
          <a:extLst>
            <a:ext uri="{FF2B5EF4-FFF2-40B4-BE49-F238E27FC236}">
              <a16:creationId xmlns:a16="http://schemas.microsoft.com/office/drawing/2014/main" id="{9DEF1BE9-47F4-49F5-9957-77AF5E2D1F8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476" name="AutoShape 12">
          <a:extLst>
            <a:ext uri="{FF2B5EF4-FFF2-40B4-BE49-F238E27FC236}">
              <a16:creationId xmlns:a16="http://schemas.microsoft.com/office/drawing/2014/main" id="{2505790A-4F6F-4E8C-B315-14D5D348989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477" name="AutoShape 12">
          <a:extLst>
            <a:ext uri="{FF2B5EF4-FFF2-40B4-BE49-F238E27FC236}">
              <a16:creationId xmlns:a16="http://schemas.microsoft.com/office/drawing/2014/main" id="{881B4617-0309-4B84-A1C7-D5BBDE458A8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478" name="AutoShape 12">
          <a:extLst>
            <a:ext uri="{FF2B5EF4-FFF2-40B4-BE49-F238E27FC236}">
              <a16:creationId xmlns:a16="http://schemas.microsoft.com/office/drawing/2014/main" id="{CB82B219-E49C-4DD4-A0E0-744E2435081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479" name="AutoShape 12">
          <a:extLst>
            <a:ext uri="{FF2B5EF4-FFF2-40B4-BE49-F238E27FC236}">
              <a16:creationId xmlns:a16="http://schemas.microsoft.com/office/drawing/2014/main" id="{2022E3A4-02ED-4950-ACE5-D3A839D753E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480" name="AutoShape 12">
          <a:extLst>
            <a:ext uri="{FF2B5EF4-FFF2-40B4-BE49-F238E27FC236}">
              <a16:creationId xmlns:a16="http://schemas.microsoft.com/office/drawing/2014/main" id="{A5687EC4-9D55-4A71-9A24-88B88988BC2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481" name="AutoShape 12">
          <a:extLst>
            <a:ext uri="{FF2B5EF4-FFF2-40B4-BE49-F238E27FC236}">
              <a16:creationId xmlns:a16="http://schemas.microsoft.com/office/drawing/2014/main" id="{480D416C-1922-4972-B542-8E3C2FE6473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482" name="AutoShape 12">
          <a:extLst>
            <a:ext uri="{FF2B5EF4-FFF2-40B4-BE49-F238E27FC236}">
              <a16:creationId xmlns:a16="http://schemas.microsoft.com/office/drawing/2014/main" id="{B2E3A7D0-85AA-4102-9F0F-9A029734A44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483" name="AutoShape 12">
          <a:extLst>
            <a:ext uri="{FF2B5EF4-FFF2-40B4-BE49-F238E27FC236}">
              <a16:creationId xmlns:a16="http://schemas.microsoft.com/office/drawing/2014/main" id="{ECB151D9-6ADD-468D-B092-B968B0C1655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484" name="AutoShape 12">
          <a:extLst>
            <a:ext uri="{FF2B5EF4-FFF2-40B4-BE49-F238E27FC236}">
              <a16:creationId xmlns:a16="http://schemas.microsoft.com/office/drawing/2014/main" id="{C927DC48-6DDA-401B-B6FA-370A3EC0A62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485" name="AutoShape 12">
          <a:extLst>
            <a:ext uri="{FF2B5EF4-FFF2-40B4-BE49-F238E27FC236}">
              <a16:creationId xmlns:a16="http://schemas.microsoft.com/office/drawing/2014/main" id="{55122008-01AA-4B5B-A6F6-CC4F9A582B1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486" name="AutoShape 12">
          <a:extLst>
            <a:ext uri="{FF2B5EF4-FFF2-40B4-BE49-F238E27FC236}">
              <a16:creationId xmlns:a16="http://schemas.microsoft.com/office/drawing/2014/main" id="{4D853A02-FC64-4F35-BB00-28F693925CC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487" name="AutoShape 12">
          <a:extLst>
            <a:ext uri="{FF2B5EF4-FFF2-40B4-BE49-F238E27FC236}">
              <a16:creationId xmlns:a16="http://schemas.microsoft.com/office/drawing/2014/main" id="{C5F93EDD-8F35-4D1F-9D40-720975272D0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488" name="AutoShape 12">
          <a:extLst>
            <a:ext uri="{FF2B5EF4-FFF2-40B4-BE49-F238E27FC236}">
              <a16:creationId xmlns:a16="http://schemas.microsoft.com/office/drawing/2014/main" id="{899950DB-334C-4977-A6D9-F18CABC5140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489" name="AutoShape 12">
          <a:extLst>
            <a:ext uri="{FF2B5EF4-FFF2-40B4-BE49-F238E27FC236}">
              <a16:creationId xmlns:a16="http://schemas.microsoft.com/office/drawing/2014/main" id="{61CFB9ED-CE73-4EEC-B98B-1C77C6ABC47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490" name="AutoShape 12">
          <a:extLst>
            <a:ext uri="{FF2B5EF4-FFF2-40B4-BE49-F238E27FC236}">
              <a16:creationId xmlns:a16="http://schemas.microsoft.com/office/drawing/2014/main" id="{51D19553-BC65-435D-AB12-E67694F06DF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491" name="AutoShape 12">
          <a:extLst>
            <a:ext uri="{FF2B5EF4-FFF2-40B4-BE49-F238E27FC236}">
              <a16:creationId xmlns:a16="http://schemas.microsoft.com/office/drawing/2014/main" id="{C296FA70-A142-4383-A5A6-CBDB8CCA86B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492" name="AutoShape 12">
          <a:extLst>
            <a:ext uri="{FF2B5EF4-FFF2-40B4-BE49-F238E27FC236}">
              <a16:creationId xmlns:a16="http://schemas.microsoft.com/office/drawing/2014/main" id="{C27939A9-C903-4B70-A659-C9ADBF38FC4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493" name="AutoShape 12">
          <a:extLst>
            <a:ext uri="{FF2B5EF4-FFF2-40B4-BE49-F238E27FC236}">
              <a16:creationId xmlns:a16="http://schemas.microsoft.com/office/drawing/2014/main" id="{9DE4C6A3-EC28-4B1C-AE62-2B541C8F9A3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494" name="AutoShape 12">
          <a:extLst>
            <a:ext uri="{FF2B5EF4-FFF2-40B4-BE49-F238E27FC236}">
              <a16:creationId xmlns:a16="http://schemas.microsoft.com/office/drawing/2014/main" id="{02D57D42-F2A8-43D5-8340-50A7681E7D3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495" name="AutoShape 12">
          <a:extLst>
            <a:ext uri="{FF2B5EF4-FFF2-40B4-BE49-F238E27FC236}">
              <a16:creationId xmlns:a16="http://schemas.microsoft.com/office/drawing/2014/main" id="{C135721A-737A-4A6E-BE8C-80C94C0076C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496" name="AutoShape 12">
          <a:extLst>
            <a:ext uri="{FF2B5EF4-FFF2-40B4-BE49-F238E27FC236}">
              <a16:creationId xmlns:a16="http://schemas.microsoft.com/office/drawing/2014/main" id="{061AE091-E8B7-4ABE-A3FB-2C57A8151B3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497" name="AutoShape 12">
          <a:extLst>
            <a:ext uri="{FF2B5EF4-FFF2-40B4-BE49-F238E27FC236}">
              <a16:creationId xmlns:a16="http://schemas.microsoft.com/office/drawing/2014/main" id="{200D9C37-A726-443C-8AA0-F594A7E985B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498" name="AutoShape 12">
          <a:extLst>
            <a:ext uri="{FF2B5EF4-FFF2-40B4-BE49-F238E27FC236}">
              <a16:creationId xmlns:a16="http://schemas.microsoft.com/office/drawing/2014/main" id="{69FD7222-1C46-48CA-BC2D-D3983D96134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499" name="AutoShape 12">
          <a:extLst>
            <a:ext uri="{FF2B5EF4-FFF2-40B4-BE49-F238E27FC236}">
              <a16:creationId xmlns:a16="http://schemas.microsoft.com/office/drawing/2014/main" id="{39D12151-E572-4568-8BA2-30E85037E8E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500" name="AutoShape 12">
          <a:extLst>
            <a:ext uri="{FF2B5EF4-FFF2-40B4-BE49-F238E27FC236}">
              <a16:creationId xmlns:a16="http://schemas.microsoft.com/office/drawing/2014/main" id="{01A98D2A-1486-4F96-8F51-2B82AD1B041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501" name="AutoShape 12">
          <a:extLst>
            <a:ext uri="{FF2B5EF4-FFF2-40B4-BE49-F238E27FC236}">
              <a16:creationId xmlns:a16="http://schemas.microsoft.com/office/drawing/2014/main" id="{CB161422-D356-44AF-8EB1-87E6F84C148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502" name="AutoShape 12">
          <a:extLst>
            <a:ext uri="{FF2B5EF4-FFF2-40B4-BE49-F238E27FC236}">
              <a16:creationId xmlns:a16="http://schemas.microsoft.com/office/drawing/2014/main" id="{73EEECDA-F73C-4A72-8C89-A317AB8826D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503" name="AutoShape 12">
          <a:extLst>
            <a:ext uri="{FF2B5EF4-FFF2-40B4-BE49-F238E27FC236}">
              <a16:creationId xmlns:a16="http://schemas.microsoft.com/office/drawing/2014/main" id="{F09EB86C-2A10-4C61-AD06-A68289083DC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504" name="AutoShape 12">
          <a:extLst>
            <a:ext uri="{FF2B5EF4-FFF2-40B4-BE49-F238E27FC236}">
              <a16:creationId xmlns:a16="http://schemas.microsoft.com/office/drawing/2014/main" id="{5F3DF64D-CD1A-4702-B277-F6B3702459B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505" name="AutoShape 12">
          <a:extLst>
            <a:ext uri="{FF2B5EF4-FFF2-40B4-BE49-F238E27FC236}">
              <a16:creationId xmlns:a16="http://schemas.microsoft.com/office/drawing/2014/main" id="{C7502408-4A8A-4B68-8D05-BD606443AAB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506" name="AutoShape 12">
          <a:extLst>
            <a:ext uri="{FF2B5EF4-FFF2-40B4-BE49-F238E27FC236}">
              <a16:creationId xmlns:a16="http://schemas.microsoft.com/office/drawing/2014/main" id="{96F35042-61D9-493B-8B5D-E339D8064D6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507" name="AutoShape 12">
          <a:extLst>
            <a:ext uri="{FF2B5EF4-FFF2-40B4-BE49-F238E27FC236}">
              <a16:creationId xmlns:a16="http://schemas.microsoft.com/office/drawing/2014/main" id="{B2B02458-8327-464A-8E97-C67AB25AC8F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508" name="AutoShape 12">
          <a:extLst>
            <a:ext uri="{FF2B5EF4-FFF2-40B4-BE49-F238E27FC236}">
              <a16:creationId xmlns:a16="http://schemas.microsoft.com/office/drawing/2014/main" id="{8E25D377-32EF-4604-9E72-31B84FE0727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509" name="AutoShape 12">
          <a:extLst>
            <a:ext uri="{FF2B5EF4-FFF2-40B4-BE49-F238E27FC236}">
              <a16:creationId xmlns:a16="http://schemas.microsoft.com/office/drawing/2014/main" id="{6EE5D6A2-05FD-469B-853D-35CE5446F51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510" name="AutoShape 12">
          <a:extLst>
            <a:ext uri="{FF2B5EF4-FFF2-40B4-BE49-F238E27FC236}">
              <a16:creationId xmlns:a16="http://schemas.microsoft.com/office/drawing/2014/main" id="{28EC92D4-7A95-42F5-88D1-97D6E271259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511" name="AutoShape 12">
          <a:extLst>
            <a:ext uri="{FF2B5EF4-FFF2-40B4-BE49-F238E27FC236}">
              <a16:creationId xmlns:a16="http://schemas.microsoft.com/office/drawing/2014/main" id="{1EADB297-D7BB-4D03-84E0-39D47976B93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512" name="AutoShape 12">
          <a:extLst>
            <a:ext uri="{FF2B5EF4-FFF2-40B4-BE49-F238E27FC236}">
              <a16:creationId xmlns:a16="http://schemas.microsoft.com/office/drawing/2014/main" id="{3F86EFB5-BC38-4A5C-A490-97E33FB6C30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513" name="AutoShape 12">
          <a:extLst>
            <a:ext uri="{FF2B5EF4-FFF2-40B4-BE49-F238E27FC236}">
              <a16:creationId xmlns:a16="http://schemas.microsoft.com/office/drawing/2014/main" id="{9A67133F-FEC8-40A8-BA21-320B2D88B0A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514" name="AutoShape 12">
          <a:extLst>
            <a:ext uri="{FF2B5EF4-FFF2-40B4-BE49-F238E27FC236}">
              <a16:creationId xmlns:a16="http://schemas.microsoft.com/office/drawing/2014/main" id="{13C2668A-DE3A-4941-B9E8-B68157B01F2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515" name="AutoShape 12">
          <a:extLst>
            <a:ext uri="{FF2B5EF4-FFF2-40B4-BE49-F238E27FC236}">
              <a16:creationId xmlns:a16="http://schemas.microsoft.com/office/drawing/2014/main" id="{5C3005F4-8A37-408E-8DED-4CDC858CD8C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516" name="AutoShape 12">
          <a:extLst>
            <a:ext uri="{FF2B5EF4-FFF2-40B4-BE49-F238E27FC236}">
              <a16:creationId xmlns:a16="http://schemas.microsoft.com/office/drawing/2014/main" id="{EDEB1FCD-9369-4AF3-BF48-0FCF4152842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517" name="AutoShape 12">
          <a:extLst>
            <a:ext uri="{FF2B5EF4-FFF2-40B4-BE49-F238E27FC236}">
              <a16:creationId xmlns:a16="http://schemas.microsoft.com/office/drawing/2014/main" id="{0F924C49-CF4E-4580-89D2-45451EA6BEB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518" name="AutoShape 12">
          <a:extLst>
            <a:ext uri="{FF2B5EF4-FFF2-40B4-BE49-F238E27FC236}">
              <a16:creationId xmlns:a16="http://schemas.microsoft.com/office/drawing/2014/main" id="{67C03700-C298-4C4F-952E-750205B2907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519" name="AutoShape 12">
          <a:extLst>
            <a:ext uri="{FF2B5EF4-FFF2-40B4-BE49-F238E27FC236}">
              <a16:creationId xmlns:a16="http://schemas.microsoft.com/office/drawing/2014/main" id="{174FBF3B-91EA-44A8-A721-E9740F5F3E3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520" name="AutoShape 12">
          <a:extLst>
            <a:ext uri="{FF2B5EF4-FFF2-40B4-BE49-F238E27FC236}">
              <a16:creationId xmlns:a16="http://schemas.microsoft.com/office/drawing/2014/main" id="{89983C8E-97B4-4042-BB79-ED85DC6E5F7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521" name="AutoShape 12">
          <a:extLst>
            <a:ext uri="{FF2B5EF4-FFF2-40B4-BE49-F238E27FC236}">
              <a16:creationId xmlns:a16="http://schemas.microsoft.com/office/drawing/2014/main" id="{F352644B-4FBC-4A8D-A3B6-55F6EB0A26B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522" name="AutoShape 12">
          <a:extLst>
            <a:ext uri="{FF2B5EF4-FFF2-40B4-BE49-F238E27FC236}">
              <a16:creationId xmlns:a16="http://schemas.microsoft.com/office/drawing/2014/main" id="{89E287DA-6FCE-47FE-AC07-A56D7CF65D6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523" name="AutoShape 12">
          <a:extLst>
            <a:ext uri="{FF2B5EF4-FFF2-40B4-BE49-F238E27FC236}">
              <a16:creationId xmlns:a16="http://schemas.microsoft.com/office/drawing/2014/main" id="{63B9A443-52A3-400F-9930-9D07AD98767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524" name="AutoShape 12">
          <a:extLst>
            <a:ext uri="{FF2B5EF4-FFF2-40B4-BE49-F238E27FC236}">
              <a16:creationId xmlns:a16="http://schemas.microsoft.com/office/drawing/2014/main" id="{12DBF1BB-B183-4EFE-8BF3-24518BCB0A7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525" name="AutoShape 12">
          <a:extLst>
            <a:ext uri="{FF2B5EF4-FFF2-40B4-BE49-F238E27FC236}">
              <a16:creationId xmlns:a16="http://schemas.microsoft.com/office/drawing/2014/main" id="{58F3FC9A-5F8B-4E34-BE04-9F6538CAC21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526" name="AutoShape 12">
          <a:extLst>
            <a:ext uri="{FF2B5EF4-FFF2-40B4-BE49-F238E27FC236}">
              <a16:creationId xmlns:a16="http://schemas.microsoft.com/office/drawing/2014/main" id="{E5E91E88-6E3B-481F-B60D-EF0BE79A8C3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527" name="AutoShape 12">
          <a:extLst>
            <a:ext uri="{FF2B5EF4-FFF2-40B4-BE49-F238E27FC236}">
              <a16:creationId xmlns:a16="http://schemas.microsoft.com/office/drawing/2014/main" id="{06582436-BFD8-4591-9CD5-54F736ED3BA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528" name="AutoShape 12">
          <a:extLst>
            <a:ext uri="{FF2B5EF4-FFF2-40B4-BE49-F238E27FC236}">
              <a16:creationId xmlns:a16="http://schemas.microsoft.com/office/drawing/2014/main" id="{EADFD2ED-5A4D-48E0-98CB-A4D93DF8CC0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529" name="AutoShape 12">
          <a:extLst>
            <a:ext uri="{FF2B5EF4-FFF2-40B4-BE49-F238E27FC236}">
              <a16:creationId xmlns:a16="http://schemas.microsoft.com/office/drawing/2014/main" id="{779C5749-A497-4195-9FD5-FD58465C31B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530" name="AutoShape 12">
          <a:extLst>
            <a:ext uri="{FF2B5EF4-FFF2-40B4-BE49-F238E27FC236}">
              <a16:creationId xmlns:a16="http://schemas.microsoft.com/office/drawing/2014/main" id="{2315B73C-141D-42ED-A172-B9B17DAC45D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531" name="AutoShape 12">
          <a:extLst>
            <a:ext uri="{FF2B5EF4-FFF2-40B4-BE49-F238E27FC236}">
              <a16:creationId xmlns:a16="http://schemas.microsoft.com/office/drawing/2014/main" id="{C3B12F3B-F84E-4848-B784-88724A72DA8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532" name="AutoShape 12">
          <a:extLst>
            <a:ext uri="{FF2B5EF4-FFF2-40B4-BE49-F238E27FC236}">
              <a16:creationId xmlns:a16="http://schemas.microsoft.com/office/drawing/2014/main" id="{DB9B0033-695D-4B9C-8075-826138933D2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533" name="AutoShape 12">
          <a:extLst>
            <a:ext uri="{FF2B5EF4-FFF2-40B4-BE49-F238E27FC236}">
              <a16:creationId xmlns:a16="http://schemas.microsoft.com/office/drawing/2014/main" id="{AA6BA8C8-8BA3-4059-8FF0-C19EB7A5EA5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534" name="AutoShape 12">
          <a:extLst>
            <a:ext uri="{FF2B5EF4-FFF2-40B4-BE49-F238E27FC236}">
              <a16:creationId xmlns:a16="http://schemas.microsoft.com/office/drawing/2014/main" id="{E4632A06-DF29-4505-902F-9AD27F00B80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535" name="AutoShape 12">
          <a:extLst>
            <a:ext uri="{FF2B5EF4-FFF2-40B4-BE49-F238E27FC236}">
              <a16:creationId xmlns:a16="http://schemas.microsoft.com/office/drawing/2014/main" id="{69CF58E4-3196-45CF-9AAE-062AFD737C5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536" name="AutoShape 12">
          <a:extLst>
            <a:ext uri="{FF2B5EF4-FFF2-40B4-BE49-F238E27FC236}">
              <a16:creationId xmlns:a16="http://schemas.microsoft.com/office/drawing/2014/main" id="{D0F2D435-C02A-4973-8A47-B8D1770456D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537" name="AutoShape 12">
          <a:extLst>
            <a:ext uri="{FF2B5EF4-FFF2-40B4-BE49-F238E27FC236}">
              <a16:creationId xmlns:a16="http://schemas.microsoft.com/office/drawing/2014/main" id="{8E7CCBD9-91EA-428D-9A44-3239C735A87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538" name="AutoShape 12">
          <a:extLst>
            <a:ext uri="{FF2B5EF4-FFF2-40B4-BE49-F238E27FC236}">
              <a16:creationId xmlns:a16="http://schemas.microsoft.com/office/drawing/2014/main" id="{82F515EA-FA53-4A74-A7A9-5A16DA69410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539" name="AutoShape 12">
          <a:extLst>
            <a:ext uri="{FF2B5EF4-FFF2-40B4-BE49-F238E27FC236}">
              <a16:creationId xmlns:a16="http://schemas.microsoft.com/office/drawing/2014/main" id="{7DAA4923-5654-4436-8287-51F2F75E6DD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540" name="AutoShape 12">
          <a:extLst>
            <a:ext uri="{FF2B5EF4-FFF2-40B4-BE49-F238E27FC236}">
              <a16:creationId xmlns:a16="http://schemas.microsoft.com/office/drawing/2014/main" id="{0ED8B7CF-2A2D-4489-9E95-7835FEF3B24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541" name="AutoShape 12">
          <a:extLst>
            <a:ext uri="{FF2B5EF4-FFF2-40B4-BE49-F238E27FC236}">
              <a16:creationId xmlns:a16="http://schemas.microsoft.com/office/drawing/2014/main" id="{007D5CF1-91E8-4663-AFCC-B0B1767E75C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542" name="AutoShape 12">
          <a:extLst>
            <a:ext uri="{FF2B5EF4-FFF2-40B4-BE49-F238E27FC236}">
              <a16:creationId xmlns:a16="http://schemas.microsoft.com/office/drawing/2014/main" id="{EA85E992-B87C-4DC5-B345-EA591414B47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543" name="AutoShape 12">
          <a:extLst>
            <a:ext uri="{FF2B5EF4-FFF2-40B4-BE49-F238E27FC236}">
              <a16:creationId xmlns:a16="http://schemas.microsoft.com/office/drawing/2014/main" id="{88D93D05-2F8E-407A-93E7-B931A84C99B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544" name="AutoShape 12">
          <a:extLst>
            <a:ext uri="{FF2B5EF4-FFF2-40B4-BE49-F238E27FC236}">
              <a16:creationId xmlns:a16="http://schemas.microsoft.com/office/drawing/2014/main" id="{4B13CE0A-8EE1-42AB-81D8-6A06D070D89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545" name="AutoShape 12">
          <a:extLst>
            <a:ext uri="{FF2B5EF4-FFF2-40B4-BE49-F238E27FC236}">
              <a16:creationId xmlns:a16="http://schemas.microsoft.com/office/drawing/2014/main" id="{D2850EBA-C85F-4CBA-8248-3AF2B3209F1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546" name="AutoShape 12">
          <a:extLst>
            <a:ext uri="{FF2B5EF4-FFF2-40B4-BE49-F238E27FC236}">
              <a16:creationId xmlns:a16="http://schemas.microsoft.com/office/drawing/2014/main" id="{D4B7F75E-FBBF-4825-8C0B-102FDE759F1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547" name="AutoShape 12">
          <a:extLst>
            <a:ext uri="{FF2B5EF4-FFF2-40B4-BE49-F238E27FC236}">
              <a16:creationId xmlns:a16="http://schemas.microsoft.com/office/drawing/2014/main" id="{1A463614-3245-4C4B-A77E-7A612374DFC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548" name="AutoShape 12">
          <a:extLst>
            <a:ext uri="{FF2B5EF4-FFF2-40B4-BE49-F238E27FC236}">
              <a16:creationId xmlns:a16="http://schemas.microsoft.com/office/drawing/2014/main" id="{6540547B-8EE2-4E7E-8C1B-0D0CFBBACA3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549" name="AutoShape 12">
          <a:extLst>
            <a:ext uri="{FF2B5EF4-FFF2-40B4-BE49-F238E27FC236}">
              <a16:creationId xmlns:a16="http://schemas.microsoft.com/office/drawing/2014/main" id="{6BC7CCD1-5BD9-4387-80AE-2E04829164F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550" name="AutoShape 12">
          <a:extLst>
            <a:ext uri="{FF2B5EF4-FFF2-40B4-BE49-F238E27FC236}">
              <a16:creationId xmlns:a16="http://schemas.microsoft.com/office/drawing/2014/main" id="{88EFFB47-32C8-4138-81F1-7F9A454AB3E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551" name="AutoShape 12">
          <a:extLst>
            <a:ext uri="{FF2B5EF4-FFF2-40B4-BE49-F238E27FC236}">
              <a16:creationId xmlns:a16="http://schemas.microsoft.com/office/drawing/2014/main" id="{985E97D4-1C35-406A-A8B5-6011DC6B5A7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552" name="AutoShape 12">
          <a:extLst>
            <a:ext uri="{FF2B5EF4-FFF2-40B4-BE49-F238E27FC236}">
              <a16:creationId xmlns:a16="http://schemas.microsoft.com/office/drawing/2014/main" id="{ABCB5C8B-11DE-4261-8E82-5E69C06841C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553" name="AutoShape 12">
          <a:extLst>
            <a:ext uri="{FF2B5EF4-FFF2-40B4-BE49-F238E27FC236}">
              <a16:creationId xmlns:a16="http://schemas.microsoft.com/office/drawing/2014/main" id="{A7AB22A3-23BA-48DB-866D-6726EA3472B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554" name="AutoShape 12">
          <a:extLst>
            <a:ext uri="{FF2B5EF4-FFF2-40B4-BE49-F238E27FC236}">
              <a16:creationId xmlns:a16="http://schemas.microsoft.com/office/drawing/2014/main" id="{BD2DFEB1-AD44-46F7-B96B-C35456CD9C0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555" name="AutoShape 12">
          <a:extLst>
            <a:ext uri="{FF2B5EF4-FFF2-40B4-BE49-F238E27FC236}">
              <a16:creationId xmlns:a16="http://schemas.microsoft.com/office/drawing/2014/main" id="{68218AB7-0B9E-405B-8A77-E55A1185579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556" name="AutoShape 12">
          <a:extLst>
            <a:ext uri="{FF2B5EF4-FFF2-40B4-BE49-F238E27FC236}">
              <a16:creationId xmlns:a16="http://schemas.microsoft.com/office/drawing/2014/main" id="{B2AF5799-07C2-4CAE-B0F2-A770F78DDA8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557" name="AutoShape 12">
          <a:extLst>
            <a:ext uri="{FF2B5EF4-FFF2-40B4-BE49-F238E27FC236}">
              <a16:creationId xmlns:a16="http://schemas.microsoft.com/office/drawing/2014/main" id="{F9216FFF-6EC4-459B-9AB4-DB7E7BC1C88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558" name="AutoShape 12">
          <a:extLst>
            <a:ext uri="{FF2B5EF4-FFF2-40B4-BE49-F238E27FC236}">
              <a16:creationId xmlns:a16="http://schemas.microsoft.com/office/drawing/2014/main" id="{4329A16F-09FD-47C1-8D28-487C46A860F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559" name="AutoShape 12">
          <a:extLst>
            <a:ext uri="{FF2B5EF4-FFF2-40B4-BE49-F238E27FC236}">
              <a16:creationId xmlns:a16="http://schemas.microsoft.com/office/drawing/2014/main" id="{C705A165-3182-4590-B5FA-5CFAFBF8C24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560" name="AutoShape 12">
          <a:extLst>
            <a:ext uri="{FF2B5EF4-FFF2-40B4-BE49-F238E27FC236}">
              <a16:creationId xmlns:a16="http://schemas.microsoft.com/office/drawing/2014/main" id="{02E06B80-1201-47CD-9D0B-E3C2390C126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561" name="AutoShape 12">
          <a:extLst>
            <a:ext uri="{FF2B5EF4-FFF2-40B4-BE49-F238E27FC236}">
              <a16:creationId xmlns:a16="http://schemas.microsoft.com/office/drawing/2014/main" id="{9AE0F94F-7D3F-4BEC-B226-E5B010804EA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723</xdr:row>
      <xdr:rowOff>0</xdr:rowOff>
    </xdr:from>
    <xdr:ext cx="304800" cy="304094"/>
    <xdr:sp macro="" textlink="">
      <xdr:nvSpPr>
        <xdr:cNvPr id="6562" name="AutoShape 12">
          <a:extLst>
            <a:ext uri="{FF2B5EF4-FFF2-40B4-BE49-F238E27FC236}">
              <a16:creationId xmlns:a16="http://schemas.microsoft.com/office/drawing/2014/main" id="{8E3EF11B-D2AE-4212-B39F-FD5CBB86284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563" name="AutoShape 12">
          <a:extLst>
            <a:ext uri="{FF2B5EF4-FFF2-40B4-BE49-F238E27FC236}">
              <a16:creationId xmlns:a16="http://schemas.microsoft.com/office/drawing/2014/main" id="{9D9C8E29-27D8-456E-AA11-98B1EB42EEA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564" name="AutoShape 12">
          <a:extLst>
            <a:ext uri="{FF2B5EF4-FFF2-40B4-BE49-F238E27FC236}">
              <a16:creationId xmlns:a16="http://schemas.microsoft.com/office/drawing/2014/main" id="{CC98A589-CD57-4D39-BBC0-B811625F02A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565" name="AutoShape 12">
          <a:extLst>
            <a:ext uri="{FF2B5EF4-FFF2-40B4-BE49-F238E27FC236}">
              <a16:creationId xmlns:a16="http://schemas.microsoft.com/office/drawing/2014/main" id="{D6B1D97F-9BB9-489F-AEDB-6E3CB96B90F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566" name="AutoShape 12">
          <a:extLst>
            <a:ext uri="{FF2B5EF4-FFF2-40B4-BE49-F238E27FC236}">
              <a16:creationId xmlns:a16="http://schemas.microsoft.com/office/drawing/2014/main" id="{A3C43C64-17D3-4BF4-B48F-C302730D1E4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567" name="AutoShape 12">
          <a:extLst>
            <a:ext uri="{FF2B5EF4-FFF2-40B4-BE49-F238E27FC236}">
              <a16:creationId xmlns:a16="http://schemas.microsoft.com/office/drawing/2014/main" id="{097ECB47-2BA2-4846-B0EC-787A3C52DBE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568" name="AutoShape 12">
          <a:extLst>
            <a:ext uri="{FF2B5EF4-FFF2-40B4-BE49-F238E27FC236}">
              <a16:creationId xmlns:a16="http://schemas.microsoft.com/office/drawing/2014/main" id="{148E1F5B-3815-4016-81A8-88BD081A512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569" name="AutoShape 12">
          <a:extLst>
            <a:ext uri="{FF2B5EF4-FFF2-40B4-BE49-F238E27FC236}">
              <a16:creationId xmlns:a16="http://schemas.microsoft.com/office/drawing/2014/main" id="{1C2B1F67-6BA1-45E2-9F77-61DABC470EC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570" name="AutoShape 12">
          <a:extLst>
            <a:ext uri="{FF2B5EF4-FFF2-40B4-BE49-F238E27FC236}">
              <a16:creationId xmlns:a16="http://schemas.microsoft.com/office/drawing/2014/main" id="{191F6154-B50A-4534-AB20-7EDF9F342BC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571" name="AutoShape 12">
          <a:extLst>
            <a:ext uri="{FF2B5EF4-FFF2-40B4-BE49-F238E27FC236}">
              <a16:creationId xmlns:a16="http://schemas.microsoft.com/office/drawing/2014/main" id="{4EFE24EE-0E4A-4A20-8D39-B1E15E98F4C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572" name="AutoShape 12">
          <a:extLst>
            <a:ext uri="{FF2B5EF4-FFF2-40B4-BE49-F238E27FC236}">
              <a16:creationId xmlns:a16="http://schemas.microsoft.com/office/drawing/2014/main" id="{2171DF4D-4F6E-432B-B97C-7356D20F593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573" name="AutoShape 12">
          <a:extLst>
            <a:ext uri="{FF2B5EF4-FFF2-40B4-BE49-F238E27FC236}">
              <a16:creationId xmlns:a16="http://schemas.microsoft.com/office/drawing/2014/main" id="{FFEF20F6-5EB2-4D53-ABEC-1DCEFD8FA1A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574" name="AutoShape 12">
          <a:extLst>
            <a:ext uri="{FF2B5EF4-FFF2-40B4-BE49-F238E27FC236}">
              <a16:creationId xmlns:a16="http://schemas.microsoft.com/office/drawing/2014/main" id="{E605967F-17D0-43D3-A851-D6BB0F8F3C1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575" name="AutoShape 12">
          <a:extLst>
            <a:ext uri="{FF2B5EF4-FFF2-40B4-BE49-F238E27FC236}">
              <a16:creationId xmlns:a16="http://schemas.microsoft.com/office/drawing/2014/main" id="{18496553-2876-406C-8EAB-DF23210ADDF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576" name="AutoShape 12">
          <a:extLst>
            <a:ext uri="{FF2B5EF4-FFF2-40B4-BE49-F238E27FC236}">
              <a16:creationId xmlns:a16="http://schemas.microsoft.com/office/drawing/2014/main" id="{B0BB97D1-07E9-41A7-9CA7-5FA6F785015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577" name="AutoShape 12">
          <a:extLst>
            <a:ext uri="{FF2B5EF4-FFF2-40B4-BE49-F238E27FC236}">
              <a16:creationId xmlns:a16="http://schemas.microsoft.com/office/drawing/2014/main" id="{42BE1E52-4DB1-405F-BB30-CF7E0391BAA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578" name="AutoShape 12">
          <a:extLst>
            <a:ext uri="{FF2B5EF4-FFF2-40B4-BE49-F238E27FC236}">
              <a16:creationId xmlns:a16="http://schemas.microsoft.com/office/drawing/2014/main" id="{CA03384C-F7C0-49F0-A6C3-C3E6CFE62BA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579" name="AutoShape 12">
          <a:extLst>
            <a:ext uri="{FF2B5EF4-FFF2-40B4-BE49-F238E27FC236}">
              <a16:creationId xmlns:a16="http://schemas.microsoft.com/office/drawing/2014/main" id="{A93715D1-8AE9-488A-9762-1C205638E0D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580" name="AutoShape 12">
          <a:extLst>
            <a:ext uri="{FF2B5EF4-FFF2-40B4-BE49-F238E27FC236}">
              <a16:creationId xmlns:a16="http://schemas.microsoft.com/office/drawing/2014/main" id="{F1A03CAC-FFE0-4BB1-BC30-ED468C8378E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581" name="AutoShape 12">
          <a:extLst>
            <a:ext uri="{FF2B5EF4-FFF2-40B4-BE49-F238E27FC236}">
              <a16:creationId xmlns:a16="http://schemas.microsoft.com/office/drawing/2014/main" id="{89C643DE-AA23-4B5F-B87A-A67E9D71B4D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582" name="AutoShape 12">
          <a:extLst>
            <a:ext uri="{FF2B5EF4-FFF2-40B4-BE49-F238E27FC236}">
              <a16:creationId xmlns:a16="http://schemas.microsoft.com/office/drawing/2014/main" id="{CEC41E55-3804-40E8-9AEE-6992F3624F7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583" name="AutoShape 12">
          <a:extLst>
            <a:ext uri="{FF2B5EF4-FFF2-40B4-BE49-F238E27FC236}">
              <a16:creationId xmlns:a16="http://schemas.microsoft.com/office/drawing/2014/main" id="{AF462398-70EF-4406-A0A0-A96CE7D8096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584" name="AutoShape 12">
          <a:extLst>
            <a:ext uri="{FF2B5EF4-FFF2-40B4-BE49-F238E27FC236}">
              <a16:creationId xmlns:a16="http://schemas.microsoft.com/office/drawing/2014/main" id="{21193CA2-1AF9-4AD3-9A4B-CFD83715CD9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585" name="AutoShape 12">
          <a:extLst>
            <a:ext uri="{FF2B5EF4-FFF2-40B4-BE49-F238E27FC236}">
              <a16:creationId xmlns:a16="http://schemas.microsoft.com/office/drawing/2014/main" id="{DDAE0907-225A-47D4-915D-980B1864405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586" name="AutoShape 12">
          <a:extLst>
            <a:ext uri="{FF2B5EF4-FFF2-40B4-BE49-F238E27FC236}">
              <a16:creationId xmlns:a16="http://schemas.microsoft.com/office/drawing/2014/main" id="{E36829C9-E9C7-43E6-8461-AF3CE64F7DA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587" name="AutoShape 12">
          <a:extLst>
            <a:ext uri="{FF2B5EF4-FFF2-40B4-BE49-F238E27FC236}">
              <a16:creationId xmlns:a16="http://schemas.microsoft.com/office/drawing/2014/main" id="{34494BC9-578B-4FC1-A33E-1C173B1F836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588" name="AutoShape 12">
          <a:extLst>
            <a:ext uri="{FF2B5EF4-FFF2-40B4-BE49-F238E27FC236}">
              <a16:creationId xmlns:a16="http://schemas.microsoft.com/office/drawing/2014/main" id="{0B0AE0C5-7FD0-4F66-AA7A-DFCFD40B86F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589" name="AutoShape 12">
          <a:extLst>
            <a:ext uri="{FF2B5EF4-FFF2-40B4-BE49-F238E27FC236}">
              <a16:creationId xmlns:a16="http://schemas.microsoft.com/office/drawing/2014/main" id="{1620E39F-3922-4690-898F-DA2C9B66DD0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590" name="AutoShape 12">
          <a:extLst>
            <a:ext uri="{FF2B5EF4-FFF2-40B4-BE49-F238E27FC236}">
              <a16:creationId xmlns:a16="http://schemas.microsoft.com/office/drawing/2014/main" id="{B3DDC292-DA0F-4438-9B8E-CD6B8FDE070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591" name="AutoShape 12">
          <a:extLst>
            <a:ext uri="{FF2B5EF4-FFF2-40B4-BE49-F238E27FC236}">
              <a16:creationId xmlns:a16="http://schemas.microsoft.com/office/drawing/2014/main" id="{65C0C77F-9F96-47C7-994B-5280DB0B7C2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592" name="AutoShape 12">
          <a:extLst>
            <a:ext uri="{FF2B5EF4-FFF2-40B4-BE49-F238E27FC236}">
              <a16:creationId xmlns:a16="http://schemas.microsoft.com/office/drawing/2014/main" id="{AE56C24A-016A-462C-8198-0A821EFDE56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593" name="AutoShape 12">
          <a:extLst>
            <a:ext uri="{FF2B5EF4-FFF2-40B4-BE49-F238E27FC236}">
              <a16:creationId xmlns:a16="http://schemas.microsoft.com/office/drawing/2014/main" id="{81377CB8-E932-4336-9B55-9DE923E4B54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594" name="AutoShape 12">
          <a:extLst>
            <a:ext uri="{FF2B5EF4-FFF2-40B4-BE49-F238E27FC236}">
              <a16:creationId xmlns:a16="http://schemas.microsoft.com/office/drawing/2014/main" id="{D948B351-3E1C-4588-8D8D-D87C8714339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595" name="AutoShape 12">
          <a:extLst>
            <a:ext uri="{FF2B5EF4-FFF2-40B4-BE49-F238E27FC236}">
              <a16:creationId xmlns:a16="http://schemas.microsoft.com/office/drawing/2014/main" id="{E5E46ADC-4F59-4754-AA77-0EFD1AB71C5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596" name="AutoShape 12">
          <a:extLst>
            <a:ext uri="{FF2B5EF4-FFF2-40B4-BE49-F238E27FC236}">
              <a16:creationId xmlns:a16="http://schemas.microsoft.com/office/drawing/2014/main" id="{A3C6C5DB-0DAE-446A-A3AF-80E2A572E00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597" name="AutoShape 12">
          <a:extLst>
            <a:ext uri="{FF2B5EF4-FFF2-40B4-BE49-F238E27FC236}">
              <a16:creationId xmlns:a16="http://schemas.microsoft.com/office/drawing/2014/main" id="{ED69E734-BE15-4F86-BB76-968CAF606C2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598" name="AutoShape 12">
          <a:extLst>
            <a:ext uri="{FF2B5EF4-FFF2-40B4-BE49-F238E27FC236}">
              <a16:creationId xmlns:a16="http://schemas.microsoft.com/office/drawing/2014/main" id="{B474E38D-12A8-4843-BE3B-198571EDAC3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599" name="AutoShape 12">
          <a:extLst>
            <a:ext uri="{FF2B5EF4-FFF2-40B4-BE49-F238E27FC236}">
              <a16:creationId xmlns:a16="http://schemas.microsoft.com/office/drawing/2014/main" id="{811DE9D3-0BB4-464C-873E-AD3415D3AC9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600" name="AutoShape 12">
          <a:extLst>
            <a:ext uri="{FF2B5EF4-FFF2-40B4-BE49-F238E27FC236}">
              <a16:creationId xmlns:a16="http://schemas.microsoft.com/office/drawing/2014/main" id="{45965AAE-1A92-47FE-818D-B129059280D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601" name="AutoShape 12">
          <a:extLst>
            <a:ext uri="{FF2B5EF4-FFF2-40B4-BE49-F238E27FC236}">
              <a16:creationId xmlns:a16="http://schemas.microsoft.com/office/drawing/2014/main" id="{703646BC-87F9-417E-A7D2-480215E88EA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602" name="AutoShape 12">
          <a:extLst>
            <a:ext uri="{FF2B5EF4-FFF2-40B4-BE49-F238E27FC236}">
              <a16:creationId xmlns:a16="http://schemas.microsoft.com/office/drawing/2014/main" id="{60BBF27D-CAE2-41CB-A532-5EB8A865839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603" name="AutoShape 12">
          <a:extLst>
            <a:ext uri="{FF2B5EF4-FFF2-40B4-BE49-F238E27FC236}">
              <a16:creationId xmlns:a16="http://schemas.microsoft.com/office/drawing/2014/main" id="{787F4B45-FD82-4572-ABD9-B9D3336EED9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604" name="AutoShape 12">
          <a:extLst>
            <a:ext uri="{FF2B5EF4-FFF2-40B4-BE49-F238E27FC236}">
              <a16:creationId xmlns:a16="http://schemas.microsoft.com/office/drawing/2014/main" id="{B9019006-9F09-4BE8-B213-EB5E3179870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605" name="AutoShape 12">
          <a:extLst>
            <a:ext uri="{FF2B5EF4-FFF2-40B4-BE49-F238E27FC236}">
              <a16:creationId xmlns:a16="http://schemas.microsoft.com/office/drawing/2014/main" id="{993E8387-8A78-4A89-B103-DCDAFC1C051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606" name="AutoShape 12">
          <a:extLst>
            <a:ext uri="{FF2B5EF4-FFF2-40B4-BE49-F238E27FC236}">
              <a16:creationId xmlns:a16="http://schemas.microsoft.com/office/drawing/2014/main" id="{640E14DD-F8CC-4D32-8BA9-D090A1B9716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607" name="AutoShape 12">
          <a:extLst>
            <a:ext uri="{FF2B5EF4-FFF2-40B4-BE49-F238E27FC236}">
              <a16:creationId xmlns:a16="http://schemas.microsoft.com/office/drawing/2014/main" id="{0FB51CEC-55BF-484B-AB32-7BEB9C0CF20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608" name="AutoShape 12">
          <a:extLst>
            <a:ext uri="{FF2B5EF4-FFF2-40B4-BE49-F238E27FC236}">
              <a16:creationId xmlns:a16="http://schemas.microsoft.com/office/drawing/2014/main" id="{B9F78995-AA40-434B-9FE5-DC8334FBD1C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609" name="AutoShape 12">
          <a:extLst>
            <a:ext uri="{FF2B5EF4-FFF2-40B4-BE49-F238E27FC236}">
              <a16:creationId xmlns:a16="http://schemas.microsoft.com/office/drawing/2014/main" id="{69598B72-1B50-4F33-93C2-F947B8E5C19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610" name="AutoShape 12">
          <a:extLst>
            <a:ext uri="{FF2B5EF4-FFF2-40B4-BE49-F238E27FC236}">
              <a16:creationId xmlns:a16="http://schemas.microsoft.com/office/drawing/2014/main" id="{134371CE-E229-4E65-84C6-352EF780E7B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611" name="AutoShape 12">
          <a:extLst>
            <a:ext uri="{FF2B5EF4-FFF2-40B4-BE49-F238E27FC236}">
              <a16:creationId xmlns:a16="http://schemas.microsoft.com/office/drawing/2014/main" id="{A549B431-BC99-447E-B948-D37C39E37C2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612" name="AutoShape 12">
          <a:extLst>
            <a:ext uri="{FF2B5EF4-FFF2-40B4-BE49-F238E27FC236}">
              <a16:creationId xmlns:a16="http://schemas.microsoft.com/office/drawing/2014/main" id="{FE5EC338-0AA3-4692-9B5B-8B0B76B7D54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613" name="AutoShape 12">
          <a:extLst>
            <a:ext uri="{FF2B5EF4-FFF2-40B4-BE49-F238E27FC236}">
              <a16:creationId xmlns:a16="http://schemas.microsoft.com/office/drawing/2014/main" id="{C6097537-4CCB-4539-AC6F-7C999CF17EA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614" name="AutoShape 12">
          <a:extLst>
            <a:ext uri="{FF2B5EF4-FFF2-40B4-BE49-F238E27FC236}">
              <a16:creationId xmlns:a16="http://schemas.microsoft.com/office/drawing/2014/main" id="{0D9D5887-087E-455F-A53B-B79537B696A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615" name="AutoShape 12">
          <a:extLst>
            <a:ext uri="{FF2B5EF4-FFF2-40B4-BE49-F238E27FC236}">
              <a16:creationId xmlns:a16="http://schemas.microsoft.com/office/drawing/2014/main" id="{C775D2F4-A3B6-4E18-B76A-BBC925A7689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616" name="AutoShape 12">
          <a:extLst>
            <a:ext uri="{FF2B5EF4-FFF2-40B4-BE49-F238E27FC236}">
              <a16:creationId xmlns:a16="http://schemas.microsoft.com/office/drawing/2014/main" id="{AE4B3A4B-ACBC-4150-AB09-73A30EEB58A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617" name="AutoShape 12">
          <a:extLst>
            <a:ext uri="{FF2B5EF4-FFF2-40B4-BE49-F238E27FC236}">
              <a16:creationId xmlns:a16="http://schemas.microsoft.com/office/drawing/2014/main" id="{45FE8861-2ECF-4F75-81F3-BFC4D10C98F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618" name="AutoShape 12">
          <a:extLst>
            <a:ext uri="{FF2B5EF4-FFF2-40B4-BE49-F238E27FC236}">
              <a16:creationId xmlns:a16="http://schemas.microsoft.com/office/drawing/2014/main" id="{067B04E9-CB79-4856-90DB-5368D51265B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619" name="AutoShape 12">
          <a:extLst>
            <a:ext uri="{FF2B5EF4-FFF2-40B4-BE49-F238E27FC236}">
              <a16:creationId xmlns:a16="http://schemas.microsoft.com/office/drawing/2014/main" id="{0D95459C-DB60-497D-B519-135286330D9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620" name="AutoShape 12">
          <a:extLst>
            <a:ext uri="{FF2B5EF4-FFF2-40B4-BE49-F238E27FC236}">
              <a16:creationId xmlns:a16="http://schemas.microsoft.com/office/drawing/2014/main" id="{DC671620-290A-4C19-AD38-D7A1A3AECAC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621" name="AutoShape 12">
          <a:extLst>
            <a:ext uri="{FF2B5EF4-FFF2-40B4-BE49-F238E27FC236}">
              <a16:creationId xmlns:a16="http://schemas.microsoft.com/office/drawing/2014/main" id="{F895C021-CD1C-4820-9AC7-49E3134D22E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622" name="AutoShape 12">
          <a:extLst>
            <a:ext uri="{FF2B5EF4-FFF2-40B4-BE49-F238E27FC236}">
              <a16:creationId xmlns:a16="http://schemas.microsoft.com/office/drawing/2014/main" id="{0A1CAC25-5F1A-47D0-AFB2-D54A73AAF33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623" name="AutoShape 12">
          <a:extLst>
            <a:ext uri="{FF2B5EF4-FFF2-40B4-BE49-F238E27FC236}">
              <a16:creationId xmlns:a16="http://schemas.microsoft.com/office/drawing/2014/main" id="{73EE0A84-81B2-41C1-B19A-458F8FF8BE6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624" name="AutoShape 12">
          <a:extLst>
            <a:ext uri="{FF2B5EF4-FFF2-40B4-BE49-F238E27FC236}">
              <a16:creationId xmlns:a16="http://schemas.microsoft.com/office/drawing/2014/main" id="{960ACA71-CB93-41FA-8219-7CF3205FEC5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625" name="AutoShape 12">
          <a:extLst>
            <a:ext uri="{FF2B5EF4-FFF2-40B4-BE49-F238E27FC236}">
              <a16:creationId xmlns:a16="http://schemas.microsoft.com/office/drawing/2014/main" id="{97832E1E-3849-4E70-ADFE-BECD8F0385B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626" name="AutoShape 12">
          <a:extLst>
            <a:ext uri="{FF2B5EF4-FFF2-40B4-BE49-F238E27FC236}">
              <a16:creationId xmlns:a16="http://schemas.microsoft.com/office/drawing/2014/main" id="{BCEB0F93-5DFA-4C50-8AA4-0F39A117DA2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627" name="AutoShape 12">
          <a:extLst>
            <a:ext uri="{FF2B5EF4-FFF2-40B4-BE49-F238E27FC236}">
              <a16:creationId xmlns:a16="http://schemas.microsoft.com/office/drawing/2014/main" id="{75C20DA2-F2C8-4F96-A53E-E3D055F10FC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628" name="AutoShape 12">
          <a:extLst>
            <a:ext uri="{FF2B5EF4-FFF2-40B4-BE49-F238E27FC236}">
              <a16:creationId xmlns:a16="http://schemas.microsoft.com/office/drawing/2014/main" id="{845836F6-2173-41FA-8698-4A6BD12BAF5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629" name="AutoShape 12">
          <a:extLst>
            <a:ext uri="{FF2B5EF4-FFF2-40B4-BE49-F238E27FC236}">
              <a16:creationId xmlns:a16="http://schemas.microsoft.com/office/drawing/2014/main" id="{8B1FD412-6FBD-4658-8D5E-EBA635534D9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630" name="AutoShape 12">
          <a:extLst>
            <a:ext uri="{FF2B5EF4-FFF2-40B4-BE49-F238E27FC236}">
              <a16:creationId xmlns:a16="http://schemas.microsoft.com/office/drawing/2014/main" id="{3BA45143-BC95-434F-985C-231C3646B77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631" name="AutoShape 12">
          <a:extLst>
            <a:ext uri="{FF2B5EF4-FFF2-40B4-BE49-F238E27FC236}">
              <a16:creationId xmlns:a16="http://schemas.microsoft.com/office/drawing/2014/main" id="{5F616AAE-9F21-42D1-8777-AA98E464033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632" name="AutoShape 12">
          <a:extLst>
            <a:ext uri="{FF2B5EF4-FFF2-40B4-BE49-F238E27FC236}">
              <a16:creationId xmlns:a16="http://schemas.microsoft.com/office/drawing/2014/main" id="{8A372623-A157-4CB0-A4E2-A0EEDA8F20B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633" name="AutoShape 12">
          <a:extLst>
            <a:ext uri="{FF2B5EF4-FFF2-40B4-BE49-F238E27FC236}">
              <a16:creationId xmlns:a16="http://schemas.microsoft.com/office/drawing/2014/main" id="{6807CCE1-2CE1-4ECB-9C48-6CD380F217D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634" name="AutoShape 12">
          <a:extLst>
            <a:ext uri="{FF2B5EF4-FFF2-40B4-BE49-F238E27FC236}">
              <a16:creationId xmlns:a16="http://schemas.microsoft.com/office/drawing/2014/main" id="{BEDB1160-CF51-4E87-BC6F-38632D38414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635" name="AutoShape 12">
          <a:extLst>
            <a:ext uri="{FF2B5EF4-FFF2-40B4-BE49-F238E27FC236}">
              <a16:creationId xmlns:a16="http://schemas.microsoft.com/office/drawing/2014/main" id="{51D28533-CF2E-4149-B872-95FA9A57D1B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636" name="AutoShape 12">
          <a:extLst>
            <a:ext uri="{FF2B5EF4-FFF2-40B4-BE49-F238E27FC236}">
              <a16:creationId xmlns:a16="http://schemas.microsoft.com/office/drawing/2014/main" id="{6520D600-455C-4763-B7FC-C88452624A0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637" name="AutoShape 12">
          <a:extLst>
            <a:ext uri="{FF2B5EF4-FFF2-40B4-BE49-F238E27FC236}">
              <a16:creationId xmlns:a16="http://schemas.microsoft.com/office/drawing/2014/main" id="{22F2FC30-A220-41FB-818D-0B57F51C282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638" name="AutoShape 12">
          <a:extLst>
            <a:ext uri="{FF2B5EF4-FFF2-40B4-BE49-F238E27FC236}">
              <a16:creationId xmlns:a16="http://schemas.microsoft.com/office/drawing/2014/main" id="{6B2ED884-83A3-42DA-8FF5-035B7782034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639" name="AutoShape 12">
          <a:extLst>
            <a:ext uri="{FF2B5EF4-FFF2-40B4-BE49-F238E27FC236}">
              <a16:creationId xmlns:a16="http://schemas.microsoft.com/office/drawing/2014/main" id="{3A5799FB-90AE-457F-97F3-1BA02C9DBCB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640" name="AutoShape 12">
          <a:extLst>
            <a:ext uri="{FF2B5EF4-FFF2-40B4-BE49-F238E27FC236}">
              <a16:creationId xmlns:a16="http://schemas.microsoft.com/office/drawing/2014/main" id="{01B4AA40-6997-42B0-95CF-6B24CD0EEB0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641" name="AutoShape 12">
          <a:extLst>
            <a:ext uri="{FF2B5EF4-FFF2-40B4-BE49-F238E27FC236}">
              <a16:creationId xmlns:a16="http://schemas.microsoft.com/office/drawing/2014/main" id="{7186B430-DC32-47E1-8F03-B161779F35F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642" name="AutoShape 12">
          <a:extLst>
            <a:ext uri="{FF2B5EF4-FFF2-40B4-BE49-F238E27FC236}">
              <a16:creationId xmlns:a16="http://schemas.microsoft.com/office/drawing/2014/main" id="{47B66B99-8421-4967-AA89-E985072CDCB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643" name="AutoShape 12">
          <a:extLst>
            <a:ext uri="{FF2B5EF4-FFF2-40B4-BE49-F238E27FC236}">
              <a16:creationId xmlns:a16="http://schemas.microsoft.com/office/drawing/2014/main" id="{7CE28A7F-E9CE-4ED6-9BAA-15492B40FA7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644" name="AutoShape 12">
          <a:extLst>
            <a:ext uri="{FF2B5EF4-FFF2-40B4-BE49-F238E27FC236}">
              <a16:creationId xmlns:a16="http://schemas.microsoft.com/office/drawing/2014/main" id="{94B1F557-9318-4269-8567-5B0FA37F69B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645" name="AutoShape 12">
          <a:extLst>
            <a:ext uri="{FF2B5EF4-FFF2-40B4-BE49-F238E27FC236}">
              <a16:creationId xmlns:a16="http://schemas.microsoft.com/office/drawing/2014/main" id="{4800345E-7705-4546-96C0-E8DE845A4EA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646" name="AutoShape 12">
          <a:extLst>
            <a:ext uri="{FF2B5EF4-FFF2-40B4-BE49-F238E27FC236}">
              <a16:creationId xmlns:a16="http://schemas.microsoft.com/office/drawing/2014/main" id="{7539A1D1-A6AA-4250-826B-90D6F882E43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647" name="AutoShape 12">
          <a:extLst>
            <a:ext uri="{FF2B5EF4-FFF2-40B4-BE49-F238E27FC236}">
              <a16:creationId xmlns:a16="http://schemas.microsoft.com/office/drawing/2014/main" id="{8EC6E416-BEF9-43A5-A492-F19D025E64B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648" name="AutoShape 12">
          <a:extLst>
            <a:ext uri="{FF2B5EF4-FFF2-40B4-BE49-F238E27FC236}">
              <a16:creationId xmlns:a16="http://schemas.microsoft.com/office/drawing/2014/main" id="{38192F62-9950-422F-AC1F-2BDFDAE6561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649" name="AutoShape 12">
          <a:extLst>
            <a:ext uri="{FF2B5EF4-FFF2-40B4-BE49-F238E27FC236}">
              <a16:creationId xmlns:a16="http://schemas.microsoft.com/office/drawing/2014/main" id="{0F0FDC19-D57E-4C01-BC13-6CD541A7740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650" name="AutoShape 12">
          <a:extLst>
            <a:ext uri="{FF2B5EF4-FFF2-40B4-BE49-F238E27FC236}">
              <a16:creationId xmlns:a16="http://schemas.microsoft.com/office/drawing/2014/main" id="{9D77B8E7-C02E-4790-A5BD-B140BFB4993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651" name="AutoShape 12">
          <a:extLst>
            <a:ext uri="{FF2B5EF4-FFF2-40B4-BE49-F238E27FC236}">
              <a16:creationId xmlns:a16="http://schemas.microsoft.com/office/drawing/2014/main" id="{7068ACF4-6AFC-4F50-B3A0-54EBE8F2A93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652" name="AutoShape 12">
          <a:extLst>
            <a:ext uri="{FF2B5EF4-FFF2-40B4-BE49-F238E27FC236}">
              <a16:creationId xmlns:a16="http://schemas.microsoft.com/office/drawing/2014/main" id="{DD8CC364-40F8-4198-B456-C45EF0E398D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653" name="AutoShape 12">
          <a:extLst>
            <a:ext uri="{FF2B5EF4-FFF2-40B4-BE49-F238E27FC236}">
              <a16:creationId xmlns:a16="http://schemas.microsoft.com/office/drawing/2014/main" id="{032A6C9F-614D-4112-B029-114993FDD4E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654" name="AutoShape 12">
          <a:extLst>
            <a:ext uri="{FF2B5EF4-FFF2-40B4-BE49-F238E27FC236}">
              <a16:creationId xmlns:a16="http://schemas.microsoft.com/office/drawing/2014/main" id="{42AA8CF4-150D-418F-99C8-ED477144B33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655" name="AutoShape 12">
          <a:extLst>
            <a:ext uri="{FF2B5EF4-FFF2-40B4-BE49-F238E27FC236}">
              <a16:creationId xmlns:a16="http://schemas.microsoft.com/office/drawing/2014/main" id="{4ECAC82E-5A5E-4EC8-9F89-285E861DBAC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656" name="AutoShape 12">
          <a:extLst>
            <a:ext uri="{FF2B5EF4-FFF2-40B4-BE49-F238E27FC236}">
              <a16:creationId xmlns:a16="http://schemas.microsoft.com/office/drawing/2014/main" id="{D45BD096-EDD1-410F-BFAE-99077456622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657" name="AutoShape 12">
          <a:extLst>
            <a:ext uri="{FF2B5EF4-FFF2-40B4-BE49-F238E27FC236}">
              <a16:creationId xmlns:a16="http://schemas.microsoft.com/office/drawing/2014/main" id="{774C0DCB-873B-4932-9D82-8A771A24BB5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658" name="AutoShape 12">
          <a:extLst>
            <a:ext uri="{FF2B5EF4-FFF2-40B4-BE49-F238E27FC236}">
              <a16:creationId xmlns:a16="http://schemas.microsoft.com/office/drawing/2014/main" id="{3425A7C1-7FB0-455D-A689-81E2AD7AD7E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659" name="AutoShape 12">
          <a:extLst>
            <a:ext uri="{FF2B5EF4-FFF2-40B4-BE49-F238E27FC236}">
              <a16:creationId xmlns:a16="http://schemas.microsoft.com/office/drawing/2014/main" id="{7DB9F123-56D2-463D-882C-34ED8176DA4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660" name="AutoShape 12">
          <a:extLst>
            <a:ext uri="{FF2B5EF4-FFF2-40B4-BE49-F238E27FC236}">
              <a16:creationId xmlns:a16="http://schemas.microsoft.com/office/drawing/2014/main" id="{2E0727CB-FCE6-4175-9E69-4DEBAE8C977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661" name="AutoShape 12">
          <a:extLst>
            <a:ext uri="{FF2B5EF4-FFF2-40B4-BE49-F238E27FC236}">
              <a16:creationId xmlns:a16="http://schemas.microsoft.com/office/drawing/2014/main" id="{BE1998E0-2F74-4EF0-812C-4650BE2D5E9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662" name="AutoShape 12">
          <a:extLst>
            <a:ext uri="{FF2B5EF4-FFF2-40B4-BE49-F238E27FC236}">
              <a16:creationId xmlns:a16="http://schemas.microsoft.com/office/drawing/2014/main" id="{A05A9BEF-8CBA-45BA-A734-88494A3B6CD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663" name="AutoShape 12">
          <a:extLst>
            <a:ext uri="{FF2B5EF4-FFF2-40B4-BE49-F238E27FC236}">
              <a16:creationId xmlns:a16="http://schemas.microsoft.com/office/drawing/2014/main" id="{E5F9DE3B-311A-4437-815A-11F780D383B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664" name="AutoShape 12">
          <a:extLst>
            <a:ext uri="{FF2B5EF4-FFF2-40B4-BE49-F238E27FC236}">
              <a16:creationId xmlns:a16="http://schemas.microsoft.com/office/drawing/2014/main" id="{F01BA303-ED0C-44F5-BB29-CFC15EFB4EB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665" name="AutoShape 12">
          <a:extLst>
            <a:ext uri="{FF2B5EF4-FFF2-40B4-BE49-F238E27FC236}">
              <a16:creationId xmlns:a16="http://schemas.microsoft.com/office/drawing/2014/main" id="{2DE958F5-BD5A-492A-BDD8-9A695AF8B2F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666" name="AutoShape 12">
          <a:extLst>
            <a:ext uri="{FF2B5EF4-FFF2-40B4-BE49-F238E27FC236}">
              <a16:creationId xmlns:a16="http://schemas.microsoft.com/office/drawing/2014/main" id="{B79BC353-D7FE-4F3A-98B0-02113280128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667" name="AutoShape 12">
          <a:extLst>
            <a:ext uri="{FF2B5EF4-FFF2-40B4-BE49-F238E27FC236}">
              <a16:creationId xmlns:a16="http://schemas.microsoft.com/office/drawing/2014/main" id="{89FF762A-0703-4D8B-B213-1284771A5F8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668" name="AutoShape 12">
          <a:extLst>
            <a:ext uri="{FF2B5EF4-FFF2-40B4-BE49-F238E27FC236}">
              <a16:creationId xmlns:a16="http://schemas.microsoft.com/office/drawing/2014/main" id="{1A64EFBA-09B9-4F02-97FF-6531DCBC5AF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669" name="AutoShape 12">
          <a:extLst>
            <a:ext uri="{FF2B5EF4-FFF2-40B4-BE49-F238E27FC236}">
              <a16:creationId xmlns:a16="http://schemas.microsoft.com/office/drawing/2014/main" id="{211DFCFF-FF03-4679-A1B2-74F6F024EB1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670" name="AutoShape 12">
          <a:extLst>
            <a:ext uri="{FF2B5EF4-FFF2-40B4-BE49-F238E27FC236}">
              <a16:creationId xmlns:a16="http://schemas.microsoft.com/office/drawing/2014/main" id="{A643B3A7-7865-44EE-BC6A-88DEB14364A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671" name="AutoShape 12">
          <a:extLst>
            <a:ext uri="{FF2B5EF4-FFF2-40B4-BE49-F238E27FC236}">
              <a16:creationId xmlns:a16="http://schemas.microsoft.com/office/drawing/2014/main" id="{77109D4C-16FF-40FA-8D7C-80D5AC49799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672" name="AutoShape 12">
          <a:extLst>
            <a:ext uri="{FF2B5EF4-FFF2-40B4-BE49-F238E27FC236}">
              <a16:creationId xmlns:a16="http://schemas.microsoft.com/office/drawing/2014/main" id="{8B34E422-65B3-4F70-8A18-B53ECF023B5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673" name="AutoShape 12">
          <a:extLst>
            <a:ext uri="{FF2B5EF4-FFF2-40B4-BE49-F238E27FC236}">
              <a16:creationId xmlns:a16="http://schemas.microsoft.com/office/drawing/2014/main" id="{F241EC13-938A-4475-BA00-D177B6CA9BB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674" name="AutoShape 12">
          <a:extLst>
            <a:ext uri="{FF2B5EF4-FFF2-40B4-BE49-F238E27FC236}">
              <a16:creationId xmlns:a16="http://schemas.microsoft.com/office/drawing/2014/main" id="{7ABD7F80-5638-4B00-A930-6AFA7C1778C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675" name="AutoShape 12">
          <a:extLst>
            <a:ext uri="{FF2B5EF4-FFF2-40B4-BE49-F238E27FC236}">
              <a16:creationId xmlns:a16="http://schemas.microsoft.com/office/drawing/2014/main" id="{745B7221-BA19-4996-BAD7-7A278709978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676" name="AutoShape 12">
          <a:extLst>
            <a:ext uri="{FF2B5EF4-FFF2-40B4-BE49-F238E27FC236}">
              <a16:creationId xmlns:a16="http://schemas.microsoft.com/office/drawing/2014/main" id="{46694FC4-B488-4716-903A-B0DF9466E9C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677" name="AutoShape 12">
          <a:extLst>
            <a:ext uri="{FF2B5EF4-FFF2-40B4-BE49-F238E27FC236}">
              <a16:creationId xmlns:a16="http://schemas.microsoft.com/office/drawing/2014/main" id="{9773A6C7-829E-45E9-B7F5-C831AD5225F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678" name="AutoShape 12">
          <a:extLst>
            <a:ext uri="{FF2B5EF4-FFF2-40B4-BE49-F238E27FC236}">
              <a16:creationId xmlns:a16="http://schemas.microsoft.com/office/drawing/2014/main" id="{9F8B41B9-73D4-41E9-A85B-A1ED028C419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679" name="AutoShape 12">
          <a:extLst>
            <a:ext uri="{FF2B5EF4-FFF2-40B4-BE49-F238E27FC236}">
              <a16:creationId xmlns:a16="http://schemas.microsoft.com/office/drawing/2014/main" id="{302830E4-3E27-469B-B82E-57C5058C860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680" name="AutoShape 12">
          <a:extLst>
            <a:ext uri="{FF2B5EF4-FFF2-40B4-BE49-F238E27FC236}">
              <a16:creationId xmlns:a16="http://schemas.microsoft.com/office/drawing/2014/main" id="{2FE6C617-FBB1-4FF8-8631-6FB6175B094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681" name="AutoShape 12">
          <a:extLst>
            <a:ext uri="{FF2B5EF4-FFF2-40B4-BE49-F238E27FC236}">
              <a16:creationId xmlns:a16="http://schemas.microsoft.com/office/drawing/2014/main" id="{129095AE-3ECC-4BCD-86D8-6A9C873673E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682" name="AutoShape 12">
          <a:extLst>
            <a:ext uri="{FF2B5EF4-FFF2-40B4-BE49-F238E27FC236}">
              <a16:creationId xmlns:a16="http://schemas.microsoft.com/office/drawing/2014/main" id="{7CC3A0C7-98AB-4778-B808-E91199F28F5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683" name="AutoShape 12">
          <a:extLst>
            <a:ext uri="{FF2B5EF4-FFF2-40B4-BE49-F238E27FC236}">
              <a16:creationId xmlns:a16="http://schemas.microsoft.com/office/drawing/2014/main" id="{04D29509-31E5-4B01-AB8B-C13A903829C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684" name="AutoShape 12">
          <a:extLst>
            <a:ext uri="{FF2B5EF4-FFF2-40B4-BE49-F238E27FC236}">
              <a16:creationId xmlns:a16="http://schemas.microsoft.com/office/drawing/2014/main" id="{D4262B7B-5EC6-4BD0-B10F-20466C3E320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685" name="AutoShape 12">
          <a:extLst>
            <a:ext uri="{FF2B5EF4-FFF2-40B4-BE49-F238E27FC236}">
              <a16:creationId xmlns:a16="http://schemas.microsoft.com/office/drawing/2014/main" id="{3C500F9F-42AE-4799-BB44-5C95BA15D88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686" name="AutoShape 12">
          <a:extLst>
            <a:ext uri="{FF2B5EF4-FFF2-40B4-BE49-F238E27FC236}">
              <a16:creationId xmlns:a16="http://schemas.microsoft.com/office/drawing/2014/main" id="{4BEB2531-B68A-44D5-95D7-772AA4F2DF1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687" name="AutoShape 12">
          <a:extLst>
            <a:ext uri="{FF2B5EF4-FFF2-40B4-BE49-F238E27FC236}">
              <a16:creationId xmlns:a16="http://schemas.microsoft.com/office/drawing/2014/main" id="{18B12C00-E937-404C-B710-2D163FBB7D9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688" name="AutoShape 12">
          <a:extLst>
            <a:ext uri="{FF2B5EF4-FFF2-40B4-BE49-F238E27FC236}">
              <a16:creationId xmlns:a16="http://schemas.microsoft.com/office/drawing/2014/main" id="{1A61C461-BFF3-44D2-9DE1-280B73F7A63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689" name="AutoShape 12">
          <a:extLst>
            <a:ext uri="{FF2B5EF4-FFF2-40B4-BE49-F238E27FC236}">
              <a16:creationId xmlns:a16="http://schemas.microsoft.com/office/drawing/2014/main" id="{2326211A-5196-48EF-81FE-4D2892803DC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690" name="AutoShape 12">
          <a:extLst>
            <a:ext uri="{FF2B5EF4-FFF2-40B4-BE49-F238E27FC236}">
              <a16:creationId xmlns:a16="http://schemas.microsoft.com/office/drawing/2014/main" id="{E90BA3D4-1AC2-4659-B012-0359D55C77E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691" name="AutoShape 12">
          <a:extLst>
            <a:ext uri="{FF2B5EF4-FFF2-40B4-BE49-F238E27FC236}">
              <a16:creationId xmlns:a16="http://schemas.microsoft.com/office/drawing/2014/main" id="{8D1D203D-159A-4F7D-B047-B9F025CE36F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692" name="AutoShape 12">
          <a:extLst>
            <a:ext uri="{FF2B5EF4-FFF2-40B4-BE49-F238E27FC236}">
              <a16:creationId xmlns:a16="http://schemas.microsoft.com/office/drawing/2014/main" id="{75C8AC76-756E-4F93-9CB5-73B03D50C11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693" name="AutoShape 12">
          <a:extLst>
            <a:ext uri="{FF2B5EF4-FFF2-40B4-BE49-F238E27FC236}">
              <a16:creationId xmlns:a16="http://schemas.microsoft.com/office/drawing/2014/main" id="{91D06A9A-32C3-4CFA-8828-8A3964CF0F1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694" name="AutoShape 12">
          <a:extLst>
            <a:ext uri="{FF2B5EF4-FFF2-40B4-BE49-F238E27FC236}">
              <a16:creationId xmlns:a16="http://schemas.microsoft.com/office/drawing/2014/main" id="{65053376-2FD3-40F7-B19A-7B56CCAFA1E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695" name="AutoShape 12">
          <a:extLst>
            <a:ext uri="{FF2B5EF4-FFF2-40B4-BE49-F238E27FC236}">
              <a16:creationId xmlns:a16="http://schemas.microsoft.com/office/drawing/2014/main" id="{06108DE8-B571-4168-822F-FEC9079D020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696" name="AutoShape 12">
          <a:extLst>
            <a:ext uri="{FF2B5EF4-FFF2-40B4-BE49-F238E27FC236}">
              <a16:creationId xmlns:a16="http://schemas.microsoft.com/office/drawing/2014/main" id="{BFDF1320-6E2B-496D-B142-ECDBF000DCB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697" name="AutoShape 12">
          <a:extLst>
            <a:ext uri="{FF2B5EF4-FFF2-40B4-BE49-F238E27FC236}">
              <a16:creationId xmlns:a16="http://schemas.microsoft.com/office/drawing/2014/main" id="{8A0FDF1E-E176-4E8C-85C2-618ECEC7E5D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698" name="AutoShape 12">
          <a:extLst>
            <a:ext uri="{FF2B5EF4-FFF2-40B4-BE49-F238E27FC236}">
              <a16:creationId xmlns:a16="http://schemas.microsoft.com/office/drawing/2014/main" id="{33D1F2AF-4BF5-4EFC-A2CD-F05E30BFDBC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699" name="AutoShape 12">
          <a:extLst>
            <a:ext uri="{FF2B5EF4-FFF2-40B4-BE49-F238E27FC236}">
              <a16:creationId xmlns:a16="http://schemas.microsoft.com/office/drawing/2014/main" id="{1E206F7C-116A-45E0-A0F0-5A196CA13CA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700" name="AutoShape 12">
          <a:extLst>
            <a:ext uri="{FF2B5EF4-FFF2-40B4-BE49-F238E27FC236}">
              <a16:creationId xmlns:a16="http://schemas.microsoft.com/office/drawing/2014/main" id="{7AF48EF4-0E3A-489A-A5A0-B0652DE95B1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701" name="AutoShape 12">
          <a:extLst>
            <a:ext uri="{FF2B5EF4-FFF2-40B4-BE49-F238E27FC236}">
              <a16:creationId xmlns:a16="http://schemas.microsoft.com/office/drawing/2014/main" id="{C1F58BA8-69DC-423D-B292-E6C66ABA410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702" name="AutoShape 12">
          <a:extLst>
            <a:ext uri="{FF2B5EF4-FFF2-40B4-BE49-F238E27FC236}">
              <a16:creationId xmlns:a16="http://schemas.microsoft.com/office/drawing/2014/main" id="{DB04A7C2-7005-4F89-B22B-F128AD55517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703" name="AutoShape 12">
          <a:extLst>
            <a:ext uri="{FF2B5EF4-FFF2-40B4-BE49-F238E27FC236}">
              <a16:creationId xmlns:a16="http://schemas.microsoft.com/office/drawing/2014/main" id="{F7725D57-2475-41E2-AEFA-1000D2D5BAC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704" name="AutoShape 12">
          <a:extLst>
            <a:ext uri="{FF2B5EF4-FFF2-40B4-BE49-F238E27FC236}">
              <a16:creationId xmlns:a16="http://schemas.microsoft.com/office/drawing/2014/main" id="{62D3748B-4CD0-4353-9ED9-60123BA8842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705" name="AutoShape 12">
          <a:extLst>
            <a:ext uri="{FF2B5EF4-FFF2-40B4-BE49-F238E27FC236}">
              <a16:creationId xmlns:a16="http://schemas.microsoft.com/office/drawing/2014/main" id="{53DB9992-9A25-432F-B0E3-948A6ED2B2C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706" name="AutoShape 12">
          <a:extLst>
            <a:ext uri="{FF2B5EF4-FFF2-40B4-BE49-F238E27FC236}">
              <a16:creationId xmlns:a16="http://schemas.microsoft.com/office/drawing/2014/main" id="{CEACBFEC-73B8-4198-81C2-FFC6E67C42F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707" name="AutoShape 12">
          <a:extLst>
            <a:ext uri="{FF2B5EF4-FFF2-40B4-BE49-F238E27FC236}">
              <a16:creationId xmlns:a16="http://schemas.microsoft.com/office/drawing/2014/main" id="{BDF5316D-D7AF-4BC5-AC46-9D25BED6926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708" name="AutoShape 12">
          <a:extLst>
            <a:ext uri="{FF2B5EF4-FFF2-40B4-BE49-F238E27FC236}">
              <a16:creationId xmlns:a16="http://schemas.microsoft.com/office/drawing/2014/main" id="{7198DE16-E566-4A27-BB27-F67E495E537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709" name="AutoShape 12">
          <a:extLst>
            <a:ext uri="{FF2B5EF4-FFF2-40B4-BE49-F238E27FC236}">
              <a16:creationId xmlns:a16="http://schemas.microsoft.com/office/drawing/2014/main" id="{A34533E9-7B2C-48C9-9D94-E0B7888E8BD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710" name="AutoShape 12">
          <a:extLst>
            <a:ext uri="{FF2B5EF4-FFF2-40B4-BE49-F238E27FC236}">
              <a16:creationId xmlns:a16="http://schemas.microsoft.com/office/drawing/2014/main" id="{2D1A8C60-A9BA-4C43-AD77-B9FC54FE5D1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711" name="AutoShape 12">
          <a:extLst>
            <a:ext uri="{FF2B5EF4-FFF2-40B4-BE49-F238E27FC236}">
              <a16:creationId xmlns:a16="http://schemas.microsoft.com/office/drawing/2014/main" id="{39F60527-85C4-41FB-875A-F348E78F47F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712" name="AutoShape 12">
          <a:extLst>
            <a:ext uri="{FF2B5EF4-FFF2-40B4-BE49-F238E27FC236}">
              <a16:creationId xmlns:a16="http://schemas.microsoft.com/office/drawing/2014/main" id="{0B93F60E-826E-42F1-8049-36AB5788A87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713" name="AutoShape 12">
          <a:extLst>
            <a:ext uri="{FF2B5EF4-FFF2-40B4-BE49-F238E27FC236}">
              <a16:creationId xmlns:a16="http://schemas.microsoft.com/office/drawing/2014/main" id="{0713C58E-9262-454F-9016-6CE78218B1B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714" name="AutoShape 12">
          <a:extLst>
            <a:ext uri="{FF2B5EF4-FFF2-40B4-BE49-F238E27FC236}">
              <a16:creationId xmlns:a16="http://schemas.microsoft.com/office/drawing/2014/main" id="{CB2440C1-7F29-41EB-BEDF-B8FFB357610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715" name="AutoShape 12">
          <a:extLst>
            <a:ext uri="{FF2B5EF4-FFF2-40B4-BE49-F238E27FC236}">
              <a16:creationId xmlns:a16="http://schemas.microsoft.com/office/drawing/2014/main" id="{6F1CB8ED-E39A-4D64-BB81-BC5D3146D9D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716" name="AutoShape 12">
          <a:extLst>
            <a:ext uri="{FF2B5EF4-FFF2-40B4-BE49-F238E27FC236}">
              <a16:creationId xmlns:a16="http://schemas.microsoft.com/office/drawing/2014/main" id="{4D448592-C05A-4D09-A6B0-5F7E0362153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717" name="AutoShape 12">
          <a:extLst>
            <a:ext uri="{FF2B5EF4-FFF2-40B4-BE49-F238E27FC236}">
              <a16:creationId xmlns:a16="http://schemas.microsoft.com/office/drawing/2014/main" id="{76AD7387-56AC-41F3-844A-51059E19A7B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718" name="AutoShape 12">
          <a:extLst>
            <a:ext uri="{FF2B5EF4-FFF2-40B4-BE49-F238E27FC236}">
              <a16:creationId xmlns:a16="http://schemas.microsoft.com/office/drawing/2014/main" id="{E8DCEE55-A7D8-4878-B742-DAF7CC16C95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719" name="AutoShape 12">
          <a:extLst>
            <a:ext uri="{FF2B5EF4-FFF2-40B4-BE49-F238E27FC236}">
              <a16:creationId xmlns:a16="http://schemas.microsoft.com/office/drawing/2014/main" id="{61D81CE9-6A06-4460-A89B-DDDAAE15044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720" name="AutoShape 12">
          <a:extLst>
            <a:ext uri="{FF2B5EF4-FFF2-40B4-BE49-F238E27FC236}">
              <a16:creationId xmlns:a16="http://schemas.microsoft.com/office/drawing/2014/main" id="{0FD23674-768E-473F-ADC0-E6708AFCD64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721" name="AutoShape 12">
          <a:extLst>
            <a:ext uri="{FF2B5EF4-FFF2-40B4-BE49-F238E27FC236}">
              <a16:creationId xmlns:a16="http://schemas.microsoft.com/office/drawing/2014/main" id="{562ABBA8-7F9B-480A-8E3B-5B2BF218A1B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722" name="AutoShape 12">
          <a:extLst>
            <a:ext uri="{FF2B5EF4-FFF2-40B4-BE49-F238E27FC236}">
              <a16:creationId xmlns:a16="http://schemas.microsoft.com/office/drawing/2014/main" id="{75A15570-673E-48FF-9885-BB7D824FAE6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723" name="AutoShape 12">
          <a:extLst>
            <a:ext uri="{FF2B5EF4-FFF2-40B4-BE49-F238E27FC236}">
              <a16:creationId xmlns:a16="http://schemas.microsoft.com/office/drawing/2014/main" id="{1ACDF2FF-96B8-4FF1-8822-E6FE30A902C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724" name="AutoShape 12">
          <a:extLst>
            <a:ext uri="{FF2B5EF4-FFF2-40B4-BE49-F238E27FC236}">
              <a16:creationId xmlns:a16="http://schemas.microsoft.com/office/drawing/2014/main" id="{C4C3B29F-C0F5-4DE7-A076-E0425B26869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725" name="AutoShape 12">
          <a:extLst>
            <a:ext uri="{FF2B5EF4-FFF2-40B4-BE49-F238E27FC236}">
              <a16:creationId xmlns:a16="http://schemas.microsoft.com/office/drawing/2014/main" id="{E28079AA-C0DC-4F5B-9708-8279C4923C5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726" name="AutoShape 12">
          <a:extLst>
            <a:ext uri="{FF2B5EF4-FFF2-40B4-BE49-F238E27FC236}">
              <a16:creationId xmlns:a16="http://schemas.microsoft.com/office/drawing/2014/main" id="{E6D3FA37-9369-45AC-BE1A-69744758A1C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727" name="AutoShape 12">
          <a:extLst>
            <a:ext uri="{FF2B5EF4-FFF2-40B4-BE49-F238E27FC236}">
              <a16:creationId xmlns:a16="http://schemas.microsoft.com/office/drawing/2014/main" id="{D46BC68A-D5D3-4553-8E0B-F8FC0E427F8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728" name="AutoShape 12">
          <a:extLst>
            <a:ext uri="{FF2B5EF4-FFF2-40B4-BE49-F238E27FC236}">
              <a16:creationId xmlns:a16="http://schemas.microsoft.com/office/drawing/2014/main" id="{23CDFBB9-EFC1-48F3-AEED-39E43997DB9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729" name="AutoShape 12">
          <a:extLst>
            <a:ext uri="{FF2B5EF4-FFF2-40B4-BE49-F238E27FC236}">
              <a16:creationId xmlns:a16="http://schemas.microsoft.com/office/drawing/2014/main" id="{E85CFBF7-40F9-4504-9D3E-B23426F287D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730" name="AutoShape 12">
          <a:extLst>
            <a:ext uri="{FF2B5EF4-FFF2-40B4-BE49-F238E27FC236}">
              <a16:creationId xmlns:a16="http://schemas.microsoft.com/office/drawing/2014/main" id="{E9C888EA-C27E-491F-A9C4-58ECC15E28A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731" name="AutoShape 12">
          <a:extLst>
            <a:ext uri="{FF2B5EF4-FFF2-40B4-BE49-F238E27FC236}">
              <a16:creationId xmlns:a16="http://schemas.microsoft.com/office/drawing/2014/main" id="{0B0C0416-6332-49E2-8408-F3532B39C9B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732" name="AutoShape 12">
          <a:extLst>
            <a:ext uri="{FF2B5EF4-FFF2-40B4-BE49-F238E27FC236}">
              <a16:creationId xmlns:a16="http://schemas.microsoft.com/office/drawing/2014/main" id="{D1F6BA49-D5B7-4307-8404-72EC0D196FE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733" name="AutoShape 12">
          <a:extLst>
            <a:ext uri="{FF2B5EF4-FFF2-40B4-BE49-F238E27FC236}">
              <a16:creationId xmlns:a16="http://schemas.microsoft.com/office/drawing/2014/main" id="{93608053-0139-4F31-9F29-213298D3CF3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734" name="AutoShape 12">
          <a:extLst>
            <a:ext uri="{FF2B5EF4-FFF2-40B4-BE49-F238E27FC236}">
              <a16:creationId xmlns:a16="http://schemas.microsoft.com/office/drawing/2014/main" id="{BC1B4D78-5873-4BEE-92B6-CB6AAC70E98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735" name="AutoShape 12">
          <a:extLst>
            <a:ext uri="{FF2B5EF4-FFF2-40B4-BE49-F238E27FC236}">
              <a16:creationId xmlns:a16="http://schemas.microsoft.com/office/drawing/2014/main" id="{0DE22EA3-1519-4B75-9B97-E74E4D82BD6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736" name="AutoShape 12">
          <a:extLst>
            <a:ext uri="{FF2B5EF4-FFF2-40B4-BE49-F238E27FC236}">
              <a16:creationId xmlns:a16="http://schemas.microsoft.com/office/drawing/2014/main" id="{EDF8D982-5270-4D40-B470-7D55D560164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737" name="AutoShape 12">
          <a:extLst>
            <a:ext uri="{FF2B5EF4-FFF2-40B4-BE49-F238E27FC236}">
              <a16:creationId xmlns:a16="http://schemas.microsoft.com/office/drawing/2014/main" id="{2370635F-665A-49A8-999E-E4C9063C4AE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738" name="AutoShape 12">
          <a:extLst>
            <a:ext uri="{FF2B5EF4-FFF2-40B4-BE49-F238E27FC236}">
              <a16:creationId xmlns:a16="http://schemas.microsoft.com/office/drawing/2014/main" id="{095224D7-2E8A-48AE-8340-187AC39378C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739" name="AutoShape 12">
          <a:extLst>
            <a:ext uri="{FF2B5EF4-FFF2-40B4-BE49-F238E27FC236}">
              <a16:creationId xmlns:a16="http://schemas.microsoft.com/office/drawing/2014/main" id="{B98F2C93-6A75-4FBD-A863-0D4298CCFDC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740" name="AutoShape 12">
          <a:extLst>
            <a:ext uri="{FF2B5EF4-FFF2-40B4-BE49-F238E27FC236}">
              <a16:creationId xmlns:a16="http://schemas.microsoft.com/office/drawing/2014/main" id="{545E8708-31B9-43D8-94A3-1F296910A08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741" name="AutoShape 12">
          <a:extLst>
            <a:ext uri="{FF2B5EF4-FFF2-40B4-BE49-F238E27FC236}">
              <a16:creationId xmlns:a16="http://schemas.microsoft.com/office/drawing/2014/main" id="{597FAE33-296A-4840-8FB3-55B71F839ED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742" name="AutoShape 12">
          <a:extLst>
            <a:ext uri="{FF2B5EF4-FFF2-40B4-BE49-F238E27FC236}">
              <a16:creationId xmlns:a16="http://schemas.microsoft.com/office/drawing/2014/main" id="{105471DF-4923-4E16-B147-FE76FCBA67B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743" name="AutoShape 12">
          <a:extLst>
            <a:ext uri="{FF2B5EF4-FFF2-40B4-BE49-F238E27FC236}">
              <a16:creationId xmlns:a16="http://schemas.microsoft.com/office/drawing/2014/main" id="{AD50B0A2-AF2C-4CED-8236-B0203DD650C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744" name="AutoShape 12">
          <a:extLst>
            <a:ext uri="{FF2B5EF4-FFF2-40B4-BE49-F238E27FC236}">
              <a16:creationId xmlns:a16="http://schemas.microsoft.com/office/drawing/2014/main" id="{3D25A734-93F1-463E-94D9-5951DE55B4A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745" name="AutoShape 12">
          <a:extLst>
            <a:ext uri="{FF2B5EF4-FFF2-40B4-BE49-F238E27FC236}">
              <a16:creationId xmlns:a16="http://schemas.microsoft.com/office/drawing/2014/main" id="{5AC42FC3-5840-4805-A191-0C626C2A33F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746" name="AutoShape 12">
          <a:extLst>
            <a:ext uri="{FF2B5EF4-FFF2-40B4-BE49-F238E27FC236}">
              <a16:creationId xmlns:a16="http://schemas.microsoft.com/office/drawing/2014/main" id="{CFE7EAF6-43C9-41A7-9703-B7BE7AF7870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747" name="AutoShape 12">
          <a:extLst>
            <a:ext uri="{FF2B5EF4-FFF2-40B4-BE49-F238E27FC236}">
              <a16:creationId xmlns:a16="http://schemas.microsoft.com/office/drawing/2014/main" id="{2AE07A91-3D66-4130-87A7-3A0BD29A640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748" name="AutoShape 12">
          <a:extLst>
            <a:ext uri="{FF2B5EF4-FFF2-40B4-BE49-F238E27FC236}">
              <a16:creationId xmlns:a16="http://schemas.microsoft.com/office/drawing/2014/main" id="{8955FB8C-BF55-44DB-BDDB-2158E9AD5BD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749" name="AutoShape 12">
          <a:extLst>
            <a:ext uri="{FF2B5EF4-FFF2-40B4-BE49-F238E27FC236}">
              <a16:creationId xmlns:a16="http://schemas.microsoft.com/office/drawing/2014/main" id="{647C7CB4-3CCB-4296-AB57-C56F8AD21D2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750" name="AutoShape 12">
          <a:extLst>
            <a:ext uri="{FF2B5EF4-FFF2-40B4-BE49-F238E27FC236}">
              <a16:creationId xmlns:a16="http://schemas.microsoft.com/office/drawing/2014/main" id="{5BC44C76-4562-4C7B-B0B8-EAF3DBC9603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751" name="AutoShape 12">
          <a:extLst>
            <a:ext uri="{FF2B5EF4-FFF2-40B4-BE49-F238E27FC236}">
              <a16:creationId xmlns:a16="http://schemas.microsoft.com/office/drawing/2014/main" id="{AD46C394-C251-4837-B127-5837197FA16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752" name="AutoShape 12">
          <a:extLst>
            <a:ext uri="{FF2B5EF4-FFF2-40B4-BE49-F238E27FC236}">
              <a16:creationId xmlns:a16="http://schemas.microsoft.com/office/drawing/2014/main" id="{8D466B5D-D0BA-41BE-8DF7-22E88372B89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753" name="AutoShape 12">
          <a:extLst>
            <a:ext uri="{FF2B5EF4-FFF2-40B4-BE49-F238E27FC236}">
              <a16:creationId xmlns:a16="http://schemas.microsoft.com/office/drawing/2014/main" id="{2D1546A5-7CCF-4540-9AC2-C8D8AFDA5F2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754" name="AutoShape 12">
          <a:extLst>
            <a:ext uri="{FF2B5EF4-FFF2-40B4-BE49-F238E27FC236}">
              <a16:creationId xmlns:a16="http://schemas.microsoft.com/office/drawing/2014/main" id="{5F72E7B8-2559-4524-8E16-E4E41F812AF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755" name="AutoShape 12">
          <a:extLst>
            <a:ext uri="{FF2B5EF4-FFF2-40B4-BE49-F238E27FC236}">
              <a16:creationId xmlns:a16="http://schemas.microsoft.com/office/drawing/2014/main" id="{7EFC6612-670A-4C43-906B-6B2819D3D4D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756" name="AutoShape 12">
          <a:extLst>
            <a:ext uri="{FF2B5EF4-FFF2-40B4-BE49-F238E27FC236}">
              <a16:creationId xmlns:a16="http://schemas.microsoft.com/office/drawing/2014/main" id="{AC1DB902-9536-4701-AE85-2F6CF79266C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757" name="AutoShape 12">
          <a:extLst>
            <a:ext uri="{FF2B5EF4-FFF2-40B4-BE49-F238E27FC236}">
              <a16:creationId xmlns:a16="http://schemas.microsoft.com/office/drawing/2014/main" id="{D788423B-CF2C-453F-855A-B144708CB54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758" name="AutoShape 12">
          <a:extLst>
            <a:ext uri="{FF2B5EF4-FFF2-40B4-BE49-F238E27FC236}">
              <a16:creationId xmlns:a16="http://schemas.microsoft.com/office/drawing/2014/main" id="{77AA019E-FD02-452F-A4AF-29248497037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759" name="AutoShape 12">
          <a:extLst>
            <a:ext uri="{FF2B5EF4-FFF2-40B4-BE49-F238E27FC236}">
              <a16:creationId xmlns:a16="http://schemas.microsoft.com/office/drawing/2014/main" id="{7A20B4EA-FAD7-44A6-8338-FFF9B453DE6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760" name="AutoShape 12">
          <a:extLst>
            <a:ext uri="{FF2B5EF4-FFF2-40B4-BE49-F238E27FC236}">
              <a16:creationId xmlns:a16="http://schemas.microsoft.com/office/drawing/2014/main" id="{4A8A1A0B-B70E-46B7-B93B-EA863D3F139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761" name="AutoShape 12">
          <a:extLst>
            <a:ext uri="{FF2B5EF4-FFF2-40B4-BE49-F238E27FC236}">
              <a16:creationId xmlns:a16="http://schemas.microsoft.com/office/drawing/2014/main" id="{2192F5BA-30D4-4E49-AFAC-479FF8AC2F9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762" name="AutoShape 12">
          <a:extLst>
            <a:ext uri="{FF2B5EF4-FFF2-40B4-BE49-F238E27FC236}">
              <a16:creationId xmlns:a16="http://schemas.microsoft.com/office/drawing/2014/main" id="{1CA59AC4-29A6-45F3-A7A6-D638ED585C5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763" name="AutoShape 12">
          <a:extLst>
            <a:ext uri="{FF2B5EF4-FFF2-40B4-BE49-F238E27FC236}">
              <a16:creationId xmlns:a16="http://schemas.microsoft.com/office/drawing/2014/main" id="{8EABDBDF-9385-4FFE-9745-BAE20451B9D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764" name="AutoShape 12">
          <a:extLst>
            <a:ext uri="{FF2B5EF4-FFF2-40B4-BE49-F238E27FC236}">
              <a16:creationId xmlns:a16="http://schemas.microsoft.com/office/drawing/2014/main" id="{31F45618-849F-4CD3-9447-D76265BF552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765" name="AutoShape 12">
          <a:extLst>
            <a:ext uri="{FF2B5EF4-FFF2-40B4-BE49-F238E27FC236}">
              <a16:creationId xmlns:a16="http://schemas.microsoft.com/office/drawing/2014/main" id="{2870EF7B-206A-4231-95A7-C02D84B21FB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766" name="AutoShape 12">
          <a:extLst>
            <a:ext uri="{FF2B5EF4-FFF2-40B4-BE49-F238E27FC236}">
              <a16:creationId xmlns:a16="http://schemas.microsoft.com/office/drawing/2014/main" id="{F7056221-445B-4578-B8FE-A5662F4A2A6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767" name="AutoShape 12">
          <a:extLst>
            <a:ext uri="{FF2B5EF4-FFF2-40B4-BE49-F238E27FC236}">
              <a16:creationId xmlns:a16="http://schemas.microsoft.com/office/drawing/2014/main" id="{FBC77012-57A8-4075-A891-2FADFE89FD7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768" name="AutoShape 12">
          <a:extLst>
            <a:ext uri="{FF2B5EF4-FFF2-40B4-BE49-F238E27FC236}">
              <a16:creationId xmlns:a16="http://schemas.microsoft.com/office/drawing/2014/main" id="{497E1007-82A3-4E68-A9B3-5AA811388F2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769" name="AutoShape 12">
          <a:extLst>
            <a:ext uri="{FF2B5EF4-FFF2-40B4-BE49-F238E27FC236}">
              <a16:creationId xmlns:a16="http://schemas.microsoft.com/office/drawing/2014/main" id="{29BB066C-59EA-40BE-BB64-C45598BEFFF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770" name="AutoShape 12">
          <a:extLst>
            <a:ext uri="{FF2B5EF4-FFF2-40B4-BE49-F238E27FC236}">
              <a16:creationId xmlns:a16="http://schemas.microsoft.com/office/drawing/2014/main" id="{A9FB5DFA-0EF3-4AD9-AE96-067D4C3EC84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771" name="AutoShape 12">
          <a:extLst>
            <a:ext uri="{FF2B5EF4-FFF2-40B4-BE49-F238E27FC236}">
              <a16:creationId xmlns:a16="http://schemas.microsoft.com/office/drawing/2014/main" id="{14D2D7FE-1F5D-490A-B8F2-69E7033FE86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772" name="AutoShape 12">
          <a:extLst>
            <a:ext uri="{FF2B5EF4-FFF2-40B4-BE49-F238E27FC236}">
              <a16:creationId xmlns:a16="http://schemas.microsoft.com/office/drawing/2014/main" id="{224FF2FE-A751-466C-BF54-A2083504CD1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773" name="AutoShape 12">
          <a:extLst>
            <a:ext uri="{FF2B5EF4-FFF2-40B4-BE49-F238E27FC236}">
              <a16:creationId xmlns:a16="http://schemas.microsoft.com/office/drawing/2014/main" id="{37C5674C-1E7B-4E3A-9153-F3D3E47E6B8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774" name="AutoShape 12">
          <a:extLst>
            <a:ext uri="{FF2B5EF4-FFF2-40B4-BE49-F238E27FC236}">
              <a16:creationId xmlns:a16="http://schemas.microsoft.com/office/drawing/2014/main" id="{27352B7A-F9B6-4B46-BD47-50129407C0D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775" name="AutoShape 12">
          <a:extLst>
            <a:ext uri="{FF2B5EF4-FFF2-40B4-BE49-F238E27FC236}">
              <a16:creationId xmlns:a16="http://schemas.microsoft.com/office/drawing/2014/main" id="{F89D1713-F0DA-4F6C-891E-4E4CEB5066A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776" name="AutoShape 12">
          <a:extLst>
            <a:ext uri="{FF2B5EF4-FFF2-40B4-BE49-F238E27FC236}">
              <a16:creationId xmlns:a16="http://schemas.microsoft.com/office/drawing/2014/main" id="{62270FCC-7E61-47BB-9AB2-410A9124B34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777" name="AutoShape 12">
          <a:extLst>
            <a:ext uri="{FF2B5EF4-FFF2-40B4-BE49-F238E27FC236}">
              <a16:creationId xmlns:a16="http://schemas.microsoft.com/office/drawing/2014/main" id="{6852DD06-E6D2-4C6B-A3BA-BDB4E99920C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778" name="AutoShape 12">
          <a:extLst>
            <a:ext uri="{FF2B5EF4-FFF2-40B4-BE49-F238E27FC236}">
              <a16:creationId xmlns:a16="http://schemas.microsoft.com/office/drawing/2014/main" id="{8E065C32-9AF0-4427-8044-770329DFDA9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779" name="AutoShape 12">
          <a:extLst>
            <a:ext uri="{FF2B5EF4-FFF2-40B4-BE49-F238E27FC236}">
              <a16:creationId xmlns:a16="http://schemas.microsoft.com/office/drawing/2014/main" id="{BD6879D6-96F6-432E-B24C-8BE19A035EC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780" name="AutoShape 12">
          <a:extLst>
            <a:ext uri="{FF2B5EF4-FFF2-40B4-BE49-F238E27FC236}">
              <a16:creationId xmlns:a16="http://schemas.microsoft.com/office/drawing/2014/main" id="{EDD3B228-5AE9-4BC8-8F8D-68E8FB3ABFA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781" name="AutoShape 12">
          <a:extLst>
            <a:ext uri="{FF2B5EF4-FFF2-40B4-BE49-F238E27FC236}">
              <a16:creationId xmlns:a16="http://schemas.microsoft.com/office/drawing/2014/main" id="{8D6174CD-34FB-4702-B5C3-601BDA3DDF9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782" name="AutoShape 12">
          <a:extLst>
            <a:ext uri="{FF2B5EF4-FFF2-40B4-BE49-F238E27FC236}">
              <a16:creationId xmlns:a16="http://schemas.microsoft.com/office/drawing/2014/main" id="{54079F09-EE0B-4F91-A78A-8B6A9CA69E6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783" name="AutoShape 12">
          <a:extLst>
            <a:ext uri="{FF2B5EF4-FFF2-40B4-BE49-F238E27FC236}">
              <a16:creationId xmlns:a16="http://schemas.microsoft.com/office/drawing/2014/main" id="{874BFF5E-FF87-4B5D-AA51-8EF09D79CBB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784" name="AutoShape 12">
          <a:extLst>
            <a:ext uri="{FF2B5EF4-FFF2-40B4-BE49-F238E27FC236}">
              <a16:creationId xmlns:a16="http://schemas.microsoft.com/office/drawing/2014/main" id="{3EFA2B26-1633-47F8-936E-0BAFB6A3BE6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785" name="AutoShape 12">
          <a:extLst>
            <a:ext uri="{FF2B5EF4-FFF2-40B4-BE49-F238E27FC236}">
              <a16:creationId xmlns:a16="http://schemas.microsoft.com/office/drawing/2014/main" id="{0C2917BC-FA1C-4D78-B2D9-7AA36DDDE46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786" name="AutoShape 12">
          <a:extLst>
            <a:ext uri="{FF2B5EF4-FFF2-40B4-BE49-F238E27FC236}">
              <a16:creationId xmlns:a16="http://schemas.microsoft.com/office/drawing/2014/main" id="{D8D39231-9069-439B-8575-DA37AADF60B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787" name="AutoShape 12">
          <a:extLst>
            <a:ext uri="{FF2B5EF4-FFF2-40B4-BE49-F238E27FC236}">
              <a16:creationId xmlns:a16="http://schemas.microsoft.com/office/drawing/2014/main" id="{5B6132C8-383D-4304-A55E-A67042C0A1D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788" name="AutoShape 12">
          <a:extLst>
            <a:ext uri="{FF2B5EF4-FFF2-40B4-BE49-F238E27FC236}">
              <a16:creationId xmlns:a16="http://schemas.microsoft.com/office/drawing/2014/main" id="{7AD082A2-4CCE-47AC-9A37-68BFD246A18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789" name="AutoShape 12">
          <a:extLst>
            <a:ext uri="{FF2B5EF4-FFF2-40B4-BE49-F238E27FC236}">
              <a16:creationId xmlns:a16="http://schemas.microsoft.com/office/drawing/2014/main" id="{9AA23701-F37C-4176-82A2-84FFD70DA3D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790" name="AutoShape 12">
          <a:extLst>
            <a:ext uri="{FF2B5EF4-FFF2-40B4-BE49-F238E27FC236}">
              <a16:creationId xmlns:a16="http://schemas.microsoft.com/office/drawing/2014/main" id="{ED76C079-95FC-4DE3-99F3-1885C641D51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791" name="AutoShape 12">
          <a:extLst>
            <a:ext uri="{FF2B5EF4-FFF2-40B4-BE49-F238E27FC236}">
              <a16:creationId xmlns:a16="http://schemas.microsoft.com/office/drawing/2014/main" id="{7565B2BB-7FDE-4704-B249-68080D5E510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792" name="AutoShape 12">
          <a:extLst>
            <a:ext uri="{FF2B5EF4-FFF2-40B4-BE49-F238E27FC236}">
              <a16:creationId xmlns:a16="http://schemas.microsoft.com/office/drawing/2014/main" id="{530F6580-6BD7-40A7-AC29-03C9E30A12F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793" name="AutoShape 12">
          <a:extLst>
            <a:ext uri="{FF2B5EF4-FFF2-40B4-BE49-F238E27FC236}">
              <a16:creationId xmlns:a16="http://schemas.microsoft.com/office/drawing/2014/main" id="{391F2D78-F737-4995-9CDA-11EF0AD8930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794" name="AutoShape 12">
          <a:extLst>
            <a:ext uri="{FF2B5EF4-FFF2-40B4-BE49-F238E27FC236}">
              <a16:creationId xmlns:a16="http://schemas.microsoft.com/office/drawing/2014/main" id="{54CBAD08-7ED7-49D4-A779-FF33CA07E53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795" name="AutoShape 12">
          <a:extLst>
            <a:ext uri="{FF2B5EF4-FFF2-40B4-BE49-F238E27FC236}">
              <a16:creationId xmlns:a16="http://schemas.microsoft.com/office/drawing/2014/main" id="{130A3705-F2C0-4A5D-98FC-96BD0949545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796" name="AutoShape 12">
          <a:extLst>
            <a:ext uri="{FF2B5EF4-FFF2-40B4-BE49-F238E27FC236}">
              <a16:creationId xmlns:a16="http://schemas.microsoft.com/office/drawing/2014/main" id="{8553EAED-14A9-419D-A8EA-B2003ED829C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797" name="AutoShape 12">
          <a:extLst>
            <a:ext uri="{FF2B5EF4-FFF2-40B4-BE49-F238E27FC236}">
              <a16:creationId xmlns:a16="http://schemas.microsoft.com/office/drawing/2014/main" id="{A4E42882-0D3A-42E6-843E-4AA7D2A511D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798" name="AutoShape 12">
          <a:extLst>
            <a:ext uri="{FF2B5EF4-FFF2-40B4-BE49-F238E27FC236}">
              <a16:creationId xmlns:a16="http://schemas.microsoft.com/office/drawing/2014/main" id="{B643541B-E3C8-4717-912D-CC4A2F0A7BF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799" name="AutoShape 12">
          <a:extLst>
            <a:ext uri="{FF2B5EF4-FFF2-40B4-BE49-F238E27FC236}">
              <a16:creationId xmlns:a16="http://schemas.microsoft.com/office/drawing/2014/main" id="{471D337F-6A9E-43AB-ABF2-772061C1253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800" name="AutoShape 12">
          <a:extLst>
            <a:ext uri="{FF2B5EF4-FFF2-40B4-BE49-F238E27FC236}">
              <a16:creationId xmlns:a16="http://schemas.microsoft.com/office/drawing/2014/main" id="{CB8A4A8C-AC1A-4BF8-9660-C496E2F9A3D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801" name="AutoShape 12">
          <a:extLst>
            <a:ext uri="{FF2B5EF4-FFF2-40B4-BE49-F238E27FC236}">
              <a16:creationId xmlns:a16="http://schemas.microsoft.com/office/drawing/2014/main" id="{DB155F67-E555-4D66-A26E-5F193CD2EEE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802" name="AutoShape 12">
          <a:extLst>
            <a:ext uri="{FF2B5EF4-FFF2-40B4-BE49-F238E27FC236}">
              <a16:creationId xmlns:a16="http://schemas.microsoft.com/office/drawing/2014/main" id="{A24D8077-3F95-41FF-AE1C-7F8A8F4E168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803" name="AutoShape 12">
          <a:extLst>
            <a:ext uri="{FF2B5EF4-FFF2-40B4-BE49-F238E27FC236}">
              <a16:creationId xmlns:a16="http://schemas.microsoft.com/office/drawing/2014/main" id="{A9505872-0110-43CA-BE95-4C15D808585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804" name="AutoShape 12">
          <a:extLst>
            <a:ext uri="{FF2B5EF4-FFF2-40B4-BE49-F238E27FC236}">
              <a16:creationId xmlns:a16="http://schemas.microsoft.com/office/drawing/2014/main" id="{B254A158-94FC-42F8-8514-36395F7E36B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805" name="AutoShape 12">
          <a:extLst>
            <a:ext uri="{FF2B5EF4-FFF2-40B4-BE49-F238E27FC236}">
              <a16:creationId xmlns:a16="http://schemas.microsoft.com/office/drawing/2014/main" id="{9ADA5747-D7A6-43A9-AEF2-1D2DB5DD580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806" name="AutoShape 12">
          <a:extLst>
            <a:ext uri="{FF2B5EF4-FFF2-40B4-BE49-F238E27FC236}">
              <a16:creationId xmlns:a16="http://schemas.microsoft.com/office/drawing/2014/main" id="{84917F53-B18C-41E8-A089-962B6CCFC3E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807" name="AutoShape 12">
          <a:extLst>
            <a:ext uri="{FF2B5EF4-FFF2-40B4-BE49-F238E27FC236}">
              <a16:creationId xmlns:a16="http://schemas.microsoft.com/office/drawing/2014/main" id="{708DFA96-EE36-4E48-973E-A225B9564B5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808" name="AutoShape 12">
          <a:extLst>
            <a:ext uri="{FF2B5EF4-FFF2-40B4-BE49-F238E27FC236}">
              <a16:creationId xmlns:a16="http://schemas.microsoft.com/office/drawing/2014/main" id="{2106891B-33E0-498D-88EB-C982A574D93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809" name="AutoShape 12">
          <a:extLst>
            <a:ext uri="{FF2B5EF4-FFF2-40B4-BE49-F238E27FC236}">
              <a16:creationId xmlns:a16="http://schemas.microsoft.com/office/drawing/2014/main" id="{8CD09961-A518-4B90-924E-5D93ADD5B72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810" name="AutoShape 12">
          <a:extLst>
            <a:ext uri="{FF2B5EF4-FFF2-40B4-BE49-F238E27FC236}">
              <a16:creationId xmlns:a16="http://schemas.microsoft.com/office/drawing/2014/main" id="{80CD9C63-71E1-4131-840A-C700BA86311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811" name="AutoShape 12">
          <a:extLst>
            <a:ext uri="{FF2B5EF4-FFF2-40B4-BE49-F238E27FC236}">
              <a16:creationId xmlns:a16="http://schemas.microsoft.com/office/drawing/2014/main" id="{44E6303D-5E24-4223-80AE-6352C88DE45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812" name="AutoShape 12">
          <a:extLst>
            <a:ext uri="{FF2B5EF4-FFF2-40B4-BE49-F238E27FC236}">
              <a16:creationId xmlns:a16="http://schemas.microsoft.com/office/drawing/2014/main" id="{E9D395A7-84DC-4530-A553-B9575441B3F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813" name="AutoShape 12">
          <a:extLst>
            <a:ext uri="{FF2B5EF4-FFF2-40B4-BE49-F238E27FC236}">
              <a16:creationId xmlns:a16="http://schemas.microsoft.com/office/drawing/2014/main" id="{EA5FD868-F854-4F03-9B46-F1214A6386A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814" name="AutoShape 12">
          <a:extLst>
            <a:ext uri="{FF2B5EF4-FFF2-40B4-BE49-F238E27FC236}">
              <a16:creationId xmlns:a16="http://schemas.microsoft.com/office/drawing/2014/main" id="{EBE5B64D-86F1-4EA9-A84F-8C4DB34D815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815" name="AutoShape 12">
          <a:extLst>
            <a:ext uri="{FF2B5EF4-FFF2-40B4-BE49-F238E27FC236}">
              <a16:creationId xmlns:a16="http://schemas.microsoft.com/office/drawing/2014/main" id="{C0EC5053-FDE6-41B6-87B2-6960445F4A4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816" name="AutoShape 12">
          <a:extLst>
            <a:ext uri="{FF2B5EF4-FFF2-40B4-BE49-F238E27FC236}">
              <a16:creationId xmlns:a16="http://schemas.microsoft.com/office/drawing/2014/main" id="{E5B3B5DA-5DE0-486C-A41B-826620D16DB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817" name="AutoShape 12">
          <a:extLst>
            <a:ext uri="{FF2B5EF4-FFF2-40B4-BE49-F238E27FC236}">
              <a16:creationId xmlns:a16="http://schemas.microsoft.com/office/drawing/2014/main" id="{E9A1F7DD-B0F2-4065-A2ED-7894F8043C6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818" name="AutoShape 12">
          <a:extLst>
            <a:ext uri="{FF2B5EF4-FFF2-40B4-BE49-F238E27FC236}">
              <a16:creationId xmlns:a16="http://schemas.microsoft.com/office/drawing/2014/main" id="{C90FB8D5-D3F1-4CD3-8FE3-51D1C89CB1E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819" name="AutoShape 12">
          <a:extLst>
            <a:ext uri="{FF2B5EF4-FFF2-40B4-BE49-F238E27FC236}">
              <a16:creationId xmlns:a16="http://schemas.microsoft.com/office/drawing/2014/main" id="{3239D497-D08F-49D1-A818-AE223DE21B7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820" name="AutoShape 12">
          <a:extLst>
            <a:ext uri="{FF2B5EF4-FFF2-40B4-BE49-F238E27FC236}">
              <a16:creationId xmlns:a16="http://schemas.microsoft.com/office/drawing/2014/main" id="{3523F4C4-ACC4-4F3C-A1E3-9C9C8B62D94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821" name="AutoShape 12">
          <a:extLst>
            <a:ext uri="{FF2B5EF4-FFF2-40B4-BE49-F238E27FC236}">
              <a16:creationId xmlns:a16="http://schemas.microsoft.com/office/drawing/2014/main" id="{30A9EB03-CA10-4441-92DE-2AEF6F87F4A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822" name="AutoShape 12">
          <a:extLst>
            <a:ext uri="{FF2B5EF4-FFF2-40B4-BE49-F238E27FC236}">
              <a16:creationId xmlns:a16="http://schemas.microsoft.com/office/drawing/2014/main" id="{BF1913B2-8151-4277-9D7B-D2A8C2E3509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823" name="AutoShape 12">
          <a:extLst>
            <a:ext uri="{FF2B5EF4-FFF2-40B4-BE49-F238E27FC236}">
              <a16:creationId xmlns:a16="http://schemas.microsoft.com/office/drawing/2014/main" id="{244EEEFC-F605-4ACC-80A8-6469EBA262B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824" name="AutoShape 12">
          <a:extLst>
            <a:ext uri="{FF2B5EF4-FFF2-40B4-BE49-F238E27FC236}">
              <a16:creationId xmlns:a16="http://schemas.microsoft.com/office/drawing/2014/main" id="{DE9BB5DA-8064-4336-B232-A705829FF9F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825" name="AutoShape 12">
          <a:extLst>
            <a:ext uri="{FF2B5EF4-FFF2-40B4-BE49-F238E27FC236}">
              <a16:creationId xmlns:a16="http://schemas.microsoft.com/office/drawing/2014/main" id="{725532BC-2FB6-45A5-B376-C24B8CFE490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826" name="AutoShape 12">
          <a:extLst>
            <a:ext uri="{FF2B5EF4-FFF2-40B4-BE49-F238E27FC236}">
              <a16:creationId xmlns:a16="http://schemas.microsoft.com/office/drawing/2014/main" id="{B01EE600-6053-45BE-98C0-A65F3C81C01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827" name="AutoShape 12">
          <a:extLst>
            <a:ext uri="{FF2B5EF4-FFF2-40B4-BE49-F238E27FC236}">
              <a16:creationId xmlns:a16="http://schemas.microsoft.com/office/drawing/2014/main" id="{C431A922-0A50-4001-9BE9-1CADD37D0B8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828" name="AutoShape 12">
          <a:extLst>
            <a:ext uri="{FF2B5EF4-FFF2-40B4-BE49-F238E27FC236}">
              <a16:creationId xmlns:a16="http://schemas.microsoft.com/office/drawing/2014/main" id="{74D027B2-EEFD-4D6B-9650-76097805394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829" name="AutoShape 12">
          <a:extLst>
            <a:ext uri="{FF2B5EF4-FFF2-40B4-BE49-F238E27FC236}">
              <a16:creationId xmlns:a16="http://schemas.microsoft.com/office/drawing/2014/main" id="{F36A2A67-28B9-4754-B4EB-C4E3E2031F0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830" name="AutoShape 12">
          <a:extLst>
            <a:ext uri="{FF2B5EF4-FFF2-40B4-BE49-F238E27FC236}">
              <a16:creationId xmlns:a16="http://schemas.microsoft.com/office/drawing/2014/main" id="{904D592B-16DE-4F8F-BF51-670F6FE710D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831" name="AutoShape 12">
          <a:extLst>
            <a:ext uri="{FF2B5EF4-FFF2-40B4-BE49-F238E27FC236}">
              <a16:creationId xmlns:a16="http://schemas.microsoft.com/office/drawing/2014/main" id="{CE5B57EB-819B-454E-AC03-7AD0C972B20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832" name="AutoShape 12">
          <a:extLst>
            <a:ext uri="{FF2B5EF4-FFF2-40B4-BE49-F238E27FC236}">
              <a16:creationId xmlns:a16="http://schemas.microsoft.com/office/drawing/2014/main" id="{B09E3A0C-65A6-45CE-8B37-52B87CEA745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833" name="AutoShape 12">
          <a:extLst>
            <a:ext uri="{FF2B5EF4-FFF2-40B4-BE49-F238E27FC236}">
              <a16:creationId xmlns:a16="http://schemas.microsoft.com/office/drawing/2014/main" id="{39D70B54-AE9B-4296-9131-62E3BE3527A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834" name="AutoShape 12">
          <a:extLst>
            <a:ext uri="{FF2B5EF4-FFF2-40B4-BE49-F238E27FC236}">
              <a16:creationId xmlns:a16="http://schemas.microsoft.com/office/drawing/2014/main" id="{4CC639CC-5963-4574-B1B5-9B6E919A6D2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835" name="AutoShape 12">
          <a:extLst>
            <a:ext uri="{FF2B5EF4-FFF2-40B4-BE49-F238E27FC236}">
              <a16:creationId xmlns:a16="http://schemas.microsoft.com/office/drawing/2014/main" id="{EA7E14B0-8021-45EC-A823-EF6527F8F2C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836" name="AutoShape 12">
          <a:extLst>
            <a:ext uri="{FF2B5EF4-FFF2-40B4-BE49-F238E27FC236}">
              <a16:creationId xmlns:a16="http://schemas.microsoft.com/office/drawing/2014/main" id="{806618CF-0441-4130-8088-DF28823AF7D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837" name="AutoShape 12">
          <a:extLst>
            <a:ext uri="{FF2B5EF4-FFF2-40B4-BE49-F238E27FC236}">
              <a16:creationId xmlns:a16="http://schemas.microsoft.com/office/drawing/2014/main" id="{829AAE62-04E7-403F-8AA4-BF14A5CA98F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838" name="AutoShape 12">
          <a:extLst>
            <a:ext uri="{FF2B5EF4-FFF2-40B4-BE49-F238E27FC236}">
              <a16:creationId xmlns:a16="http://schemas.microsoft.com/office/drawing/2014/main" id="{DB34444A-40DB-4B80-847F-F8E2D4DDE4D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839" name="AutoShape 12">
          <a:extLst>
            <a:ext uri="{FF2B5EF4-FFF2-40B4-BE49-F238E27FC236}">
              <a16:creationId xmlns:a16="http://schemas.microsoft.com/office/drawing/2014/main" id="{FF4FE367-C770-4B76-88B4-47F9EC8E042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840" name="AutoShape 12">
          <a:extLst>
            <a:ext uri="{FF2B5EF4-FFF2-40B4-BE49-F238E27FC236}">
              <a16:creationId xmlns:a16="http://schemas.microsoft.com/office/drawing/2014/main" id="{7DE1194C-5765-489C-AD3E-F15E32F37CA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841" name="AutoShape 12">
          <a:extLst>
            <a:ext uri="{FF2B5EF4-FFF2-40B4-BE49-F238E27FC236}">
              <a16:creationId xmlns:a16="http://schemas.microsoft.com/office/drawing/2014/main" id="{26A5069B-D5B8-45E6-80FF-A7D1C2F68C1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842" name="AutoShape 12">
          <a:extLst>
            <a:ext uri="{FF2B5EF4-FFF2-40B4-BE49-F238E27FC236}">
              <a16:creationId xmlns:a16="http://schemas.microsoft.com/office/drawing/2014/main" id="{E9CDB96E-876B-4B9A-8E7F-62A9257A672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843" name="AutoShape 12">
          <a:extLst>
            <a:ext uri="{FF2B5EF4-FFF2-40B4-BE49-F238E27FC236}">
              <a16:creationId xmlns:a16="http://schemas.microsoft.com/office/drawing/2014/main" id="{4299679B-84D7-40B4-A958-80F2875C2E8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844" name="AutoShape 12">
          <a:extLst>
            <a:ext uri="{FF2B5EF4-FFF2-40B4-BE49-F238E27FC236}">
              <a16:creationId xmlns:a16="http://schemas.microsoft.com/office/drawing/2014/main" id="{204E4542-B1AE-44DB-A28F-4DC1B809406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845" name="AutoShape 12">
          <a:extLst>
            <a:ext uri="{FF2B5EF4-FFF2-40B4-BE49-F238E27FC236}">
              <a16:creationId xmlns:a16="http://schemas.microsoft.com/office/drawing/2014/main" id="{57FF15C4-C9C8-4900-A5B3-78C88419253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846" name="AutoShape 12">
          <a:extLst>
            <a:ext uri="{FF2B5EF4-FFF2-40B4-BE49-F238E27FC236}">
              <a16:creationId xmlns:a16="http://schemas.microsoft.com/office/drawing/2014/main" id="{156406EB-CAC5-49B5-B0E6-129DD602FDC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847" name="AutoShape 12">
          <a:extLst>
            <a:ext uri="{FF2B5EF4-FFF2-40B4-BE49-F238E27FC236}">
              <a16:creationId xmlns:a16="http://schemas.microsoft.com/office/drawing/2014/main" id="{7A0AC32B-3CA5-46DA-A638-A79FBA9CC61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848" name="AutoShape 12">
          <a:extLst>
            <a:ext uri="{FF2B5EF4-FFF2-40B4-BE49-F238E27FC236}">
              <a16:creationId xmlns:a16="http://schemas.microsoft.com/office/drawing/2014/main" id="{915D61A3-7CA0-4E70-B054-CE0A476314A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724</xdr:row>
      <xdr:rowOff>0</xdr:rowOff>
    </xdr:from>
    <xdr:ext cx="304800" cy="304094"/>
    <xdr:sp macro="" textlink="">
      <xdr:nvSpPr>
        <xdr:cNvPr id="6849" name="AutoShape 12">
          <a:extLst>
            <a:ext uri="{FF2B5EF4-FFF2-40B4-BE49-F238E27FC236}">
              <a16:creationId xmlns:a16="http://schemas.microsoft.com/office/drawing/2014/main" id="{A550056C-7A46-49BB-A4CE-D00EDBCCE9F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6850" name="AutoShape 12">
          <a:extLst>
            <a:ext uri="{FF2B5EF4-FFF2-40B4-BE49-F238E27FC236}">
              <a16:creationId xmlns:a16="http://schemas.microsoft.com/office/drawing/2014/main" id="{45C40E59-8084-4483-B12B-74F5F20E740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6851" name="AutoShape 12">
          <a:extLst>
            <a:ext uri="{FF2B5EF4-FFF2-40B4-BE49-F238E27FC236}">
              <a16:creationId xmlns:a16="http://schemas.microsoft.com/office/drawing/2014/main" id="{55D713BE-CE39-42AC-9CC8-91C4F2159B5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6852" name="AutoShape 12">
          <a:extLst>
            <a:ext uri="{FF2B5EF4-FFF2-40B4-BE49-F238E27FC236}">
              <a16:creationId xmlns:a16="http://schemas.microsoft.com/office/drawing/2014/main" id="{5B7942B0-5477-46F6-928D-239F0DF53B7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6853" name="AutoShape 12">
          <a:extLst>
            <a:ext uri="{FF2B5EF4-FFF2-40B4-BE49-F238E27FC236}">
              <a16:creationId xmlns:a16="http://schemas.microsoft.com/office/drawing/2014/main" id="{43644066-8D95-44F5-BB28-929BC0ACB8F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6854" name="AutoShape 12">
          <a:extLst>
            <a:ext uri="{FF2B5EF4-FFF2-40B4-BE49-F238E27FC236}">
              <a16:creationId xmlns:a16="http://schemas.microsoft.com/office/drawing/2014/main" id="{B19C95F3-9A16-4DBC-B12D-B926A61B51D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6855" name="AutoShape 12">
          <a:extLst>
            <a:ext uri="{FF2B5EF4-FFF2-40B4-BE49-F238E27FC236}">
              <a16:creationId xmlns:a16="http://schemas.microsoft.com/office/drawing/2014/main" id="{0970603C-99B3-4B4B-8262-4A9D3F7FE3F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6856" name="AutoShape 12">
          <a:extLst>
            <a:ext uri="{FF2B5EF4-FFF2-40B4-BE49-F238E27FC236}">
              <a16:creationId xmlns:a16="http://schemas.microsoft.com/office/drawing/2014/main" id="{68CE1212-3A5E-4C95-AE41-90470857FD6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6857" name="AutoShape 12">
          <a:extLst>
            <a:ext uri="{FF2B5EF4-FFF2-40B4-BE49-F238E27FC236}">
              <a16:creationId xmlns:a16="http://schemas.microsoft.com/office/drawing/2014/main" id="{424270A4-0563-4210-A75E-E3864055DE5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6858" name="AutoShape 12">
          <a:extLst>
            <a:ext uri="{FF2B5EF4-FFF2-40B4-BE49-F238E27FC236}">
              <a16:creationId xmlns:a16="http://schemas.microsoft.com/office/drawing/2014/main" id="{0E427DC0-0002-42A2-B210-C29A97B449C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6859" name="AutoShape 12">
          <a:extLst>
            <a:ext uri="{FF2B5EF4-FFF2-40B4-BE49-F238E27FC236}">
              <a16:creationId xmlns:a16="http://schemas.microsoft.com/office/drawing/2014/main" id="{192CB069-3E09-4F57-8471-807F1EDD34A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6860" name="AutoShape 12">
          <a:extLst>
            <a:ext uri="{FF2B5EF4-FFF2-40B4-BE49-F238E27FC236}">
              <a16:creationId xmlns:a16="http://schemas.microsoft.com/office/drawing/2014/main" id="{D261D346-4F14-4979-8BBB-6C31D1DC169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6861" name="AutoShape 12">
          <a:extLst>
            <a:ext uri="{FF2B5EF4-FFF2-40B4-BE49-F238E27FC236}">
              <a16:creationId xmlns:a16="http://schemas.microsoft.com/office/drawing/2014/main" id="{8CD1C5EC-CEC6-4495-9ACB-0FC1CB3F881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6862" name="AutoShape 12">
          <a:extLst>
            <a:ext uri="{FF2B5EF4-FFF2-40B4-BE49-F238E27FC236}">
              <a16:creationId xmlns:a16="http://schemas.microsoft.com/office/drawing/2014/main" id="{54B0C33A-A752-4D62-905E-D525F249FB8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6863" name="AutoShape 12">
          <a:extLst>
            <a:ext uri="{FF2B5EF4-FFF2-40B4-BE49-F238E27FC236}">
              <a16:creationId xmlns:a16="http://schemas.microsoft.com/office/drawing/2014/main" id="{F8C9CAA9-FF4B-49CB-9661-BFE1DBD591D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6864" name="AutoShape 12">
          <a:extLst>
            <a:ext uri="{FF2B5EF4-FFF2-40B4-BE49-F238E27FC236}">
              <a16:creationId xmlns:a16="http://schemas.microsoft.com/office/drawing/2014/main" id="{52F98D2E-3722-4EED-ABAB-9D778ABE61D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6865" name="AutoShape 12">
          <a:extLst>
            <a:ext uri="{FF2B5EF4-FFF2-40B4-BE49-F238E27FC236}">
              <a16:creationId xmlns:a16="http://schemas.microsoft.com/office/drawing/2014/main" id="{47210A38-D01B-40DC-A7EA-ABCB734B78F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6866" name="AutoShape 12">
          <a:extLst>
            <a:ext uri="{FF2B5EF4-FFF2-40B4-BE49-F238E27FC236}">
              <a16:creationId xmlns:a16="http://schemas.microsoft.com/office/drawing/2014/main" id="{AD9ACD28-60BE-4ED9-878C-11608DDBC9A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6867" name="AutoShape 12">
          <a:extLst>
            <a:ext uri="{FF2B5EF4-FFF2-40B4-BE49-F238E27FC236}">
              <a16:creationId xmlns:a16="http://schemas.microsoft.com/office/drawing/2014/main" id="{A067E66B-8D81-4B69-9421-51F3AB95B65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6868" name="AutoShape 12">
          <a:extLst>
            <a:ext uri="{FF2B5EF4-FFF2-40B4-BE49-F238E27FC236}">
              <a16:creationId xmlns:a16="http://schemas.microsoft.com/office/drawing/2014/main" id="{B3E76FA6-BA04-4CDF-ACD9-F9C0D0BBA4C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6869" name="AutoShape 12">
          <a:extLst>
            <a:ext uri="{FF2B5EF4-FFF2-40B4-BE49-F238E27FC236}">
              <a16:creationId xmlns:a16="http://schemas.microsoft.com/office/drawing/2014/main" id="{06A93847-ED5A-42A9-98E7-535CDB9F5F2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6870" name="AutoShape 12">
          <a:extLst>
            <a:ext uri="{FF2B5EF4-FFF2-40B4-BE49-F238E27FC236}">
              <a16:creationId xmlns:a16="http://schemas.microsoft.com/office/drawing/2014/main" id="{83106B63-8D41-4E72-BBDF-3E3CEE459A7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6871" name="AutoShape 12">
          <a:extLst>
            <a:ext uri="{FF2B5EF4-FFF2-40B4-BE49-F238E27FC236}">
              <a16:creationId xmlns:a16="http://schemas.microsoft.com/office/drawing/2014/main" id="{0CA1888B-FFA6-4893-8B79-9842199195F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6872" name="AutoShape 12">
          <a:extLst>
            <a:ext uri="{FF2B5EF4-FFF2-40B4-BE49-F238E27FC236}">
              <a16:creationId xmlns:a16="http://schemas.microsoft.com/office/drawing/2014/main" id="{F5F0EE53-A57C-45D4-A34E-41C48DE41D9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6873" name="AutoShape 12">
          <a:extLst>
            <a:ext uri="{FF2B5EF4-FFF2-40B4-BE49-F238E27FC236}">
              <a16:creationId xmlns:a16="http://schemas.microsoft.com/office/drawing/2014/main" id="{92011073-3CD7-488E-BFAC-067C6BED88B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6874" name="AutoShape 12">
          <a:extLst>
            <a:ext uri="{FF2B5EF4-FFF2-40B4-BE49-F238E27FC236}">
              <a16:creationId xmlns:a16="http://schemas.microsoft.com/office/drawing/2014/main" id="{AA8B4136-D565-4EA9-97A3-88B501DA172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6875" name="AutoShape 12">
          <a:extLst>
            <a:ext uri="{FF2B5EF4-FFF2-40B4-BE49-F238E27FC236}">
              <a16:creationId xmlns:a16="http://schemas.microsoft.com/office/drawing/2014/main" id="{758D0D40-CEF1-46FB-B8CC-13D5486CA94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6876" name="AutoShape 12">
          <a:extLst>
            <a:ext uri="{FF2B5EF4-FFF2-40B4-BE49-F238E27FC236}">
              <a16:creationId xmlns:a16="http://schemas.microsoft.com/office/drawing/2014/main" id="{C79BB587-02C0-41C6-9D55-659880410A9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6877" name="AutoShape 12">
          <a:extLst>
            <a:ext uri="{FF2B5EF4-FFF2-40B4-BE49-F238E27FC236}">
              <a16:creationId xmlns:a16="http://schemas.microsoft.com/office/drawing/2014/main" id="{47E4D5D0-BAF7-418B-B2EA-8B6C0D83CCB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6878" name="AutoShape 12">
          <a:extLst>
            <a:ext uri="{FF2B5EF4-FFF2-40B4-BE49-F238E27FC236}">
              <a16:creationId xmlns:a16="http://schemas.microsoft.com/office/drawing/2014/main" id="{ED09E3CD-FEE1-423F-A1BC-2EAE76EF982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6879" name="AutoShape 12">
          <a:extLst>
            <a:ext uri="{FF2B5EF4-FFF2-40B4-BE49-F238E27FC236}">
              <a16:creationId xmlns:a16="http://schemas.microsoft.com/office/drawing/2014/main" id="{B66B94F1-62CE-45F0-8357-37D3889922D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6880" name="AutoShape 12">
          <a:extLst>
            <a:ext uri="{FF2B5EF4-FFF2-40B4-BE49-F238E27FC236}">
              <a16:creationId xmlns:a16="http://schemas.microsoft.com/office/drawing/2014/main" id="{D09A6A24-0414-4242-9581-9516542BF29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6881" name="AutoShape 12">
          <a:extLst>
            <a:ext uri="{FF2B5EF4-FFF2-40B4-BE49-F238E27FC236}">
              <a16:creationId xmlns:a16="http://schemas.microsoft.com/office/drawing/2014/main" id="{AA93FE83-6B03-4DB2-B9AF-BA6334084CE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6882" name="AutoShape 12">
          <a:extLst>
            <a:ext uri="{FF2B5EF4-FFF2-40B4-BE49-F238E27FC236}">
              <a16:creationId xmlns:a16="http://schemas.microsoft.com/office/drawing/2014/main" id="{271F5135-FDC0-42D1-B8F4-5BB251405D7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6883" name="AutoShape 12">
          <a:extLst>
            <a:ext uri="{FF2B5EF4-FFF2-40B4-BE49-F238E27FC236}">
              <a16:creationId xmlns:a16="http://schemas.microsoft.com/office/drawing/2014/main" id="{80AF905A-6AB7-45CE-B7D2-E477D05B2BE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6884" name="AutoShape 12">
          <a:extLst>
            <a:ext uri="{FF2B5EF4-FFF2-40B4-BE49-F238E27FC236}">
              <a16:creationId xmlns:a16="http://schemas.microsoft.com/office/drawing/2014/main" id="{9C859509-1C0D-41A2-A2A0-E210A836F33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6885" name="AutoShape 12">
          <a:extLst>
            <a:ext uri="{FF2B5EF4-FFF2-40B4-BE49-F238E27FC236}">
              <a16:creationId xmlns:a16="http://schemas.microsoft.com/office/drawing/2014/main" id="{F9D032CF-93CF-48E6-9476-4D7D6BF7DA3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6886" name="AutoShape 12">
          <a:extLst>
            <a:ext uri="{FF2B5EF4-FFF2-40B4-BE49-F238E27FC236}">
              <a16:creationId xmlns:a16="http://schemas.microsoft.com/office/drawing/2014/main" id="{C335E3FA-8E90-4B63-8A09-6D106AC6A62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6887" name="AutoShape 12">
          <a:extLst>
            <a:ext uri="{FF2B5EF4-FFF2-40B4-BE49-F238E27FC236}">
              <a16:creationId xmlns:a16="http://schemas.microsoft.com/office/drawing/2014/main" id="{52ED8062-82A4-4968-96DE-16FE94910BD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6888" name="AutoShape 12">
          <a:extLst>
            <a:ext uri="{FF2B5EF4-FFF2-40B4-BE49-F238E27FC236}">
              <a16:creationId xmlns:a16="http://schemas.microsoft.com/office/drawing/2014/main" id="{AE6903A5-14C5-45A9-B88C-A0FBDA5EAD4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6889" name="AutoShape 12">
          <a:extLst>
            <a:ext uri="{FF2B5EF4-FFF2-40B4-BE49-F238E27FC236}">
              <a16:creationId xmlns:a16="http://schemas.microsoft.com/office/drawing/2014/main" id="{F10CF1E0-332E-429A-B58D-35DF9EE8BFB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6890" name="AutoShape 12">
          <a:extLst>
            <a:ext uri="{FF2B5EF4-FFF2-40B4-BE49-F238E27FC236}">
              <a16:creationId xmlns:a16="http://schemas.microsoft.com/office/drawing/2014/main" id="{0E368B78-2F5E-4468-9690-9B0BAFABC55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6891" name="AutoShape 12">
          <a:extLst>
            <a:ext uri="{FF2B5EF4-FFF2-40B4-BE49-F238E27FC236}">
              <a16:creationId xmlns:a16="http://schemas.microsoft.com/office/drawing/2014/main" id="{4D27DE1B-03D5-40C0-8164-2AF83E5AD76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6892" name="AutoShape 12">
          <a:extLst>
            <a:ext uri="{FF2B5EF4-FFF2-40B4-BE49-F238E27FC236}">
              <a16:creationId xmlns:a16="http://schemas.microsoft.com/office/drawing/2014/main" id="{78079B25-AE74-45A8-94B7-5854FDAFE57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6893" name="AutoShape 12">
          <a:extLst>
            <a:ext uri="{FF2B5EF4-FFF2-40B4-BE49-F238E27FC236}">
              <a16:creationId xmlns:a16="http://schemas.microsoft.com/office/drawing/2014/main" id="{9EA12AC8-5B3D-4DCD-808C-A28B4CC31CF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6894" name="AutoShape 12">
          <a:extLst>
            <a:ext uri="{FF2B5EF4-FFF2-40B4-BE49-F238E27FC236}">
              <a16:creationId xmlns:a16="http://schemas.microsoft.com/office/drawing/2014/main" id="{6569B44E-974A-4641-8FAD-88039034766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6895" name="AutoShape 12">
          <a:extLst>
            <a:ext uri="{FF2B5EF4-FFF2-40B4-BE49-F238E27FC236}">
              <a16:creationId xmlns:a16="http://schemas.microsoft.com/office/drawing/2014/main" id="{CB77D38D-59DE-4F91-8856-4E0B34181DB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6896" name="AutoShape 12">
          <a:extLst>
            <a:ext uri="{FF2B5EF4-FFF2-40B4-BE49-F238E27FC236}">
              <a16:creationId xmlns:a16="http://schemas.microsoft.com/office/drawing/2014/main" id="{90B4CE55-7532-4B7D-9266-FB434D6D7D6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6897" name="AutoShape 12">
          <a:extLst>
            <a:ext uri="{FF2B5EF4-FFF2-40B4-BE49-F238E27FC236}">
              <a16:creationId xmlns:a16="http://schemas.microsoft.com/office/drawing/2014/main" id="{576996EF-F654-4BD3-9B93-B761E6820A7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6898" name="AutoShape 12">
          <a:extLst>
            <a:ext uri="{FF2B5EF4-FFF2-40B4-BE49-F238E27FC236}">
              <a16:creationId xmlns:a16="http://schemas.microsoft.com/office/drawing/2014/main" id="{DB9D5BA9-CFD6-4460-88CA-5F598225F21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6899" name="AutoShape 12">
          <a:extLst>
            <a:ext uri="{FF2B5EF4-FFF2-40B4-BE49-F238E27FC236}">
              <a16:creationId xmlns:a16="http://schemas.microsoft.com/office/drawing/2014/main" id="{8B55B3F7-0ECE-47D3-8359-F9F96D156FA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6900" name="AutoShape 12">
          <a:extLst>
            <a:ext uri="{FF2B5EF4-FFF2-40B4-BE49-F238E27FC236}">
              <a16:creationId xmlns:a16="http://schemas.microsoft.com/office/drawing/2014/main" id="{2DEBACCA-C43E-4374-9A89-014FADC0E0E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6901" name="AutoShape 12">
          <a:extLst>
            <a:ext uri="{FF2B5EF4-FFF2-40B4-BE49-F238E27FC236}">
              <a16:creationId xmlns:a16="http://schemas.microsoft.com/office/drawing/2014/main" id="{49AB4384-09CA-4912-92FB-973C9EB49B2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6902" name="AutoShape 12">
          <a:extLst>
            <a:ext uri="{FF2B5EF4-FFF2-40B4-BE49-F238E27FC236}">
              <a16:creationId xmlns:a16="http://schemas.microsoft.com/office/drawing/2014/main" id="{927A09A0-F664-4A95-A43D-C64C782800B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6903" name="AutoShape 12">
          <a:extLst>
            <a:ext uri="{FF2B5EF4-FFF2-40B4-BE49-F238E27FC236}">
              <a16:creationId xmlns:a16="http://schemas.microsoft.com/office/drawing/2014/main" id="{BEBFDB8F-B66B-4FD3-A863-9CF9E0839F0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6904" name="AutoShape 12">
          <a:extLst>
            <a:ext uri="{FF2B5EF4-FFF2-40B4-BE49-F238E27FC236}">
              <a16:creationId xmlns:a16="http://schemas.microsoft.com/office/drawing/2014/main" id="{05C5580A-C49A-4DFE-8F12-2B5657E05A0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6905" name="AutoShape 12">
          <a:extLst>
            <a:ext uri="{FF2B5EF4-FFF2-40B4-BE49-F238E27FC236}">
              <a16:creationId xmlns:a16="http://schemas.microsoft.com/office/drawing/2014/main" id="{93122A0D-51AA-4698-9D21-313BFFF5C8A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6906" name="AutoShape 12">
          <a:extLst>
            <a:ext uri="{FF2B5EF4-FFF2-40B4-BE49-F238E27FC236}">
              <a16:creationId xmlns:a16="http://schemas.microsoft.com/office/drawing/2014/main" id="{2CD8FA9A-92BB-403E-A865-7B77B4A0B09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6907" name="AutoShape 12">
          <a:extLst>
            <a:ext uri="{FF2B5EF4-FFF2-40B4-BE49-F238E27FC236}">
              <a16:creationId xmlns:a16="http://schemas.microsoft.com/office/drawing/2014/main" id="{2532E120-9E48-4F45-B7C0-D2118B4796F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6908" name="AutoShape 12">
          <a:extLst>
            <a:ext uri="{FF2B5EF4-FFF2-40B4-BE49-F238E27FC236}">
              <a16:creationId xmlns:a16="http://schemas.microsoft.com/office/drawing/2014/main" id="{FA821DC9-F5A9-49EC-AC04-D9F9A7D68A9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6909" name="AutoShape 12">
          <a:extLst>
            <a:ext uri="{FF2B5EF4-FFF2-40B4-BE49-F238E27FC236}">
              <a16:creationId xmlns:a16="http://schemas.microsoft.com/office/drawing/2014/main" id="{FE51D3A2-176A-4BE4-8F9C-953CE4D3ADF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6910" name="AutoShape 12">
          <a:extLst>
            <a:ext uri="{FF2B5EF4-FFF2-40B4-BE49-F238E27FC236}">
              <a16:creationId xmlns:a16="http://schemas.microsoft.com/office/drawing/2014/main" id="{86C98252-B5F0-4D21-9726-CC7350747C4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6911" name="AutoShape 12">
          <a:extLst>
            <a:ext uri="{FF2B5EF4-FFF2-40B4-BE49-F238E27FC236}">
              <a16:creationId xmlns:a16="http://schemas.microsoft.com/office/drawing/2014/main" id="{AC579ECF-2F46-4994-B7D3-EFB8F5B18CE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6912" name="AutoShape 12">
          <a:extLst>
            <a:ext uri="{FF2B5EF4-FFF2-40B4-BE49-F238E27FC236}">
              <a16:creationId xmlns:a16="http://schemas.microsoft.com/office/drawing/2014/main" id="{5740A3BB-63A4-49A7-9183-2B23DED9E79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6913" name="AutoShape 12">
          <a:extLst>
            <a:ext uri="{FF2B5EF4-FFF2-40B4-BE49-F238E27FC236}">
              <a16:creationId xmlns:a16="http://schemas.microsoft.com/office/drawing/2014/main" id="{B9149ED3-D418-4740-820C-6E3AF21B8DA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6914" name="AutoShape 12">
          <a:extLst>
            <a:ext uri="{FF2B5EF4-FFF2-40B4-BE49-F238E27FC236}">
              <a16:creationId xmlns:a16="http://schemas.microsoft.com/office/drawing/2014/main" id="{77A3E9E6-325C-4ECC-948B-94210E0ECB1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6915" name="AutoShape 12">
          <a:extLst>
            <a:ext uri="{FF2B5EF4-FFF2-40B4-BE49-F238E27FC236}">
              <a16:creationId xmlns:a16="http://schemas.microsoft.com/office/drawing/2014/main" id="{E5C8BA49-21BD-4E04-8391-71DC58D32AA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6916" name="AutoShape 12">
          <a:extLst>
            <a:ext uri="{FF2B5EF4-FFF2-40B4-BE49-F238E27FC236}">
              <a16:creationId xmlns:a16="http://schemas.microsoft.com/office/drawing/2014/main" id="{C2C0FBE2-3C5E-4485-B922-039F6FD4835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6917" name="AutoShape 12">
          <a:extLst>
            <a:ext uri="{FF2B5EF4-FFF2-40B4-BE49-F238E27FC236}">
              <a16:creationId xmlns:a16="http://schemas.microsoft.com/office/drawing/2014/main" id="{DD9A878A-9010-45F7-9BF6-99B68F43F6B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6918" name="AutoShape 12">
          <a:extLst>
            <a:ext uri="{FF2B5EF4-FFF2-40B4-BE49-F238E27FC236}">
              <a16:creationId xmlns:a16="http://schemas.microsoft.com/office/drawing/2014/main" id="{C39FAE20-2636-4763-8E8D-E36606D115B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6919" name="AutoShape 12">
          <a:extLst>
            <a:ext uri="{FF2B5EF4-FFF2-40B4-BE49-F238E27FC236}">
              <a16:creationId xmlns:a16="http://schemas.microsoft.com/office/drawing/2014/main" id="{5F5AC650-41B8-4EE5-A65C-ADAC32E14B5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6920" name="AutoShape 12">
          <a:extLst>
            <a:ext uri="{FF2B5EF4-FFF2-40B4-BE49-F238E27FC236}">
              <a16:creationId xmlns:a16="http://schemas.microsoft.com/office/drawing/2014/main" id="{48082D91-A173-40CC-9421-D80E8C911FE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6921" name="AutoShape 12">
          <a:extLst>
            <a:ext uri="{FF2B5EF4-FFF2-40B4-BE49-F238E27FC236}">
              <a16:creationId xmlns:a16="http://schemas.microsoft.com/office/drawing/2014/main" id="{BB8E32C4-ADF7-446D-9497-3D82BCA793F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6922" name="AutoShape 12">
          <a:extLst>
            <a:ext uri="{FF2B5EF4-FFF2-40B4-BE49-F238E27FC236}">
              <a16:creationId xmlns:a16="http://schemas.microsoft.com/office/drawing/2014/main" id="{974CD46D-D3F2-4C6B-876D-136E0C3796A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6923" name="AutoShape 12">
          <a:extLst>
            <a:ext uri="{FF2B5EF4-FFF2-40B4-BE49-F238E27FC236}">
              <a16:creationId xmlns:a16="http://schemas.microsoft.com/office/drawing/2014/main" id="{1C0BA191-E2C7-4534-BE85-757235CE97F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6924" name="AutoShape 12">
          <a:extLst>
            <a:ext uri="{FF2B5EF4-FFF2-40B4-BE49-F238E27FC236}">
              <a16:creationId xmlns:a16="http://schemas.microsoft.com/office/drawing/2014/main" id="{4E1E7BD7-C349-4F09-92B8-1FE5D6069C1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6925" name="AutoShape 12">
          <a:extLst>
            <a:ext uri="{FF2B5EF4-FFF2-40B4-BE49-F238E27FC236}">
              <a16:creationId xmlns:a16="http://schemas.microsoft.com/office/drawing/2014/main" id="{F25D38FE-5026-43F4-9273-55BD8280D88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6926" name="AutoShape 12">
          <a:extLst>
            <a:ext uri="{FF2B5EF4-FFF2-40B4-BE49-F238E27FC236}">
              <a16:creationId xmlns:a16="http://schemas.microsoft.com/office/drawing/2014/main" id="{0309E37F-4739-415F-A7AE-3B77CE6879B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6927" name="AutoShape 12">
          <a:extLst>
            <a:ext uri="{FF2B5EF4-FFF2-40B4-BE49-F238E27FC236}">
              <a16:creationId xmlns:a16="http://schemas.microsoft.com/office/drawing/2014/main" id="{7A5C542E-1441-4B40-805F-45C78CDF022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6928" name="AutoShape 12">
          <a:extLst>
            <a:ext uri="{FF2B5EF4-FFF2-40B4-BE49-F238E27FC236}">
              <a16:creationId xmlns:a16="http://schemas.microsoft.com/office/drawing/2014/main" id="{B75C02A8-171D-4B01-97CA-0D3F806CA91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6929" name="AutoShape 12">
          <a:extLst>
            <a:ext uri="{FF2B5EF4-FFF2-40B4-BE49-F238E27FC236}">
              <a16:creationId xmlns:a16="http://schemas.microsoft.com/office/drawing/2014/main" id="{83F8E611-E9D3-414C-B01E-5CB4C567ADE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6930" name="AutoShape 12">
          <a:extLst>
            <a:ext uri="{FF2B5EF4-FFF2-40B4-BE49-F238E27FC236}">
              <a16:creationId xmlns:a16="http://schemas.microsoft.com/office/drawing/2014/main" id="{737B41EE-4003-4DCB-9820-BC78FB54C61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6931" name="AutoShape 12">
          <a:extLst>
            <a:ext uri="{FF2B5EF4-FFF2-40B4-BE49-F238E27FC236}">
              <a16:creationId xmlns:a16="http://schemas.microsoft.com/office/drawing/2014/main" id="{83A66B04-11FA-4729-A2E7-ECE58AB9373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6932" name="AutoShape 12">
          <a:extLst>
            <a:ext uri="{FF2B5EF4-FFF2-40B4-BE49-F238E27FC236}">
              <a16:creationId xmlns:a16="http://schemas.microsoft.com/office/drawing/2014/main" id="{88090945-E771-476E-96EF-62BF7C8EA75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6933" name="AutoShape 12">
          <a:extLst>
            <a:ext uri="{FF2B5EF4-FFF2-40B4-BE49-F238E27FC236}">
              <a16:creationId xmlns:a16="http://schemas.microsoft.com/office/drawing/2014/main" id="{D37BBE2D-F27D-45E8-A1A7-A329E37C5A5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6934" name="AutoShape 12">
          <a:extLst>
            <a:ext uri="{FF2B5EF4-FFF2-40B4-BE49-F238E27FC236}">
              <a16:creationId xmlns:a16="http://schemas.microsoft.com/office/drawing/2014/main" id="{9F798AF6-69D2-45A0-A438-3D5BC939FD3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6935" name="AutoShape 12">
          <a:extLst>
            <a:ext uri="{FF2B5EF4-FFF2-40B4-BE49-F238E27FC236}">
              <a16:creationId xmlns:a16="http://schemas.microsoft.com/office/drawing/2014/main" id="{34C23E95-FD05-446D-950B-7F3C8D94C55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6936" name="AutoShape 12">
          <a:extLst>
            <a:ext uri="{FF2B5EF4-FFF2-40B4-BE49-F238E27FC236}">
              <a16:creationId xmlns:a16="http://schemas.microsoft.com/office/drawing/2014/main" id="{5A01572C-4EE8-4E8A-8540-5FDCF23499D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6937" name="AutoShape 12">
          <a:extLst>
            <a:ext uri="{FF2B5EF4-FFF2-40B4-BE49-F238E27FC236}">
              <a16:creationId xmlns:a16="http://schemas.microsoft.com/office/drawing/2014/main" id="{A58C5459-C0A6-473F-87F5-9C587D81C19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6938" name="AutoShape 12">
          <a:extLst>
            <a:ext uri="{FF2B5EF4-FFF2-40B4-BE49-F238E27FC236}">
              <a16:creationId xmlns:a16="http://schemas.microsoft.com/office/drawing/2014/main" id="{347733CA-DB2E-4997-8948-072CAC273A1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6939" name="AutoShape 12">
          <a:extLst>
            <a:ext uri="{FF2B5EF4-FFF2-40B4-BE49-F238E27FC236}">
              <a16:creationId xmlns:a16="http://schemas.microsoft.com/office/drawing/2014/main" id="{A3F2FF58-2C6D-4539-9842-6D7119B696D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6940" name="AutoShape 12">
          <a:extLst>
            <a:ext uri="{FF2B5EF4-FFF2-40B4-BE49-F238E27FC236}">
              <a16:creationId xmlns:a16="http://schemas.microsoft.com/office/drawing/2014/main" id="{F9083C85-A73B-476B-901F-AF18069162A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6941" name="AutoShape 12">
          <a:extLst>
            <a:ext uri="{FF2B5EF4-FFF2-40B4-BE49-F238E27FC236}">
              <a16:creationId xmlns:a16="http://schemas.microsoft.com/office/drawing/2014/main" id="{42B05FC6-6D15-4F8D-9872-5699C51747C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6942" name="AutoShape 12">
          <a:extLst>
            <a:ext uri="{FF2B5EF4-FFF2-40B4-BE49-F238E27FC236}">
              <a16:creationId xmlns:a16="http://schemas.microsoft.com/office/drawing/2014/main" id="{46DE6275-0F6C-4FD8-9BCB-C69589FBB05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6943" name="AutoShape 12">
          <a:extLst>
            <a:ext uri="{FF2B5EF4-FFF2-40B4-BE49-F238E27FC236}">
              <a16:creationId xmlns:a16="http://schemas.microsoft.com/office/drawing/2014/main" id="{BB0AD661-7004-40AF-B7FD-89C97D4C085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6944" name="AutoShape 12">
          <a:extLst>
            <a:ext uri="{FF2B5EF4-FFF2-40B4-BE49-F238E27FC236}">
              <a16:creationId xmlns:a16="http://schemas.microsoft.com/office/drawing/2014/main" id="{4854597C-6E2F-4376-BA5B-244B01A5A8B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6945" name="AutoShape 12">
          <a:extLst>
            <a:ext uri="{FF2B5EF4-FFF2-40B4-BE49-F238E27FC236}">
              <a16:creationId xmlns:a16="http://schemas.microsoft.com/office/drawing/2014/main" id="{24D048AB-9158-422B-8ADD-F8CCCC14762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6946" name="AutoShape 12">
          <a:extLst>
            <a:ext uri="{FF2B5EF4-FFF2-40B4-BE49-F238E27FC236}">
              <a16:creationId xmlns:a16="http://schemas.microsoft.com/office/drawing/2014/main" id="{12C2015C-B9D0-47BA-88B2-64B8D98A8F7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6947" name="AutoShape 12">
          <a:extLst>
            <a:ext uri="{FF2B5EF4-FFF2-40B4-BE49-F238E27FC236}">
              <a16:creationId xmlns:a16="http://schemas.microsoft.com/office/drawing/2014/main" id="{FD1B7BB8-659B-42CC-9668-2987A2843C6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6948" name="AutoShape 12">
          <a:extLst>
            <a:ext uri="{FF2B5EF4-FFF2-40B4-BE49-F238E27FC236}">
              <a16:creationId xmlns:a16="http://schemas.microsoft.com/office/drawing/2014/main" id="{F7F1B01D-83FE-44EF-97C8-CD3404E5627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6949" name="AutoShape 12">
          <a:extLst>
            <a:ext uri="{FF2B5EF4-FFF2-40B4-BE49-F238E27FC236}">
              <a16:creationId xmlns:a16="http://schemas.microsoft.com/office/drawing/2014/main" id="{77A04058-C4C0-47E8-99E1-75DC4775AB9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6950" name="AutoShape 12">
          <a:extLst>
            <a:ext uri="{FF2B5EF4-FFF2-40B4-BE49-F238E27FC236}">
              <a16:creationId xmlns:a16="http://schemas.microsoft.com/office/drawing/2014/main" id="{DE12C887-77CF-4DA1-8896-B946DA86601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6951" name="AutoShape 12">
          <a:extLst>
            <a:ext uri="{FF2B5EF4-FFF2-40B4-BE49-F238E27FC236}">
              <a16:creationId xmlns:a16="http://schemas.microsoft.com/office/drawing/2014/main" id="{04EF039B-8296-45EB-812F-0AD123CA1C8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6952" name="AutoShape 12">
          <a:extLst>
            <a:ext uri="{FF2B5EF4-FFF2-40B4-BE49-F238E27FC236}">
              <a16:creationId xmlns:a16="http://schemas.microsoft.com/office/drawing/2014/main" id="{A7480EEE-92EE-4F5B-9870-DF9ACE68AF7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6953" name="AutoShape 12">
          <a:extLst>
            <a:ext uri="{FF2B5EF4-FFF2-40B4-BE49-F238E27FC236}">
              <a16:creationId xmlns:a16="http://schemas.microsoft.com/office/drawing/2014/main" id="{90CF443D-40AA-4EC9-B509-4379ACD622A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6954" name="AutoShape 12">
          <a:extLst>
            <a:ext uri="{FF2B5EF4-FFF2-40B4-BE49-F238E27FC236}">
              <a16:creationId xmlns:a16="http://schemas.microsoft.com/office/drawing/2014/main" id="{A7D57CD3-78CA-4C18-81C6-C70E834FEB3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6955" name="AutoShape 12">
          <a:extLst>
            <a:ext uri="{FF2B5EF4-FFF2-40B4-BE49-F238E27FC236}">
              <a16:creationId xmlns:a16="http://schemas.microsoft.com/office/drawing/2014/main" id="{AB44A26D-24EC-4647-9CC5-F9E3D7F4805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6956" name="AutoShape 12">
          <a:extLst>
            <a:ext uri="{FF2B5EF4-FFF2-40B4-BE49-F238E27FC236}">
              <a16:creationId xmlns:a16="http://schemas.microsoft.com/office/drawing/2014/main" id="{2AE7B6A4-0BFB-42AF-9D88-7AB43EB7DB4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6957" name="AutoShape 12">
          <a:extLst>
            <a:ext uri="{FF2B5EF4-FFF2-40B4-BE49-F238E27FC236}">
              <a16:creationId xmlns:a16="http://schemas.microsoft.com/office/drawing/2014/main" id="{98D9ECF9-FDED-48CB-9D0D-19F75015DC4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6958" name="AutoShape 12">
          <a:extLst>
            <a:ext uri="{FF2B5EF4-FFF2-40B4-BE49-F238E27FC236}">
              <a16:creationId xmlns:a16="http://schemas.microsoft.com/office/drawing/2014/main" id="{93797813-03AC-42ED-BFC8-C6B1337ABB3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6959" name="AutoShape 12">
          <a:extLst>
            <a:ext uri="{FF2B5EF4-FFF2-40B4-BE49-F238E27FC236}">
              <a16:creationId xmlns:a16="http://schemas.microsoft.com/office/drawing/2014/main" id="{4B06B57E-17FC-45CF-A445-15CEC2BFE21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6960" name="AutoShape 12">
          <a:extLst>
            <a:ext uri="{FF2B5EF4-FFF2-40B4-BE49-F238E27FC236}">
              <a16:creationId xmlns:a16="http://schemas.microsoft.com/office/drawing/2014/main" id="{D34B7257-5A51-4B58-BBF2-BA4E4AEEE7C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6961" name="AutoShape 12">
          <a:extLst>
            <a:ext uri="{FF2B5EF4-FFF2-40B4-BE49-F238E27FC236}">
              <a16:creationId xmlns:a16="http://schemas.microsoft.com/office/drawing/2014/main" id="{C5BAA451-9B1B-4348-B34A-BB4FA263DCA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6962" name="AutoShape 12">
          <a:extLst>
            <a:ext uri="{FF2B5EF4-FFF2-40B4-BE49-F238E27FC236}">
              <a16:creationId xmlns:a16="http://schemas.microsoft.com/office/drawing/2014/main" id="{69DA8272-5787-49E2-854C-2D0A6F2C312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6963" name="AutoShape 12">
          <a:extLst>
            <a:ext uri="{FF2B5EF4-FFF2-40B4-BE49-F238E27FC236}">
              <a16:creationId xmlns:a16="http://schemas.microsoft.com/office/drawing/2014/main" id="{5CCD3AAA-1B29-423D-AC46-2B61B621D94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6964" name="AutoShape 12">
          <a:extLst>
            <a:ext uri="{FF2B5EF4-FFF2-40B4-BE49-F238E27FC236}">
              <a16:creationId xmlns:a16="http://schemas.microsoft.com/office/drawing/2014/main" id="{8E170599-95DD-4A0E-AC5A-1C2D9BB9DDA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6965" name="AutoShape 12">
          <a:extLst>
            <a:ext uri="{FF2B5EF4-FFF2-40B4-BE49-F238E27FC236}">
              <a16:creationId xmlns:a16="http://schemas.microsoft.com/office/drawing/2014/main" id="{EA8F6B2F-BE9D-418A-AA52-1D54F1AA7E0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6966" name="AutoShape 12">
          <a:extLst>
            <a:ext uri="{FF2B5EF4-FFF2-40B4-BE49-F238E27FC236}">
              <a16:creationId xmlns:a16="http://schemas.microsoft.com/office/drawing/2014/main" id="{C6AF3DB6-1C6A-4C26-88C7-E2CA958E92F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6967" name="AutoShape 12">
          <a:extLst>
            <a:ext uri="{FF2B5EF4-FFF2-40B4-BE49-F238E27FC236}">
              <a16:creationId xmlns:a16="http://schemas.microsoft.com/office/drawing/2014/main" id="{7586CC59-9510-469F-B27A-940ADCC33C8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6968" name="AutoShape 12">
          <a:extLst>
            <a:ext uri="{FF2B5EF4-FFF2-40B4-BE49-F238E27FC236}">
              <a16:creationId xmlns:a16="http://schemas.microsoft.com/office/drawing/2014/main" id="{DE27A193-9A78-46C6-8C4C-AFB3D99E56B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6969" name="AutoShape 12">
          <a:extLst>
            <a:ext uri="{FF2B5EF4-FFF2-40B4-BE49-F238E27FC236}">
              <a16:creationId xmlns:a16="http://schemas.microsoft.com/office/drawing/2014/main" id="{CFD6D016-934B-4D2F-A813-F9DCFA21F6D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6970" name="AutoShape 12">
          <a:extLst>
            <a:ext uri="{FF2B5EF4-FFF2-40B4-BE49-F238E27FC236}">
              <a16:creationId xmlns:a16="http://schemas.microsoft.com/office/drawing/2014/main" id="{C1850F2B-C848-41EC-83E3-0CB836B955C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6971" name="AutoShape 12">
          <a:extLst>
            <a:ext uri="{FF2B5EF4-FFF2-40B4-BE49-F238E27FC236}">
              <a16:creationId xmlns:a16="http://schemas.microsoft.com/office/drawing/2014/main" id="{EBFF0103-1BEF-45A2-9AFA-0FD5B6F2762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6972" name="AutoShape 12">
          <a:extLst>
            <a:ext uri="{FF2B5EF4-FFF2-40B4-BE49-F238E27FC236}">
              <a16:creationId xmlns:a16="http://schemas.microsoft.com/office/drawing/2014/main" id="{1B311AEE-7C2E-449B-9708-DF632DBB550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6973" name="AutoShape 12">
          <a:extLst>
            <a:ext uri="{FF2B5EF4-FFF2-40B4-BE49-F238E27FC236}">
              <a16:creationId xmlns:a16="http://schemas.microsoft.com/office/drawing/2014/main" id="{A804367B-D345-45E4-B7F3-E4B81B73B9F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6974" name="AutoShape 12">
          <a:extLst>
            <a:ext uri="{FF2B5EF4-FFF2-40B4-BE49-F238E27FC236}">
              <a16:creationId xmlns:a16="http://schemas.microsoft.com/office/drawing/2014/main" id="{E3369713-68C0-4785-9E27-C67F83A32DF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6975" name="AutoShape 12">
          <a:extLst>
            <a:ext uri="{FF2B5EF4-FFF2-40B4-BE49-F238E27FC236}">
              <a16:creationId xmlns:a16="http://schemas.microsoft.com/office/drawing/2014/main" id="{CF5E327B-739F-4FA4-B577-CC9FF93D71D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6976" name="AutoShape 12">
          <a:extLst>
            <a:ext uri="{FF2B5EF4-FFF2-40B4-BE49-F238E27FC236}">
              <a16:creationId xmlns:a16="http://schemas.microsoft.com/office/drawing/2014/main" id="{269A885A-DBD0-4DA8-966F-F37C3D24FB0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6977" name="AutoShape 12">
          <a:extLst>
            <a:ext uri="{FF2B5EF4-FFF2-40B4-BE49-F238E27FC236}">
              <a16:creationId xmlns:a16="http://schemas.microsoft.com/office/drawing/2014/main" id="{5BD4D926-E050-4001-8F07-3D661C3F78A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6978" name="AutoShape 12">
          <a:extLst>
            <a:ext uri="{FF2B5EF4-FFF2-40B4-BE49-F238E27FC236}">
              <a16:creationId xmlns:a16="http://schemas.microsoft.com/office/drawing/2014/main" id="{803FCBCE-F1CD-4513-AA76-5ACD0F80620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6979" name="AutoShape 12">
          <a:extLst>
            <a:ext uri="{FF2B5EF4-FFF2-40B4-BE49-F238E27FC236}">
              <a16:creationId xmlns:a16="http://schemas.microsoft.com/office/drawing/2014/main" id="{223C3ED1-2136-4C4D-A54C-3E3576F0504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6980" name="AutoShape 12">
          <a:extLst>
            <a:ext uri="{FF2B5EF4-FFF2-40B4-BE49-F238E27FC236}">
              <a16:creationId xmlns:a16="http://schemas.microsoft.com/office/drawing/2014/main" id="{40E961DF-B366-4E59-93B5-04471861D9A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6981" name="AutoShape 12">
          <a:extLst>
            <a:ext uri="{FF2B5EF4-FFF2-40B4-BE49-F238E27FC236}">
              <a16:creationId xmlns:a16="http://schemas.microsoft.com/office/drawing/2014/main" id="{B119F16A-F3D9-4912-9790-701BEB28792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6982" name="AutoShape 12">
          <a:extLst>
            <a:ext uri="{FF2B5EF4-FFF2-40B4-BE49-F238E27FC236}">
              <a16:creationId xmlns:a16="http://schemas.microsoft.com/office/drawing/2014/main" id="{CB7B1B6D-487C-4040-9A7E-BB5CDB2DD4A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6983" name="AutoShape 12">
          <a:extLst>
            <a:ext uri="{FF2B5EF4-FFF2-40B4-BE49-F238E27FC236}">
              <a16:creationId xmlns:a16="http://schemas.microsoft.com/office/drawing/2014/main" id="{B497673E-742C-4531-8B16-8BBDBAA98FE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6984" name="AutoShape 12">
          <a:extLst>
            <a:ext uri="{FF2B5EF4-FFF2-40B4-BE49-F238E27FC236}">
              <a16:creationId xmlns:a16="http://schemas.microsoft.com/office/drawing/2014/main" id="{B09D5D31-D083-48B6-B5C5-EF64F5617E3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6985" name="AutoShape 12">
          <a:extLst>
            <a:ext uri="{FF2B5EF4-FFF2-40B4-BE49-F238E27FC236}">
              <a16:creationId xmlns:a16="http://schemas.microsoft.com/office/drawing/2014/main" id="{E7C44BD3-2F7F-4328-8D12-05986FADEF4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6986" name="AutoShape 12">
          <a:extLst>
            <a:ext uri="{FF2B5EF4-FFF2-40B4-BE49-F238E27FC236}">
              <a16:creationId xmlns:a16="http://schemas.microsoft.com/office/drawing/2014/main" id="{B313B9F7-4EE7-4741-B918-3C9759A0CDB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6987" name="AutoShape 12">
          <a:extLst>
            <a:ext uri="{FF2B5EF4-FFF2-40B4-BE49-F238E27FC236}">
              <a16:creationId xmlns:a16="http://schemas.microsoft.com/office/drawing/2014/main" id="{C07EE484-17DB-4629-BD93-0A8051D276D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6988" name="AutoShape 12">
          <a:extLst>
            <a:ext uri="{FF2B5EF4-FFF2-40B4-BE49-F238E27FC236}">
              <a16:creationId xmlns:a16="http://schemas.microsoft.com/office/drawing/2014/main" id="{7F8E27C6-FFF1-4980-A3DD-E828A7A3978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6989" name="AutoShape 12">
          <a:extLst>
            <a:ext uri="{FF2B5EF4-FFF2-40B4-BE49-F238E27FC236}">
              <a16:creationId xmlns:a16="http://schemas.microsoft.com/office/drawing/2014/main" id="{4F301010-365A-41EB-A2C7-E606E61DDA1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6990" name="AutoShape 12">
          <a:extLst>
            <a:ext uri="{FF2B5EF4-FFF2-40B4-BE49-F238E27FC236}">
              <a16:creationId xmlns:a16="http://schemas.microsoft.com/office/drawing/2014/main" id="{5CBC40A1-C63E-4397-B3AD-D8B0BF8817D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6991" name="AutoShape 12">
          <a:extLst>
            <a:ext uri="{FF2B5EF4-FFF2-40B4-BE49-F238E27FC236}">
              <a16:creationId xmlns:a16="http://schemas.microsoft.com/office/drawing/2014/main" id="{18097876-98C1-4540-A7A6-C32704E778D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6992" name="AutoShape 12">
          <a:extLst>
            <a:ext uri="{FF2B5EF4-FFF2-40B4-BE49-F238E27FC236}">
              <a16:creationId xmlns:a16="http://schemas.microsoft.com/office/drawing/2014/main" id="{E8803CCF-C52E-4545-ACC3-D19DF1F40ED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6993" name="AutoShape 12">
          <a:extLst>
            <a:ext uri="{FF2B5EF4-FFF2-40B4-BE49-F238E27FC236}">
              <a16:creationId xmlns:a16="http://schemas.microsoft.com/office/drawing/2014/main" id="{BE6DB7A3-EECA-459C-9C38-3F5AF16FDB5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6994" name="AutoShape 12">
          <a:extLst>
            <a:ext uri="{FF2B5EF4-FFF2-40B4-BE49-F238E27FC236}">
              <a16:creationId xmlns:a16="http://schemas.microsoft.com/office/drawing/2014/main" id="{46238C3E-5878-4ACE-8F38-DCFF041A89E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6995" name="AutoShape 12">
          <a:extLst>
            <a:ext uri="{FF2B5EF4-FFF2-40B4-BE49-F238E27FC236}">
              <a16:creationId xmlns:a16="http://schemas.microsoft.com/office/drawing/2014/main" id="{833EECE6-8BC8-4698-A59C-2C0BE80926E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6996" name="AutoShape 12">
          <a:extLst>
            <a:ext uri="{FF2B5EF4-FFF2-40B4-BE49-F238E27FC236}">
              <a16:creationId xmlns:a16="http://schemas.microsoft.com/office/drawing/2014/main" id="{87F69E9C-A98D-4321-AB0E-B9DE1921931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6997" name="AutoShape 12">
          <a:extLst>
            <a:ext uri="{FF2B5EF4-FFF2-40B4-BE49-F238E27FC236}">
              <a16:creationId xmlns:a16="http://schemas.microsoft.com/office/drawing/2014/main" id="{4F18086B-2A12-4E79-9EC5-5944C94FBE8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6998" name="AutoShape 12">
          <a:extLst>
            <a:ext uri="{FF2B5EF4-FFF2-40B4-BE49-F238E27FC236}">
              <a16:creationId xmlns:a16="http://schemas.microsoft.com/office/drawing/2014/main" id="{707F2064-4E68-4DC0-9816-9C7AEECA849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6999" name="AutoShape 12">
          <a:extLst>
            <a:ext uri="{FF2B5EF4-FFF2-40B4-BE49-F238E27FC236}">
              <a16:creationId xmlns:a16="http://schemas.microsoft.com/office/drawing/2014/main" id="{8D7A9ED7-F9F1-4009-B65D-8A0DDB41766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7000" name="AutoShape 12">
          <a:extLst>
            <a:ext uri="{FF2B5EF4-FFF2-40B4-BE49-F238E27FC236}">
              <a16:creationId xmlns:a16="http://schemas.microsoft.com/office/drawing/2014/main" id="{E1910A28-347A-4CE7-9128-34B29D3E497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7001" name="AutoShape 12">
          <a:extLst>
            <a:ext uri="{FF2B5EF4-FFF2-40B4-BE49-F238E27FC236}">
              <a16:creationId xmlns:a16="http://schemas.microsoft.com/office/drawing/2014/main" id="{97658790-DDB0-4CC2-83E8-8EEADAD1A27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7002" name="AutoShape 12">
          <a:extLst>
            <a:ext uri="{FF2B5EF4-FFF2-40B4-BE49-F238E27FC236}">
              <a16:creationId xmlns:a16="http://schemas.microsoft.com/office/drawing/2014/main" id="{64B4E5A5-09C2-444D-97C5-0F1189867E6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7003" name="AutoShape 12">
          <a:extLst>
            <a:ext uri="{FF2B5EF4-FFF2-40B4-BE49-F238E27FC236}">
              <a16:creationId xmlns:a16="http://schemas.microsoft.com/office/drawing/2014/main" id="{1388BD97-F9D3-4FFC-A759-E672FEE10DA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7004" name="AutoShape 12">
          <a:extLst>
            <a:ext uri="{FF2B5EF4-FFF2-40B4-BE49-F238E27FC236}">
              <a16:creationId xmlns:a16="http://schemas.microsoft.com/office/drawing/2014/main" id="{05359BA8-0AE3-4D46-9186-0E2869D03EE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7005" name="AutoShape 12">
          <a:extLst>
            <a:ext uri="{FF2B5EF4-FFF2-40B4-BE49-F238E27FC236}">
              <a16:creationId xmlns:a16="http://schemas.microsoft.com/office/drawing/2014/main" id="{4B98A7C8-AD19-48FD-8446-EEE6A6C18AC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7006" name="AutoShape 12">
          <a:extLst>
            <a:ext uri="{FF2B5EF4-FFF2-40B4-BE49-F238E27FC236}">
              <a16:creationId xmlns:a16="http://schemas.microsoft.com/office/drawing/2014/main" id="{27E944FE-5B6A-4617-B32A-D3CBE3E52F0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7007" name="AutoShape 12">
          <a:extLst>
            <a:ext uri="{FF2B5EF4-FFF2-40B4-BE49-F238E27FC236}">
              <a16:creationId xmlns:a16="http://schemas.microsoft.com/office/drawing/2014/main" id="{BA1B32F6-FD3C-446A-AC67-3D748695F47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7008" name="AutoShape 12">
          <a:extLst>
            <a:ext uri="{FF2B5EF4-FFF2-40B4-BE49-F238E27FC236}">
              <a16:creationId xmlns:a16="http://schemas.microsoft.com/office/drawing/2014/main" id="{8A5EC39F-66C4-467E-AEF6-34C26B92B35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7009" name="AutoShape 12">
          <a:extLst>
            <a:ext uri="{FF2B5EF4-FFF2-40B4-BE49-F238E27FC236}">
              <a16:creationId xmlns:a16="http://schemas.microsoft.com/office/drawing/2014/main" id="{D78D6706-D106-4416-8B9E-BB81854EDB7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7010" name="AutoShape 12">
          <a:extLst>
            <a:ext uri="{FF2B5EF4-FFF2-40B4-BE49-F238E27FC236}">
              <a16:creationId xmlns:a16="http://schemas.microsoft.com/office/drawing/2014/main" id="{10A7CA27-4FFD-4E36-A65B-39ABD1CA943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7011" name="AutoShape 12">
          <a:extLst>
            <a:ext uri="{FF2B5EF4-FFF2-40B4-BE49-F238E27FC236}">
              <a16:creationId xmlns:a16="http://schemas.microsoft.com/office/drawing/2014/main" id="{F09089A0-BAED-4169-8E96-ADC5FFD24D8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7012" name="AutoShape 12">
          <a:extLst>
            <a:ext uri="{FF2B5EF4-FFF2-40B4-BE49-F238E27FC236}">
              <a16:creationId xmlns:a16="http://schemas.microsoft.com/office/drawing/2014/main" id="{5EA9CB9F-5A1D-4A82-B590-944E05831EE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7013" name="AutoShape 12">
          <a:extLst>
            <a:ext uri="{FF2B5EF4-FFF2-40B4-BE49-F238E27FC236}">
              <a16:creationId xmlns:a16="http://schemas.microsoft.com/office/drawing/2014/main" id="{D571876B-4BC6-47B8-870B-F23109E35AB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7014" name="AutoShape 12">
          <a:extLst>
            <a:ext uri="{FF2B5EF4-FFF2-40B4-BE49-F238E27FC236}">
              <a16:creationId xmlns:a16="http://schemas.microsoft.com/office/drawing/2014/main" id="{27A03B76-9BDB-4E8E-B947-B62B25334EC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7015" name="AutoShape 12">
          <a:extLst>
            <a:ext uri="{FF2B5EF4-FFF2-40B4-BE49-F238E27FC236}">
              <a16:creationId xmlns:a16="http://schemas.microsoft.com/office/drawing/2014/main" id="{21D12D4B-4AE5-4B0E-838C-D80F9849387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7016" name="AutoShape 12">
          <a:extLst>
            <a:ext uri="{FF2B5EF4-FFF2-40B4-BE49-F238E27FC236}">
              <a16:creationId xmlns:a16="http://schemas.microsoft.com/office/drawing/2014/main" id="{DC7AA4B6-72C3-414C-9F67-C759580BB9E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7017" name="AutoShape 12">
          <a:extLst>
            <a:ext uri="{FF2B5EF4-FFF2-40B4-BE49-F238E27FC236}">
              <a16:creationId xmlns:a16="http://schemas.microsoft.com/office/drawing/2014/main" id="{50F37D4C-B5D1-423F-B9E0-C8AFD4B97D9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7018" name="AutoShape 12">
          <a:extLst>
            <a:ext uri="{FF2B5EF4-FFF2-40B4-BE49-F238E27FC236}">
              <a16:creationId xmlns:a16="http://schemas.microsoft.com/office/drawing/2014/main" id="{DA2A3BC0-4180-4A6B-8229-074A1AA942E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7019" name="AutoShape 12">
          <a:extLst>
            <a:ext uri="{FF2B5EF4-FFF2-40B4-BE49-F238E27FC236}">
              <a16:creationId xmlns:a16="http://schemas.microsoft.com/office/drawing/2014/main" id="{F8BE10FD-FF39-45DA-9F46-B4E767FB8A7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7020" name="AutoShape 12">
          <a:extLst>
            <a:ext uri="{FF2B5EF4-FFF2-40B4-BE49-F238E27FC236}">
              <a16:creationId xmlns:a16="http://schemas.microsoft.com/office/drawing/2014/main" id="{5D2939AE-F5E5-4013-8100-473254A0013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7021" name="AutoShape 12">
          <a:extLst>
            <a:ext uri="{FF2B5EF4-FFF2-40B4-BE49-F238E27FC236}">
              <a16:creationId xmlns:a16="http://schemas.microsoft.com/office/drawing/2014/main" id="{35D73A8B-0F70-4807-9608-51F282E7550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7022" name="AutoShape 12">
          <a:extLst>
            <a:ext uri="{FF2B5EF4-FFF2-40B4-BE49-F238E27FC236}">
              <a16:creationId xmlns:a16="http://schemas.microsoft.com/office/drawing/2014/main" id="{FF842672-6FCE-4109-A033-74CBF384184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7023" name="AutoShape 12">
          <a:extLst>
            <a:ext uri="{FF2B5EF4-FFF2-40B4-BE49-F238E27FC236}">
              <a16:creationId xmlns:a16="http://schemas.microsoft.com/office/drawing/2014/main" id="{C9CABB75-C294-4BC5-BE36-0D2E306A310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7024" name="AutoShape 12">
          <a:extLst>
            <a:ext uri="{FF2B5EF4-FFF2-40B4-BE49-F238E27FC236}">
              <a16:creationId xmlns:a16="http://schemas.microsoft.com/office/drawing/2014/main" id="{3286B298-BC90-4F35-895F-57E4011D793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7025" name="AutoShape 12">
          <a:extLst>
            <a:ext uri="{FF2B5EF4-FFF2-40B4-BE49-F238E27FC236}">
              <a16:creationId xmlns:a16="http://schemas.microsoft.com/office/drawing/2014/main" id="{D13F6A67-B61B-4008-BD9B-CE5B9DD0BAC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7026" name="AutoShape 12">
          <a:extLst>
            <a:ext uri="{FF2B5EF4-FFF2-40B4-BE49-F238E27FC236}">
              <a16:creationId xmlns:a16="http://schemas.microsoft.com/office/drawing/2014/main" id="{588A82C2-D9AA-436D-B68C-1F96FED4AD3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7027" name="AutoShape 12">
          <a:extLst>
            <a:ext uri="{FF2B5EF4-FFF2-40B4-BE49-F238E27FC236}">
              <a16:creationId xmlns:a16="http://schemas.microsoft.com/office/drawing/2014/main" id="{A1B636E8-9684-4D3C-A2E1-8F63CF6CB26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7028" name="AutoShape 12">
          <a:extLst>
            <a:ext uri="{FF2B5EF4-FFF2-40B4-BE49-F238E27FC236}">
              <a16:creationId xmlns:a16="http://schemas.microsoft.com/office/drawing/2014/main" id="{D2D53E95-48B3-4C08-9BD2-F296B37C309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7029" name="AutoShape 12">
          <a:extLst>
            <a:ext uri="{FF2B5EF4-FFF2-40B4-BE49-F238E27FC236}">
              <a16:creationId xmlns:a16="http://schemas.microsoft.com/office/drawing/2014/main" id="{35904404-FE89-4314-9D02-AEB25C89E44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7030" name="AutoShape 12">
          <a:extLst>
            <a:ext uri="{FF2B5EF4-FFF2-40B4-BE49-F238E27FC236}">
              <a16:creationId xmlns:a16="http://schemas.microsoft.com/office/drawing/2014/main" id="{4A4E395A-EBD6-4CB1-B766-25E195B1A70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7031" name="AutoShape 12">
          <a:extLst>
            <a:ext uri="{FF2B5EF4-FFF2-40B4-BE49-F238E27FC236}">
              <a16:creationId xmlns:a16="http://schemas.microsoft.com/office/drawing/2014/main" id="{B3889FAA-7EC6-4444-96A2-8D0BA24E32A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7032" name="AutoShape 12">
          <a:extLst>
            <a:ext uri="{FF2B5EF4-FFF2-40B4-BE49-F238E27FC236}">
              <a16:creationId xmlns:a16="http://schemas.microsoft.com/office/drawing/2014/main" id="{D90400DD-44BD-4661-8D76-C76855BCF39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7033" name="AutoShape 12">
          <a:extLst>
            <a:ext uri="{FF2B5EF4-FFF2-40B4-BE49-F238E27FC236}">
              <a16:creationId xmlns:a16="http://schemas.microsoft.com/office/drawing/2014/main" id="{570594A1-0582-4D3B-AC00-BD0EBC666F9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7034" name="AutoShape 12">
          <a:extLst>
            <a:ext uri="{FF2B5EF4-FFF2-40B4-BE49-F238E27FC236}">
              <a16:creationId xmlns:a16="http://schemas.microsoft.com/office/drawing/2014/main" id="{578B3E6C-DF39-4151-A68A-6C7403F57AC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7035" name="AutoShape 12">
          <a:extLst>
            <a:ext uri="{FF2B5EF4-FFF2-40B4-BE49-F238E27FC236}">
              <a16:creationId xmlns:a16="http://schemas.microsoft.com/office/drawing/2014/main" id="{3BB484E5-5EE7-4423-856F-46E5BCBB366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7036" name="AutoShape 12">
          <a:extLst>
            <a:ext uri="{FF2B5EF4-FFF2-40B4-BE49-F238E27FC236}">
              <a16:creationId xmlns:a16="http://schemas.microsoft.com/office/drawing/2014/main" id="{6CA3D3DF-8B6F-484F-B8DA-A04A2E82522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7037" name="AutoShape 12">
          <a:extLst>
            <a:ext uri="{FF2B5EF4-FFF2-40B4-BE49-F238E27FC236}">
              <a16:creationId xmlns:a16="http://schemas.microsoft.com/office/drawing/2014/main" id="{3CCA8B6B-3A49-4905-A36C-608D4914F0E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7038" name="AutoShape 12">
          <a:extLst>
            <a:ext uri="{FF2B5EF4-FFF2-40B4-BE49-F238E27FC236}">
              <a16:creationId xmlns:a16="http://schemas.microsoft.com/office/drawing/2014/main" id="{ECB77C2F-2886-408C-9856-A83F2E4F19B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7039" name="AutoShape 12">
          <a:extLst>
            <a:ext uri="{FF2B5EF4-FFF2-40B4-BE49-F238E27FC236}">
              <a16:creationId xmlns:a16="http://schemas.microsoft.com/office/drawing/2014/main" id="{3332A3FC-01C5-4DE1-86EE-3BE091CC3A9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7040" name="AutoShape 12">
          <a:extLst>
            <a:ext uri="{FF2B5EF4-FFF2-40B4-BE49-F238E27FC236}">
              <a16:creationId xmlns:a16="http://schemas.microsoft.com/office/drawing/2014/main" id="{0C77ECA9-7DF9-4742-96B5-C2D658547C7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7041" name="AutoShape 12">
          <a:extLst>
            <a:ext uri="{FF2B5EF4-FFF2-40B4-BE49-F238E27FC236}">
              <a16:creationId xmlns:a16="http://schemas.microsoft.com/office/drawing/2014/main" id="{6106F973-9651-4290-B715-E7540E5EA17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7042" name="AutoShape 12">
          <a:extLst>
            <a:ext uri="{FF2B5EF4-FFF2-40B4-BE49-F238E27FC236}">
              <a16:creationId xmlns:a16="http://schemas.microsoft.com/office/drawing/2014/main" id="{52555D11-9D92-4DDB-A31C-80EDBB9F69D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7043" name="AutoShape 12">
          <a:extLst>
            <a:ext uri="{FF2B5EF4-FFF2-40B4-BE49-F238E27FC236}">
              <a16:creationId xmlns:a16="http://schemas.microsoft.com/office/drawing/2014/main" id="{12298417-6EA8-4B14-9C3C-B1FBCF649A0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7044" name="AutoShape 12">
          <a:extLst>
            <a:ext uri="{FF2B5EF4-FFF2-40B4-BE49-F238E27FC236}">
              <a16:creationId xmlns:a16="http://schemas.microsoft.com/office/drawing/2014/main" id="{F7C7EBA4-66BB-4FF5-B1F2-68766B26FDA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7045" name="AutoShape 12">
          <a:extLst>
            <a:ext uri="{FF2B5EF4-FFF2-40B4-BE49-F238E27FC236}">
              <a16:creationId xmlns:a16="http://schemas.microsoft.com/office/drawing/2014/main" id="{C6E71940-011E-4B0D-A1FE-0116C0C6182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7046" name="AutoShape 12">
          <a:extLst>
            <a:ext uri="{FF2B5EF4-FFF2-40B4-BE49-F238E27FC236}">
              <a16:creationId xmlns:a16="http://schemas.microsoft.com/office/drawing/2014/main" id="{84494E8B-BD0C-4F6B-AC5D-7F522A90E35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7047" name="AutoShape 12">
          <a:extLst>
            <a:ext uri="{FF2B5EF4-FFF2-40B4-BE49-F238E27FC236}">
              <a16:creationId xmlns:a16="http://schemas.microsoft.com/office/drawing/2014/main" id="{E51B3A02-F5E5-410F-B2ED-0E74C55B8CB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7048" name="AutoShape 12">
          <a:extLst>
            <a:ext uri="{FF2B5EF4-FFF2-40B4-BE49-F238E27FC236}">
              <a16:creationId xmlns:a16="http://schemas.microsoft.com/office/drawing/2014/main" id="{F68A526F-C9C9-498D-AEC8-49A7D4AE19D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7049" name="AutoShape 12">
          <a:extLst>
            <a:ext uri="{FF2B5EF4-FFF2-40B4-BE49-F238E27FC236}">
              <a16:creationId xmlns:a16="http://schemas.microsoft.com/office/drawing/2014/main" id="{7297DAE0-6632-4E48-9CF9-B3A32AD3308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7050" name="AutoShape 12">
          <a:extLst>
            <a:ext uri="{FF2B5EF4-FFF2-40B4-BE49-F238E27FC236}">
              <a16:creationId xmlns:a16="http://schemas.microsoft.com/office/drawing/2014/main" id="{AA672447-1CBE-4F78-853B-B142984388A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7051" name="AutoShape 12">
          <a:extLst>
            <a:ext uri="{FF2B5EF4-FFF2-40B4-BE49-F238E27FC236}">
              <a16:creationId xmlns:a16="http://schemas.microsoft.com/office/drawing/2014/main" id="{2642BECD-39C6-4D8A-91ED-0F5A080FAEC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7052" name="AutoShape 12">
          <a:extLst>
            <a:ext uri="{FF2B5EF4-FFF2-40B4-BE49-F238E27FC236}">
              <a16:creationId xmlns:a16="http://schemas.microsoft.com/office/drawing/2014/main" id="{1B1E75B2-CEF1-4D16-856A-285845AC882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7053" name="AutoShape 12">
          <a:extLst>
            <a:ext uri="{FF2B5EF4-FFF2-40B4-BE49-F238E27FC236}">
              <a16:creationId xmlns:a16="http://schemas.microsoft.com/office/drawing/2014/main" id="{EED81900-A6C8-462F-910D-4A8D08FE850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7054" name="AutoShape 12">
          <a:extLst>
            <a:ext uri="{FF2B5EF4-FFF2-40B4-BE49-F238E27FC236}">
              <a16:creationId xmlns:a16="http://schemas.microsoft.com/office/drawing/2014/main" id="{B9C891E2-2EA0-44C2-A2F8-80F4C650D88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7055" name="AutoShape 12">
          <a:extLst>
            <a:ext uri="{FF2B5EF4-FFF2-40B4-BE49-F238E27FC236}">
              <a16:creationId xmlns:a16="http://schemas.microsoft.com/office/drawing/2014/main" id="{AF1EEDE2-48AD-49DB-9F27-FC5C93CBF0A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7056" name="AutoShape 12">
          <a:extLst>
            <a:ext uri="{FF2B5EF4-FFF2-40B4-BE49-F238E27FC236}">
              <a16:creationId xmlns:a16="http://schemas.microsoft.com/office/drawing/2014/main" id="{8B338C22-9F0A-4290-BD4E-BFCD3AC6328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7057" name="AutoShape 12">
          <a:extLst>
            <a:ext uri="{FF2B5EF4-FFF2-40B4-BE49-F238E27FC236}">
              <a16:creationId xmlns:a16="http://schemas.microsoft.com/office/drawing/2014/main" id="{3DDECBE4-7805-4A7A-A26F-E2DE7999B86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7058" name="AutoShape 12">
          <a:extLst>
            <a:ext uri="{FF2B5EF4-FFF2-40B4-BE49-F238E27FC236}">
              <a16:creationId xmlns:a16="http://schemas.microsoft.com/office/drawing/2014/main" id="{57E9A153-552D-4869-8FDA-247E14200D7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7059" name="AutoShape 12">
          <a:extLst>
            <a:ext uri="{FF2B5EF4-FFF2-40B4-BE49-F238E27FC236}">
              <a16:creationId xmlns:a16="http://schemas.microsoft.com/office/drawing/2014/main" id="{9C45FD60-41F5-4840-9A7F-2B4B18C7541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7060" name="AutoShape 12">
          <a:extLst>
            <a:ext uri="{FF2B5EF4-FFF2-40B4-BE49-F238E27FC236}">
              <a16:creationId xmlns:a16="http://schemas.microsoft.com/office/drawing/2014/main" id="{E5CB0CA6-7CFD-4CCA-98F3-EC661246D4E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7061" name="AutoShape 12">
          <a:extLst>
            <a:ext uri="{FF2B5EF4-FFF2-40B4-BE49-F238E27FC236}">
              <a16:creationId xmlns:a16="http://schemas.microsoft.com/office/drawing/2014/main" id="{3F46A182-AF8D-4E80-AF88-F3B38628E07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7062" name="AutoShape 12">
          <a:extLst>
            <a:ext uri="{FF2B5EF4-FFF2-40B4-BE49-F238E27FC236}">
              <a16:creationId xmlns:a16="http://schemas.microsoft.com/office/drawing/2014/main" id="{70454588-5D9F-4069-A4BB-A05FAF8F597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7063" name="AutoShape 12">
          <a:extLst>
            <a:ext uri="{FF2B5EF4-FFF2-40B4-BE49-F238E27FC236}">
              <a16:creationId xmlns:a16="http://schemas.microsoft.com/office/drawing/2014/main" id="{22A72DA1-982A-40A9-8632-770CCC6390B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7064" name="AutoShape 12">
          <a:extLst>
            <a:ext uri="{FF2B5EF4-FFF2-40B4-BE49-F238E27FC236}">
              <a16:creationId xmlns:a16="http://schemas.microsoft.com/office/drawing/2014/main" id="{8AE4F559-1045-456B-9BC1-23C276633C1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7065" name="AutoShape 12">
          <a:extLst>
            <a:ext uri="{FF2B5EF4-FFF2-40B4-BE49-F238E27FC236}">
              <a16:creationId xmlns:a16="http://schemas.microsoft.com/office/drawing/2014/main" id="{DA4AB524-D6DB-4386-8117-F76C770C06F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7066" name="AutoShape 12">
          <a:extLst>
            <a:ext uri="{FF2B5EF4-FFF2-40B4-BE49-F238E27FC236}">
              <a16:creationId xmlns:a16="http://schemas.microsoft.com/office/drawing/2014/main" id="{F8B35CCE-9234-44AC-9C10-F2C20E61D4E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7067" name="AutoShape 12">
          <a:extLst>
            <a:ext uri="{FF2B5EF4-FFF2-40B4-BE49-F238E27FC236}">
              <a16:creationId xmlns:a16="http://schemas.microsoft.com/office/drawing/2014/main" id="{B37DDB6F-C6D7-4016-BCBA-F7C733C31FD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7068" name="AutoShape 12">
          <a:extLst>
            <a:ext uri="{FF2B5EF4-FFF2-40B4-BE49-F238E27FC236}">
              <a16:creationId xmlns:a16="http://schemas.microsoft.com/office/drawing/2014/main" id="{9FE16C30-A65E-4B9A-809B-7B407292122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7069" name="AutoShape 12">
          <a:extLst>
            <a:ext uri="{FF2B5EF4-FFF2-40B4-BE49-F238E27FC236}">
              <a16:creationId xmlns:a16="http://schemas.microsoft.com/office/drawing/2014/main" id="{EAC942CB-5F6B-4D22-8116-CA1F51C9DF0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7070" name="AutoShape 12">
          <a:extLst>
            <a:ext uri="{FF2B5EF4-FFF2-40B4-BE49-F238E27FC236}">
              <a16:creationId xmlns:a16="http://schemas.microsoft.com/office/drawing/2014/main" id="{438F3EE1-E228-4C89-AD4D-D8E8AAF1440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7071" name="AutoShape 12">
          <a:extLst>
            <a:ext uri="{FF2B5EF4-FFF2-40B4-BE49-F238E27FC236}">
              <a16:creationId xmlns:a16="http://schemas.microsoft.com/office/drawing/2014/main" id="{CD12E551-0B9A-42BA-8432-6671D2448BE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7072" name="AutoShape 12">
          <a:extLst>
            <a:ext uri="{FF2B5EF4-FFF2-40B4-BE49-F238E27FC236}">
              <a16:creationId xmlns:a16="http://schemas.microsoft.com/office/drawing/2014/main" id="{0FD1BC02-1D77-4C73-9832-52987C45CEC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7073" name="AutoShape 12">
          <a:extLst>
            <a:ext uri="{FF2B5EF4-FFF2-40B4-BE49-F238E27FC236}">
              <a16:creationId xmlns:a16="http://schemas.microsoft.com/office/drawing/2014/main" id="{67C964A8-CBF8-4B45-9200-1D6B033D319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7074" name="AutoShape 12">
          <a:extLst>
            <a:ext uri="{FF2B5EF4-FFF2-40B4-BE49-F238E27FC236}">
              <a16:creationId xmlns:a16="http://schemas.microsoft.com/office/drawing/2014/main" id="{DF5647C0-C4F8-4B75-A06B-2FF19BAFCB1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7075" name="AutoShape 12">
          <a:extLst>
            <a:ext uri="{FF2B5EF4-FFF2-40B4-BE49-F238E27FC236}">
              <a16:creationId xmlns:a16="http://schemas.microsoft.com/office/drawing/2014/main" id="{C733729B-F86D-4076-8A82-D23A36EB02F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7076" name="AutoShape 12">
          <a:extLst>
            <a:ext uri="{FF2B5EF4-FFF2-40B4-BE49-F238E27FC236}">
              <a16:creationId xmlns:a16="http://schemas.microsoft.com/office/drawing/2014/main" id="{F4A5274F-D521-4EE9-A352-8A0FB72F2E3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7077" name="AutoShape 12">
          <a:extLst>
            <a:ext uri="{FF2B5EF4-FFF2-40B4-BE49-F238E27FC236}">
              <a16:creationId xmlns:a16="http://schemas.microsoft.com/office/drawing/2014/main" id="{4D6D531F-BE70-4CAE-B0DE-B3673419E58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7078" name="AutoShape 12">
          <a:extLst>
            <a:ext uri="{FF2B5EF4-FFF2-40B4-BE49-F238E27FC236}">
              <a16:creationId xmlns:a16="http://schemas.microsoft.com/office/drawing/2014/main" id="{239937F8-B63C-43F4-B493-AD52954E600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7079" name="AutoShape 12">
          <a:extLst>
            <a:ext uri="{FF2B5EF4-FFF2-40B4-BE49-F238E27FC236}">
              <a16:creationId xmlns:a16="http://schemas.microsoft.com/office/drawing/2014/main" id="{BB409857-0904-4AE0-BE11-259DA3A0330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7080" name="AutoShape 12">
          <a:extLst>
            <a:ext uri="{FF2B5EF4-FFF2-40B4-BE49-F238E27FC236}">
              <a16:creationId xmlns:a16="http://schemas.microsoft.com/office/drawing/2014/main" id="{4BF44A10-6A31-4A9F-B5DF-9EF0B6472DE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7081" name="AutoShape 12">
          <a:extLst>
            <a:ext uri="{FF2B5EF4-FFF2-40B4-BE49-F238E27FC236}">
              <a16:creationId xmlns:a16="http://schemas.microsoft.com/office/drawing/2014/main" id="{4BA5B095-6AD0-476F-B7D5-605A71DB6F1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7082" name="AutoShape 12">
          <a:extLst>
            <a:ext uri="{FF2B5EF4-FFF2-40B4-BE49-F238E27FC236}">
              <a16:creationId xmlns:a16="http://schemas.microsoft.com/office/drawing/2014/main" id="{B25734DD-93D1-4EB7-9C12-17FFDD93352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7083" name="AutoShape 12">
          <a:extLst>
            <a:ext uri="{FF2B5EF4-FFF2-40B4-BE49-F238E27FC236}">
              <a16:creationId xmlns:a16="http://schemas.microsoft.com/office/drawing/2014/main" id="{3008143D-84AF-4509-B3E2-8E564EFD859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7084" name="AutoShape 12">
          <a:extLst>
            <a:ext uri="{FF2B5EF4-FFF2-40B4-BE49-F238E27FC236}">
              <a16:creationId xmlns:a16="http://schemas.microsoft.com/office/drawing/2014/main" id="{0BBBAFB6-56E4-4F81-947E-316094526E3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7085" name="AutoShape 12">
          <a:extLst>
            <a:ext uri="{FF2B5EF4-FFF2-40B4-BE49-F238E27FC236}">
              <a16:creationId xmlns:a16="http://schemas.microsoft.com/office/drawing/2014/main" id="{31B87FD2-CDA7-4E20-8A79-780B9B7AFA4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7086" name="AutoShape 12">
          <a:extLst>
            <a:ext uri="{FF2B5EF4-FFF2-40B4-BE49-F238E27FC236}">
              <a16:creationId xmlns:a16="http://schemas.microsoft.com/office/drawing/2014/main" id="{FEC7B485-FF9D-439C-A940-945DFA8DE55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7087" name="AutoShape 12">
          <a:extLst>
            <a:ext uri="{FF2B5EF4-FFF2-40B4-BE49-F238E27FC236}">
              <a16:creationId xmlns:a16="http://schemas.microsoft.com/office/drawing/2014/main" id="{E70E3B19-F066-4538-9C93-5B82596C9A8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7088" name="AutoShape 12">
          <a:extLst>
            <a:ext uri="{FF2B5EF4-FFF2-40B4-BE49-F238E27FC236}">
              <a16:creationId xmlns:a16="http://schemas.microsoft.com/office/drawing/2014/main" id="{CE6EA114-9367-4ACF-A209-5A5A8011A2A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7089" name="AutoShape 12">
          <a:extLst>
            <a:ext uri="{FF2B5EF4-FFF2-40B4-BE49-F238E27FC236}">
              <a16:creationId xmlns:a16="http://schemas.microsoft.com/office/drawing/2014/main" id="{1C5C6B41-49DD-4D01-B3D8-8FCF60DBD6C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7090" name="AutoShape 12">
          <a:extLst>
            <a:ext uri="{FF2B5EF4-FFF2-40B4-BE49-F238E27FC236}">
              <a16:creationId xmlns:a16="http://schemas.microsoft.com/office/drawing/2014/main" id="{4B159B46-C364-494E-903C-E522B700C21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7091" name="AutoShape 12">
          <a:extLst>
            <a:ext uri="{FF2B5EF4-FFF2-40B4-BE49-F238E27FC236}">
              <a16:creationId xmlns:a16="http://schemas.microsoft.com/office/drawing/2014/main" id="{1B1ADE11-A2B4-4C77-92D0-4D41BDC3D4B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7092" name="AutoShape 12">
          <a:extLst>
            <a:ext uri="{FF2B5EF4-FFF2-40B4-BE49-F238E27FC236}">
              <a16:creationId xmlns:a16="http://schemas.microsoft.com/office/drawing/2014/main" id="{4906D227-AC77-4E95-9B36-8C1DF9D772B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7093" name="AutoShape 12">
          <a:extLst>
            <a:ext uri="{FF2B5EF4-FFF2-40B4-BE49-F238E27FC236}">
              <a16:creationId xmlns:a16="http://schemas.microsoft.com/office/drawing/2014/main" id="{BA78DE6C-C0D9-4C90-ADB0-BEE49150671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7094" name="AutoShape 12">
          <a:extLst>
            <a:ext uri="{FF2B5EF4-FFF2-40B4-BE49-F238E27FC236}">
              <a16:creationId xmlns:a16="http://schemas.microsoft.com/office/drawing/2014/main" id="{9129EE9A-2629-4B25-80F6-A11E8557949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7095" name="AutoShape 12">
          <a:extLst>
            <a:ext uri="{FF2B5EF4-FFF2-40B4-BE49-F238E27FC236}">
              <a16:creationId xmlns:a16="http://schemas.microsoft.com/office/drawing/2014/main" id="{44EE757B-04FD-4C4D-B1B2-DC45380B43B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7096" name="AutoShape 12">
          <a:extLst>
            <a:ext uri="{FF2B5EF4-FFF2-40B4-BE49-F238E27FC236}">
              <a16:creationId xmlns:a16="http://schemas.microsoft.com/office/drawing/2014/main" id="{6E28388D-026F-431B-B067-56993C45ED2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7097" name="AutoShape 12">
          <a:extLst>
            <a:ext uri="{FF2B5EF4-FFF2-40B4-BE49-F238E27FC236}">
              <a16:creationId xmlns:a16="http://schemas.microsoft.com/office/drawing/2014/main" id="{D13934D6-08E3-4778-B7B8-BAF7D0D889B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7098" name="AutoShape 12">
          <a:extLst>
            <a:ext uri="{FF2B5EF4-FFF2-40B4-BE49-F238E27FC236}">
              <a16:creationId xmlns:a16="http://schemas.microsoft.com/office/drawing/2014/main" id="{DD2C73EB-A71C-4614-8A46-BC1844C0B79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7099" name="AutoShape 12">
          <a:extLst>
            <a:ext uri="{FF2B5EF4-FFF2-40B4-BE49-F238E27FC236}">
              <a16:creationId xmlns:a16="http://schemas.microsoft.com/office/drawing/2014/main" id="{040FCBC5-3BEB-41F7-8E6F-0219A191678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7100" name="AutoShape 12">
          <a:extLst>
            <a:ext uri="{FF2B5EF4-FFF2-40B4-BE49-F238E27FC236}">
              <a16:creationId xmlns:a16="http://schemas.microsoft.com/office/drawing/2014/main" id="{AA8223DF-0BDF-4139-B859-CE7B95E56F2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7101" name="AutoShape 12">
          <a:extLst>
            <a:ext uri="{FF2B5EF4-FFF2-40B4-BE49-F238E27FC236}">
              <a16:creationId xmlns:a16="http://schemas.microsoft.com/office/drawing/2014/main" id="{4C58FA83-008F-4695-A332-91B74A52757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7102" name="AutoShape 12">
          <a:extLst>
            <a:ext uri="{FF2B5EF4-FFF2-40B4-BE49-F238E27FC236}">
              <a16:creationId xmlns:a16="http://schemas.microsoft.com/office/drawing/2014/main" id="{0B78B019-2F22-482C-A3C5-CF0AB36B1C8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7103" name="AutoShape 12">
          <a:extLst>
            <a:ext uri="{FF2B5EF4-FFF2-40B4-BE49-F238E27FC236}">
              <a16:creationId xmlns:a16="http://schemas.microsoft.com/office/drawing/2014/main" id="{7714ED51-A2D0-4926-B386-DA2551EF888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7104" name="AutoShape 12">
          <a:extLst>
            <a:ext uri="{FF2B5EF4-FFF2-40B4-BE49-F238E27FC236}">
              <a16:creationId xmlns:a16="http://schemas.microsoft.com/office/drawing/2014/main" id="{3F20D32F-6079-4713-AEEA-837F172AFFF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7105" name="AutoShape 12">
          <a:extLst>
            <a:ext uri="{FF2B5EF4-FFF2-40B4-BE49-F238E27FC236}">
              <a16:creationId xmlns:a16="http://schemas.microsoft.com/office/drawing/2014/main" id="{6E113596-B2C9-44B1-8433-2E6BA137E11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7106" name="AutoShape 12">
          <a:extLst>
            <a:ext uri="{FF2B5EF4-FFF2-40B4-BE49-F238E27FC236}">
              <a16:creationId xmlns:a16="http://schemas.microsoft.com/office/drawing/2014/main" id="{FFD1BFF2-7297-486D-A10A-8AC917DEA28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7107" name="AutoShape 12">
          <a:extLst>
            <a:ext uri="{FF2B5EF4-FFF2-40B4-BE49-F238E27FC236}">
              <a16:creationId xmlns:a16="http://schemas.microsoft.com/office/drawing/2014/main" id="{E1057865-D048-4509-8DC7-5752D5E213D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7108" name="AutoShape 12">
          <a:extLst>
            <a:ext uri="{FF2B5EF4-FFF2-40B4-BE49-F238E27FC236}">
              <a16:creationId xmlns:a16="http://schemas.microsoft.com/office/drawing/2014/main" id="{B0631660-900A-4D55-AC2A-27457299344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7109" name="AutoShape 12">
          <a:extLst>
            <a:ext uri="{FF2B5EF4-FFF2-40B4-BE49-F238E27FC236}">
              <a16:creationId xmlns:a16="http://schemas.microsoft.com/office/drawing/2014/main" id="{3A5EC6D6-5895-4BFF-8226-77B1C04EB8F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7110" name="AutoShape 12">
          <a:extLst>
            <a:ext uri="{FF2B5EF4-FFF2-40B4-BE49-F238E27FC236}">
              <a16:creationId xmlns:a16="http://schemas.microsoft.com/office/drawing/2014/main" id="{01607246-39E6-4FB2-AC6B-45FC42943BE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7111" name="AutoShape 12">
          <a:extLst>
            <a:ext uri="{FF2B5EF4-FFF2-40B4-BE49-F238E27FC236}">
              <a16:creationId xmlns:a16="http://schemas.microsoft.com/office/drawing/2014/main" id="{E6B1163D-EC12-490E-9278-9CB0B983C34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7112" name="AutoShape 12">
          <a:extLst>
            <a:ext uri="{FF2B5EF4-FFF2-40B4-BE49-F238E27FC236}">
              <a16:creationId xmlns:a16="http://schemas.microsoft.com/office/drawing/2014/main" id="{7982B500-5644-4754-BC58-E17DB815080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7113" name="AutoShape 12">
          <a:extLst>
            <a:ext uri="{FF2B5EF4-FFF2-40B4-BE49-F238E27FC236}">
              <a16:creationId xmlns:a16="http://schemas.microsoft.com/office/drawing/2014/main" id="{2F2C4971-43E0-4034-9481-3187859B912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7114" name="AutoShape 12">
          <a:extLst>
            <a:ext uri="{FF2B5EF4-FFF2-40B4-BE49-F238E27FC236}">
              <a16:creationId xmlns:a16="http://schemas.microsoft.com/office/drawing/2014/main" id="{0D389A85-63D7-430D-83B4-13A6CAF7B4A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7115" name="AutoShape 12">
          <a:extLst>
            <a:ext uri="{FF2B5EF4-FFF2-40B4-BE49-F238E27FC236}">
              <a16:creationId xmlns:a16="http://schemas.microsoft.com/office/drawing/2014/main" id="{69C86633-BD2E-4BB1-8FDC-65019A65DDF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7116" name="AutoShape 12">
          <a:extLst>
            <a:ext uri="{FF2B5EF4-FFF2-40B4-BE49-F238E27FC236}">
              <a16:creationId xmlns:a16="http://schemas.microsoft.com/office/drawing/2014/main" id="{4A8C1936-8CD4-48A2-8C92-1915E1E9A8B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7117" name="AutoShape 12">
          <a:extLst>
            <a:ext uri="{FF2B5EF4-FFF2-40B4-BE49-F238E27FC236}">
              <a16:creationId xmlns:a16="http://schemas.microsoft.com/office/drawing/2014/main" id="{1E397905-A778-4491-8CDB-B0412B7AC4E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7118" name="AutoShape 12">
          <a:extLst>
            <a:ext uri="{FF2B5EF4-FFF2-40B4-BE49-F238E27FC236}">
              <a16:creationId xmlns:a16="http://schemas.microsoft.com/office/drawing/2014/main" id="{27BC9D58-21BE-42BB-BA78-D1BC51386F8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7119" name="AutoShape 12">
          <a:extLst>
            <a:ext uri="{FF2B5EF4-FFF2-40B4-BE49-F238E27FC236}">
              <a16:creationId xmlns:a16="http://schemas.microsoft.com/office/drawing/2014/main" id="{450E51CB-7062-47C0-A31A-6BFFB32840E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7120" name="AutoShape 12">
          <a:extLst>
            <a:ext uri="{FF2B5EF4-FFF2-40B4-BE49-F238E27FC236}">
              <a16:creationId xmlns:a16="http://schemas.microsoft.com/office/drawing/2014/main" id="{722EF9A9-B9A0-42FB-B135-5929F2E19CE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7121" name="AutoShape 12">
          <a:extLst>
            <a:ext uri="{FF2B5EF4-FFF2-40B4-BE49-F238E27FC236}">
              <a16:creationId xmlns:a16="http://schemas.microsoft.com/office/drawing/2014/main" id="{7EB16D96-8686-464F-BC85-CC90F3AD8D9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7122" name="AutoShape 12">
          <a:extLst>
            <a:ext uri="{FF2B5EF4-FFF2-40B4-BE49-F238E27FC236}">
              <a16:creationId xmlns:a16="http://schemas.microsoft.com/office/drawing/2014/main" id="{8C8D520E-E557-4549-A52D-09F345B846E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7123" name="AutoShape 12">
          <a:extLst>
            <a:ext uri="{FF2B5EF4-FFF2-40B4-BE49-F238E27FC236}">
              <a16:creationId xmlns:a16="http://schemas.microsoft.com/office/drawing/2014/main" id="{442A4318-905B-4B44-8084-59C365A02C0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7124" name="AutoShape 12">
          <a:extLst>
            <a:ext uri="{FF2B5EF4-FFF2-40B4-BE49-F238E27FC236}">
              <a16:creationId xmlns:a16="http://schemas.microsoft.com/office/drawing/2014/main" id="{685E40F8-9354-4A62-A981-74CDAB29ADA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7125" name="AutoShape 12">
          <a:extLst>
            <a:ext uri="{FF2B5EF4-FFF2-40B4-BE49-F238E27FC236}">
              <a16:creationId xmlns:a16="http://schemas.microsoft.com/office/drawing/2014/main" id="{8D9EDD37-E748-4EB2-95A0-95A0AF76A22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7126" name="AutoShape 12">
          <a:extLst>
            <a:ext uri="{FF2B5EF4-FFF2-40B4-BE49-F238E27FC236}">
              <a16:creationId xmlns:a16="http://schemas.microsoft.com/office/drawing/2014/main" id="{505F74DA-B575-4E93-B715-86F814AE92D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7127" name="AutoShape 12">
          <a:extLst>
            <a:ext uri="{FF2B5EF4-FFF2-40B4-BE49-F238E27FC236}">
              <a16:creationId xmlns:a16="http://schemas.microsoft.com/office/drawing/2014/main" id="{089D90EF-251E-4E27-81F3-CFA08659EF4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7128" name="AutoShape 12">
          <a:extLst>
            <a:ext uri="{FF2B5EF4-FFF2-40B4-BE49-F238E27FC236}">
              <a16:creationId xmlns:a16="http://schemas.microsoft.com/office/drawing/2014/main" id="{D8386693-1FAB-48B0-9F0E-DF2B03C2CBE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7129" name="AutoShape 12">
          <a:extLst>
            <a:ext uri="{FF2B5EF4-FFF2-40B4-BE49-F238E27FC236}">
              <a16:creationId xmlns:a16="http://schemas.microsoft.com/office/drawing/2014/main" id="{7CAEDEDF-CB83-41D9-ABDA-9FC64074977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7130" name="AutoShape 12">
          <a:extLst>
            <a:ext uri="{FF2B5EF4-FFF2-40B4-BE49-F238E27FC236}">
              <a16:creationId xmlns:a16="http://schemas.microsoft.com/office/drawing/2014/main" id="{528A8723-B450-4F5B-A016-5084E7B934C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7131" name="AutoShape 12">
          <a:extLst>
            <a:ext uri="{FF2B5EF4-FFF2-40B4-BE49-F238E27FC236}">
              <a16:creationId xmlns:a16="http://schemas.microsoft.com/office/drawing/2014/main" id="{CEA07C90-8079-460D-AE84-0F566DF9F25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7132" name="AutoShape 12">
          <a:extLst>
            <a:ext uri="{FF2B5EF4-FFF2-40B4-BE49-F238E27FC236}">
              <a16:creationId xmlns:a16="http://schemas.microsoft.com/office/drawing/2014/main" id="{A43AF17C-41FF-42FE-B2F7-FE74BF1A3F0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7133" name="AutoShape 12">
          <a:extLst>
            <a:ext uri="{FF2B5EF4-FFF2-40B4-BE49-F238E27FC236}">
              <a16:creationId xmlns:a16="http://schemas.microsoft.com/office/drawing/2014/main" id="{051803D6-57E6-4E8A-9334-ADE86FF63F6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7134" name="AutoShape 12">
          <a:extLst>
            <a:ext uri="{FF2B5EF4-FFF2-40B4-BE49-F238E27FC236}">
              <a16:creationId xmlns:a16="http://schemas.microsoft.com/office/drawing/2014/main" id="{952E7F72-09A4-410B-9B27-9C8B6503183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7135" name="AutoShape 12">
          <a:extLst>
            <a:ext uri="{FF2B5EF4-FFF2-40B4-BE49-F238E27FC236}">
              <a16:creationId xmlns:a16="http://schemas.microsoft.com/office/drawing/2014/main" id="{5B681CE0-DAD7-4D1E-AE9A-84AD7EFAE7C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779</xdr:row>
      <xdr:rowOff>0</xdr:rowOff>
    </xdr:from>
    <xdr:ext cx="304800" cy="304094"/>
    <xdr:sp macro="" textlink="">
      <xdr:nvSpPr>
        <xdr:cNvPr id="7136" name="AutoShape 12">
          <a:extLst>
            <a:ext uri="{FF2B5EF4-FFF2-40B4-BE49-F238E27FC236}">
              <a16:creationId xmlns:a16="http://schemas.microsoft.com/office/drawing/2014/main" id="{8CD66EB1-6FA2-43C2-96B9-7DC50A0D209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137" name="AutoShape 12">
          <a:extLst>
            <a:ext uri="{FF2B5EF4-FFF2-40B4-BE49-F238E27FC236}">
              <a16:creationId xmlns:a16="http://schemas.microsoft.com/office/drawing/2014/main" id="{CBB70B23-BEAD-4884-84B4-900704A08DF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138" name="AutoShape 12">
          <a:extLst>
            <a:ext uri="{FF2B5EF4-FFF2-40B4-BE49-F238E27FC236}">
              <a16:creationId xmlns:a16="http://schemas.microsoft.com/office/drawing/2014/main" id="{D3422AAC-133A-4768-83AE-CB062E3F0E7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139" name="AutoShape 12">
          <a:extLst>
            <a:ext uri="{FF2B5EF4-FFF2-40B4-BE49-F238E27FC236}">
              <a16:creationId xmlns:a16="http://schemas.microsoft.com/office/drawing/2014/main" id="{D239E516-C581-415F-8980-04B39C7AAFA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140" name="AutoShape 12">
          <a:extLst>
            <a:ext uri="{FF2B5EF4-FFF2-40B4-BE49-F238E27FC236}">
              <a16:creationId xmlns:a16="http://schemas.microsoft.com/office/drawing/2014/main" id="{C1C08DFA-C183-41FC-84A6-539C9447530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141" name="AutoShape 12">
          <a:extLst>
            <a:ext uri="{FF2B5EF4-FFF2-40B4-BE49-F238E27FC236}">
              <a16:creationId xmlns:a16="http://schemas.microsoft.com/office/drawing/2014/main" id="{CB493D58-ED26-40D7-8B45-9C315F58298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142" name="AutoShape 12">
          <a:extLst>
            <a:ext uri="{FF2B5EF4-FFF2-40B4-BE49-F238E27FC236}">
              <a16:creationId xmlns:a16="http://schemas.microsoft.com/office/drawing/2014/main" id="{5AEB402D-DBA3-4704-8112-AB7CBF833F7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143" name="AutoShape 12">
          <a:extLst>
            <a:ext uri="{FF2B5EF4-FFF2-40B4-BE49-F238E27FC236}">
              <a16:creationId xmlns:a16="http://schemas.microsoft.com/office/drawing/2014/main" id="{9ABCCCAC-31D7-436C-B0F7-1C1623CE6C7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144" name="AutoShape 12">
          <a:extLst>
            <a:ext uri="{FF2B5EF4-FFF2-40B4-BE49-F238E27FC236}">
              <a16:creationId xmlns:a16="http://schemas.microsoft.com/office/drawing/2014/main" id="{0E5AAE9F-0B3E-44C3-A819-C3A0C48DCA1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145" name="AutoShape 12">
          <a:extLst>
            <a:ext uri="{FF2B5EF4-FFF2-40B4-BE49-F238E27FC236}">
              <a16:creationId xmlns:a16="http://schemas.microsoft.com/office/drawing/2014/main" id="{5BD2127A-F3C4-4C7F-814D-F12515F368B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146" name="AutoShape 12">
          <a:extLst>
            <a:ext uri="{FF2B5EF4-FFF2-40B4-BE49-F238E27FC236}">
              <a16:creationId xmlns:a16="http://schemas.microsoft.com/office/drawing/2014/main" id="{C61F2A7F-BC37-47C8-9647-0388BB6A6DF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147" name="AutoShape 12">
          <a:extLst>
            <a:ext uri="{FF2B5EF4-FFF2-40B4-BE49-F238E27FC236}">
              <a16:creationId xmlns:a16="http://schemas.microsoft.com/office/drawing/2014/main" id="{A9DDDB0D-91E8-49CC-9A8A-5DC41E4E739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148" name="AutoShape 12">
          <a:extLst>
            <a:ext uri="{FF2B5EF4-FFF2-40B4-BE49-F238E27FC236}">
              <a16:creationId xmlns:a16="http://schemas.microsoft.com/office/drawing/2014/main" id="{233577B9-A811-4A4D-AB6D-41207194153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149" name="AutoShape 12">
          <a:extLst>
            <a:ext uri="{FF2B5EF4-FFF2-40B4-BE49-F238E27FC236}">
              <a16:creationId xmlns:a16="http://schemas.microsoft.com/office/drawing/2014/main" id="{1B5ED6A6-EBD9-47DC-8A46-16DA099A610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150" name="AutoShape 12">
          <a:extLst>
            <a:ext uri="{FF2B5EF4-FFF2-40B4-BE49-F238E27FC236}">
              <a16:creationId xmlns:a16="http://schemas.microsoft.com/office/drawing/2014/main" id="{AC990CDF-2EFE-49CB-997E-F9929A61D9A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151" name="AutoShape 12">
          <a:extLst>
            <a:ext uri="{FF2B5EF4-FFF2-40B4-BE49-F238E27FC236}">
              <a16:creationId xmlns:a16="http://schemas.microsoft.com/office/drawing/2014/main" id="{B33F431F-B7CA-4D02-A315-F9696858806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152" name="AutoShape 12">
          <a:extLst>
            <a:ext uri="{FF2B5EF4-FFF2-40B4-BE49-F238E27FC236}">
              <a16:creationId xmlns:a16="http://schemas.microsoft.com/office/drawing/2014/main" id="{A3091A51-EC49-4F09-A21B-D0072DA90EE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153" name="AutoShape 12">
          <a:extLst>
            <a:ext uri="{FF2B5EF4-FFF2-40B4-BE49-F238E27FC236}">
              <a16:creationId xmlns:a16="http://schemas.microsoft.com/office/drawing/2014/main" id="{40847C3C-A3CD-4ECD-B656-79BE2CB8E8C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154" name="AutoShape 12">
          <a:extLst>
            <a:ext uri="{FF2B5EF4-FFF2-40B4-BE49-F238E27FC236}">
              <a16:creationId xmlns:a16="http://schemas.microsoft.com/office/drawing/2014/main" id="{E24FD961-A300-48FD-ABE7-D4D344A839C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155" name="AutoShape 12">
          <a:extLst>
            <a:ext uri="{FF2B5EF4-FFF2-40B4-BE49-F238E27FC236}">
              <a16:creationId xmlns:a16="http://schemas.microsoft.com/office/drawing/2014/main" id="{642BB8AA-4C8B-41EB-92D9-C2933A9BC01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156" name="AutoShape 12">
          <a:extLst>
            <a:ext uri="{FF2B5EF4-FFF2-40B4-BE49-F238E27FC236}">
              <a16:creationId xmlns:a16="http://schemas.microsoft.com/office/drawing/2014/main" id="{B25490AE-6DD8-4BFC-A956-4694C3F41F4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157" name="AutoShape 12">
          <a:extLst>
            <a:ext uri="{FF2B5EF4-FFF2-40B4-BE49-F238E27FC236}">
              <a16:creationId xmlns:a16="http://schemas.microsoft.com/office/drawing/2014/main" id="{B5BD1825-51D4-4B37-9DBC-8BAB6FE88A0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158" name="AutoShape 12">
          <a:extLst>
            <a:ext uri="{FF2B5EF4-FFF2-40B4-BE49-F238E27FC236}">
              <a16:creationId xmlns:a16="http://schemas.microsoft.com/office/drawing/2014/main" id="{B2957460-A469-49D4-BF65-D8D783A52B4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159" name="AutoShape 12">
          <a:extLst>
            <a:ext uri="{FF2B5EF4-FFF2-40B4-BE49-F238E27FC236}">
              <a16:creationId xmlns:a16="http://schemas.microsoft.com/office/drawing/2014/main" id="{C61A3E4A-E96B-414E-9C66-425FAB8AED0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160" name="AutoShape 12">
          <a:extLst>
            <a:ext uri="{FF2B5EF4-FFF2-40B4-BE49-F238E27FC236}">
              <a16:creationId xmlns:a16="http://schemas.microsoft.com/office/drawing/2014/main" id="{12B637EB-4BB6-47DF-8AD0-F83FDA99CBB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161" name="AutoShape 12">
          <a:extLst>
            <a:ext uri="{FF2B5EF4-FFF2-40B4-BE49-F238E27FC236}">
              <a16:creationId xmlns:a16="http://schemas.microsoft.com/office/drawing/2014/main" id="{C600800D-ACB3-4A1A-9154-04D9FE13250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162" name="AutoShape 12">
          <a:extLst>
            <a:ext uri="{FF2B5EF4-FFF2-40B4-BE49-F238E27FC236}">
              <a16:creationId xmlns:a16="http://schemas.microsoft.com/office/drawing/2014/main" id="{650130E6-A6A1-4E46-9092-FE85DC139E6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163" name="AutoShape 12">
          <a:extLst>
            <a:ext uri="{FF2B5EF4-FFF2-40B4-BE49-F238E27FC236}">
              <a16:creationId xmlns:a16="http://schemas.microsoft.com/office/drawing/2014/main" id="{134DC8AF-DBEF-4B49-AAC7-00840D94860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164" name="AutoShape 12">
          <a:extLst>
            <a:ext uri="{FF2B5EF4-FFF2-40B4-BE49-F238E27FC236}">
              <a16:creationId xmlns:a16="http://schemas.microsoft.com/office/drawing/2014/main" id="{55143E14-5E79-4534-B700-09E3F6F360F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165" name="AutoShape 12">
          <a:extLst>
            <a:ext uri="{FF2B5EF4-FFF2-40B4-BE49-F238E27FC236}">
              <a16:creationId xmlns:a16="http://schemas.microsoft.com/office/drawing/2014/main" id="{8C575170-C1F7-453F-82DA-2F142083AEF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166" name="AutoShape 12">
          <a:extLst>
            <a:ext uri="{FF2B5EF4-FFF2-40B4-BE49-F238E27FC236}">
              <a16:creationId xmlns:a16="http://schemas.microsoft.com/office/drawing/2014/main" id="{33BC6B79-98E9-4FB3-8833-7921637ECA1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167" name="AutoShape 12">
          <a:extLst>
            <a:ext uri="{FF2B5EF4-FFF2-40B4-BE49-F238E27FC236}">
              <a16:creationId xmlns:a16="http://schemas.microsoft.com/office/drawing/2014/main" id="{803AA1EC-A703-4905-80AC-563F431DAD0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168" name="AutoShape 12">
          <a:extLst>
            <a:ext uri="{FF2B5EF4-FFF2-40B4-BE49-F238E27FC236}">
              <a16:creationId xmlns:a16="http://schemas.microsoft.com/office/drawing/2014/main" id="{98C3BDC0-8D09-4713-859D-2988B8D539B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169" name="AutoShape 12">
          <a:extLst>
            <a:ext uri="{FF2B5EF4-FFF2-40B4-BE49-F238E27FC236}">
              <a16:creationId xmlns:a16="http://schemas.microsoft.com/office/drawing/2014/main" id="{ABA679F9-7DB1-4093-8A4D-B32724F867D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170" name="AutoShape 12">
          <a:extLst>
            <a:ext uri="{FF2B5EF4-FFF2-40B4-BE49-F238E27FC236}">
              <a16:creationId xmlns:a16="http://schemas.microsoft.com/office/drawing/2014/main" id="{EBC8EB70-6FA0-4962-8062-79B30806ADE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171" name="AutoShape 12">
          <a:extLst>
            <a:ext uri="{FF2B5EF4-FFF2-40B4-BE49-F238E27FC236}">
              <a16:creationId xmlns:a16="http://schemas.microsoft.com/office/drawing/2014/main" id="{5618BB89-914A-42C5-B121-D9C88B898F7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172" name="AutoShape 12">
          <a:extLst>
            <a:ext uri="{FF2B5EF4-FFF2-40B4-BE49-F238E27FC236}">
              <a16:creationId xmlns:a16="http://schemas.microsoft.com/office/drawing/2014/main" id="{AE66DA2A-02DB-4C75-A463-52F402B9059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173" name="AutoShape 12">
          <a:extLst>
            <a:ext uri="{FF2B5EF4-FFF2-40B4-BE49-F238E27FC236}">
              <a16:creationId xmlns:a16="http://schemas.microsoft.com/office/drawing/2014/main" id="{C589CFFC-8CAC-4CB2-A8C3-DD0F6018F6B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174" name="AutoShape 12">
          <a:extLst>
            <a:ext uri="{FF2B5EF4-FFF2-40B4-BE49-F238E27FC236}">
              <a16:creationId xmlns:a16="http://schemas.microsoft.com/office/drawing/2014/main" id="{C8C6D2B1-740C-49F4-A8E3-4D3B083FCAB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175" name="AutoShape 12">
          <a:extLst>
            <a:ext uri="{FF2B5EF4-FFF2-40B4-BE49-F238E27FC236}">
              <a16:creationId xmlns:a16="http://schemas.microsoft.com/office/drawing/2014/main" id="{990F5F15-4932-47E2-8601-58D24F6975B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176" name="AutoShape 12">
          <a:extLst>
            <a:ext uri="{FF2B5EF4-FFF2-40B4-BE49-F238E27FC236}">
              <a16:creationId xmlns:a16="http://schemas.microsoft.com/office/drawing/2014/main" id="{9FFF864C-CC1F-4437-A5FE-EFDA764BC9A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177" name="AutoShape 12">
          <a:extLst>
            <a:ext uri="{FF2B5EF4-FFF2-40B4-BE49-F238E27FC236}">
              <a16:creationId xmlns:a16="http://schemas.microsoft.com/office/drawing/2014/main" id="{B685C99B-BF3F-43D4-A6A3-929BBF78790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178" name="AutoShape 12">
          <a:extLst>
            <a:ext uri="{FF2B5EF4-FFF2-40B4-BE49-F238E27FC236}">
              <a16:creationId xmlns:a16="http://schemas.microsoft.com/office/drawing/2014/main" id="{F3168AA3-47F4-4A87-955B-4CC7FA83EDA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179" name="AutoShape 12">
          <a:extLst>
            <a:ext uri="{FF2B5EF4-FFF2-40B4-BE49-F238E27FC236}">
              <a16:creationId xmlns:a16="http://schemas.microsoft.com/office/drawing/2014/main" id="{2D376B7B-EC0A-400C-A60E-1519E6D01BD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180" name="AutoShape 12">
          <a:extLst>
            <a:ext uri="{FF2B5EF4-FFF2-40B4-BE49-F238E27FC236}">
              <a16:creationId xmlns:a16="http://schemas.microsoft.com/office/drawing/2014/main" id="{66D6F936-4E17-43EB-A392-ABBAAC35C8C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181" name="AutoShape 12">
          <a:extLst>
            <a:ext uri="{FF2B5EF4-FFF2-40B4-BE49-F238E27FC236}">
              <a16:creationId xmlns:a16="http://schemas.microsoft.com/office/drawing/2014/main" id="{E880470B-7C83-441F-A4CD-C440377A148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182" name="AutoShape 12">
          <a:extLst>
            <a:ext uri="{FF2B5EF4-FFF2-40B4-BE49-F238E27FC236}">
              <a16:creationId xmlns:a16="http://schemas.microsoft.com/office/drawing/2014/main" id="{450EBF13-1821-4CD4-B79C-20ECD3A4DD6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183" name="AutoShape 12">
          <a:extLst>
            <a:ext uri="{FF2B5EF4-FFF2-40B4-BE49-F238E27FC236}">
              <a16:creationId xmlns:a16="http://schemas.microsoft.com/office/drawing/2014/main" id="{227435B0-B75A-4A3A-9873-0F9114BE644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184" name="AutoShape 12">
          <a:extLst>
            <a:ext uri="{FF2B5EF4-FFF2-40B4-BE49-F238E27FC236}">
              <a16:creationId xmlns:a16="http://schemas.microsoft.com/office/drawing/2014/main" id="{B5E38011-AE31-4076-BECA-4F10EC96293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185" name="AutoShape 12">
          <a:extLst>
            <a:ext uri="{FF2B5EF4-FFF2-40B4-BE49-F238E27FC236}">
              <a16:creationId xmlns:a16="http://schemas.microsoft.com/office/drawing/2014/main" id="{2C7B21CB-FF42-4657-935B-0C9CDDDA27C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186" name="AutoShape 12">
          <a:extLst>
            <a:ext uri="{FF2B5EF4-FFF2-40B4-BE49-F238E27FC236}">
              <a16:creationId xmlns:a16="http://schemas.microsoft.com/office/drawing/2014/main" id="{0EEAE438-F2C8-4EB1-8047-583E5A2CA73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187" name="AutoShape 12">
          <a:extLst>
            <a:ext uri="{FF2B5EF4-FFF2-40B4-BE49-F238E27FC236}">
              <a16:creationId xmlns:a16="http://schemas.microsoft.com/office/drawing/2014/main" id="{8577E5C3-0196-4848-B9A0-95FFA3093D8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188" name="AutoShape 12">
          <a:extLst>
            <a:ext uri="{FF2B5EF4-FFF2-40B4-BE49-F238E27FC236}">
              <a16:creationId xmlns:a16="http://schemas.microsoft.com/office/drawing/2014/main" id="{EFA51798-75CA-42BA-B9F6-98572AAB7AE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189" name="AutoShape 12">
          <a:extLst>
            <a:ext uri="{FF2B5EF4-FFF2-40B4-BE49-F238E27FC236}">
              <a16:creationId xmlns:a16="http://schemas.microsoft.com/office/drawing/2014/main" id="{D288BC0C-5A34-45C5-B829-AE2A2259790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190" name="AutoShape 12">
          <a:extLst>
            <a:ext uri="{FF2B5EF4-FFF2-40B4-BE49-F238E27FC236}">
              <a16:creationId xmlns:a16="http://schemas.microsoft.com/office/drawing/2014/main" id="{59D16FC0-99B6-43F4-A22A-2774622D469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191" name="AutoShape 12">
          <a:extLst>
            <a:ext uri="{FF2B5EF4-FFF2-40B4-BE49-F238E27FC236}">
              <a16:creationId xmlns:a16="http://schemas.microsoft.com/office/drawing/2014/main" id="{71F667B4-0B00-402F-A023-950D5CBAF54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192" name="AutoShape 12">
          <a:extLst>
            <a:ext uri="{FF2B5EF4-FFF2-40B4-BE49-F238E27FC236}">
              <a16:creationId xmlns:a16="http://schemas.microsoft.com/office/drawing/2014/main" id="{C610B001-53F2-46CB-AA1B-CE9DC29C081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193" name="AutoShape 12">
          <a:extLst>
            <a:ext uri="{FF2B5EF4-FFF2-40B4-BE49-F238E27FC236}">
              <a16:creationId xmlns:a16="http://schemas.microsoft.com/office/drawing/2014/main" id="{83D1E8AE-DA50-4374-B009-DE458EAE3B0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194" name="AutoShape 12">
          <a:extLst>
            <a:ext uri="{FF2B5EF4-FFF2-40B4-BE49-F238E27FC236}">
              <a16:creationId xmlns:a16="http://schemas.microsoft.com/office/drawing/2014/main" id="{00660452-E110-4A6E-82CA-C0EBBF7E72C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195" name="AutoShape 12">
          <a:extLst>
            <a:ext uri="{FF2B5EF4-FFF2-40B4-BE49-F238E27FC236}">
              <a16:creationId xmlns:a16="http://schemas.microsoft.com/office/drawing/2014/main" id="{987A58ED-D4A9-4810-B387-F435DD975B8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196" name="AutoShape 12">
          <a:extLst>
            <a:ext uri="{FF2B5EF4-FFF2-40B4-BE49-F238E27FC236}">
              <a16:creationId xmlns:a16="http://schemas.microsoft.com/office/drawing/2014/main" id="{E5120E6F-84C9-44E9-B16D-404316C8800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197" name="AutoShape 12">
          <a:extLst>
            <a:ext uri="{FF2B5EF4-FFF2-40B4-BE49-F238E27FC236}">
              <a16:creationId xmlns:a16="http://schemas.microsoft.com/office/drawing/2014/main" id="{24343312-919C-4ED1-AC29-7E256B4DF06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198" name="AutoShape 12">
          <a:extLst>
            <a:ext uri="{FF2B5EF4-FFF2-40B4-BE49-F238E27FC236}">
              <a16:creationId xmlns:a16="http://schemas.microsoft.com/office/drawing/2014/main" id="{035D8DC9-0EBC-4BF6-AE41-04B29996241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199" name="AutoShape 12">
          <a:extLst>
            <a:ext uri="{FF2B5EF4-FFF2-40B4-BE49-F238E27FC236}">
              <a16:creationId xmlns:a16="http://schemas.microsoft.com/office/drawing/2014/main" id="{FB1703AE-14AB-4D1D-84BE-80403C00C56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200" name="AutoShape 12">
          <a:extLst>
            <a:ext uri="{FF2B5EF4-FFF2-40B4-BE49-F238E27FC236}">
              <a16:creationId xmlns:a16="http://schemas.microsoft.com/office/drawing/2014/main" id="{A92C392D-BF22-4CA1-9910-B33CBC0CF20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201" name="AutoShape 12">
          <a:extLst>
            <a:ext uri="{FF2B5EF4-FFF2-40B4-BE49-F238E27FC236}">
              <a16:creationId xmlns:a16="http://schemas.microsoft.com/office/drawing/2014/main" id="{C778923E-8A3B-47D3-8D5D-1A4886D1BA9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202" name="AutoShape 12">
          <a:extLst>
            <a:ext uri="{FF2B5EF4-FFF2-40B4-BE49-F238E27FC236}">
              <a16:creationId xmlns:a16="http://schemas.microsoft.com/office/drawing/2014/main" id="{E393FE71-F58D-4083-9E9A-41E301FCB00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203" name="AutoShape 12">
          <a:extLst>
            <a:ext uri="{FF2B5EF4-FFF2-40B4-BE49-F238E27FC236}">
              <a16:creationId xmlns:a16="http://schemas.microsoft.com/office/drawing/2014/main" id="{780EAA43-E663-41FB-B415-2C2BEA32788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204" name="AutoShape 12">
          <a:extLst>
            <a:ext uri="{FF2B5EF4-FFF2-40B4-BE49-F238E27FC236}">
              <a16:creationId xmlns:a16="http://schemas.microsoft.com/office/drawing/2014/main" id="{5E41059F-B572-4D8D-8F52-D7666717D57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205" name="AutoShape 12">
          <a:extLst>
            <a:ext uri="{FF2B5EF4-FFF2-40B4-BE49-F238E27FC236}">
              <a16:creationId xmlns:a16="http://schemas.microsoft.com/office/drawing/2014/main" id="{6435F717-E875-40A5-B081-FF84D961072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206" name="AutoShape 12">
          <a:extLst>
            <a:ext uri="{FF2B5EF4-FFF2-40B4-BE49-F238E27FC236}">
              <a16:creationId xmlns:a16="http://schemas.microsoft.com/office/drawing/2014/main" id="{01310D10-9228-443A-A275-059B0F1575E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207" name="AutoShape 12">
          <a:extLst>
            <a:ext uri="{FF2B5EF4-FFF2-40B4-BE49-F238E27FC236}">
              <a16:creationId xmlns:a16="http://schemas.microsoft.com/office/drawing/2014/main" id="{7CB22057-37E6-4740-B823-D34E973DFC8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208" name="AutoShape 12">
          <a:extLst>
            <a:ext uri="{FF2B5EF4-FFF2-40B4-BE49-F238E27FC236}">
              <a16:creationId xmlns:a16="http://schemas.microsoft.com/office/drawing/2014/main" id="{E67B71B1-527A-41B1-A5B8-FBE6A561688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209" name="AutoShape 12">
          <a:extLst>
            <a:ext uri="{FF2B5EF4-FFF2-40B4-BE49-F238E27FC236}">
              <a16:creationId xmlns:a16="http://schemas.microsoft.com/office/drawing/2014/main" id="{40956252-74FC-46B7-BE7E-719220462EC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210" name="AutoShape 12">
          <a:extLst>
            <a:ext uri="{FF2B5EF4-FFF2-40B4-BE49-F238E27FC236}">
              <a16:creationId xmlns:a16="http://schemas.microsoft.com/office/drawing/2014/main" id="{F55D8761-3D9F-400B-A9FB-CB5A326EF89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211" name="AutoShape 12">
          <a:extLst>
            <a:ext uri="{FF2B5EF4-FFF2-40B4-BE49-F238E27FC236}">
              <a16:creationId xmlns:a16="http://schemas.microsoft.com/office/drawing/2014/main" id="{6060787B-5742-42B9-8055-E38E1C4841E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212" name="AutoShape 12">
          <a:extLst>
            <a:ext uri="{FF2B5EF4-FFF2-40B4-BE49-F238E27FC236}">
              <a16:creationId xmlns:a16="http://schemas.microsoft.com/office/drawing/2014/main" id="{9F461A05-E7E5-4EEE-9E5C-28A5B47451D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213" name="AutoShape 12">
          <a:extLst>
            <a:ext uri="{FF2B5EF4-FFF2-40B4-BE49-F238E27FC236}">
              <a16:creationId xmlns:a16="http://schemas.microsoft.com/office/drawing/2014/main" id="{113CD6FF-6EA0-42EA-A503-4EA74EB30EB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214" name="AutoShape 12">
          <a:extLst>
            <a:ext uri="{FF2B5EF4-FFF2-40B4-BE49-F238E27FC236}">
              <a16:creationId xmlns:a16="http://schemas.microsoft.com/office/drawing/2014/main" id="{0F95DEEB-0370-416A-AAAD-AEE37BAE865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215" name="AutoShape 12">
          <a:extLst>
            <a:ext uri="{FF2B5EF4-FFF2-40B4-BE49-F238E27FC236}">
              <a16:creationId xmlns:a16="http://schemas.microsoft.com/office/drawing/2014/main" id="{AC7FF505-595E-40AC-8242-548EF3D872E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216" name="AutoShape 12">
          <a:extLst>
            <a:ext uri="{FF2B5EF4-FFF2-40B4-BE49-F238E27FC236}">
              <a16:creationId xmlns:a16="http://schemas.microsoft.com/office/drawing/2014/main" id="{D0BED853-95C6-47AE-8E7F-D61202B5B57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217" name="AutoShape 12">
          <a:extLst>
            <a:ext uri="{FF2B5EF4-FFF2-40B4-BE49-F238E27FC236}">
              <a16:creationId xmlns:a16="http://schemas.microsoft.com/office/drawing/2014/main" id="{959BE1F6-018F-4759-B236-B3EE6812724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218" name="AutoShape 12">
          <a:extLst>
            <a:ext uri="{FF2B5EF4-FFF2-40B4-BE49-F238E27FC236}">
              <a16:creationId xmlns:a16="http://schemas.microsoft.com/office/drawing/2014/main" id="{8049F355-EDFF-4B46-91C7-7AF05A7BB73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219" name="AutoShape 12">
          <a:extLst>
            <a:ext uri="{FF2B5EF4-FFF2-40B4-BE49-F238E27FC236}">
              <a16:creationId xmlns:a16="http://schemas.microsoft.com/office/drawing/2014/main" id="{627A6A73-D14F-4822-8B3A-F7E9958ED6B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220" name="AutoShape 12">
          <a:extLst>
            <a:ext uri="{FF2B5EF4-FFF2-40B4-BE49-F238E27FC236}">
              <a16:creationId xmlns:a16="http://schemas.microsoft.com/office/drawing/2014/main" id="{8DDE8958-D6DB-4667-A46F-0A4B99C36B3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221" name="AutoShape 12">
          <a:extLst>
            <a:ext uri="{FF2B5EF4-FFF2-40B4-BE49-F238E27FC236}">
              <a16:creationId xmlns:a16="http://schemas.microsoft.com/office/drawing/2014/main" id="{F04DEE9F-2B34-4179-A4B3-4EE789442E7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222" name="AutoShape 12">
          <a:extLst>
            <a:ext uri="{FF2B5EF4-FFF2-40B4-BE49-F238E27FC236}">
              <a16:creationId xmlns:a16="http://schemas.microsoft.com/office/drawing/2014/main" id="{02828EB7-629E-4DC8-BFC5-01958F0758E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223" name="AutoShape 12">
          <a:extLst>
            <a:ext uri="{FF2B5EF4-FFF2-40B4-BE49-F238E27FC236}">
              <a16:creationId xmlns:a16="http://schemas.microsoft.com/office/drawing/2014/main" id="{578C1B99-06C1-4500-87AF-387EEB1C5A4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224" name="AutoShape 12">
          <a:extLst>
            <a:ext uri="{FF2B5EF4-FFF2-40B4-BE49-F238E27FC236}">
              <a16:creationId xmlns:a16="http://schemas.microsoft.com/office/drawing/2014/main" id="{FD6DB2C2-EF24-4B78-B6AE-DA2FD79A454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225" name="AutoShape 12">
          <a:extLst>
            <a:ext uri="{FF2B5EF4-FFF2-40B4-BE49-F238E27FC236}">
              <a16:creationId xmlns:a16="http://schemas.microsoft.com/office/drawing/2014/main" id="{C74D9BEB-0519-4EC7-AF9D-B51A734AA4B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226" name="AutoShape 12">
          <a:extLst>
            <a:ext uri="{FF2B5EF4-FFF2-40B4-BE49-F238E27FC236}">
              <a16:creationId xmlns:a16="http://schemas.microsoft.com/office/drawing/2014/main" id="{FE83467B-782D-4BC9-A521-285B21F2211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227" name="AutoShape 12">
          <a:extLst>
            <a:ext uri="{FF2B5EF4-FFF2-40B4-BE49-F238E27FC236}">
              <a16:creationId xmlns:a16="http://schemas.microsoft.com/office/drawing/2014/main" id="{D9FEF921-C8E5-4F47-B444-0B5AA21DF5A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228" name="AutoShape 12">
          <a:extLst>
            <a:ext uri="{FF2B5EF4-FFF2-40B4-BE49-F238E27FC236}">
              <a16:creationId xmlns:a16="http://schemas.microsoft.com/office/drawing/2014/main" id="{B955DE33-28FE-4A0E-8D76-BBFD78C0A81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229" name="AutoShape 12">
          <a:extLst>
            <a:ext uri="{FF2B5EF4-FFF2-40B4-BE49-F238E27FC236}">
              <a16:creationId xmlns:a16="http://schemas.microsoft.com/office/drawing/2014/main" id="{FD29BF4A-00D9-41FE-9C8B-10FBCE3C855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230" name="AutoShape 12">
          <a:extLst>
            <a:ext uri="{FF2B5EF4-FFF2-40B4-BE49-F238E27FC236}">
              <a16:creationId xmlns:a16="http://schemas.microsoft.com/office/drawing/2014/main" id="{727DEB4F-2596-4E88-820E-CC028A7CA18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231" name="AutoShape 12">
          <a:extLst>
            <a:ext uri="{FF2B5EF4-FFF2-40B4-BE49-F238E27FC236}">
              <a16:creationId xmlns:a16="http://schemas.microsoft.com/office/drawing/2014/main" id="{BD5C825A-8AB8-4A22-BB93-D6452F750E0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232" name="AutoShape 12">
          <a:extLst>
            <a:ext uri="{FF2B5EF4-FFF2-40B4-BE49-F238E27FC236}">
              <a16:creationId xmlns:a16="http://schemas.microsoft.com/office/drawing/2014/main" id="{1E37A075-D55D-4EED-BA13-31C838B738E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233" name="AutoShape 12">
          <a:extLst>
            <a:ext uri="{FF2B5EF4-FFF2-40B4-BE49-F238E27FC236}">
              <a16:creationId xmlns:a16="http://schemas.microsoft.com/office/drawing/2014/main" id="{886F66EF-BAF7-4CB9-A94A-CE0D8535B87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234" name="AutoShape 12">
          <a:extLst>
            <a:ext uri="{FF2B5EF4-FFF2-40B4-BE49-F238E27FC236}">
              <a16:creationId xmlns:a16="http://schemas.microsoft.com/office/drawing/2014/main" id="{0441A119-B173-40D1-A419-3589668067A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235" name="AutoShape 12">
          <a:extLst>
            <a:ext uri="{FF2B5EF4-FFF2-40B4-BE49-F238E27FC236}">
              <a16:creationId xmlns:a16="http://schemas.microsoft.com/office/drawing/2014/main" id="{24943C9C-591D-4279-BAD5-7968D981CB8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236" name="AutoShape 12">
          <a:extLst>
            <a:ext uri="{FF2B5EF4-FFF2-40B4-BE49-F238E27FC236}">
              <a16:creationId xmlns:a16="http://schemas.microsoft.com/office/drawing/2014/main" id="{F73A647E-BC57-4842-A040-589449B4131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237" name="AutoShape 12">
          <a:extLst>
            <a:ext uri="{FF2B5EF4-FFF2-40B4-BE49-F238E27FC236}">
              <a16:creationId xmlns:a16="http://schemas.microsoft.com/office/drawing/2014/main" id="{14AF46BE-144A-4FD7-86DB-19B22771343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238" name="AutoShape 12">
          <a:extLst>
            <a:ext uri="{FF2B5EF4-FFF2-40B4-BE49-F238E27FC236}">
              <a16:creationId xmlns:a16="http://schemas.microsoft.com/office/drawing/2014/main" id="{4BE8096C-260F-4796-A002-C2D9C419ED5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239" name="AutoShape 12">
          <a:extLst>
            <a:ext uri="{FF2B5EF4-FFF2-40B4-BE49-F238E27FC236}">
              <a16:creationId xmlns:a16="http://schemas.microsoft.com/office/drawing/2014/main" id="{1E9DCF2D-2A01-4C0D-8F3B-23B13E633E5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240" name="AutoShape 12">
          <a:extLst>
            <a:ext uri="{FF2B5EF4-FFF2-40B4-BE49-F238E27FC236}">
              <a16:creationId xmlns:a16="http://schemas.microsoft.com/office/drawing/2014/main" id="{E33A26FD-3D11-4C40-8AF4-78A35F7DE33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241" name="AutoShape 12">
          <a:extLst>
            <a:ext uri="{FF2B5EF4-FFF2-40B4-BE49-F238E27FC236}">
              <a16:creationId xmlns:a16="http://schemas.microsoft.com/office/drawing/2014/main" id="{D4C79F6F-77E1-4127-BE19-D6B8213D8A5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242" name="AutoShape 12">
          <a:extLst>
            <a:ext uri="{FF2B5EF4-FFF2-40B4-BE49-F238E27FC236}">
              <a16:creationId xmlns:a16="http://schemas.microsoft.com/office/drawing/2014/main" id="{4255EAE6-21D7-431B-B69C-0A2DE75D78C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243" name="AutoShape 12">
          <a:extLst>
            <a:ext uri="{FF2B5EF4-FFF2-40B4-BE49-F238E27FC236}">
              <a16:creationId xmlns:a16="http://schemas.microsoft.com/office/drawing/2014/main" id="{40B48060-9B72-4758-B1A0-03930DB8A88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244" name="AutoShape 12">
          <a:extLst>
            <a:ext uri="{FF2B5EF4-FFF2-40B4-BE49-F238E27FC236}">
              <a16:creationId xmlns:a16="http://schemas.microsoft.com/office/drawing/2014/main" id="{7760896B-8E88-4930-AC8D-83F8FDBEEA4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245" name="AutoShape 12">
          <a:extLst>
            <a:ext uri="{FF2B5EF4-FFF2-40B4-BE49-F238E27FC236}">
              <a16:creationId xmlns:a16="http://schemas.microsoft.com/office/drawing/2014/main" id="{AF953205-A0EA-4051-AB4D-116681D8614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246" name="AutoShape 12">
          <a:extLst>
            <a:ext uri="{FF2B5EF4-FFF2-40B4-BE49-F238E27FC236}">
              <a16:creationId xmlns:a16="http://schemas.microsoft.com/office/drawing/2014/main" id="{28127815-A412-4357-9CCB-37D5F8C0979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247" name="AutoShape 12">
          <a:extLst>
            <a:ext uri="{FF2B5EF4-FFF2-40B4-BE49-F238E27FC236}">
              <a16:creationId xmlns:a16="http://schemas.microsoft.com/office/drawing/2014/main" id="{3639AF8C-CEF7-4099-BFAC-08729FB0DC5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248" name="AutoShape 12">
          <a:extLst>
            <a:ext uri="{FF2B5EF4-FFF2-40B4-BE49-F238E27FC236}">
              <a16:creationId xmlns:a16="http://schemas.microsoft.com/office/drawing/2014/main" id="{F0BB9AB0-7978-46A0-927F-68351A8B44C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249" name="AutoShape 12">
          <a:extLst>
            <a:ext uri="{FF2B5EF4-FFF2-40B4-BE49-F238E27FC236}">
              <a16:creationId xmlns:a16="http://schemas.microsoft.com/office/drawing/2014/main" id="{A9627AF0-9C7F-48F6-B327-EDC4E3F8114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250" name="AutoShape 12">
          <a:extLst>
            <a:ext uri="{FF2B5EF4-FFF2-40B4-BE49-F238E27FC236}">
              <a16:creationId xmlns:a16="http://schemas.microsoft.com/office/drawing/2014/main" id="{D656D8E9-3B7D-4864-B720-86F42BB3FF3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251" name="AutoShape 12">
          <a:extLst>
            <a:ext uri="{FF2B5EF4-FFF2-40B4-BE49-F238E27FC236}">
              <a16:creationId xmlns:a16="http://schemas.microsoft.com/office/drawing/2014/main" id="{CEEE3F24-C3D0-4E90-9D64-CBB6BF17851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252" name="AutoShape 12">
          <a:extLst>
            <a:ext uri="{FF2B5EF4-FFF2-40B4-BE49-F238E27FC236}">
              <a16:creationId xmlns:a16="http://schemas.microsoft.com/office/drawing/2014/main" id="{B78999CE-ADCF-4C06-9B24-BBC2CC58021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253" name="AutoShape 12">
          <a:extLst>
            <a:ext uri="{FF2B5EF4-FFF2-40B4-BE49-F238E27FC236}">
              <a16:creationId xmlns:a16="http://schemas.microsoft.com/office/drawing/2014/main" id="{27E694D4-CED5-43D9-A108-BE8DF983281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254" name="AutoShape 12">
          <a:extLst>
            <a:ext uri="{FF2B5EF4-FFF2-40B4-BE49-F238E27FC236}">
              <a16:creationId xmlns:a16="http://schemas.microsoft.com/office/drawing/2014/main" id="{C0D7C3C0-789E-467F-BEE5-F8902D58262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255" name="AutoShape 12">
          <a:extLst>
            <a:ext uri="{FF2B5EF4-FFF2-40B4-BE49-F238E27FC236}">
              <a16:creationId xmlns:a16="http://schemas.microsoft.com/office/drawing/2014/main" id="{18084A94-FB6C-46B7-98AC-3C4B4D7386A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256" name="AutoShape 12">
          <a:extLst>
            <a:ext uri="{FF2B5EF4-FFF2-40B4-BE49-F238E27FC236}">
              <a16:creationId xmlns:a16="http://schemas.microsoft.com/office/drawing/2014/main" id="{3273F155-8CF3-491D-AD43-F9674F8423A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257" name="AutoShape 12">
          <a:extLst>
            <a:ext uri="{FF2B5EF4-FFF2-40B4-BE49-F238E27FC236}">
              <a16:creationId xmlns:a16="http://schemas.microsoft.com/office/drawing/2014/main" id="{17038F37-1E4A-435A-AD85-340BB60B593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258" name="AutoShape 12">
          <a:extLst>
            <a:ext uri="{FF2B5EF4-FFF2-40B4-BE49-F238E27FC236}">
              <a16:creationId xmlns:a16="http://schemas.microsoft.com/office/drawing/2014/main" id="{0DFB0100-AC9B-4F3F-ABF4-9349C47CE3A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259" name="AutoShape 12">
          <a:extLst>
            <a:ext uri="{FF2B5EF4-FFF2-40B4-BE49-F238E27FC236}">
              <a16:creationId xmlns:a16="http://schemas.microsoft.com/office/drawing/2014/main" id="{64B984C9-627E-499A-8572-0668AD6B477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260" name="AutoShape 12">
          <a:extLst>
            <a:ext uri="{FF2B5EF4-FFF2-40B4-BE49-F238E27FC236}">
              <a16:creationId xmlns:a16="http://schemas.microsoft.com/office/drawing/2014/main" id="{67A170D3-A25D-4209-8741-2E14EB264F6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261" name="AutoShape 12">
          <a:extLst>
            <a:ext uri="{FF2B5EF4-FFF2-40B4-BE49-F238E27FC236}">
              <a16:creationId xmlns:a16="http://schemas.microsoft.com/office/drawing/2014/main" id="{8CA94FCB-D71A-4774-9641-13AC66942DD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262" name="AutoShape 12">
          <a:extLst>
            <a:ext uri="{FF2B5EF4-FFF2-40B4-BE49-F238E27FC236}">
              <a16:creationId xmlns:a16="http://schemas.microsoft.com/office/drawing/2014/main" id="{7F22683A-FC31-4663-B579-433566DBBD8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263" name="AutoShape 12">
          <a:extLst>
            <a:ext uri="{FF2B5EF4-FFF2-40B4-BE49-F238E27FC236}">
              <a16:creationId xmlns:a16="http://schemas.microsoft.com/office/drawing/2014/main" id="{DA272C00-F764-4AEC-A6DE-0ECC4B1C7D1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264" name="AutoShape 12">
          <a:extLst>
            <a:ext uri="{FF2B5EF4-FFF2-40B4-BE49-F238E27FC236}">
              <a16:creationId xmlns:a16="http://schemas.microsoft.com/office/drawing/2014/main" id="{03A0E543-C80D-4C2B-B141-D6AFB24A332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265" name="AutoShape 12">
          <a:extLst>
            <a:ext uri="{FF2B5EF4-FFF2-40B4-BE49-F238E27FC236}">
              <a16:creationId xmlns:a16="http://schemas.microsoft.com/office/drawing/2014/main" id="{E6038BA8-9B58-49BB-940F-784E99767FB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266" name="AutoShape 12">
          <a:extLst>
            <a:ext uri="{FF2B5EF4-FFF2-40B4-BE49-F238E27FC236}">
              <a16:creationId xmlns:a16="http://schemas.microsoft.com/office/drawing/2014/main" id="{F31384EA-76CA-45BB-8F0C-ED1E538F39E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267" name="AutoShape 12">
          <a:extLst>
            <a:ext uri="{FF2B5EF4-FFF2-40B4-BE49-F238E27FC236}">
              <a16:creationId xmlns:a16="http://schemas.microsoft.com/office/drawing/2014/main" id="{19200A1A-B6AD-44A6-93AD-F3E7899447C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268" name="AutoShape 12">
          <a:extLst>
            <a:ext uri="{FF2B5EF4-FFF2-40B4-BE49-F238E27FC236}">
              <a16:creationId xmlns:a16="http://schemas.microsoft.com/office/drawing/2014/main" id="{4D4168EC-EB17-4F76-92BA-DB1493DB62E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269" name="AutoShape 12">
          <a:extLst>
            <a:ext uri="{FF2B5EF4-FFF2-40B4-BE49-F238E27FC236}">
              <a16:creationId xmlns:a16="http://schemas.microsoft.com/office/drawing/2014/main" id="{44F83588-8938-43CB-9CF6-97460D011D2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270" name="AutoShape 12">
          <a:extLst>
            <a:ext uri="{FF2B5EF4-FFF2-40B4-BE49-F238E27FC236}">
              <a16:creationId xmlns:a16="http://schemas.microsoft.com/office/drawing/2014/main" id="{33F8AA76-80FA-4C36-B398-C61E4375941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271" name="AutoShape 12">
          <a:extLst>
            <a:ext uri="{FF2B5EF4-FFF2-40B4-BE49-F238E27FC236}">
              <a16:creationId xmlns:a16="http://schemas.microsoft.com/office/drawing/2014/main" id="{D0B78FDF-651C-4F17-98AB-985A422CF1C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272" name="AutoShape 12">
          <a:extLst>
            <a:ext uri="{FF2B5EF4-FFF2-40B4-BE49-F238E27FC236}">
              <a16:creationId xmlns:a16="http://schemas.microsoft.com/office/drawing/2014/main" id="{0F8A202D-6552-47FF-A1B9-83994C7EE0C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273" name="AutoShape 12">
          <a:extLst>
            <a:ext uri="{FF2B5EF4-FFF2-40B4-BE49-F238E27FC236}">
              <a16:creationId xmlns:a16="http://schemas.microsoft.com/office/drawing/2014/main" id="{7AAB4CB0-35E4-401E-8AF9-32B304DA23A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274" name="AutoShape 12">
          <a:extLst>
            <a:ext uri="{FF2B5EF4-FFF2-40B4-BE49-F238E27FC236}">
              <a16:creationId xmlns:a16="http://schemas.microsoft.com/office/drawing/2014/main" id="{48720309-E180-4075-A146-CD0BD90F935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275" name="AutoShape 12">
          <a:extLst>
            <a:ext uri="{FF2B5EF4-FFF2-40B4-BE49-F238E27FC236}">
              <a16:creationId xmlns:a16="http://schemas.microsoft.com/office/drawing/2014/main" id="{421D169E-F899-4439-B564-FA49E487614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276" name="AutoShape 12">
          <a:extLst>
            <a:ext uri="{FF2B5EF4-FFF2-40B4-BE49-F238E27FC236}">
              <a16:creationId xmlns:a16="http://schemas.microsoft.com/office/drawing/2014/main" id="{1A6AE238-B823-4F2B-B07F-5A12AF82F16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277" name="AutoShape 12">
          <a:extLst>
            <a:ext uri="{FF2B5EF4-FFF2-40B4-BE49-F238E27FC236}">
              <a16:creationId xmlns:a16="http://schemas.microsoft.com/office/drawing/2014/main" id="{287BD55A-9B68-47AE-A92C-51520B2D2E3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278" name="AutoShape 12">
          <a:extLst>
            <a:ext uri="{FF2B5EF4-FFF2-40B4-BE49-F238E27FC236}">
              <a16:creationId xmlns:a16="http://schemas.microsoft.com/office/drawing/2014/main" id="{17F25A87-DBC4-4F35-BF01-9AFD5932E73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279" name="AutoShape 12">
          <a:extLst>
            <a:ext uri="{FF2B5EF4-FFF2-40B4-BE49-F238E27FC236}">
              <a16:creationId xmlns:a16="http://schemas.microsoft.com/office/drawing/2014/main" id="{F1B653A4-E73C-44AD-93DF-DC657EEFCFF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280" name="AutoShape 12">
          <a:extLst>
            <a:ext uri="{FF2B5EF4-FFF2-40B4-BE49-F238E27FC236}">
              <a16:creationId xmlns:a16="http://schemas.microsoft.com/office/drawing/2014/main" id="{1C3BF48B-0223-40A2-96DE-6C6AE33F1DF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281" name="AutoShape 12">
          <a:extLst>
            <a:ext uri="{FF2B5EF4-FFF2-40B4-BE49-F238E27FC236}">
              <a16:creationId xmlns:a16="http://schemas.microsoft.com/office/drawing/2014/main" id="{F5B03BB8-00E2-4997-9A21-83F567A2A76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282" name="AutoShape 12">
          <a:extLst>
            <a:ext uri="{FF2B5EF4-FFF2-40B4-BE49-F238E27FC236}">
              <a16:creationId xmlns:a16="http://schemas.microsoft.com/office/drawing/2014/main" id="{E02BA45D-43A8-4141-B03D-F54C513EFCB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283" name="AutoShape 12">
          <a:extLst>
            <a:ext uri="{FF2B5EF4-FFF2-40B4-BE49-F238E27FC236}">
              <a16:creationId xmlns:a16="http://schemas.microsoft.com/office/drawing/2014/main" id="{43E3AF38-E295-439F-B166-D6E9FF31CEB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284" name="AutoShape 12">
          <a:extLst>
            <a:ext uri="{FF2B5EF4-FFF2-40B4-BE49-F238E27FC236}">
              <a16:creationId xmlns:a16="http://schemas.microsoft.com/office/drawing/2014/main" id="{5B73CC41-3B9D-4F5B-911C-8F07C108C9D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285" name="AutoShape 12">
          <a:extLst>
            <a:ext uri="{FF2B5EF4-FFF2-40B4-BE49-F238E27FC236}">
              <a16:creationId xmlns:a16="http://schemas.microsoft.com/office/drawing/2014/main" id="{D3531901-5365-4D17-BDA7-7CA8381FF5C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286" name="AutoShape 12">
          <a:extLst>
            <a:ext uri="{FF2B5EF4-FFF2-40B4-BE49-F238E27FC236}">
              <a16:creationId xmlns:a16="http://schemas.microsoft.com/office/drawing/2014/main" id="{ED709C43-6EAB-4099-901F-10AB0902A70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287" name="AutoShape 12">
          <a:extLst>
            <a:ext uri="{FF2B5EF4-FFF2-40B4-BE49-F238E27FC236}">
              <a16:creationId xmlns:a16="http://schemas.microsoft.com/office/drawing/2014/main" id="{4DBEB2DA-70DD-4B0C-807C-07C71A87327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288" name="AutoShape 12">
          <a:extLst>
            <a:ext uri="{FF2B5EF4-FFF2-40B4-BE49-F238E27FC236}">
              <a16:creationId xmlns:a16="http://schemas.microsoft.com/office/drawing/2014/main" id="{A06273DC-1083-4D10-9D97-2F032DB2B42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289" name="AutoShape 12">
          <a:extLst>
            <a:ext uri="{FF2B5EF4-FFF2-40B4-BE49-F238E27FC236}">
              <a16:creationId xmlns:a16="http://schemas.microsoft.com/office/drawing/2014/main" id="{7508AE18-B30F-43CF-A810-817B2E05F39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290" name="AutoShape 12">
          <a:extLst>
            <a:ext uri="{FF2B5EF4-FFF2-40B4-BE49-F238E27FC236}">
              <a16:creationId xmlns:a16="http://schemas.microsoft.com/office/drawing/2014/main" id="{8C922F6E-79C9-4BAF-801C-BB3787C652A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291" name="AutoShape 12">
          <a:extLst>
            <a:ext uri="{FF2B5EF4-FFF2-40B4-BE49-F238E27FC236}">
              <a16:creationId xmlns:a16="http://schemas.microsoft.com/office/drawing/2014/main" id="{A47F67B2-97FD-41CA-A7F1-F451F20AA5F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292" name="AutoShape 12">
          <a:extLst>
            <a:ext uri="{FF2B5EF4-FFF2-40B4-BE49-F238E27FC236}">
              <a16:creationId xmlns:a16="http://schemas.microsoft.com/office/drawing/2014/main" id="{D4EB3AD8-A55B-49F6-B4D2-65FC974D877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293" name="AutoShape 12">
          <a:extLst>
            <a:ext uri="{FF2B5EF4-FFF2-40B4-BE49-F238E27FC236}">
              <a16:creationId xmlns:a16="http://schemas.microsoft.com/office/drawing/2014/main" id="{747F45A8-DA0F-4AF6-B59C-A532CB5A003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294" name="AutoShape 12">
          <a:extLst>
            <a:ext uri="{FF2B5EF4-FFF2-40B4-BE49-F238E27FC236}">
              <a16:creationId xmlns:a16="http://schemas.microsoft.com/office/drawing/2014/main" id="{9B330283-9831-4B1D-BD04-B1652981BBA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295" name="AutoShape 12">
          <a:extLst>
            <a:ext uri="{FF2B5EF4-FFF2-40B4-BE49-F238E27FC236}">
              <a16:creationId xmlns:a16="http://schemas.microsoft.com/office/drawing/2014/main" id="{AC0A4219-4DFA-48AC-A5C1-BD2C5C3D4AE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296" name="AutoShape 12">
          <a:extLst>
            <a:ext uri="{FF2B5EF4-FFF2-40B4-BE49-F238E27FC236}">
              <a16:creationId xmlns:a16="http://schemas.microsoft.com/office/drawing/2014/main" id="{73D1B5E2-0985-4A50-BF25-0C4787CA3F8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297" name="AutoShape 12">
          <a:extLst>
            <a:ext uri="{FF2B5EF4-FFF2-40B4-BE49-F238E27FC236}">
              <a16:creationId xmlns:a16="http://schemas.microsoft.com/office/drawing/2014/main" id="{D8DA8A45-6DE2-42A4-A7C2-3479C6CCAF3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298" name="AutoShape 12">
          <a:extLst>
            <a:ext uri="{FF2B5EF4-FFF2-40B4-BE49-F238E27FC236}">
              <a16:creationId xmlns:a16="http://schemas.microsoft.com/office/drawing/2014/main" id="{C1BE45F5-380B-48AD-95B8-072D454CA14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299" name="AutoShape 12">
          <a:extLst>
            <a:ext uri="{FF2B5EF4-FFF2-40B4-BE49-F238E27FC236}">
              <a16:creationId xmlns:a16="http://schemas.microsoft.com/office/drawing/2014/main" id="{CBC1F2D4-1863-41B8-9058-CB5BE5ABBAB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300" name="AutoShape 12">
          <a:extLst>
            <a:ext uri="{FF2B5EF4-FFF2-40B4-BE49-F238E27FC236}">
              <a16:creationId xmlns:a16="http://schemas.microsoft.com/office/drawing/2014/main" id="{B3765E2C-AF5E-4DB8-AAAD-75EE1411934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301" name="AutoShape 12">
          <a:extLst>
            <a:ext uri="{FF2B5EF4-FFF2-40B4-BE49-F238E27FC236}">
              <a16:creationId xmlns:a16="http://schemas.microsoft.com/office/drawing/2014/main" id="{972B2356-869D-472F-9E0A-B9B40096A3A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302" name="AutoShape 12">
          <a:extLst>
            <a:ext uri="{FF2B5EF4-FFF2-40B4-BE49-F238E27FC236}">
              <a16:creationId xmlns:a16="http://schemas.microsoft.com/office/drawing/2014/main" id="{AE199C44-5B19-47AA-AFE0-654933004E4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303" name="AutoShape 12">
          <a:extLst>
            <a:ext uri="{FF2B5EF4-FFF2-40B4-BE49-F238E27FC236}">
              <a16:creationId xmlns:a16="http://schemas.microsoft.com/office/drawing/2014/main" id="{4040F7ED-BBE3-4C82-8F12-83AB7DC23B1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304" name="AutoShape 12">
          <a:extLst>
            <a:ext uri="{FF2B5EF4-FFF2-40B4-BE49-F238E27FC236}">
              <a16:creationId xmlns:a16="http://schemas.microsoft.com/office/drawing/2014/main" id="{A18C48C4-DF46-4B80-934C-0075E64FE24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305" name="AutoShape 12">
          <a:extLst>
            <a:ext uri="{FF2B5EF4-FFF2-40B4-BE49-F238E27FC236}">
              <a16:creationId xmlns:a16="http://schemas.microsoft.com/office/drawing/2014/main" id="{DF40D3A5-8F61-4904-88A5-E820511CA63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306" name="AutoShape 12">
          <a:extLst>
            <a:ext uri="{FF2B5EF4-FFF2-40B4-BE49-F238E27FC236}">
              <a16:creationId xmlns:a16="http://schemas.microsoft.com/office/drawing/2014/main" id="{262A0B7B-C4E0-4752-B294-56BFF417F8E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307" name="AutoShape 12">
          <a:extLst>
            <a:ext uri="{FF2B5EF4-FFF2-40B4-BE49-F238E27FC236}">
              <a16:creationId xmlns:a16="http://schemas.microsoft.com/office/drawing/2014/main" id="{012DB953-2AE7-4C85-95E2-FEFF2E642BF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308" name="AutoShape 12">
          <a:extLst>
            <a:ext uri="{FF2B5EF4-FFF2-40B4-BE49-F238E27FC236}">
              <a16:creationId xmlns:a16="http://schemas.microsoft.com/office/drawing/2014/main" id="{76BB0489-FC25-4692-B0A7-6A6E8B6B78E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309" name="AutoShape 12">
          <a:extLst>
            <a:ext uri="{FF2B5EF4-FFF2-40B4-BE49-F238E27FC236}">
              <a16:creationId xmlns:a16="http://schemas.microsoft.com/office/drawing/2014/main" id="{01263318-6CDA-4AD6-B5FD-2E84A980CFC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310" name="AutoShape 12">
          <a:extLst>
            <a:ext uri="{FF2B5EF4-FFF2-40B4-BE49-F238E27FC236}">
              <a16:creationId xmlns:a16="http://schemas.microsoft.com/office/drawing/2014/main" id="{045B6657-771A-4CA7-BE79-EB1971F25EB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311" name="AutoShape 12">
          <a:extLst>
            <a:ext uri="{FF2B5EF4-FFF2-40B4-BE49-F238E27FC236}">
              <a16:creationId xmlns:a16="http://schemas.microsoft.com/office/drawing/2014/main" id="{31876FC1-36C7-4994-B8E5-06964D8BE65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312" name="AutoShape 12">
          <a:extLst>
            <a:ext uri="{FF2B5EF4-FFF2-40B4-BE49-F238E27FC236}">
              <a16:creationId xmlns:a16="http://schemas.microsoft.com/office/drawing/2014/main" id="{52A4373B-9A05-4AAF-9579-256171AA6A2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313" name="AutoShape 12">
          <a:extLst>
            <a:ext uri="{FF2B5EF4-FFF2-40B4-BE49-F238E27FC236}">
              <a16:creationId xmlns:a16="http://schemas.microsoft.com/office/drawing/2014/main" id="{1B944C4A-BF09-429E-BFA9-15E3817D231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314" name="AutoShape 12">
          <a:extLst>
            <a:ext uri="{FF2B5EF4-FFF2-40B4-BE49-F238E27FC236}">
              <a16:creationId xmlns:a16="http://schemas.microsoft.com/office/drawing/2014/main" id="{73242C73-11A7-4AB8-984C-FAF558F4A0D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315" name="AutoShape 12">
          <a:extLst>
            <a:ext uri="{FF2B5EF4-FFF2-40B4-BE49-F238E27FC236}">
              <a16:creationId xmlns:a16="http://schemas.microsoft.com/office/drawing/2014/main" id="{C8CB8316-51AC-4BF6-BB78-970A50F914F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316" name="AutoShape 12">
          <a:extLst>
            <a:ext uri="{FF2B5EF4-FFF2-40B4-BE49-F238E27FC236}">
              <a16:creationId xmlns:a16="http://schemas.microsoft.com/office/drawing/2014/main" id="{3AB1A711-6F60-497E-9AC7-E5CB024AA06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317" name="AutoShape 12">
          <a:extLst>
            <a:ext uri="{FF2B5EF4-FFF2-40B4-BE49-F238E27FC236}">
              <a16:creationId xmlns:a16="http://schemas.microsoft.com/office/drawing/2014/main" id="{BC98D173-397B-4804-BB4F-6A3EDC3F855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318" name="AutoShape 12">
          <a:extLst>
            <a:ext uri="{FF2B5EF4-FFF2-40B4-BE49-F238E27FC236}">
              <a16:creationId xmlns:a16="http://schemas.microsoft.com/office/drawing/2014/main" id="{610C5BEA-96D4-4BD1-9548-D59752F4397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319" name="AutoShape 12">
          <a:extLst>
            <a:ext uri="{FF2B5EF4-FFF2-40B4-BE49-F238E27FC236}">
              <a16:creationId xmlns:a16="http://schemas.microsoft.com/office/drawing/2014/main" id="{EC31312D-8223-4551-9495-F2D63190203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320" name="AutoShape 12">
          <a:extLst>
            <a:ext uri="{FF2B5EF4-FFF2-40B4-BE49-F238E27FC236}">
              <a16:creationId xmlns:a16="http://schemas.microsoft.com/office/drawing/2014/main" id="{A0AEF6CD-8C08-4E02-8530-59DBC9CD4E0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321" name="AutoShape 12">
          <a:extLst>
            <a:ext uri="{FF2B5EF4-FFF2-40B4-BE49-F238E27FC236}">
              <a16:creationId xmlns:a16="http://schemas.microsoft.com/office/drawing/2014/main" id="{4F40E9CF-966E-449F-BE38-314E6E8754F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322" name="AutoShape 12">
          <a:extLst>
            <a:ext uri="{FF2B5EF4-FFF2-40B4-BE49-F238E27FC236}">
              <a16:creationId xmlns:a16="http://schemas.microsoft.com/office/drawing/2014/main" id="{14E7B2D9-5C98-4F65-8D92-1591E19B3A0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323" name="AutoShape 12">
          <a:extLst>
            <a:ext uri="{FF2B5EF4-FFF2-40B4-BE49-F238E27FC236}">
              <a16:creationId xmlns:a16="http://schemas.microsoft.com/office/drawing/2014/main" id="{F1F10877-05DF-417A-852A-002BD926DD2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324" name="AutoShape 12">
          <a:extLst>
            <a:ext uri="{FF2B5EF4-FFF2-40B4-BE49-F238E27FC236}">
              <a16:creationId xmlns:a16="http://schemas.microsoft.com/office/drawing/2014/main" id="{C5ADD1FA-6F07-46EE-89FA-C4C2BE5E6DE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325" name="AutoShape 12">
          <a:extLst>
            <a:ext uri="{FF2B5EF4-FFF2-40B4-BE49-F238E27FC236}">
              <a16:creationId xmlns:a16="http://schemas.microsoft.com/office/drawing/2014/main" id="{2BE10894-BC30-41AC-9F4A-408EE3D1313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326" name="AutoShape 12">
          <a:extLst>
            <a:ext uri="{FF2B5EF4-FFF2-40B4-BE49-F238E27FC236}">
              <a16:creationId xmlns:a16="http://schemas.microsoft.com/office/drawing/2014/main" id="{C68A0827-9D9E-47C6-8B0F-0F120339541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327" name="AutoShape 12">
          <a:extLst>
            <a:ext uri="{FF2B5EF4-FFF2-40B4-BE49-F238E27FC236}">
              <a16:creationId xmlns:a16="http://schemas.microsoft.com/office/drawing/2014/main" id="{2D126886-8074-4D3E-913D-AA0B833F815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328" name="AutoShape 12">
          <a:extLst>
            <a:ext uri="{FF2B5EF4-FFF2-40B4-BE49-F238E27FC236}">
              <a16:creationId xmlns:a16="http://schemas.microsoft.com/office/drawing/2014/main" id="{93513A11-7CBC-4DAE-AE42-5F20F3F27E8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329" name="AutoShape 12">
          <a:extLst>
            <a:ext uri="{FF2B5EF4-FFF2-40B4-BE49-F238E27FC236}">
              <a16:creationId xmlns:a16="http://schemas.microsoft.com/office/drawing/2014/main" id="{1AAD9C5B-0E9F-4A7E-8FA6-6F94489A051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330" name="AutoShape 12">
          <a:extLst>
            <a:ext uri="{FF2B5EF4-FFF2-40B4-BE49-F238E27FC236}">
              <a16:creationId xmlns:a16="http://schemas.microsoft.com/office/drawing/2014/main" id="{FF54D80D-6682-4CF9-B64B-B506E1806FC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331" name="AutoShape 12">
          <a:extLst>
            <a:ext uri="{FF2B5EF4-FFF2-40B4-BE49-F238E27FC236}">
              <a16:creationId xmlns:a16="http://schemas.microsoft.com/office/drawing/2014/main" id="{F55528A5-59CB-4668-AE42-7DBEF19371A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332" name="AutoShape 12">
          <a:extLst>
            <a:ext uri="{FF2B5EF4-FFF2-40B4-BE49-F238E27FC236}">
              <a16:creationId xmlns:a16="http://schemas.microsoft.com/office/drawing/2014/main" id="{E317A0D5-3585-475A-961F-A5F104FA6D8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333" name="AutoShape 12">
          <a:extLst>
            <a:ext uri="{FF2B5EF4-FFF2-40B4-BE49-F238E27FC236}">
              <a16:creationId xmlns:a16="http://schemas.microsoft.com/office/drawing/2014/main" id="{671041C3-74B6-4143-B973-4C907F05EA6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334" name="AutoShape 12">
          <a:extLst>
            <a:ext uri="{FF2B5EF4-FFF2-40B4-BE49-F238E27FC236}">
              <a16:creationId xmlns:a16="http://schemas.microsoft.com/office/drawing/2014/main" id="{71311DE0-302C-4B2D-BBC4-8FB4287D303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335" name="AutoShape 12">
          <a:extLst>
            <a:ext uri="{FF2B5EF4-FFF2-40B4-BE49-F238E27FC236}">
              <a16:creationId xmlns:a16="http://schemas.microsoft.com/office/drawing/2014/main" id="{04690155-1172-4ABE-9AE8-87B504FF69E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336" name="AutoShape 12">
          <a:extLst>
            <a:ext uri="{FF2B5EF4-FFF2-40B4-BE49-F238E27FC236}">
              <a16:creationId xmlns:a16="http://schemas.microsoft.com/office/drawing/2014/main" id="{952B6866-FF92-42B8-8139-06E4EA41BA5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337" name="AutoShape 12">
          <a:extLst>
            <a:ext uri="{FF2B5EF4-FFF2-40B4-BE49-F238E27FC236}">
              <a16:creationId xmlns:a16="http://schemas.microsoft.com/office/drawing/2014/main" id="{C5741324-C6BD-435D-A977-50DF739B6B2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338" name="AutoShape 12">
          <a:extLst>
            <a:ext uri="{FF2B5EF4-FFF2-40B4-BE49-F238E27FC236}">
              <a16:creationId xmlns:a16="http://schemas.microsoft.com/office/drawing/2014/main" id="{F29BEC95-EAB6-4BE9-86BC-026D15B04E7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339" name="AutoShape 12">
          <a:extLst>
            <a:ext uri="{FF2B5EF4-FFF2-40B4-BE49-F238E27FC236}">
              <a16:creationId xmlns:a16="http://schemas.microsoft.com/office/drawing/2014/main" id="{CDE55F04-5160-4D22-986C-AC3390FC0A0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340" name="AutoShape 12">
          <a:extLst>
            <a:ext uri="{FF2B5EF4-FFF2-40B4-BE49-F238E27FC236}">
              <a16:creationId xmlns:a16="http://schemas.microsoft.com/office/drawing/2014/main" id="{7F776527-37B7-4E76-8CF9-3428318BBED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341" name="AutoShape 12">
          <a:extLst>
            <a:ext uri="{FF2B5EF4-FFF2-40B4-BE49-F238E27FC236}">
              <a16:creationId xmlns:a16="http://schemas.microsoft.com/office/drawing/2014/main" id="{46039F04-9BBD-4F87-8400-37DBC6E866F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342" name="AutoShape 12">
          <a:extLst>
            <a:ext uri="{FF2B5EF4-FFF2-40B4-BE49-F238E27FC236}">
              <a16:creationId xmlns:a16="http://schemas.microsoft.com/office/drawing/2014/main" id="{8EF855FE-2CA7-4B30-86AB-CFF37AD4A1F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343" name="AutoShape 12">
          <a:extLst>
            <a:ext uri="{FF2B5EF4-FFF2-40B4-BE49-F238E27FC236}">
              <a16:creationId xmlns:a16="http://schemas.microsoft.com/office/drawing/2014/main" id="{62C2C8FB-A137-454F-9BBC-32FEC9AE5EF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344" name="AutoShape 12">
          <a:extLst>
            <a:ext uri="{FF2B5EF4-FFF2-40B4-BE49-F238E27FC236}">
              <a16:creationId xmlns:a16="http://schemas.microsoft.com/office/drawing/2014/main" id="{BF7B2FA4-0897-464E-A163-F3A72035DCF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345" name="AutoShape 12">
          <a:extLst>
            <a:ext uri="{FF2B5EF4-FFF2-40B4-BE49-F238E27FC236}">
              <a16:creationId xmlns:a16="http://schemas.microsoft.com/office/drawing/2014/main" id="{04F1C577-D4AD-4087-8FC4-F88B6B511EC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346" name="AutoShape 12">
          <a:extLst>
            <a:ext uri="{FF2B5EF4-FFF2-40B4-BE49-F238E27FC236}">
              <a16:creationId xmlns:a16="http://schemas.microsoft.com/office/drawing/2014/main" id="{EBEE5B55-47C4-4C03-8EC6-463F1D50D9A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347" name="AutoShape 12">
          <a:extLst>
            <a:ext uri="{FF2B5EF4-FFF2-40B4-BE49-F238E27FC236}">
              <a16:creationId xmlns:a16="http://schemas.microsoft.com/office/drawing/2014/main" id="{F0E9DEBF-F3DE-4219-B005-B6211BB8BE8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348" name="AutoShape 12">
          <a:extLst>
            <a:ext uri="{FF2B5EF4-FFF2-40B4-BE49-F238E27FC236}">
              <a16:creationId xmlns:a16="http://schemas.microsoft.com/office/drawing/2014/main" id="{4A175C7B-1D96-4623-9737-7F80BA07E81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349" name="AutoShape 12">
          <a:extLst>
            <a:ext uri="{FF2B5EF4-FFF2-40B4-BE49-F238E27FC236}">
              <a16:creationId xmlns:a16="http://schemas.microsoft.com/office/drawing/2014/main" id="{B2C30E50-FB0C-41BB-9299-423CBC83C44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350" name="AutoShape 12">
          <a:extLst>
            <a:ext uri="{FF2B5EF4-FFF2-40B4-BE49-F238E27FC236}">
              <a16:creationId xmlns:a16="http://schemas.microsoft.com/office/drawing/2014/main" id="{8FF9618D-578E-4EFF-861D-047BEA58BE9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351" name="AutoShape 12">
          <a:extLst>
            <a:ext uri="{FF2B5EF4-FFF2-40B4-BE49-F238E27FC236}">
              <a16:creationId xmlns:a16="http://schemas.microsoft.com/office/drawing/2014/main" id="{A0F84A8D-166E-46E4-8831-581141DB672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352" name="AutoShape 12">
          <a:extLst>
            <a:ext uri="{FF2B5EF4-FFF2-40B4-BE49-F238E27FC236}">
              <a16:creationId xmlns:a16="http://schemas.microsoft.com/office/drawing/2014/main" id="{8259D83E-6B1B-4B4E-8CED-4E1028C6E50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353" name="AutoShape 12">
          <a:extLst>
            <a:ext uri="{FF2B5EF4-FFF2-40B4-BE49-F238E27FC236}">
              <a16:creationId xmlns:a16="http://schemas.microsoft.com/office/drawing/2014/main" id="{EE290738-987B-4AA6-87C0-ADAA69F8AD7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354" name="AutoShape 12">
          <a:extLst>
            <a:ext uri="{FF2B5EF4-FFF2-40B4-BE49-F238E27FC236}">
              <a16:creationId xmlns:a16="http://schemas.microsoft.com/office/drawing/2014/main" id="{ACDCD5C4-AFF7-44A9-8F55-AAB5D08E87F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355" name="AutoShape 12">
          <a:extLst>
            <a:ext uri="{FF2B5EF4-FFF2-40B4-BE49-F238E27FC236}">
              <a16:creationId xmlns:a16="http://schemas.microsoft.com/office/drawing/2014/main" id="{D30D5185-216C-4619-ABF3-58689708477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356" name="AutoShape 12">
          <a:extLst>
            <a:ext uri="{FF2B5EF4-FFF2-40B4-BE49-F238E27FC236}">
              <a16:creationId xmlns:a16="http://schemas.microsoft.com/office/drawing/2014/main" id="{E6C5BF61-55A8-404E-99B8-15C433DB054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357" name="AutoShape 12">
          <a:extLst>
            <a:ext uri="{FF2B5EF4-FFF2-40B4-BE49-F238E27FC236}">
              <a16:creationId xmlns:a16="http://schemas.microsoft.com/office/drawing/2014/main" id="{5F73C3A0-BA90-403B-9E39-4D469A4B6D2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358" name="AutoShape 12">
          <a:extLst>
            <a:ext uri="{FF2B5EF4-FFF2-40B4-BE49-F238E27FC236}">
              <a16:creationId xmlns:a16="http://schemas.microsoft.com/office/drawing/2014/main" id="{7F4FFF3E-209D-41A9-97BA-660966555AD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359" name="AutoShape 12">
          <a:extLst>
            <a:ext uri="{FF2B5EF4-FFF2-40B4-BE49-F238E27FC236}">
              <a16:creationId xmlns:a16="http://schemas.microsoft.com/office/drawing/2014/main" id="{255A21DC-8E74-4F28-B8D5-DC9B386F9BC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360" name="AutoShape 12">
          <a:extLst>
            <a:ext uri="{FF2B5EF4-FFF2-40B4-BE49-F238E27FC236}">
              <a16:creationId xmlns:a16="http://schemas.microsoft.com/office/drawing/2014/main" id="{A8A4938A-6F01-488F-AA65-3BDF44ECB8C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361" name="AutoShape 12">
          <a:extLst>
            <a:ext uri="{FF2B5EF4-FFF2-40B4-BE49-F238E27FC236}">
              <a16:creationId xmlns:a16="http://schemas.microsoft.com/office/drawing/2014/main" id="{893080AB-D990-431A-8162-0F3490182FE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362" name="AutoShape 12">
          <a:extLst>
            <a:ext uri="{FF2B5EF4-FFF2-40B4-BE49-F238E27FC236}">
              <a16:creationId xmlns:a16="http://schemas.microsoft.com/office/drawing/2014/main" id="{CAA1CA2D-31F8-4E4A-A56F-BED6CE3CE9C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363" name="AutoShape 12">
          <a:extLst>
            <a:ext uri="{FF2B5EF4-FFF2-40B4-BE49-F238E27FC236}">
              <a16:creationId xmlns:a16="http://schemas.microsoft.com/office/drawing/2014/main" id="{A1BD1FAB-26A9-4BB4-B529-CDC04D8B99D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364" name="AutoShape 12">
          <a:extLst>
            <a:ext uri="{FF2B5EF4-FFF2-40B4-BE49-F238E27FC236}">
              <a16:creationId xmlns:a16="http://schemas.microsoft.com/office/drawing/2014/main" id="{5B893A63-A323-4B94-90B9-592CBE25140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365" name="AutoShape 12">
          <a:extLst>
            <a:ext uri="{FF2B5EF4-FFF2-40B4-BE49-F238E27FC236}">
              <a16:creationId xmlns:a16="http://schemas.microsoft.com/office/drawing/2014/main" id="{68C09D6D-3B90-47BC-968F-03924C2AFE6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366" name="AutoShape 12">
          <a:extLst>
            <a:ext uri="{FF2B5EF4-FFF2-40B4-BE49-F238E27FC236}">
              <a16:creationId xmlns:a16="http://schemas.microsoft.com/office/drawing/2014/main" id="{5EE5D092-28F1-4090-971B-8DB8827DAF8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367" name="AutoShape 12">
          <a:extLst>
            <a:ext uri="{FF2B5EF4-FFF2-40B4-BE49-F238E27FC236}">
              <a16:creationId xmlns:a16="http://schemas.microsoft.com/office/drawing/2014/main" id="{E7A11171-60A7-476C-B504-6C5AED677EB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368" name="AutoShape 12">
          <a:extLst>
            <a:ext uri="{FF2B5EF4-FFF2-40B4-BE49-F238E27FC236}">
              <a16:creationId xmlns:a16="http://schemas.microsoft.com/office/drawing/2014/main" id="{F4AE8B8F-A751-40FE-9D0A-C778815496E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369" name="AutoShape 12">
          <a:extLst>
            <a:ext uri="{FF2B5EF4-FFF2-40B4-BE49-F238E27FC236}">
              <a16:creationId xmlns:a16="http://schemas.microsoft.com/office/drawing/2014/main" id="{34103886-EF41-441B-9317-95693755029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370" name="AutoShape 12">
          <a:extLst>
            <a:ext uri="{FF2B5EF4-FFF2-40B4-BE49-F238E27FC236}">
              <a16:creationId xmlns:a16="http://schemas.microsoft.com/office/drawing/2014/main" id="{F516FA2F-186D-4C1F-9F2C-28E4811F8F5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371" name="AutoShape 12">
          <a:extLst>
            <a:ext uri="{FF2B5EF4-FFF2-40B4-BE49-F238E27FC236}">
              <a16:creationId xmlns:a16="http://schemas.microsoft.com/office/drawing/2014/main" id="{0D5E7B44-A41D-4A74-A7C7-7169932463A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372" name="AutoShape 12">
          <a:extLst>
            <a:ext uri="{FF2B5EF4-FFF2-40B4-BE49-F238E27FC236}">
              <a16:creationId xmlns:a16="http://schemas.microsoft.com/office/drawing/2014/main" id="{16DEEBA8-6F84-4C36-97ED-227DD2F21B7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373" name="AutoShape 12">
          <a:extLst>
            <a:ext uri="{FF2B5EF4-FFF2-40B4-BE49-F238E27FC236}">
              <a16:creationId xmlns:a16="http://schemas.microsoft.com/office/drawing/2014/main" id="{BCF8546D-DE06-40B5-8897-CA89F7D6C9D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374" name="AutoShape 12">
          <a:extLst>
            <a:ext uri="{FF2B5EF4-FFF2-40B4-BE49-F238E27FC236}">
              <a16:creationId xmlns:a16="http://schemas.microsoft.com/office/drawing/2014/main" id="{1B2A7AD8-90CE-4276-B730-53F6D4CD09C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375" name="AutoShape 12">
          <a:extLst>
            <a:ext uri="{FF2B5EF4-FFF2-40B4-BE49-F238E27FC236}">
              <a16:creationId xmlns:a16="http://schemas.microsoft.com/office/drawing/2014/main" id="{06690A1A-23F6-4AA1-8EF6-623718D305E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376" name="AutoShape 12">
          <a:extLst>
            <a:ext uri="{FF2B5EF4-FFF2-40B4-BE49-F238E27FC236}">
              <a16:creationId xmlns:a16="http://schemas.microsoft.com/office/drawing/2014/main" id="{C09446E9-1B4E-4404-B358-EF6E15964E5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377" name="AutoShape 12">
          <a:extLst>
            <a:ext uri="{FF2B5EF4-FFF2-40B4-BE49-F238E27FC236}">
              <a16:creationId xmlns:a16="http://schemas.microsoft.com/office/drawing/2014/main" id="{F38BAEC2-6E5B-4218-B7A0-4364CBEEF22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378" name="AutoShape 12">
          <a:extLst>
            <a:ext uri="{FF2B5EF4-FFF2-40B4-BE49-F238E27FC236}">
              <a16:creationId xmlns:a16="http://schemas.microsoft.com/office/drawing/2014/main" id="{25E64664-4E99-4AE2-865C-FB5EBA39667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379" name="AutoShape 12">
          <a:extLst>
            <a:ext uri="{FF2B5EF4-FFF2-40B4-BE49-F238E27FC236}">
              <a16:creationId xmlns:a16="http://schemas.microsoft.com/office/drawing/2014/main" id="{9F3EE006-D4E2-47C8-B07E-FCB88270406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380" name="AutoShape 12">
          <a:extLst>
            <a:ext uri="{FF2B5EF4-FFF2-40B4-BE49-F238E27FC236}">
              <a16:creationId xmlns:a16="http://schemas.microsoft.com/office/drawing/2014/main" id="{031C4209-F8E6-4123-9E0F-4E9D9B0ADA6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381" name="AutoShape 12">
          <a:extLst>
            <a:ext uri="{FF2B5EF4-FFF2-40B4-BE49-F238E27FC236}">
              <a16:creationId xmlns:a16="http://schemas.microsoft.com/office/drawing/2014/main" id="{62D4B9AF-D4B5-4A90-AF33-0F0210F2ADD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382" name="AutoShape 12">
          <a:extLst>
            <a:ext uri="{FF2B5EF4-FFF2-40B4-BE49-F238E27FC236}">
              <a16:creationId xmlns:a16="http://schemas.microsoft.com/office/drawing/2014/main" id="{CCCCF49B-BBA5-4A54-8E79-972E3F0081E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383" name="AutoShape 12">
          <a:extLst>
            <a:ext uri="{FF2B5EF4-FFF2-40B4-BE49-F238E27FC236}">
              <a16:creationId xmlns:a16="http://schemas.microsoft.com/office/drawing/2014/main" id="{2226F44E-2D1D-43ED-ABFE-D904FE337BB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384" name="AutoShape 12">
          <a:extLst>
            <a:ext uri="{FF2B5EF4-FFF2-40B4-BE49-F238E27FC236}">
              <a16:creationId xmlns:a16="http://schemas.microsoft.com/office/drawing/2014/main" id="{3EAE4FD9-AD33-4BC9-8B60-C7E88781767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385" name="AutoShape 12">
          <a:extLst>
            <a:ext uri="{FF2B5EF4-FFF2-40B4-BE49-F238E27FC236}">
              <a16:creationId xmlns:a16="http://schemas.microsoft.com/office/drawing/2014/main" id="{FCB11BFD-2739-4E59-9589-D5492A4FFB1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386" name="AutoShape 12">
          <a:extLst>
            <a:ext uri="{FF2B5EF4-FFF2-40B4-BE49-F238E27FC236}">
              <a16:creationId xmlns:a16="http://schemas.microsoft.com/office/drawing/2014/main" id="{A0E852A6-74FB-406D-AB51-97019DFFBFD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387" name="AutoShape 12">
          <a:extLst>
            <a:ext uri="{FF2B5EF4-FFF2-40B4-BE49-F238E27FC236}">
              <a16:creationId xmlns:a16="http://schemas.microsoft.com/office/drawing/2014/main" id="{1FBF07ED-C9FF-4783-A7CC-FCCE04CD089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388" name="AutoShape 12">
          <a:extLst>
            <a:ext uri="{FF2B5EF4-FFF2-40B4-BE49-F238E27FC236}">
              <a16:creationId xmlns:a16="http://schemas.microsoft.com/office/drawing/2014/main" id="{D68CECC6-2036-4A9D-A716-B04D54A5BCB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389" name="AutoShape 12">
          <a:extLst>
            <a:ext uri="{FF2B5EF4-FFF2-40B4-BE49-F238E27FC236}">
              <a16:creationId xmlns:a16="http://schemas.microsoft.com/office/drawing/2014/main" id="{E54FBF82-1B0C-4B95-BBD9-CB098D85CFD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390" name="AutoShape 12">
          <a:extLst>
            <a:ext uri="{FF2B5EF4-FFF2-40B4-BE49-F238E27FC236}">
              <a16:creationId xmlns:a16="http://schemas.microsoft.com/office/drawing/2014/main" id="{3E762BE8-3E30-4C5D-8971-4628CF9DF62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391" name="AutoShape 12">
          <a:extLst>
            <a:ext uri="{FF2B5EF4-FFF2-40B4-BE49-F238E27FC236}">
              <a16:creationId xmlns:a16="http://schemas.microsoft.com/office/drawing/2014/main" id="{FCB713F7-40B8-474E-873A-6F6256F7AE3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392" name="AutoShape 12">
          <a:extLst>
            <a:ext uri="{FF2B5EF4-FFF2-40B4-BE49-F238E27FC236}">
              <a16:creationId xmlns:a16="http://schemas.microsoft.com/office/drawing/2014/main" id="{3EEE2EFA-DFB5-4A7B-98FB-F418A20BB17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393" name="AutoShape 12">
          <a:extLst>
            <a:ext uri="{FF2B5EF4-FFF2-40B4-BE49-F238E27FC236}">
              <a16:creationId xmlns:a16="http://schemas.microsoft.com/office/drawing/2014/main" id="{C13EBDDD-4BEA-47E6-9824-D7E09AEDA7B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394" name="AutoShape 12">
          <a:extLst>
            <a:ext uri="{FF2B5EF4-FFF2-40B4-BE49-F238E27FC236}">
              <a16:creationId xmlns:a16="http://schemas.microsoft.com/office/drawing/2014/main" id="{9BF75E21-0A38-4DBC-B181-14C7952DDAD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395" name="AutoShape 12">
          <a:extLst>
            <a:ext uri="{FF2B5EF4-FFF2-40B4-BE49-F238E27FC236}">
              <a16:creationId xmlns:a16="http://schemas.microsoft.com/office/drawing/2014/main" id="{043C3FEA-27A1-4854-BB3C-362F20B801C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396" name="AutoShape 12">
          <a:extLst>
            <a:ext uri="{FF2B5EF4-FFF2-40B4-BE49-F238E27FC236}">
              <a16:creationId xmlns:a16="http://schemas.microsoft.com/office/drawing/2014/main" id="{DF1B67CB-574C-43EF-98F1-FB782D0F018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397" name="AutoShape 12">
          <a:extLst>
            <a:ext uri="{FF2B5EF4-FFF2-40B4-BE49-F238E27FC236}">
              <a16:creationId xmlns:a16="http://schemas.microsoft.com/office/drawing/2014/main" id="{BF5E70E8-D176-4B51-86F5-4E54F7AC45B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398" name="AutoShape 12">
          <a:extLst>
            <a:ext uri="{FF2B5EF4-FFF2-40B4-BE49-F238E27FC236}">
              <a16:creationId xmlns:a16="http://schemas.microsoft.com/office/drawing/2014/main" id="{76718B06-10FA-4E87-B7D4-74BBDE9297C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399" name="AutoShape 12">
          <a:extLst>
            <a:ext uri="{FF2B5EF4-FFF2-40B4-BE49-F238E27FC236}">
              <a16:creationId xmlns:a16="http://schemas.microsoft.com/office/drawing/2014/main" id="{A5E38E3B-C0CC-4C3E-BF1B-D51ECB69FB5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400" name="AutoShape 12">
          <a:extLst>
            <a:ext uri="{FF2B5EF4-FFF2-40B4-BE49-F238E27FC236}">
              <a16:creationId xmlns:a16="http://schemas.microsoft.com/office/drawing/2014/main" id="{0AFE3B42-89A7-4F2E-AAFD-BA9A12D0A94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401" name="AutoShape 12">
          <a:extLst>
            <a:ext uri="{FF2B5EF4-FFF2-40B4-BE49-F238E27FC236}">
              <a16:creationId xmlns:a16="http://schemas.microsoft.com/office/drawing/2014/main" id="{6D2E21BD-20FD-42E1-B157-FB6FE9D65E5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402" name="AutoShape 12">
          <a:extLst>
            <a:ext uri="{FF2B5EF4-FFF2-40B4-BE49-F238E27FC236}">
              <a16:creationId xmlns:a16="http://schemas.microsoft.com/office/drawing/2014/main" id="{BE9B029C-2F04-49AA-92C7-729D1F37055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403" name="AutoShape 12">
          <a:extLst>
            <a:ext uri="{FF2B5EF4-FFF2-40B4-BE49-F238E27FC236}">
              <a16:creationId xmlns:a16="http://schemas.microsoft.com/office/drawing/2014/main" id="{0B6AEE06-AF01-4054-919A-58CF8C18474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404" name="AutoShape 12">
          <a:extLst>
            <a:ext uri="{FF2B5EF4-FFF2-40B4-BE49-F238E27FC236}">
              <a16:creationId xmlns:a16="http://schemas.microsoft.com/office/drawing/2014/main" id="{02401B24-F1F6-4514-8444-E3CE4B3CDBB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405" name="AutoShape 12">
          <a:extLst>
            <a:ext uri="{FF2B5EF4-FFF2-40B4-BE49-F238E27FC236}">
              <a16:creationId xmlns:a16="http://schemas.microsoft.com/office/drawing/2014/main" id="{C41DB001-244A-454D-A3C9-C221FD3D633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406" name="AutoShape 12">
          <a:extLst>
            <a:ext uri="{FF2B5EF4-FFF2-40B4-BE49-F238E27FC236}">
              <a16:creationId xmlns:a16="http://schemas.microsoft.com/office/drawing/2014/main" id="{FBF6C988-12F5-46B0-9C19-79D23D8388D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407" name="AutoShape 12">
          <a:extLst>
            <a:ext uri="{FF2B5EF4-FFF2-40B4-BE49-F238E27FC236}">
              <a16:creationId xmlns:a16="http://schemas.microsoft.com/office/drawing/2014/main" id="{7A2AADF4-A9AE-4851-98FB-EAB2748DF48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408" name="AutoShape 12">
          <a:extLst>
            <a:ext uri="{FF2B5EF4-FFF2-40B4-BE49-F238E27FC236}">
              <a16:creationId xmlns:a16="http://schemas.microsoft.com/office/drawing/2014/main" id="{7B6F8259-83C6-4457-BA5C-B5F91785A1F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409" name="AutoShape 12">
          <a:extLst>
            <a:ext uri="{FF2B5EF4-FFF2-40B4-BE49-F238E27FC236}">
              <a16:creationId xmlns:a16="http://schemas.microsoft.com/office/drawing/2014/main" id="{02D7CDBB-73A1-43C4-98BF-1EA485893D1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410" name="AutoShape 12">
          <a:extLst>
            <a:ext uri="{FF2B5EF4-FFF2-40B4-BE49-F238E27FC236}">
              <a16:creationId xmlns:a16="http://schemas.microsoft.com/office/drawing/2014/main" id="{467C2C82-1358-4039-A97B-804DB43854B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411" name="AutoShape 12">
          <a:extLst>
            <a:ext uri="{FF2B5EF4-FFF2-40B4-BE49-F238E27FC236}">
              <a16:creationId xmlns:a16="http://schemas.microsoft.com/office/drawing/2014/main" id="{7385124D-F954-44CF-AD90-82065F4F34B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412" name="AutoShape 12">
          <a:extLst>
            <a:ext uri="{FF2B5EF4-FFF2-40B4-BE49-F238E27FC236}">
              <a16:creationId xmlns:a16="http://schemas.microsoft.com/office/drawing/2014/main" id="{5874BB65-1B8F-4C17-AB7C-C550438B98F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413" name="AutoShape 12">
          <a:extLst>
            <a:ext uri="{FF2B5EF4-FFF2-40B4-BE49-F238E27FC236}">
              <a16:creationId xmlns:a16="http://schemas.microsoft.com/office/drawing/2014/main" id="{D417619C-D02E-4672-BED1-2B992E5EB96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414" name="AutoShape 12">
          <a:extLst>
            <a:ext uri="{FF2B5EF4-FFF2-40B4-BE49-F238E27FC236}">
              <a16:creationId xmlns:a16="http://schemas.microsoft.com/office/drawing/2014/main" id="{247EA273-2308-48B9-A44E-AB4F4409EBA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415" name="AutoShape 12">
          <a:extLst>
            <a:ext uri="{FF2B5EF4-FFF2-40B4-BE49-F238E27FC236}">
              <a16:creationId xmlns:a16="http://schemas.microsoft.com/office/drawing/2014/main" id="{FBD77EBE-578C-4CFB-A5C9-8AC031572CB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416" name="AutoShape 12">
          <a:extLst>
            <a:ext uri="{FF2B5EF4-FFF2-40B4-BE49-F238E27FC236}">
              <a16:creationId xmlns:a16="http://schemas.microsoft.com/office/drawing/2014/main" id="{B3CCE0C9-5362-489F-9025-CCFEF5C2D03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417" name="AutoShape 12">
          <a:extLst>
            <a:ext uri="{FF2B5EF4-FFF2-40B4-BE49-F238E27FC236}">
              <a16:creationId xmlns:a16="http://schemas.microsoft.com/office/drawing/2014/main" id="{15B26C8C-739E-4671-B222-3C898D2DFCC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418" name="AutoShape 12">
          <a:extLst>
            <a:ext uri="{FF2B5EF4-FFF2-40B4-BE49-F238E27FC236}">
              <a16:creationId xmlns:a16="http://schemas.microsoft.com/office/drawing/2014/main" id="{55B6DF2C-9831-49AC-8CAF-91346002C39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419" name="AutoShape 12">
          <a:extLst>
            <a:ext uri="{FF2B5EF4-FFF2-40B4-BE49-F238E27FC236}">
              <a16:creationId xmlns:a16="http://schemas.microsoft.com/office/drawing/2014/main" id="{FAF4B8BC-6943-430D-AE15-1F304EFE856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420" name="AutoShape 12">
          <a:extLst>
            <a:ext uri="{FF2B5EF4-FFF2-40B4-BE49-F238E27FC236}">
              <a16:creationId xmlns:a16="http://schemas.microsoft.com/office/drawing/2014/main" id="{6976B13A-4D1E-4175-B813-4B7EA7E46BD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421" name="AutoShape 12">
          <a:extLst>
            <a:ext uri="{FF2B5EF4-FFF2-40B4-BE49-F238E27FC236}">
              <a16:creationId xmlns:a16="http://schemas.microsoft.com/office/drawing/2014/main" id="{8C214071-6576-4F95-B32E-E61E5974535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422" name="AutoShape 12">
          <a:extLst>
            <a:ext uri="{FF2B5EF4-FFF2-40B4-BE49-F238E27FC236}">
              <a16:creationId xmlns:a16="http://schemas.microsoft.com/office/drawing/2014/main" id="{8C809B7C-1930-422C-92E3-E8DB0C60DFC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304800" cy="304094"/>
    <xdr:sp macro="" textlink="">
      <xdr:nvSpPr>
        <xdr:cNvPr id="7423" name="AutoShape 12">
          <a:extLst>
            <a:ext uri="{FF2B5EF4-FFF2-40B4-BE49-F238E27FC236}">
              <a16:creationId xmlns:a16="http://schemas.microsoft.com/office/drawing/2014/main" id="{54F223DB-2BF8-47C5-B32D-ECDCB1C4849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424" name="AutoShape 12">
          <a:extLst>
            <a:ext uri="{FF2B5EF4-FFF2-40B4-BE49-F238E27FC236}">
              <a16:creationId xmlns:a16="http://schemas.microsoft.com/office/drawing/2014/main" id="{E71DD942-5178-4F50-B4F8-041FF31F1A8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425" name="AutoShape 12">
          <a:extLst>
            <a:ext uri="{FF2B5EF4-FFF2-40B4-BE49-F238E27FC236}">
              <a16:creationId xmlns:a16="http://schemas.microsoft.com/office/drawing/2014/main" id="{A1B72FCA-7FAD-48CB-9C8F-FB916671342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426" name="AutoShape 12">
          <a:extLst>
            <a:ext uri="{FF2B5EF4-FFF2-40B4-BE49-F238E27FC236}">
              <a16:creationId xmlns:a16="http://schemas.microsoft.com/office/drawing/2014/main" id="{0824A2E9-DB8D-4F70-A353-FB2FC3455CA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427" name="AutoShape 12">
          <a:extLst>
            <a:ext uri="{FF2B5EF4-FFF2-40B4-BE49-F238E27FC236}">
              <a16:creationId xmlns:a16="http://schemas.microsoft.com/office/drawing/2014/main" id="{A1A064FC-01F3-4D26-BDAE-41D00FCD9D9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428" name="AutoShape 12">
          <a:extLst>
            <a:ext uri="{FF2B5EF4-FFF2-40B4-BE49-F238E27FC236}">
              <a16:creationId xmlns:a16="http://schemas.microsoft.com/office/drawing/2014/main" id="{50C9F780-83A1-4E30-A4F9-83D42574FFC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429" name="AutoShape 12">
          <a:extLst>
            <a:ext uri="{FF2B5EF4-FFF2-40B4-BE49-F238E27FC236}">
              <a16:creationId xmlns:a16="http://schemas.microsoft.com/office/drawing/2014/main" id="{AC024959-F683-40FB-9954-47DC19DD3D8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430" name="AutoShape 12">
          <a:extLst>
            <a:ext uri="{FF2B5EF4-FFF2-40B4-BE49-F238E27FC236}">
              <a16:creationId xmlns:a16="http://schemas.microsoft.com/office/drawing/2014/main" id="{C8B56690-386B-474D-BA13-D9E3E21BD73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431" name="AutoShape 12">
          <a:extLst>
            <a:ext uri="{FF2B5EF4-FFF2-40B4-BE49-F238E27FC236}">
              <a16:creationId xmlns:a16="http://schemas.microsoft.com/office/drawing/2014/main" id="{C347D342-513B-450B-B9B9-DA383C5011B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432" name="AutoShape 12">
          <a:extLst>
            <a:ext uri="{FF2B5EF4-FFF2-40B4-BE49-F238E27FC236}">
              <a16:creationId xmlns:a16="http://schemas.microsoft.com/office/drawing/2014/main" id="{93A1373F-D90F-4C35-8CF7-966DAD9A6D9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433" name="AutoShape 12">
          <a:extLst>
            <a:ext uri="{FF2B5EF4-FFF2-40B4-BE49-F238E27FC236}">
              <a16:creationId xmlns:a16="http://schemas.microsoft.com/office/drawing/2014/main" id="{90660001-B334-426C-A821-4A0511ADB4A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434" name="AutoShape 12">
          <a:extLst>
            <a:ext uri="{FF2B5EF4-FFF2-40B4-BE49-F238E27FC236}">
              <a16:creationId xmlns:a16="http://schemas.microsoft.com/office/drawing/2014/main" id="{E15D7F3E-3360-4CE1-AEC3-3D6B7746EAA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435" name="AutoShape 12">
          <a:extLst>
            <a:ext uri="{FF2B5EF4-FFF2-40B4-BE49-F238E27FC236}">
              <a16:creationId xmlns:a16="http://schemas.microsoft.com/office/drawing/2014/main" id="{DCEBA4B0-93C0-4FCB-8B6E-F8E174CAEFA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436" name="AutoShape 12">
          <a:extLst>
            <a:ext uri="{FF2B5EF4-FFF2-40B4-BE49-F238E27FC236}">
              <a16:creationId xmlns:a16="http://schemas.microsoft.com/office/drawing/2014/main" id="{8F5BE1E3-CD43-4854-A71F-2F6265979CE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437" name="AutoShape 12">
          <a:extLst>
            <a:ext uri="{FF2B5EF4-FFF2-40B4-BE49-F238E27FC236}">
              <a16:creationId xmlns:a16="http://schemas.microsoft.com/office/drawing/2014/main" id="{2A4B1340-B129-492D-BCFA-5124E3F9A3F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438" name="AutoShape 12">
          <a:extLst>
            <a:ext uri="{FF2B5EF4-FFF2-40B4-BE49-F238E27FC236}">
              <a16:creationId xmlns:a16="http://schemas.microsoft.com/office/drawing/2014/main" id="{87F79910-9EF1-4B60-AF00-8337D80D1A0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439" name="AutoShape 12">
          <a:extLst>
            <a:ext uri="{FF2B5EF4-FFF2-40B4-BE49-F238E27FC236}">
              <a16:creationId xmlns:a16="http://schemas.microsoft.com/office/drawing/2014/main" id="{1D62438B-3915-4E1D-9AA2-F03C2132418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440" name="AutoShape 12">
          <a:extLst>
            <a:ext uri="{FF2B5EF4-FFF2-40B4-BE49-F238E27FC236}">
              <a16:creationId xmlns:a16="http://schemas.microsoft.com/office/drawing/2014/main" id="{AF341C73-DFAD-4AC8-8DC0-94B1A853E09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441" name="AutoShape 12">
          <a:extLst>
            <a:ext uri="{FF2B5EF4-FFF2-40B4-BE49-F238E27FC236}">
              <a16:creationId xmlns:a16="http://schemas.microsoft.com/office/drawing/2014/main" id="{10ABC886-34D7-47E2-B3B6-1C5CFDCBD24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442" name="AutoShape 12">
          <a:extLst>
            <a:ext uri="{FF2B5EF4-FFF2-40B4-BE49-F238E27FC236}">
              <a16:creationId xmlns:a16="http://schemas.microsoft.com/office/drawing/2014/main" id="{CB5503BD-D25A-453D-9CD5-5BE2959ED17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443" name="AutoShape 12">
          <a:extLst>
            <a:ext uri="{FF2B5EF4-FFF2-40B4-BE49-F238E27FC236}">
              <a16:creationId xmlns:a16="http://schemas.microsoft.com/office/drawing/2014/main" id="{1FC4DC51-42EE-48F3-B519-4D9A92D5C95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444" name="AutoShape 12">
          <a:extLst>
            <a:ext uri="{FF2B5EF4-FFF2-40B4-BE49-F238E27FC236}">
              <a16:creationId xmlns:a16="http://schemas.microsoft.com/office/drawing/2014/main" id="{0DDFAB78-E708-4A09-BBC2-AAA3986FA9E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445" name="AutoShape 12">
          <a:extLst>
            <a:ext uri="{FF2B5EF4-FFF2-40B4-BE49-F238E27FC236}">
              <a16:creationId xmlns:a16="http://schemas.microsoft.com/office/drawing/2014/main" id="{36EC513B-0943-4843-8FA2-AFBE5E046E9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446" name="AutoShape 12">
          <a:extLst>
            <a:ext uri="{FF2B5EF4-FFF2-40B4-BE49-F238E27FC236}">
              <a16:creationId xmlns:a16="http://schemas.microsoft.com/office/drawing/2014/main" id="{7267F9D4-BCD0-4E95-A2C8-477AA1BDD53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447" name="AutoShape 12">
          <a:extLst>
            <a:ext uri="{FF2B5EF4-FFF2-40B4-BE49-F238E27FC236}">
              <a16:creationId xmlns:a16="http://schemas.microsoft.com/office/drawing/2014/main" id="{08B8F1F5-3F93-4068-AC74-8745B2785C4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448" name="AutoShape 12">
          <a:extLst>
            <a:ext uri="{FF2B5EF4-FFF2-40B4-BE49-F238E27FC236}">
              <a16:creationId xmlns:a16="http://schemas.microsoft.com/office/drawing/2014/main" id="{AA921619-CD92-4E64-8509-EA07499F80B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449" name="AutoShape 12">
          <a:extLst>
            <a:ext uri="{FF2B5EF4-FFF2-40B4-BE49-F238E27FC236}">
              <a16:creationId xmlns:a16="http://schemas.microsoft.com/office/drawing/2014/main" id="{F2DBD3C3-7A8E-449D-ABB1-2D9CACE32E7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450" name="AutoShape 12">
          <a:extLst>
            <a:ext uri="{FF2B5EF4-FFF2-40B4-BE49-F238E27FC236}">
              <a16:creationId xmlns:a16="http://schemas.microsoft.com/office/drawing/2014/main" id="{2E59FD1B-E331-4157-924D-010042F0355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451" name="AutoShape 12">
          <a:extLst>
            <a:ext uri="{FF2B5EF4-FFF2-40B4-BE49-F238E27FC236}">
              <a16:creationId xmlns:a16="http://schemas.microsoft.com/office/drawing/2014/main" id="{EF203CEB-8544-4A2F-BA48-B6722133CD7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452" name="AutoShape 12">
          <a:extLst>
            <a:ext uri="{FF2B5EF4-FFF2-40B4-BE49-F238E27FC236}">
              <a16:creationId xmlns:a16="http://schemas.microsoft.com/office/drawing/2014/main" id="{5D1A89F0-8E18-4CD8-BBEA-98418605D38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453" name="AutoShape 12">
          <a:extLst>
            <a:ext uri="{FF2B5EF4-FFF2-40B4-BE49-F238E27FC236}">
              <a16:creationId xmlns:a16="http://schemas.microsoft.com/office/drawing/2014/main" id="{D288D7C7-73F7-4803-983C-0B3B08BA702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454" name="AutoShape 12">
          <a:extLst>
            <a:ext uri="{FF2B5EF4-FFF2-40B4-BE49-F238E27FC236}">
              <a16:creationId xmlns:a16="http://schemas.microsoft.com/office/drawing/2014/main" id="{3ECACA44-1850-4096-B48F-E53BFDB51E8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455" name="AutoShape 12">
          <a:extLst>
            <a:ext uri="{FF2B5EF4-FFF2-40B4-BE49-F238E27FC236}">
              <a16:creationId xmlns:a16="http://schemas.microsoft.com/office/drawing/2014/main" id="{EAEB96B6-9F5B-4830-8185-0494E2D68B5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456" name="AutoShape 12">
          <a:extLst>
            <a:ext uri="{FF2B5EF4-FFF2-40B4-BE49-F238E27FC236}">
              <a16:creationId xmlns:a16="http://schemas.microsoft.com/office/drawing/2014/main" id="{B43CDFA4-1C2A-41F9-A50D-D512C3106C6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457" name="AutoShape 12">
          <a:extLst>
            <a:ext uri="{FF2B5EF4-FFF2-40B4-BE49-F238E27FC236}">
              <a16:creationId xmlns:a16="http://schemas.microsoft.com/office/drawing/2014/main" id="{653DB6D8-50E3-4659-9650-13951146A2F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458" name="AutoShape 12">
          <a:extLst>
            <a:ext uri="{FF2B5EF4-FFF2-40B4-BE49-F238E27FC236}">
              <a16:creationId xmlns:a16="http://schemas.microsoft.com/office/drawing/2014/main" id="{A9350573-E82F-4FD7-8BC4-D5A94604BBB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459" name="AutoShape 12">
          <a:extLst>
            <a:ext uri="{FF2B5EF4-FFF2-40B4-BE49-F238E27FC236}">
              <a16:creationId xmlns:a16="http://schemas.microsoft.com/office/drawing/2014/main" id="{FD5B7393-1048-49EE-B4F7-2CD869D3096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460" name="AutoShape 12">
          <a:extLst>
            <a:ext uri="{FF2B5EF4-FFF2-40B4-BE49-F238E27FC236}">
              <a16:creationId xmlns:a16="http://schemas.microsoft.com/office/drawing/2014/main" id="{E61BD879-B00E-42C7-B79D-C3B926E35A4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461" name="AutoShape 12">
          <a:extLst>
            <a:ext uri="{FF2B5EF4-FFF2-40B4-BE49-F238E27FC236}">
              <a16:creationId xmlns:a16="http://schemas.microsoft.com/office/drawing/2014/main" id="{D162094F-3CB5-453E-9F26-442F6CB0C55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462" name="AutoShape 12">
          <a:extLst>
            <a:ext uri="{FF2B5EF4-FFF2-40B4-BE49-F238E27FC236}">
              <a16:creationId xmlns:a16="http://schemas.microsoft.com/office/drawing/2014/main" id="{98756E0C-588B-4854-8FF5-736682234B4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463" name="AutoShape 12">
          <a:extLst>
            <a:ext uri="{FF2B5EF4-FFF2-40B4-BE49-F238E27FC236}">
              <a16:creationId xmlns:a16="http://schemas.microsoft.com/office/drawing/2014/main" id="{AF132F9A-2CA1-45E4-BEAB-A12D5DB1FAB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464" name="AutoShape 12">
          <a:extLst>
            <a:ext uri="{FF2B5EF4-FFF2-40B4-BE49-F238E27FC236}">
              <a16:creationId xmlns:a16="http://schemas.microsoft.com/office/drawing/2014/main" id="{763BE926-B58E-44DE-832F-DFFB2E6028F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465" name="AutoShape 12">
          <a:extLst>
            <a:ext uri="{FF2B5EF4-FFF2-40B4-BE49-F238E27FC236}">
              <a16:creationId xmlns:a16="http://schemas.microsoft.com/office/drawing/2014/main" id="{8527CB55-322B-44B5-BC03-7481730DB47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466" name="AutoShape 12">
          <a:extLst>
            <a:ext uri="{FF2B5EF4-FFF2-40B4-BE49-F238E27FC236}">
              <a16:creationId xmlns:a16="http://schemas.microsoft.com/office/drawing/2014/main" id="{78712D57-23BE-4924-830B-6FFE0C8F280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467" name="AutoShape 12">
          <a:extLst>
            <a:ext uri="{FF2B5EF4-FFF2-40B4-BE49-F238E27FC236}">
              <a16:creationId xmlns:a16="http://schemas.microsoft.com/office/drawing/2014/main" id="{145F9279-7A19-46FF-A65C-CECB409B94B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468" name="AutoShape 12">
          <a:extLst>
            <a:ext uri="{FF2B5EF4-FFF2-40B4-BE49-F238E27FC236}">
              <a16:creationId xmlns:a16="http://schemas.microsoft.com/office/drawing/2014/main" id="{DBEF02DB-5E40-4B0D-A483-A52B936670F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469" name="AutoShape 12">
          <a:extLst>
            <a:ext uri="{FF2B5EF4-FFF2-40B4-BE49-F238E27FC236}">
              <a16:creationId xmlns:a16="http://schemas.microsoft.com/office/drawing/2014/main" id="{A89AF681-F2EC-43AE-B0E3-299B5355500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470" name="AutoShape 12">
          <a:extLst>
            <a:ext uri="{FF2B5EF4-FFF2-40B4-BE49-F238E27FC236}">
              <a16:creationId xmlns:a16="http://schemas.microsoft.com/office/drawing/2014/main" id="{A308395D-340C-417B-AAA5-B0066CFD982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471" name="AutoShape 12">
          <a:extLst>
            <a:ext uri="{FF2B5EF4-FFF2-40B4-BE49-F238E27FC236}">
              <a16:creationId xmlns:a16="http://schemas.microsoft.com/office/drawing/2014/main" id="{B6AAB066-BEA5-4C6F-8BD3-FE7ADFEEF61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472" name="AutoShape 12">
          <a:extLst>
            <a:ext uri="{FF2B5EF4-FFF2-40B4-BE49-F238E27FC236}">
              <a16:creationId xmlns:a16="http://schemas.microsoft.com/office/drawing/2014/main" id="{42A80BF3-5F9C-4D65-800B-C9A90B7CF0D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473" name="AutoShape 12">
          <a:extLst>
            <a:ext uri="{FF2B5EF4-FFF2-40B4-BE49-F238E27FC236}">
              <a16:creationId xmlns:a16="http://schemas.microsoft.com/office/drawing/2014/main" id="{91411155-4296-4FFB-983F-AB32F38A571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474" name="AutoShape 12">
          <a:extLst>
            <a:ext uri="{FF2B5EF4-FFF2-40B4-BE49-F238E27FC236}">
              <a16:creationId xmlns:a16="http://schemas.microsoft.com/office/drawing/2014/main" id="{B84B7FAC-2902-4606-9953-DE0325D7DCF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475" name="AutoShape 12">
          <a:extLst>
            <a:ext uri="{FF2B5EF4-FFF2-40B4-BE49-F238E27FC236}">
              <a16:creationId xmlns:a16="http://schemas.microsoft.com/office/drawing/2014/main" id="{924A8F0C-1D83-43CF-A641-4328ABDAD84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476" name="AutoShape 12">
          <a:extLst>
            <a:ext uri="{FF2B5EF4-FFF2-40B4-BE49-F238E27FC236}">
              <a16:creationId xmlns:a16="http://schemas.microsoft.com/office/drawing/2014/main" id="{93667E6B-77E8-4D0A-9362-9BC7AA2C63F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477" name="AutoShape 12">
          <a:extLst>
            <a:ext uri="{FF2B5EF4-FFF2-40B4-BE49-F238E27FC236}">
              <a16:creationId xmlns:a16="http://schemas.microsoft.com/office/drawing/2014/main" id="{4274E623-0BB4-458B-8E99-634CAFE9C78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478" name="AutoShape 12">
          <a:extLst>
            <a:ext uri="{FF2B5EF4-FFF2-40B4-BE49-F238E27FC236}">
              <a16:creationId xmlns:a16="http://schemas.microsoft.com/office/drawing/2014/main" id="{557F3008-F63A-4B04-A8C4-D7B8309F391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479" name="AutoShape 12">
          <a:extLst>
            <a:ext uri="{FF2B5EF4-FFF2-40B4-BE49-F238E27FC236}">
              <a16:creationId xmlns:a16="http://schemas.microsoft.com/office/drawing/2014/main" id="{E6486A1E-52B3-49D4-B514-FB850D312FC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480" name="AutoShape 12">
          <a:extLst>
            <a:ext uri="{FF2B5EF4-FFF2-40B4-BE49-F238E27FC236}">
              <a16:creationId xmlns:a16="http://schemas.microsoft.com/office/drawing/2014/main" id="{2F0FE639-B066-4F1E-8FDE-B701F947157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481" name="AutoShape 12">
          <a:extLst>
            <a:ext uri="{FF2B5EF4-FFF2-40B4-BE49-F238E27FC236}">
              <a16:creationId xmlns:a16="http://schemas.microsoft.com/office/drawing/2014/main" id="{7D4B6544-204E-4B02-9377-C3EE97C42B5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482" name="AutoShape 12">
          <a:extLst>
            <a:ext uri="{FF2B5EF4-FFF2-40B4-BE49-F238E27FC236}">
              <a16:creationId xmlns:a16="http://schemas.microsoft.com/office/drawing/2014/main" id="{6B23248A-4A75-49AC-B7EE-28E842A4504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483" name="AutoShape 12">
          <a:extLst>
            <a:ext uri="{FF2B5EF4-FFF2-40B4-BE49-F238E27FC236}">
              <a16:creationId xmlns:a16="http://schemas.microsoft.com/office/drawing/2014/main" id="{571FD6F9-E396-46BD-B978-19B2A1BB122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484" name="AutoShape 12">
          <a:extLst>
            <a:ext uri="{FF2B5EF4-FFF2-40B4-BE49-F238E27FC236}">
              <a16:creationId xmlns:a16="http://schemas.microsoft.com/office/drawing/2014/main" id="{D7394E60-4E66-4966-8BFD-2BC89F13FAE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485" name="AutoShape 12">
          <a:extLst>
            <a:ext uri="{FF2B5EF4-FFF2-40B4-BE49-F238E27FC236}">
              <a16:creationId xmlns:a16="http://schemas.microsoft.com/office/drawing/2014/main" id="{1D3D0CD5-E651-4C40-A627-F5CC3C209C8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486" name="AutoShape 12">
          <a:extLst>
            <a:ext uri="{FF2B5EF4-FFF2-40B4-BE49-F238E27FC236}">
              <a16:creationId xmlns:a16="http://schemas.microsoft.com/office/drawing/2014/main" id="{3ED69ECA-F934-4DB4-AFFD-7F0ADD9A086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487" name="AutoShape 12">
          <a:extLst>
            <a:ext uri="{FF2B5EF4-FFF2-40B4-BE49-F238E27FC236}">
              <a16:creationId xmlns:a16="http://schemas.microsoft.com/office/drawing/2014/main" id="{CD4A6A31-AEEE-4140-BE78-C80FE56B825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488" name="AutoShape 12">
          <a:extLst>
            <a:ext uri="{FF2B5EF4-FFF2-40B4-BE49-F238E27FC236}">
              <a16:creationId xmlns:a16="http://schemas.microsoft.com/office/drawing/2014/main" id="{2FE48A3E-0CF8-4167-87A4-3AEF434E823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489" name="AutoShape 12">
          <a:extLst>
            <a:ext uri="{FF2B5EF4-FFF2-40B4-BE49-F238E27FC236}">
              <a16:creationId xmlns:a16="http://schemas.microsoft.com/office/drawing/2014/main" id="{5CA95AD1-8C08-4646-8DE4-2C1C6568632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490" name="AutoShape 12">
          <a:extLst>
            <a:ext uri="{FF2B5EF4-FFF2-40B4-BE49-F238E27FC236}">
              <a16:creationId xmlns:a16="http://schemas.microsoft.com/office/drawing/2014/main" id="{4ED4439D-F257-403B-8FBD-386B1511195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491" name="AutoShape 12">
          <a:extLst>
            <a:ext uri="{FF2B5EF4-FFF2-40B4-BE49-F238E27FC236}">
              <a16:creationId xmlns:a16="http://schemas.microsoft.com/office/drawing/2014/main" id="{0DE36A79-36F1-4F4C-9589-3278CD6F867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492" name="AutoShape 12">
          <a:extLst>
            <a:ext uri="{FF2B5EF4-FFF2-40B4-BE49-F238E27FC236}">
              <a16:creationId xmlns:a16="http://schemas.microsoft.com/office/drawing/2014/main" id="{81077B52-CFBF-462B-9A0E-3088195408D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493" name="AutoShape 12">
          <a:extLst>
            <a:ext uri="{FF2B5EF4-FFF2-40B4-BE49-F238E27FC236}">
              <a16:creationId xmlns:a16="http://schemas.microsoft.com/office/drawing/2014/main" id="{62479765-2C53-4E4B-B7A7-3F3E6539D60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494" name="AutoShape 12">
          <a:extLst>
            <a:ext uri="{FF2B5EF4-FFF2-40B4-BE49-F238E27FC236}">
              <a16:creationId xmlns:a16="http://schemas.microsoft.com/office/drawing/2014/main" id="{48CEF77A-89F5-4F46-819F-32E686914EB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495" name="AutoShape 12">
          <a:extLst>
            <a:ext uri="{FF2B5EF4-FFF2-40B4-BE49-F238E27FC236}">
              <a16:creationId xmlns:a16="http://schemas.microsoft.com/office/drawing/2014/main" id="{7005BC02-14A5-43AD-A880-3032B9DF943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496" name="AutoShape 12">
          <a:extLst>
            <a:ext uri="{FF2B5EF4-FFF2-40B4-BE49-F238E27FC236}">
              <a16:creationId xmlns:a16="http://schemas.microsoft.com/office/drawing/2014/main" id="{CEFEAF5B-52C7-4657-825D-27880778924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497" name="AutoShape 12">
          <a:extLst>
            <a:ext uri="{FF2B5EF4-FFF2-40B4-BE49-F238E27FC236}">
              <a16:creationId xmlns:a16="http://schemas.microsoft.com/office/drawing/2014/main" id="{D81B0F93-706E-4539-BE5D-3364585DCE1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498" name="AutoShape 12">
          <a:extLst>
            <a:ext uri="{FF2B5EF4-FFF2-40B4-BE49-F238E27FC236}">
              <a16:creationId xmlns:a16="http://schemas.microsoft.com/office/drawing/2014/main" id="{7BA7CFFD-F757-44E6-8CFB-2CFF0A7865C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499" name="AutoShape 12">
          <a:extLst>
            <a:ext uri="{FF2B5EF4-FFF2-40B4-BE49-F238E27FC236}">
              <a16:creationId xmlns:a16="http://schemas.microsoft.com/office/drawing/2014/main" id="{2658C47D-3775-4BF7-9948-923B90FCD7F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500" name="AutoShape 12">
          <a:extLst>
            <a:ext uri="{FF2B5EF4-FFF2-40B4-BE49-F238E27FC236}">
              <a16:creationId xmlns:a16="http://schemas.microsoft.com/office/drawing/2014/main" id="{17916B42-EDA2-4EB7-BA24-04CAF78C862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501" name="AutoShape 12">
          <a:extLst>
            <a:ext uri="{FF2B5EF4-FFF2-40B4-BE49-F238E27FC236}">
              <a16:creationId xmlns:a16="http://schemas.microsoft.com/office/drawing/2014/main" id="{2A521786-3DFC-49B8-B701-062B85EE4E2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502" name="AutoShape 12">
          <a:extLst>
            <a:ext uri="{FF2B5EF4-FFF2-40B4-BE49-F238E27FC236}">
              <a16:creationId xmlns:a16="http://schemas.microsoft.com/office/drawing/2014/main" id="{486803F7-ECEE-48EB-9432-CD683C79DEF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503" name="AutoShape 12">
          <a:extLst>
            <a:ext uri="{FF2B5EF4-FFF2-40B4-BE49-F238E27FC236}">
              <a16:creationId xmlns:a16="http://schemas.microsoft.com/office/drawing/2014/main" id="{9D53C79D-1953-4EA8-9587-7FED79854FA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504" name="AutoShape 12">
          <a:extLst>
            <a:ext uri="{FF2B5EF4-FFF2-40B4-BE49-F238E27FC236}">
              <a16:creationId xmlns:a16="http://schemas.microsoft.com/office/drawing/2014/main" id="{B97127C0-DA3A-4663-90BD-954DF4A7530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505" name="AutoShape 12">
          <a:extLst>
            <a:ext uri="{FF2B5EF4-FFF2-40B4-BE49-F238E27FC236}">
              <a16:creationId xmlns:a16="http://schemas.microsoft.com/office/drawing/2014/main" id="{65432436-3357-45D3-B515-E49BA8F599A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506" name="AutoShape 12">
          <a:extLst>
            <a:ext uri="{FF2B5EF4-FFF2-40B4-BE49-F238E27FC236}">
              <a16:creationId xmlns:a16="http://schemas.microsoft.com/office/drawing/2014/main" id="{9B1E379E-DA75-4D60-9F00-0869B91CD8C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507" name="AutoShape 12">
          <a:extLst>
            <a:ext uri="{FF2B5EF4-FFF2-40B4-BE49-F238E27FC236}">
              <a16:creationId xmlns:a16="http://schemas.microsoft.com/office/drawing/2014/main" id="{A76A9C7D-280E-4828-B8B0-5EF5DCE1F2A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508" name="AutoShape 12">
          <a:extLst>
            <a:ext uri="{FF2B5EF4-FFF2-40B4-BE49-F238E27FC236}">
              <a16:creationId xmlns:a16="http://schemas.microsoft.com/office/drawing/2014/main" id="{1E00C96C-5444-474F-A80D-71AB732F23C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509" name="AutoShape 12">
          <a:extLst>
            <a:ext uri="{FF2B5EF4-FFF2-40B4-BE49-F238E27FC236}">
              <a16:creationId xmlns:a16="http://schemas.microsoft.com/office/drawing/2014/main" id="{C54086A8-25CD-4072-928F-3FA3DADA91C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510" name="AutoShape 12">
          <a:extLst>
            <a:ext uri="{FF2B5EF4-FFF2-40B4-BE49-F238E27FC236}">
              <a16:creationId xmlns:a16="http://schemas.microsoft.com/office/drawing/2014/main" id="{1FCF02C7-790A-4B50-9820-CF173C95751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511" name="AutoShape 12">
          <a:extLst>
            <a:ext uri="{FF2B5EF4-FFF2-40B4-BE49-F238E27FC236}">
              <a16:creationId xmlns:a16="http://schemas.microsoft.com/office/drawing/2014/main" id="{A5562B00-5FFA-4A35-8198-2A9CCB18A77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512" name="AutoShape 12">
          <a:extLst>
            <a:ext uri="{FF2B5EF4-FFF2-40B4-BE49-F238E27FC236}">
              <a16:creationId xmlns:a16="http://schemas.microsoft.com/office/drawing/2014/main" id="{DC26CC86-ECFF-4D57-8019-58084BED7AF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513" name="AutoShape 12">
          <a:extLst>
            <a:ext uri="{FF2B5EF4-FFF2-40B4-BE49-F238E27FC236}">
              <a16:creationId xmlns:a16="http://schemas.microsoft.com/office/drawing/2014/main" id="{76F86804-BA18-4725-A0C2-BB6E75DB3FE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514" name="AutoShape 12">
          <a:extLst>
            <a:ext uri="{FF2B5EF4-FFF2-40B4-BE49-F238E27FC236}">
              <a16:creationId xmlns:a16="http://schemas.microsoft.com/office/drawing/2014/main" id="{F8F42758-BA47-4173-8DD5-4039FA5FF79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515" name="AutoShape 12">
          <a:extLst>
            <a:ext uri="{FF2B5EF4-FFF2-40B4-BE49-F238E27FC236}">
              <a16:creationId xmlns:a16="http://schemas.microsoft.com/office/drawing/2014/main" id="{3C6EDD9F-9EC1-4E47-83A1-D5878BF5D5E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516" name="AutoShape 12">
          <a:extLst>
            <a:ext uri="{FF2B5EF4-FFF2-40B4-BE49-F238E27FC236}">
              <a16:creationId xmlns:a16="http://schemas.microsoft.com/office/drawing/2014/main" id="{DAC20C8D-2E22-46FD-B815-A1D3C135694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517" name="AutoShape 12">
          <a:extLst>
            <a:ext uri="{FF2B5EF4-FFF2-40B4-BE49-F238E27FC236}">
              <a16:creationId xmlns:a16="http://schemas.microsoft.com/office/drawing/2014/main" id="{88BD52FE-BFAA-4A21-B972-B4AB1AF2F78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518" name="AutoShape 12">
          <a:extLst>
            <a:ext uri="{FF2B5EF4-FFF2-40B4-BE49-F238E27FC236}">
              <a16:creationId xmlns:a16="http://schemas.microsoft.com/office/drawing/2014/main" id="{ABEFBB21-9232-4854-8126-7BC5FE2D00A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519" name="AutoShape 12">
          <a:extLst>
            <a:ext uri="{FF2B5EF4-FFF2-40B4-BE49-F238E27FC236}">
              <a16:creationId xmlns:a16="http://schemas.microsoft.com/office/drawing/2014/main" id="{2E73C6D2-B7CC-48F7-8209-D225A831DC0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520" name="AutoShape 12">
          <a:extLst>
            <a:ext uri="{FF2B5EF4-FFF2-40B4-BE49-F238E27FC236}">
              <a16:creationId xmlns:a16="http://schemas.microsoft.com/office/drawing/2014/main" id="{07C53231-0EF9-4474-BDA5-7ABFBD6EE82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521" name="AutoShape 12">
          <a:extLst>
            <a:ext uri="{FF2B5EF4-FFF2-40B4-BE49-F238E27FC236}">
              <a16:creationId xmlns:a16="http://schemas.microsoft.com/office/drawing/2014/main" id="{366807A0-9B1B-4622-9B9C-E5F22F9F6D9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522" name="AutoShape 12">
          <a:extLst>
            <a:ext uri="{FF2B5EF4-FFF2-40B4-BE49-F238E27FC236}">
              <a16:creationId xmlns:a16="http://schemas.microsoft.com/office/drawing/2014/main" id="{ACEAFFB9-4202-46D5-9593-8F395A66F8B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523" name="AutoShape 12">
          <a:extLst>
            <a:ext uri="{FF2B5EF4-FFF2-40B4-BE49-F238E27FC236}">
              <a16:creationId xmlns:a16="http://schemas.microsoft.com/office/drawing/2014/main" id="{DD1120B2-1DCA-4EA1-931B-67B03A1F191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524" name="AutoShape 12">
          <a:extLst>
            <a:ext uri="{FF2B5EF4-FFF2-40B4-BE49-F238E27FC236}">
              <a16:creationId xmlns:a16="http://schemas.microsoft.com/office/drawing/2014/main" id="{7255D08D-34B8-471F-8D2C-02C5CA74C07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525" name="AutoShape 12">
          <a:extLst>
            <a:ext uri="{FF2B5EF4-FFF2-40B4-BE49-F238E27FC236}">
              <a16:creationId xmlns:a16="http://schemas.microsoft.com/office/drawing/2014/main" id="{F714C7E1-BE1E-44EA-BE01-16B9E8D2B69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526" name="AutoShape 12">
          <a:extLst>
            <a:ext uri="{FF2B5EF4-FFF2-40B4-BE49-F238E27FC236}">
              <a16:creationId xmlns:a16="http://schemas.microsoft.com/office/drawing/2014/main" id="{A016EFFA-AC41-40C1-9439-E6A94D6A673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527" name="AutoShape 12">
          <a:extLst>
            <a:ext uri="{FF2B5EF4-FFF2-40B4-BE49-F238E27FC236}">
              <a16:creationId xmlns:a16="http://schemas.microsoft.com/office/drawing/2014/main" id="{C7C22E5C-32B7-4C34-8404-0532D96A762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528" name="AutoShape 12">
          <a:extLst>
            <a:ext uri="{FF2B5EF4-FFF2-40B4-BE49-F238E27FC236}">
              <a16:creationId xmlns:a16="http://schemas.microsoft.com/office/drawing/2014/main" id="{413AF5F5-25CB-4D68-9963-FC7D9A35A3A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529" name="AutoShape 12">
          <a:extLst>
            <a:ext uri="{FF2B5EF4-FFF2-40B4-BE49-F238E27FC236}">
              <a16:creationId xmlns:a16="http://schemas.microsoft.com/office/drawing/2014/main" id="{80C2A150-7C09-4A62-B4B0-2D9B26085A4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530" name="AutoShape 12">
          <a:extLst>
            <a:ext uri="{FF2B5EF4-FFF2-40B4-BE49-F238E27FC236}">
              <a16:creationId xmlns:a16="http://schemas.microsoft.com/office/drawing/2014/main" id="{0D7EB205-44BF-43FB-AD34-69F2D0849D7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531" name="AutoShape 12">
          <a:extLst>
            <a:ext uri="{FF2B5EF4-FFF2-40B4-BE49-F238E27FC236}">
              <a16:creationId xmlns:a16="http://schemas.microsoft.com/office/drawing/2014/main" id="{EBB65570-DDE3-4D8D-9E03-3C13CF3361E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532" name="AutoShape 12">
          <a:extLst>
            <a:ext uri="{FF2B5EF4-FFF2-40B4-BE49-F238E27FC236}">
              <a16:creationId xmlns:a16="http://schemas.microsoft.com/office/drawing/2014/main" id="{44719890-BE23-4C9B-8E1C-AC3634A5844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533" name="AutoShape 12">
          <a:extLst>
            <a:ext uri="{FF2B5EF4-FFF2-40B4-BE49-F238E27FC236}">
              <a16:creationId xmlns:a16="http://schemas.microsoft.com/office/drawing/2014/main" id="{CC0C54E2-F484-41CB-AF65-D8DC29DBEAF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534" name="AutoShape 12">
          <a:extLst>
            <a:ext uri="{FF2B5EF4-FFF2-40B4-BE49-F238E27FC236}">
              <a16:creationId xmlns:a16="http://schemas.microsoft.com/office/drawing/2014/main" id="{4479AC5E-70C0-4A56-8D1C-B2AF25AF6F2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535" name="AutoShape 12">
          <a:extLst>
            <a:ext uri="{FF2B5EF4-FFF2-40B4-BE49-F238E27FC236}">
              <a16:creationId xmlns:a16="http://schemas.microsoft.com/office/drawing/2014/main" id="{D90F3286-7468-44DD-A6E0-7981D930472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536" name="AutoShape 12">
          <a:extLst>
            <a:ext uri="{FF2B5EF4-FFF2-40B4-BE49-F238E27FC236}">
              <a16:creationId xmlns:a16="http://schemas.microsoft.com/office/drawing/2014/main" id="{B59F5DBE-E387-43EC-B7A4-39E82632688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537" name="AutoShape 12">
          <a:extLst>
            <a:ext uri="{FF2B5EF4-FFF2-40B4-BE49-F238E27FC236}">
              <a16:creationId xmlns:a16="http://schemas.microsoft.com/office/drawing/2014/main" id="{874B1FEA-AAA7-4E58-8A59-A0E70DF54C4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538" name="AutoShape 12">
          <a:extLst>
            <a:ext uri="{FF2B5EF4-FFF2-40B4-BE49-F238E27FC236}">
              <a16:creationId xmlns:a16="http://schemas.microsoft.com/office/drawing/2014/main" id="{ECEE95EF-2052-4914-8FF4-D3C55DDF78C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539" name="AutoShape 12">
          <a:extLst>
            <a:ext uri="{FF2B5EF4-FFF2-40B4-BE49-F238E27FC236}">
              <a16:creationId xmlns:a16="http://schemas.microsoft.com/office/drawing/2014/main" id="{9517B5D8-C9DE-4803-BC25-A1C4A1EF931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540" name="AutoShape 12">
          <a:extLst>
            <a:ext uri="{FF2B5EF4-FFF2-40B4-BE49-F238E27FC236}">
              <a16:creationId xmlns:a16="http://schemas.microsoft.com/office/drawing/2014/main" id="{FA244655-FEE3-4F78-AA3D-54F37E974B3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541" name="AutoShape 12">
          <a:extLst>
            <a:ext uri="{FF2B5EF4-FFF2-40B4-BE49-F238E27FC236}">
              <a16:creationId xmlns:a16="http://schemas.microsoft.com/office/drawing/2014/main" id="{49CDAFE8-7B2E-41EA-B22B-D61637131CC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542" name="AutoShape 12">
          <a:extLst>
            <a:ext uri="{FF2B5EF4-FFF2-40B4-BE49-F238E27FC236}">
              <a16:creationId xmlns:a16="http://schemas.microsoft.com/office/drawing/2014/main" id="{061A85FD-031C-401A-B335-2C416C0D399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543" name="AutoShape 12">
          <a:extLst>
            <a:ext uri="{FF2B5EF4-FFF2-40B4-BE49-F238E27FC236}">
              <a16:creationId xmlns:a16="http://schemas.microsoft.com/office/drawing/2014/main" id="{89701ABD-4549-40F6-AC67-613B8FAF6E6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544" name="AutoShape 12">
          <a:extLst>
            <a:ext uri="{FF2B5EF4-FFF2-40B4-BE49-F238E27FC236}">
              <a16:creationId xmlns:a16="http://schemas.microsoft.com/office/drawing/2014/main" id="{EEA1F1DC-8BA8-4BED-9ED0-1F2515FBD62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545" name="AutoShape 12">
          <a:extLst>
            <a:ext uri="{FF2B5EF4-FFF2-40B4-BE49-F238E27FC236}">
              <a16:creationId xmlns:a16="http://schemas.microsoft.com/office/drawing/2014/main" id="{0E2C980B-BD3D-44DD-8EB3-F9705B725AD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546" name="AutoShape 12">
          <a:extLst>
            <a:ext uri="{FF2B5EF4-FFF2-40B4-BE49-F238E27FC236}">
              <a16:creationId xmlns:a16="http://schemas.microsoft.com/office/drawing/2014/main" id="{C18D5DA7-BC8D-4B71-B2CA-093C0DFF498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547" name="AutoShape 12">
          <a:extLst>
            <a:ext uri="{FF2B5EF4-FFF2-40B4-BE49-F238E27FC236}">
              <a16:creationId xmlns:a16="http://schemas.microsoft.com/office/drawing/2014/main" id="{B45BC575-AC6C-4BD4-ADF5-DD0D05363EF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548" name="AutoShape 12">
          <a:extLst>
            <a:ext uri="{FF2B5EF4-FFF2-40B4-BE49-F238E27FC236}">
              <a16:creationId xmlns:a16="http://schemas.microsoft.com/office/drawing/2014/main" id="{E115B9DB-6666-45EA-9DC4-3BC72377201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549" name="AutoShape 12">
          <a:extLst>
            <a:ext uri="{FF2B5EF4-FFF2-40B4-BE49-F238E27FC236}">
              <a16:creationId xmlns:a16="http://schemas.microsoft.com/office/drawing/2014/main" id="{901ADA93-DE0B-42FF-94CE-5DD3F32A7AB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550" name="AutoShape 12">
          <a:extLst>
            <a:ext uri="{FF2B5EF4-FFF2-40B4-BE49-F238E27FC236}">
              <a16:creationId xmlns:a16="http://schemas.microsoft.com/office/drawing/2014/main" id="{9A3A5094-5899-4152-ACEB-081A6527BA1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551" name="AutoShape 12">
          <a:extLst>
            <a:ext uri="{FF2B5EF4-FFF2-40B4-BE49-F238E27FC236}">
              <a16:creationId xmlns:a16="http://schemas.microsoft.com/office/drawing/2014/main" id="{4B03863F-8329-4752-A972-965AD83F813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552" name="AutoShape 12">
          <a:extLst>
            <a:ext uri="{FF2B5EF4-FFF2-40B4-BE49-F238E27FC236}">
              <a16:creationId xmlns:a16="http://schemas.microsoft.com/office/drawing/2014/main" id="{0564569F-CF84-4FE7-AC32-E5351DE6EF7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553" name="AutoShape 12">
          <a:extLst>
            <a:ext uri="{FF2B5EF4-FFF2-40B4-BE49-F238E27FC236}">
              <a16:creationId xmlns:a16="http://schemas.microsoft.com/office/drawing/2014/main" id="{2C460B33-8B61-4C9A-B5BF-60D9E556447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554" name="AutoShape 12">
          <a:extLst>
            <a:ext uri="{FF2B5EF4-FFF2-40B4-BE49-F238E27FC236}">
              <a16:creationId xmlns:a16="http://schemas.microsoft.com/office/drawing/2014/main" id="{FF95B745-DF10-4C06-B52C-93835D0F708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555" name="AutoShape 12">
          <a:extLst>
            <a:ext uri="{FF2B5EF4-FFF2-40B4-BE49-F238E27FC236}">
              <a16:creationId xmlns:a16="http://schemas.microsoft.com/office/drawing/2014/main" id="{C566EBD6-64E0-4D94-80A2-7827443E7CA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556" name="AutoShape 12">
          <a:extLst>
            <a:ext uri="{FF2B5EF4-FFF2-40B4-BE49-F238E27FC236}">
              <a16:creationId xmlns:a16="http://schemas.microsoft.com/office/drawing/2014/main" id="{AE1FA99D-9A94-4BEB-A180-A2A98595410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557" name="AutoShape 12">
          <a:extLst>
            <a:ext uri="{FF2B5EF4-FFF2-40B4-BE49-F238E27FC236}">
              <a16:creationId xmlns:a16="http://schemas.microsoft.com/office/drawing/2014/main" id="{F905C1AB-35D1-4D18-9829-62247195BE2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558" name="AutoShape 12">
          <a:extLst>
            <a:ext uri="{FF2B5EF4-FFF2-40B4-BE49-F238E27FC236}">
              <a16:creationId xmlns:a16="http://schemas.microsoft.com/office/drawing/2014/main" id="{EE396EA7-D1ED-46E4-9A68-9E825C7FF8F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559" name="AutoShape 12">
          <a:extLst>
            <a:ext uri="{FF2B5EF4-FFF2-40B4-BE49-F238E27FC236}">
              <a16:creationId xmlns:a16="http://schemas.microsoft.com/office/drawing/2014/main" id="{0EA1F714-8F8B-4992-898B-01DFA9E22F1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560" name="AutoShape 12">
          <a:extLst>
            <a:ext uri="{FF2B5EF4-FFF2-40B4-BE49-F238E27FC236}">
              <a16:creationId xmlns:a16="http://schemas.microsoft.com/office/drawing/2014/main" id="{9A2CE140-315C-4FAA-87F2-E56104E3EC1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561" name="AutoShape 12">
          <a:extLst>
            <a:ext uri="{FF2B5EF4-FFF2-40B4-BE49-F238E27FC236}">
              <a16:creationId xmlns:a16="http://schemas.microsoft.com/office/drawing/2014/main" id="{F77F7529-180E-4166-BCA9-0F2F59F7F8C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562" name="AutoShape 12">
          <a:extLst>
            <a:ext uri="{FF2B5EF4-FFF2-40B4-BE49-F238E27FC236}">
              <a16:creationId xmlns:a16="http://schemas.microsoft.com/office/drawing/2014/main" id="{36B9C444-A92F-4046-A047-ED44A3CD72F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563" name="AutoShape 12">
          <a:extLst>
            <a:ext uri="{FF2B5EF4-FFF2-40B4-BE49-F238E27FC236}">
              <a16:creationId xmlns:a16="http://schemas.microsoft.com/office/drawing/2014/main" id="{F3DAA507-6964-40C0-A926-4952902F943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564" name="AutoShape 12">
          <a:extLst>
            <a:ext uri="{FF2B5EF4-FFF2-40B4-BE49-F238E27FC236}">
              <a16:creationId xmlns:a16="http://schemas.microsoft.com/office/drawing/2014/main" id="{CBE7B455-A4C4-4684-942B-9622AA83FBE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565" name="AutoShape 12">
          <a:extLst>
            <a:ext uri="{FF2B5EF4-FFF2-40B4-BE49-F238E27FC236}">
              <a16:creationId xmlns:a16="http://schemas.microsoft.com/office/drawing/2014/main" id="{AAC1E011-8BE8-4F4D-B83D-69FB1BBC46E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566" name="AutoShape 12">
          <a:extLst>
            <a:ext uri="{FF2B5EF4-FFF2-40B4-BE49-F238E27FC236}">
              <a16:creationId xmlns:a16="http://schemas.microsoft.com/office/drawing/2014/main" id="{CDE1E96C-66E2-4242-9ADA-A0EFB64DC6B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567" name="AutoShape 12">
          <a:extLst>
            <a:ext uri="{FF2B5EF4-FFF2-40B4-BE49-F238E27FC236}">
              <a16:creationId xmlns:a16="http://schemas.microsoft.com/office/drawing/2014/main" id="{B1C273F4-E3EF-499A-830D-14D584066FF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568" name="AutoShape 12">
          <a:extLst>
            <a:ext uri="{FF2B5EF4-FFF2-40B4-BE49-F238E27FC236}">
              <a16:creationId xmlns:a16="http://schemas.microsoft.com/office/drawing/2014/main" id="{3A499301-BC91-4C9F-8953-E73F88F35CD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569" name="AutoShape 12">
          <a:extLst>
            <a:ext uri="{FF2B5EF4-FFF2-40B4-BE49-F238E27FC236}">
              <a16:creationId xmlns:a16="http://schemas.microsoft.com/office/drawing/2014/main" id="{E198A32F-5B62-4FF0-A6ED-BC6F2CDDCF6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570" name="AutoShape 12">
          <a:extLst>
            <a:ext uri="{FF2B5EF4-FFF2-40B4-BE49-F238E27FC236}">
              <a16:creationId xmlns:a16="http://schemas.microsoft.com/office/drawing/2014/main" id="{E7DFCC7D-4B73-46B5-8451-29EDF92D051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571" name="AutoShape 12">
          <a:extLst>
            <a:ext uri="{FF2B5EF4-FFF2-40B4-BE49-F238E27FC236}">
              <a16:creationId xmlns:a16="http://schemas.microsoft.com/office/drawing/2014/main" id="{9A847B7A-2E7D-48A0-B70F-2E4B036E010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572" name="AutoShape 12">
          <a:extLst>
            <a:ext uri="{FF2B5EF4-FFF2-40B4-BE49-F238E27FC236}">
              <a16:creationId xmlns:a16="http://schemas.microsoft.com/office/drawing/2014/main" id="{AA8C3A91-B26B-4A9D-A490-320DBB800EF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573" name="AutoShape 12">
          <a:extLst>
            <a:ext uri="{FF2B5EF4-FFF2-40B4-BE49-F238E27FC236}">
              <a16:creationId xmlns:a16="http://schemas.microsoft.com/office/drawing/2014/main" id="{53E378EB-2851-426C-9D82-0CC8B28FEBE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574" name="AutoShape 12">
          <a:extLst>
            <a:ext uri="{FF2B5EF4-FFF2-40B4-BE49-F238E27FC236}">
              <a16:creationId xmlns:a16="http://schemas.microsoft.com/office/drawing/2014/main" id="{2CE1A366-D0A1-43FC-BBCC-85197D2C963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575" name="AutoShape 12">
          <a:extLst>
            <a:ext uri="{FF2B5EF4-FFF2-40B4-BE49-F238E27FC236}">
              <a16:creationId xmlns:a16="http://schemas.microsoft.com/office/drawing/2014/main" id="{4A03A12F-DAAA-4C9B-A876-FF5C74520B8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576" name="AutoShape 12">
          <a:extLst>
            <a:ext uri="{FF2B5EF4-FFF2-40B4-BE49-F238E27FC236}">
              <a16:creationId xmlns:a16="http://schemas.microsoft.com/office/drawing/2014/main" id="{509A0C57-187C-440B-B155-D0B4C363180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577" name="AutoShape 12">
          <a:extLst>
            <a:ext uri="{FF2B5EF4-FFF2-40B4-BE49-F238E27FC236}">
              <a16:creationId xmlns:a16="http://schemas.microsoft.com/office/drawing/2014/main" id="{D50DAC6D-9A9B-4CD3-9D10-B19ED6D2112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578" name="AutoShape 12">
          <a:extLst>
            <a:ext uri="{FF2B5EF4-FFF2-40B4-BE49-F238E27FC236}">
              <a16:creationId xmlns:a16="http://schemas.microsoft.com/office/drawing/2014/main" id="{23D62401-AD2B-450F-A01B-A21246E5F27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579" name="AutoShape 12">
          <a:extLst>
            <a:ext uri="{FF2B5EF4-FFF2-40B4-BE49-F238E27FC236}">
              <a16:creationId xmlns:a16="http://schemas.microsoft.com/office/drawing/2014/main" id="{5BA0BD14-5F57-4BB0-83AC-3CB3A3C744A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580" name="AutoShape 12">
          <a:extLst>
            <a:ext uri="{FF2B5EF4-FFF2-40B4-BE49-F238E27FC236}">
              <a16:creationId xmlns:a16="http://schemas.microsoft.com/office/drawing/2014/main" id="{8E2E7A4D-291B-4114-8016-5AC39D92718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581" name="AutoShape 12">
          <a:extLst>
            <a:ext uri="{FF2B5EF4-FFF2-40B4-BE49-F238E27FC236}">
              <a16:creationId xmlns:a16="http://schemas.microsoft.com/office/drawing/2014/main" id="{757BD9E9-5CC7-475A-AAA5-47A90069FDE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582" name="AutoShape 12">
          <a:extLst>
            <a:ext uri="{FF2B5EF4-FFF2-40B4-BE49-F238E27FC236}">
              <a16:creationId xmlns:a16="http://schemas.microsoft.com/office/drawing/2014/main" id="{EA6CD5F4-EFC3-491C-B407-A0F5F0D1276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583" name="AutoShape 12">
          <a:extLst>
            <a:ext uri="{FF2B5EF4-FFF2-40B4-BE49-F238E27FC236}">
              <a16:creationId xmlns:a16="http://schemas.microsoft.com/office/drawing/2014/main" id="{E97B9843-23DB-4B6D-988E-216A6DDD635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584" name="AutoShape 12">
          <a:extLst>
            <a:ext uri="{FF2B5EF4-FFF2-40B4-BE49-F238E27FC236}">
              <a16:creationId xmlns:a16="http://schemas.microsoft.com/office/drawing/2014/main" id="{1DFB9136-5AFD-48C6-BDA9-2C809CB0A2E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585" name="AutoShape 12">
          <a:extLst>
            <a:ext uri="{FF2B5EF4-FFF2-40B4-BE49-F238E27FC236}">
              <a16:creationId xmlns:a16="http://schemas.microsoft.com/office/drawing/2014/main" id="{72D3ED16-217F-4272-8C5F-2934957D38D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586" name="AutoShape 12">
          <a:extLst>
            <a:ext uri="{FF2B5EF4-FFF2-40B4-BE49-F238E27FC236}">
              <a16:creationId xmlns:a16="http://schemas.microsoft.com/office/drawing/2014/main" id="{0CEEE550-6CAE-4D4D-B301-44E1A14EA37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587" name="AutoShape 12">
          <a:extLst>
            <a:ext uri="{FF2B5EF4-FFF2-40B4-BE49-F238E27FC236}">
              <a16:creationId xmlns:a16="http://schemas.microsoft.com/office/drawing/2014/main" id="{0F0B1E17-817D-4361-94FD-F296670EE42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588" name="AutoShape 12">
          <a:extLst>
            <a:ext uri="{FF2B5EF4-FFF2-40B4-BE49-F238E27FC236}">
              <a16:creationId xmlns:a16="http://schemas.microsoft.com/office/drawing/2014/main" id="{0D216EB4-B37D-4171-A7A9-C13F34F4436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589" name="AutoShape 12">
          <a:extLst>
            <a:ext uri="{FF2B5EF4-FFF2-40B4-BE49-F238E27FC236}">
              <a16:creationId xmlns:a16="http://schemas.microsoft.com/office/drawing/2014/main" id="{BDC542FC-36B1-495B-AF27-A7BB26C48D2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590" name="AutoShape 12">
          <a:extLst>
            <a:ext uri="{FF2B5EF4-FFF2-40B4-BE49-F238E27FC236}">
              <a16:creationId xmlns:a16="http://schemas.microsoft.com/office/drawing/2014/main" id="{8EB65AED-088F-4799-9B12-8A2DB2A823D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591" name="AutoShape 12">
          <a:extLst>
            <a:ext uri="{FF2B5EF4-FFF2-40B4-BE49-F238E27FC236}">
              <a16:creationId xmlns:a16="http://schemas.microsoft.com/office/drawing/2014/main" id="{F0902896-6FE0-4280-A917-7949D26F72C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592" name="AutoShape 12">
          <a:extLst>
            <a:ext uri="{FF2B5EF4-FFF2-40B4-BE49-F238E27FC236}">
              <a16:creationId xmlns:a16="http://schemas.microsoft.com/office/drawing/2014/main" id="{72033DAC-4194-4120-AD09-2C9440500B8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593" name="AutoShape 12">
          <a:extLst>
            <a:ext uri="{FF2B5EF4-FFF2-40B4-BE49-F238E27FC236}">
              <a16:creationId xmlns:a16="http://schemas.microsoft.com/office/drawing/2014/main" id="{CA4D4CDF-94CE-42E4-8F6E-69C5F77A113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594" name="AutoShape 12">
          <a:extLst>
            <a:ext uri="{FF2B5EF4-FFF2-40B4-BE49-F238E27FC236}">
              <a16:creationId xmlns:a16="http://schemas.microsoft.com/office/drawing/2014/main" id="{BC4D6EE6-2098-480F-A251-7A10D56578C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595" name="AutoShape 12">
          <a:extLst>
            <a:ext uri="{FF2B5EF4-FFF2-40B4-BE49-F238E27FC236}">
              <a16:creationId xmlns:a16="http://schemas.microsoft.com/office/drawing/2014/main" id="{6097B501-E0B4-4587-8D99-E36C5BA4200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596" name="AutoShape 12">
          <a:extLst>
            <a:ext uri="{FF2B5EF4-FFF2-40B4-BE49-F238E27FC236}">
              <a16:creationId xmlns:a16="http://schemas.microsoft.com/office/drawing/2014/main" id="{7C723F33-5FC7-43BA-AFAA-E4825D5F059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597" name="AutoShape 12">
          <a:extLst>
            <a:ext uri="{FF2B5EF4-FFF2-40B4-BE49-F238E27FC236}">
              <a16:creationId xmlns:a16="http://schemas.microsoft.com/office/drawing/2014/main" id="{1647397C-0BEB-43E8-B71C-AE7F2B56154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598" name="AutoShape 12">
          <a:extLst>
            <a:ext uri="{FF2B5EF4-FFF2-40B4-BE49-F238E27FC236}">
              <a16:creationId xmlns:a16="http://schemas.microsoft.com/office/drawing/2014/main" id="{F5F05EB1-018D-4216-8586-D9C7E22287D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599" name="AutoShape 12">
          <a:extLst>
            <a:ext uri="{FF2B5EF4-FFF2-40B4-BE49-F238E27FC236}">
              <a16:creationId xmlns:a16="http://schemas.microsoft.com/office/drawing/2014/main" id="{6767906E-1F20-4D4F-B9D5-988F1BDBC24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600" name="AutoShape 12">
          <a:extLst>
            <a:ext uri="{FF2B5EF4-FFF2-40B4-BE49-F238E27FC236}">
              <a16:creationId xmlns:a16="http://schemas.microsoft.com/office/drawing/2014/main" id="{7D3988AE-0BB5-4255-BCAB-F4D030C40DF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601" name="AutoShape 12">
          <a:extLst>
            <a:ext uri="{FF2B5EF4-FFF2-40B4-BE49-F238E27FC236}">
              <a16:creationId xmlns:a16="http://schemas.microsoft.com/office/drawing/2014/main" id="{E24F3350-20CF-47A0-BB1B-E1D3AA860A0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602" name="AutoShape 12">
          <a:extLst>
            <a:ext uri="{FF2B5EF4-FFF2-40B4-BE49-F238E27FC236}">
              <a16:creationId xmlns:a16="http://schemas.microsoft.com/office/drawing/2014/main" id="{8EE0944C-1561-465E-B6A0-39BA9A99119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603" name="AutoShape 12">
          <a:extLst>
            <a:ext uri="{FF2B5EF4-FFF2-40B4-BE49-F238E27FC236}">
              <a16:creationId xmlns:a16="http://schemas.microsoft.com/office/drawing/2014/main" id="{38A0DC78-5CC0-47FD-8D85-CB052D0CD16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604" name="AutoShape 12">
          <a:extLst>
            <a:ext uri="{FF2B5EF4-FFF2-40B4-BE49-F238E27FC236}">
              <a16:creationId xmlns:a16="http://schemas.microsoft.com/office/drawing/2014/main" id="{F9D4499D-976E-4FEC-AEE0-947F850A0E1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605" name="AutoShape 12">
          <a:extLst>
            <a:ext uri="{FF2B5EF4-FFF2-40B4-BE49-F238E27FC236}">
              <a16:creationId xmlns:a16="http://schemas.microsoft.com/office/drawing/2014/main" id="{5D57E2F0-E671-4DAD-BA5A-B7D69CFC818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606" name="AutoShape 12">
          <a:extLst>
            <a:ext uri="{FF2B5EF4-FFF2-40B4-BE49-F238E27FC236}">
              <a16:creationId xmlns:a16="http://schemas.microsoft.com/office/drawing/2014/main" id="{BEC32DEB-191C-4D34-896E-68AB6A949F9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607" name="AutoShape 12">
          <a:extLst>
            <a:ext uri="{FF2B5EF4-FFF2-40B4-BE49-F238E27FC236}">
              <a16:creationId xmlns:a16="http://schemas.microsoft.com/office/drawing/2014/main" id="{27B493AE-51AB-4D4D-915A-BE0EAF5C7A0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608" name="AutoShape 12">
          <a:extLst>
            <a:ext uri="{FF2B5EF4-FFF2-40B4-BE49-F238E27FC236}">
              <a16:creationId xmlns:a16="http://schemas.microsoft.com/office/drawing/2014/main" id="{4DDC78F7-C075-4B15-BF59-61968898917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609" name="AutoShape 12">
          <a:extLst>
            <a:ext uri="{FF2B5EF4-FFF2-40B4-BE49-F238E27FC236}">
              <a16:creationId xmlns:a16="http://schemas.microsoft.com/office/drawing/2014/main" id="{EE16B629-FD7D-410D-B709-B7F0F7DD8C6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610" name="AutoShape 12">
          <a:extLst>
            <a:ext uri="{FF2B5EF4-FFF2-40B4-BE49-F238E27FC236}">
              <a16:creationId xmlns:a16="http://schemas.microsoft.com/office/drawing/2014/main" id="{812498AA-8AD2-411B-9884-01D2EE5E294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611" name="AutoShape 12">
          <a:extLst>
            <a:ext uri="{FF2B5EF4-FFF2-40B4-BE49-F238E27FC236}">
              <a16:creationId xmlns:a16="http://schemas.microsoft.com/office/drawing/2014/main" id="{83C87A25-BF1D-47BC-A831-C8CE4E01AC6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612" name="AutoShape 12">
          <a:extLst>
            <a:ext uri="{FF2B5EF4-FFF2-40B4-BE49-F238E27FC236}">
              <a16:creationId xmlns:a16="http://schemas.microsoft.com/office/drawing/2014/main" id="{DE0BEEE4-A1E6-4CF5-8003-519D8B8D2FF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613" name="AutoShape 12">
          <a:extLst>
            <a:ext uri="{FF2B5EF4-FFF2-40B4-BE49-F238E27FC236}">
              <a16:creationId xmlns:a16="http://schemas.microsoft.com/office/drawing/2014/main" id="{55DE925C-E599-4172-A75F-2585E81150B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614" name="AutoShape 12">
          <a:extLst>
            <a:ext uri="{FF2B5EF4-FFF2-40B4-BE49-F238E27FC236}">
              <a16:creationId xmlns:a16="http://schemas.microsoft.com/office/drawing/2014/main" id="{617C7AEE-5056-4EDA-988C-1B5C761791B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615" name="AutoShape 12">
          <a:extLst>
            <a:ext uri="{FF2B5EF4-FFF2-40B4-BE49-F238E27FC236}">
              <a16:creationId xmlns:a16="http://schemas.microsoft.com/office/drawing/2014/main" id="{C8BD3702-70A4-43C8-BF84-AD4B65E9388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616" name="AutoShape 12">
          <a:extLst>
            <a:ext uri="{FF2B5EF4-FFF2-40B4-BE49-F238E27FC236}">
              <a16:creationId xmlns:a16="http://schemas.microsoft.com/office/drawing/2014/main" id="{0A5AF07F-0B45-41D1-AC3E-55753286290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617" name="AutoShape 12">
          <a:extLst>
            <a:ext uri="{FF2B5EF4-FFF2-40B4-BE49-F238E27FC236}">
              <a16:creationId xmlns:a16="http://schemas.microsoft.com/office/drawing/2014/main" id="{2C947795-3721-4C6F-ABEB-BC36EDE712E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618" name="AutoShape 12">
          <a:extLst>
            <a:ext uri="{FF2B5EF4-FFF2-40B4-BE49-F238E27FC236}">
              <a16:creationId xmlns:a16="http://schemas.microsoft.com/office/drawing/2014/main" id="{1A3FD341-D5E4-47E2-B852-891C48AE19A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619" name="AutoShape 12">
          <a:extLst>
            <a:ext uri="{FF2B5EF4-FFF2-40B4-BE49-F238E27FC236}">
              <a16:creationId xmlns:a16="http://schemas.microsoft.com/office/drawing/2014/main" id="{3EE65455-EEE5-4D43-B6BD-9C537BCD645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620" name="AutoShape 12">
          <a:extLst>
            <a:ext uri="{FF2B5EF4-FFF2-40B4-BE49-F238E27FC236}">
              <a16:creationId xmlns:a16="http://schemas.microsoft.com/office/drawing/2014/main" id="{D0E33705-6A60-4192-AE18-EEE999B7883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621" name="AutoShape 12">
          <a:extLst>
            <a:ext uri="{FF2B5EF4-FFF2-40B4-BE49-F238E27FC236}">
              <a16:creationId xmlns:a16="http://schemas.microsoft.com/office/drawing/2014/main" id="{388DE75D-9619-4B84-8E2D-EFD4B8D2D5A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622" name="AutoShape 12">
          <a:extLst>
            <a:ext uri="{FF2B5EF4-FFF2-40B4-BE49-F238E27FC236}">
              <a16:creationId xmlns:a16="http://schemas.microsoft.com/office/drawing/2014/main" id="{C9027BD5-1BAD-4490-9599-BBFF4BA03CF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623" name="AutoShape 12">
          <a:extLst>
            <a:ext uri="{FF2B5EF4-FFF2-40B4-BE49-F238E27FC236}">
              <a16:creationId xmlns:a16="http://schemas.microsoft.com/office/drawing/2014/main" id="{6E3C130E-2C02-4D6C-8E82-27E3965FE53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624" name="AutoShape 12">
          <a:extLst>
            <a:ext uri="{FF2B5EF4-FFF2-40B4-BE49-F238E27FC236}">
              <a16:creationId xmlns:a16="http://schemas.microsoft.com/office/drawing/2014/main" id="{29FD46B1-7411-4B6D-9A6A-B4DAD501578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625" name="AutoShape 12">
          <a:extLst>
            <a:ext uri="{FF2B5EF4-FFF2-40B4-BE49-F238E27FC236}">
              <a16:creationId xmlns:a16="http://schemas.microsoft.com/office/drawing/2014/main" id="{B3A09633-AFD2-461F-B56F-DB8FC7C24C5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626" name="AutoShape 12">
          <a:extLst>
            <a:ext uri="{FF2B5EF4-FFF2-40B4-BE49-F238E27FC236}">
              <a16:creationId xmlns:a16="http://schemas.microsoft.com/office/drawing/2014/main" id="{836ED6B8-E5CA-4142-8E96-9F00A62E27D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627" name="AutoShape 12">
          <a:extLst>
            <a:ext uri="{FF2B5EF4-FFF2-40B4-BE49-F238E27FC236}">
              <a16:creationId xmlns:a16="http://schemas.microsoft.com/office/drawing/2014/main" id="{FFF3A52B-6CBE-46AE-9EE7-169563ED67E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628" name="AutoShape 12">
          <a:extLst>
            <a:ext uri="{FF2B5EF4-FFF2-40B4-BE49-F238E27FC236}">
              <a16:creationId xmlns:a16="http://schemas.microsoft.com/office/drawing/2014/main" id="{5EEBC624-365F-4504-B4E3-91E8F195F30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629" name="AutoShape 12">
          <a:extLst>
            <a:ext uri="{FF2B5EF4-FFF2-40B4-BE49-F238E27FC236}">
              <a16:creationId xmlns:a16="http://schemas.microsoft.com/office/drawing/2014/main" id="{FDF8FFC0-D189-4F5C-B39C-D6FD9275625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630" name="AutoShape 12">
          <a:extLst>
            <a:ext uri="{FF2B5EF4-FFF2-40B4-BE49-F238E27FC236}">
              <a16:creationId xmlns:a16="http://schemas.microsoft.com/office/drawing/2014/main" id="{EC50E7B9-637A-4A57-B654-6C5EF06DE24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631" name="AutoShape 12">
          <a:extLst>
            <a:ext uri="{FF2B5EF4-FFF2-40B4-BE49-F238E27FC236}">
              <a16:creationId xmlns:a16="http://schemas.microsoft.com/office/drawing/2014/main" id="{45B20276-A580-4BAB-A8E1-30D86C0F3DD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632" name="AutoShape 12">
          <a:extLst>
            <a:ext uri="{FF2B5EF4-FFF2-40B4-BE49-F238E27FC236}">
              <a16:creationId xmlns:a16="http://schemas.microsoft.com/office/drawing/2014/main" id="{441D63D5-92B0-43B0-AEFB-135C395AA19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633" name="AutoShape 12">
          <a:extLst>
            <a:ext uri="{FF2B5EF4-FFF2-40B4-BE49-F238E27FC236}">
              <a16:creationId xmlns:a16="http://schemas.microsoft.com/office/drawing/2014/main" id="{3B80968B-AB0B-4124-BFA4-1C1EED2007E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634" name="AutoShape 12">
          <a:extLst>
            <a:ext uri="{FF2B5EF4-FFF2-40B4-BE49-F238E27FC236}">
              <a16:creationId xmlns:a16="http://schemas.microsoft.com/office/drawing/2014/main" id="{691A34DB-C0F0-4701-802E-80585273630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635" name="AutoShape 12">
          <a:extLst>
            <a:ext uri="{FF2B5EF4-FFF2-40B4-BE49-F238E27FC236}">
              <a16:creationId xmlns:a16="http://schemas.microsoft.com/office/drawing/2014/main" id="{500FAC28-AB4A-4BA0-A4AD-E37F743A6A4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636" name="AutoShape 12">
          <a:extLst>
            <a:ext uri="{FF2B5EF4-FFF2-40B4-BE49-F238E27FC236}">
              <a16:creationId xmlns:a16="http://schemas.microsoft.com/office/drawing/2014/main" id="{1CA26E6B-E825-494A-A329-634A5E43A66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637" name="AutoShape 12">
          <a:extLst>
            <a:ext uri="{FF2B5EF4-FFF2-40B4-BE49-F238E27FC236}">
              <a16:creationId xmlns:a16="http://schemas.microsoft.com/office/drawing/2014/main" id="{0350AD0E-3949-4483-8F57-02FDED06CA0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638" name="AutoShape 12">
          <a:extLst>
            <a:ext uri="{FF2B5EF4-FFF2-40B4-BE49-F238E27FC236}">
              <a16:creationId xmlns:a16="http://schemas.microsoft.com/office/drawing/2014/main" id="{1CF1552F-2E1F-4D19-B5BF-4121BAD05C1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639" name="AutoShape 12">
          <a:extLst>
            <a:ext uri="{FF2B5EF4-FFF2-40B4-BE49-F238E27FC236}">
              <a16:creationId xmlns:a16="http://schemas.microsoft.com/office/drawing/2014/main" id="{FBFA397E-3494-4BEE-BAF2-B4AD74B4DFB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640" name="AutoShape 12">
          <a:extLst>
            <a:ext uri="{FF2B5EF4-FFF2-40B4-BE49-F238E27FC236}">
              <a16:creationId xmlns:a16="http://schemas.microsoft.com/office/drawing/2014/main" id="{5DDDB1DF-E0C0-4D87-8ED9-813DB353CA8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641" name="AutoShape 12">
          <a:extLst>
            <a:ext uri="{FF2B5EF4-FFF2-40B4-BE49-F238E27FC236}">
              <a16:creationId xmlns:a16="http://schemas.microsoft.com/office/drawing/2014/main" id="{0AB3C66A-4439-4522-8417-1F779109853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642" name="AutoShape 12">
          <a:extLst>
            <a:ext uri="{FF2B5EF4-FFF2-40B4-BE49-F238E27FC236}">
              <a16:creationId xmlns:a16="http://schemas.microsoft.com/office/drawing/2014/main" id="{2DFADEE0-8922-49CB-9A1D-356D109E4E6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643" name="AutoShape 12">
          <a:extLst>
            <a:ext uri="{FF2B5EF4-FFF2-40B4-BE49-F238E27FC236}">
              <a16:creationId xmlns:a16="http://schemas.microsoft.com/office/drawing/2014/main" id="{2F897FCF-F4EB-4BE1-98D0-32B27FC34CB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644" name="AutoShape 12">
          <a:extLst>
            <a:ext uri="{FF2B5EF4-FFF2-40B4-BE49-F238E27FC236}">
              <a16:creationId xmlns:a16="http://schemas.microsoft.com/office/drawing/2014/main" id="{B7DAF0AA-6444-4C30-AC11-D5F5126F040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645" name="AutoShape 12">
          <a:extLst>
            <a:ext uri="{FF2B5EF4-FFF2-40B4-BE49-F238E27FC236}">
              <a16:creationId xmlns:a16="http://schemas.microsoft.com/office/drawing/2014/main" id="{9E81DF8A-46B1-4B36-952C-6CA21C19B8D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646" name="AutoShape 12">
          <a:extLst>
            <a:ext uri="{FF2B5EF4-FFF2-40B4-BE49-F238E27FC236}">
              <a16:creationId xmlns:a16="http://schemas.microsoft.com/office/drawing/2014/main" id="{66B2856D-0A5C-4A3D-B88C-939EB78C370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647" name="AutoShape 12">
          <a:extLst>
            <a:ext uri="{FF2B5EF4-FFF2-40B4-BE49-F238E27FC236}">
              <a16:creationId xmlns:a16="http://schemas.microsoft.com/office/drawing/2014/main" id="{F92BD2E6-F50C-4B08-A33C-46FDB8E530C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648" name="AutoShape 12">
          <a:extLst>
            <a:ext uri="{FF2B5EF4-FFF2-40B4-BE49-F238E27FC236}">
              <a16:creationId xmlns:a16="http://schemas.microsoft.com/office/drawing/2014/main" id="{1BEFE7E4-822A-495E-852A-6E1A7D8A92A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649" name="AutoShape 12">
          <a:extLst>
            <a:ext uri="{FF2B5EF4-FFF2-40B4-BE49-F238E27FC236}">
              <a16:creationId xmlns:a16="http://schemas.microsoft.com/office/drawing/2014/main" id="{88018B11-DFFA-469E-B88B-B5F96DEFD02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650" name="AutoShape 12">
          <a:extLst>
            <a:ext uri="{FF2B5EF4-FFF2-40B4-BE49-F238E27FC236}">
              <a16:creationId xmlns:a16="http://schemas.microsoft.com/office/drawing/2014/main" id="{BC6619A2-AB10-4C2A-A54D-97FF67A4DA0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651" name="AutoShape 12">
          <a:extLst>
            <a:ext uri="{FF2B5EF4-FFF2-40B4-BE49-F238E27FC236}">
              <a16:creationId xmlns:a16="http://schemas.microsoft.com/office/drawing/2014/main" id="{99EE0F08-F5A7-4975-A491-B254588558D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652" name="AutoShape 12">
          <a:extLst>
            <a:ext uri="{FF2B5EF4-FFF2-40B4-BE49-F238E27FC236}">
              <a16:creationId xmlns:a16="http://schemas.microsoft.com/office/drawing/2014/main" id="{17389ED0-2D7F-435E-8FDB-E1BD525EBE6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653" name="AutoShape 12">
          <a:extLst>
            <a:ext uri="{FF2B5EF4-FFF2-40B4-BE49-F238E27FC236}">
              <a16:creationId xmlns:a16="http://schemas.microsoft.com/office/drawing/2014/main" id="{1AD57990-D5AE-430D-A19E-9B1221A449D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654" name="AutoShape 12">
          <a:extLst>
            <a:ext uri="{FF2B5EF4-FFF2-40B4-BE49-F238E27FC236}">
              <a16:creationId xmlns:a16="http://schemas.microsoft.com/office/drawing/2014/main" id="{742E1A55-AA8F-43C5-991D-CA8A4E59EC2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655" name="AutoShape 12">
          <a:extLst>
            <a:ext uri="{FF2B5EF4-FFF2-40B4-BE49-F238E27FC236}">
              <a16:creationId xmlns:a16="http://schemas.microsoft.com/office/drawing/2014/main" id="{7BBE10BC-7F31-4907-B8D0-91C62953666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656" name="AutoShape 12">
          <a:extLst>
            <a:ext uri="{FF2B5EF4-FFF2-40B4-BE49-F238E27FC236}">
              <a16:creationId xmlns:a16="http://schemas.microsoft.com/office/drawing/2014/main" id="{01B72175-C6CC-45E0-85E1-EB285B5F46C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657" name="AutoShape 12">
          <a:extLst>
            <a:ext uri="{FF2B5EF4-FFF2-40B4-BE49-F238E27FC236}">
              <a16:creationId xmlns:a16="http://schemas.microsoft.com/office/drawing/2014/main" id="{6DA9DF15-B2CA-4A6A-92CE-615C160BDB0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658" name="AutoShape 12">
          <a:extLst>
            <a:ext uri="{FF2B5EF4-FFF2-40B4-BE49-F238E27FC236}">
              <a16:creationId xmlns:a16="http://schemas.microsoft.com/office/drawing/2014/main" id="{7DECA9BE-D2F2-46B7-BECD-8D46E58308F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659" name="AutoShape 12">
          <a:extLst>
            <a:ext uri="{FF2B5EF4-FFF2-40B4-BE49-F238E27FC236}">
              <a16:creationId xmlns:a16="http://schemas.microsoft.com/office/drawing/2014/main" id="{2F25E851-4664-4D87-BCAF-058EF5A4635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660" name="AutoShape 12">
          <a:extLst>
            <a:ext uri="{FF2B5EF4-FFF2-40B4-BE49-F238E27FC236}">
              <a16:creationId xmlns:a16="http://schemas.microsoft.com/office/drawing/2014/main" id="{DEFB29D2-6EC3-492D-AAD6-6B45500CCE8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661" name="AutoShape 12">
          <a:extLst>
            <a:ext uri="{FF2B5EF4-FFF2-40B4-BE49-F238E27FC236}">
              <a16:creationId xmlns:a16="http://schemas.microsoft.com/office/drawing/2014/main" id="{216F9ED2-11C4-4A50-9490-51EA774B14D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662" name="AutoShape 12">
          <a:extLst>
            <a:ext uri="{FF2B5EF4-FFF2-40B4-BE49-F238E27FC236}">
              <a16:creationId xmlns:a16="http://schemas.microsoft.com/office/drawing/2014/main" id="{C7BDCB61-312D-436E-8BBF-CC60C4A72C4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663" name="AutoShape 12">
          <a:extLst>
            <a:ext uri="{FF2B5EF4-FFF2-40B4-BE49-F238E27FC236}">
              <a16:creationId xmlns:a16="http://schemas.microsoft.com/office/drawing/2014/main" id="{E2EC07E0-283E-4094-8178-7C2C88DED99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664" name="AutoShape 12">
          <a:extLst>
            <a:ext uri="{FF2B5EF4-FFF2-40B4-BE49-F238E27FC236}">
              <a16:creationId xmlns:a16="http://schemas.microsoft.com/office/drawing/2014/main" id="{0546631D-DA0D-4E1C-B29F-1453F44AFEA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665" name="AutoShape 12">
          <a:extLst>
            <a:ext uri="{FF2B5EF4-FFF2-40B4-BE49-F238E27FC236}">
              <a16:creationId xmlns:a16="http://schemas.microsoft.com/office/drawing/2014/main" id="{AD68DA72-3B3E-499A-B127-B551F4A9B53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666" name="AutoShape 12">
          <a:extLst>
            <a:ext uri="{FF2B5EF4-FFF2-40B4-BE49-F238E27FC236}">
              <a16:creationId xmlns:a16="http://schemas.microsoft.com/office/drawing/2014/main" id="{F3DD850A-E5B8-4441-BCDB-4725828DE95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667" name="AutoShape 12">
          <a:extLst>
            <a:ext uri="{FF2B5EF4-FFF2-40B4-BE49-F238E27FC236}">
              <a16:creationId xmlns:a16="http://schemas.microsoft.com/office/drawing/2014/main" id="{B6418B03-4CFB-4B93-9D0F-F1F08C05BB6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668" name="AutoShape 12">
          <a:extLst>
            <a:ext uri="{FF2B5EF4-FFF2-40B4-BE49-F238E27FC236}">
              <a16:creationId xmlns:a16="http://schemas.microsoft.com/office/drawing/2014/main" id="{D48B0637-4126-455A-93B5-027B97D0591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669" name="AutoShape 12">
          <a:extLst>
            <a:ext uri="{FF2B5EF4-FFF2-40B4-BE49-F238E27FC236}">
              <a16:creationId xmlns:a16="http://schemas.microsoft.com/office/drawing/2014/main" id="{7D224829-4416-4C2F-A6AD-65891E15A28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670" name="AutoShape 12">
          <a:extLst>
            <a:ext uri="{FF2B5EF4-FFF2-40B4-BE49-F238E27FC236}">
              <a16:creationId xmlns:a16="http://schemas.microsoft.com/office/drawing/2014/main" id="{F9EB71E2-389D-4D69-9A37-1B76463BC06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671" name="AutoShape 12">
          <a:extLst>
            <a:ext uri="{FF2B5EF4-FFF2-40B4-BE49-F238E27FC236}">
              <a16:creationId xmlns:a16="http://schemas.microsoft.com/office/drawing/2014/main" id="{D578EA83-9FB3-4AD0-B03F-5D9F970919A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672" name="AutoShape 12">
          <a:extLst>
            <a:ext uri="{FF2B5EF4-FFF2-40B4-BE49-F238E27FC236}">
              <a16:creationId xmlns:a16="http://schemas.microsoft.com/office/drawing/2014/main" id="{79C234C2-CB1C-455C-A1B4-8F8DD7D880D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673" name="AutoShape 12">
          <a:extLst>
            <a:ext uri="{FF2B5EF4-FFF2-40B4-BE49-F238E27FC236}">
              <a16:creationId xmlns:a16="http://schemas.microsoft.com/office/drawing/2014/main" id="{27567D21-BC83-40CE-9215-82131ED11D5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674" name="AutoShape 12">
          <a:extLst>
            <a:ext uri="{FF2B5EF4-FFF2-40B4-BE49-F238E27FC236}">
              <a16:creationId xmlns:a16="http://schemas.microsoft.com/office/drawing/2014/main" id="{CF064ED5-F996-4650-A7B1-69234B29D6A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675" name="AutoShape 12">
          <a:extLst>
            <a:ext uri="{FF2B5EF4-FFF2-40B4-BE49-F238E27FC236}">
              <a16:creationId xmlns:a16="http://schemas.microsoft.com/office/drawing/2014/main" id="{77099191-281A-4C1D-B16A-E840427624B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676" name="AutoShape 12">
          <a:extLst>
            <a:ext uri="{FF2B5EF4-FFF2-40B4-BE49-F238E27FC236}">
              <a16:creationId xmlns:a16="http://schemas.microsoft.com/office/drawing/2014/main" id="{7D7611B8-0553-45A5-AD9C-AEC7C14E959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677" name="AutoShape 12">
          <a:extLst>
            <a:ext uri="{FF2B5EF4-FFF2-40B4-BE49-F238E27FC236}">
              <a16:creationId xmlns:a16="http://schemas.microsoft.com/office/drawing/2014/main" id="{488DA496-B8B5-400C-934B-A886B9CB6C9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678" name="AutoShape 12">
          <a:extLst>
            <a:ext uri="{FF2B5EF4-FFF2-40B4-BE49-F238E27FC236}">
              <a16:creationId xmlns:a16="http://schemas.microsoft.com/office/drawing/2014/main" id="{016BAF49-1F16-495E-B815-B5FABE5DDE5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679" name="AutoShape 12">
          <a:extLst>
            <a:ext uri="{FF2B5EF4-FFF2-40B4-BE49-F238E27FC236}">
              <a16:creationId xmlns:a16="http://schemas.microsoft.com/office/drawing/2014/main" id="{278C2A5B-082B-4605-8178-A2FAE283332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680" name="AutoShape 12">
          <a:extLst>
            <a:ext uri="{FF2B5EF4-FFF2-40B4-BE49-F238E27FC236}">
              <a16:creationId xmlns:a16="http://schemas.microsoft.com/office/drawing/2014/main" id="{EE6B5DA5-6BDC-40A0-9B00-97968A896B0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681" name="AutoShape 12">
          <a:extLst>
            <a:ext uri="{FF2B5EF4-FFF2-40B4-BE49-F238E27FC236}">
              <a16:creationId xmlns:a16="http://schemas.microsoft.com/office/drawing/2014/main" id="{A173834B-02B5-4391-8846-AE35F8937E0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682" name="AutoShape 12">
          <a:extLst>
            <a:ext uri="{FF2B5EF4-FFF2-40B4-BE49-F238E27FC236}">
              <a16:creationId xmlns:a16="http://schemas.microsoft.com/office/drawing/2014/main" id="{802F537F-BA77-4815-B519-387803CB0FD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683" name="AutoShape 12">
          <a:extLst>
            <a:ext uri="{FF2B5EF4-FFF2-40B4-BE49-F238E27FC236}">
              <a16:creationId xmlns:a16="http://schemas.microsoft.com/office/drawing/2014/main" id="{F3026048-C3B8-44A8-A8FA-FE653676993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684" name="AutoShape 12">
          <a:extLst>
            <a:ext uri="{FF2B5EF4-FFF2-40B4-BE49-F238E27FC236}">
              <a16:creationId xmlns:a16="http://schemas.microsoft.com/office/drawing/2014/main" id="{E4C7787A-D383-44BB-9F23-BA31C1D13F4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685" name="AutoShape 12">
          <a:extLst>
            <a:ext uri="{FF2B5EF4-FFF2-40B4-BE49-F238E27FC236}">
              <a16:creationId xmlns:a16="http://schemas.microsoft.com/office/drawing/2014/main" id="{9E1275B0-D7B0-433F-9ECA-825FBD5E47E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686" name="AutoShape 12">
          <a:extLst>
            <a:ext uri="{FF2B5EF4-FFF2-40B4-BE49-F238E27FC236}">
              <a16:creationId xmlns:a16="http://schemas.microsoft.com/office/drawing/2014/main" id="{F59AB941-AE6E-4E24-9BF1-8D66131F6F4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687" name="AutoShape 12">
          <a:extLst>
            <a:ext uri="{FF2B5EF4-FFF2-40B4-BE49-F238E27FC236}">
              <a16:creationId xmlns:a16="http://schemas.microsoft.com/office/drawing/2014/main" id="{8FA4384F-526F-4490-B352-B8773CE354E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688" name="AutoShape 12">
          <a:extLst>
            <a:ext uri="{FF2B5EF4-FFF2-40B4-BE49-F238E27FC236}">
              <a16:creationId xmlns:a16="http://schemas.microsoft.com/office/drawing/2014/main" id="{A524EB50-4F08-4242-B5F4-5026225B419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689" name="AutoShape 12">
          <a:extLst>
            <a:ext uri="{FF2B5EF4-FFF2-40B4-BE49-F238E27FC236}">
              <a16:creationId xmlns:a16="http://schemas.microsoft.com/office/drawing/2014/main" id="{A1AAE497-ED28-41AC-8634-0B27701D3D2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690" name="AutoShape 12">
          <a:extLst>
            <a:ext uri="{FF2B5EF4-FFF2-40B4-BE49-F238E27FC236}">
              <a16:creationId xmlns:a16="http://schemas.microsoft.com/office/drawing/2014/main" id="{2F108267-FDB0-4DEC-947F-35ED137E21D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691" name="AutoShape 12">
          <a:extLst>
            <a:ext uri="{FF2B5EF4-FFF2-40B4-BE49-F238E27FC236}">
              <a16:creationId xmlns:a16="http://schemas.microsoft.com/office/drawing/2014/main" id="{C3E98214-19A5-4E95-8BFE-E9C2BF0D947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692" name="AutoShape 12">
          <a:extLst>
            <a:ext uri="{FF2B5EF4-FFF2-40B4-BE49-F238E27FC236}">
              <a16:creationId xmlns:a16="http://schemas.microsoft.com/office/drawing/2014/main" id="{5B1DCBDD-7990-403A-8EE5-08288D2D05A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693" name="AutoShape 12">
          <a:extLst>
            <a:ext uri="{FF2B5EF4-FFF2-40B4-BE49-F238E27FC236}">
              <a16:creationId xmlns:a16="http://schemas.microsoft.com/office/drawing/2014/main" id="{2BFAA0F9-21CB-4E48-95E5-915BDA8A448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694" name="AutoShape 12">
          <a:extLst>
            <a:ext uri="{FF2B5EF4-FFF2-40B4-BE49-F238E27FC236}">
              <a16:creationId xmlns:a16="http://schemas.microsoft.com/office/drawing/2014/main" id="{F1E31274-762A-4195-B526-C2F2D61C3EB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695" name="AutoShape 12">
          <a:extLst>
            <a:ext uri="{FF2B5EF4-FFF2-40B4-BE49-F238E27FC236}">
              <a16:creationId xmlns:a16="http://schemas.microsoft.com/office/drawing/2014/main" id="{62DD99F1-08BE-4CB8-9C52-095928BF6DA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696" name="AutoShape 12">
          <a:extLst>
            <a:ext uri="{FF2B5EF4-FFF2-40B4-BE49-F238E27FC236}">
              <a16:creationId xmlns:a16="http://schemas.microsoft.com/office/drawing/2014/main" id="{01986ADD-8D62-49FC-AB7D-1284D8D9DCB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697" name="AutoShape 12">
          <a:extLst>
            <a:ext uri="{FF2B5EF4-FFF2-40B4-BE49-F238E27FC236}">
              <a16:creationId xmlns:a16="http://schemas.microsoft.com/office/drawing/2014/main" id="{D5C025D5-00BA-4B40-9BC1-EC1C90C3A30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698" name="AutoShape 12">
          <a:extLst>
            <a:ext uri="{FF2B5EF4-FFF2-40B4-BE49-F238E27FC236}">
              <a16:creationId xmlns:a16="http://schemas.microsoft.com/office/drawing/2014/main" id="{2C157A20-C5BB-4F2F-9899-E9ECCC50832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699" name="AutoShape 12">
          <a:extLst>
            <a:ext uri="{FF2B5EF4-FFF2-40B4-BE49-F238E27FC236}">
              <a16:creationId xmlns:a16="http://schemas.microsoft.com/office/drawing/2014/main" id="{382D16DD-DF52-49E3-AAD8-26AAA862A9A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700" name="AutoShape 12">
          <a:extLst>
            <a:ext uri="{FF2B5EF4-FFF2-40B4-BE49-F238E27FC236}">
              <a16:creationId xmlns:a16="http://schemas.microsoft.com/office/drawing/2014/main" id="{52657926-3C70-44B2-92BE-C42DF1D2C34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701" name="AutoShape 12">
          <a:extLst>
            <a:ext uri="{FF2B5EF4-FFF2-40B4-BE49-F238E27FC236}">
              <a16:creationId xmlns:a16="http://schemas.microsoft.com/office/drawing/2014/main" id="{F3DECFF7-9A97-41B7-8930-6CFB2F653E7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702" name="AutoShape 12">
          <a:extLst>
            <a:ext uri="{FF2B5EF4-FFF2-40B4-BE49-F238E27FC236}">
              <a16:creationId xmlns:a16="http://schemas.microsoft.com/office/drawing/2014/main" id="{8FF26602-AE6F-4A90-9515-76A801C84CD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703" name="AutoShape 12">
          <a:extLst>
            <a:ext uri="{FF2B5EF4-FFF2-40B4-BE49-F238E27FC236}">
              <a16:creationId xmlns:a16="http://schemas.microsoft.com/office/drawing/2014/main" id="{F4A575C5-C1D6-4C15-A301-9CA4D6108A5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704" name="AutoShape 12">
          <a:extLst>
            <a:ext uri="{FF2B5EF4-FFF2-40B4-BE49-F238E27FC236}">
              <a16:creationId xmlns:a16="http://schemas.microsoft.com/office/drawing/2014/main" id="{C94BD4FA-7851-42CA-9166-617274106A1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705" name="AutoShape 12">
          <a:extLst>
            <a:ext uri="{FF2B5EF4-FFF2-40B4-BE49-F238E27FC236}">
              <a16:creationId xmlns:a16="http://schemas.microsoft.com/office/drawing/2014/main" id="{A837AD75-69C8-41D8-95E1-5C98376A0C1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706" name="AutoShape 12">
          <a:extLst>
            <a:ext uri="{FF2B5EF4-FFF2-40B4-BE49-F238E27FC236}">
              <a16:creationId xmlns:a16="http://schemas.microsoft.com/office/drawing/2014/main" id="{40869EB6-D468-47E7-9E62-FA794DF868E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707" name="AutoShape 12">
          <a:extLst>
            <a:ext uri="{FF2B5EF4-FFF2-40B4-BE49-F238E27FC236}">
              <a16:creationId xmlns:a16="http://schemas.microsoft.com/office/drawing/2014/main" id="{031F3DE4-0D93-4DB8-A895-83523495A3F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708" name="AutoShape 12">
          <a:extLst>
            <a:ext uri="{FF2B5EF4-FFF2-40B4-BE49-F238E27FC236}">
              <a16:creationId xmlns:a16="http://schemas.microsoft.com/office/drawing/2014/main" id="{FD98FC61-323A-457C-907F-61665A0AA98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709" name="AutoShape 12">
          <a:extLst>
            <a:ext uri="{FF2B5EF4-FFF2-40B4-BE49-F238E27FC236}">
              <a16:creationId xmlns:a16="http://schemas.microsoft.com/office/drawing/2014/main" id="{22D3B51A-DAF5-4E18-88B3-1D5407E362C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862</xdr:row>
      <xdr:rowOff>0</xdr:rowOff>
    </xdr:from>
    <xdr:ext cx="304800" cy="304094"/>
    <xdr:sp macro="" textlink="">
      <xdr:nvSpPr>
        <xdr:cNvPr id="7710" name="AutoShape 12">
          <a:extLst>
            <a:ext uri="{FF2B5EF4-FFF2-40B4-BE49-F238E27FC236}">
              <a16:creationId xmlns:a16="http://schemas.microsoft.com/office/drawing/2014/main" id="{74C652EF-EF45-43C7-A57A-9788933B081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711" name="AutoShape 12">
          <a:extLst>
            <a:ext uri="{FF2B5EF4-FFF2-40B4-BE49-F238E27FC236}">
              <a16:creationId xmlns:a16="http://schemas.microsoft.com/office/drawing/2014/main" id="{4B7F3B85-6D9B-4139-BB58-656B04FCC86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712" name="AutoShape 12">
          <a:extLst>
            <a:ext uri="{FF2B5EF4-FFF2-40B4-BE49-F238E27FC236}">
              <a16:creationId xmlns:a16="http://schemas.microsoft.com/office/drawing/2014/main" id="{766F0144-74DB-4065-AF8C-3A9C0972F6E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713" name="AutoShape 12">
          <a:extLst>
            <a:ext uri="{FF2B5EF4-FFF2-40B4-BE49-F238E27FC236}">
              <a16:creationId xmlns:a16="http://schemas.microsoft.com/office/drawing/2014/main" id="{B7E0F687-C8F3-4D7B-9131-AC26B567176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714" name="AutoShape 12">
          <a:extLst>
            <a:ext uri="{FF2B5EF4-FFF2-40B4-BE49-F238E27FC236}">
              <a16:creationId xmlns:a16="http://schemas.microsoft.com/office/drawing/2014/main" id="{4AF67B5D-7ED0-485C-8349-9CB520639BD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715" name="AutoShape 12">
          <a:extLst>
            <a:ext uri="{FF2B5EF4-FFF2-40B4-BE49-F238E27FC236}">
              <a16:creationId xmlns:a16="http://schemas.microsoft.com/office/drawing/2014/main" id="{277D735E-6F5B-4370-A79A-0077377B675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716" name="AutoShape 12">
          <a:extLst>
            <a:ext uri="{FF2B5EF4-FFF2-40B4-BE49-F238E27FC236}">
              <a16:creationId xmlns:a16="http://schemas.microsoft.com/office/drawing/2014/main" id="{3C3870A0-244A-46B3-875F-B79EF027994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717" name="AutoShape 12">
          <a:extLst>
            <a:ext uri="{FF2B5EF4-FFF2-40B4-BE49-F238E27FC236}">
              <a16:creationId xmlns:a16="http://schemas.microsoft.com/office/drawing/2014/main" id="{C8B57DB7-7658-4B69-A1E9-2062C021183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718" name="AutoShape 12">
          <a:extLst>
            <a:ext uri="{FF2B5EF4-FFF2-40B4-BE49-F238E27FC236}">
              <a16:creationId xmlns:a16="http://schemas.microsoft.com/office/drawing/2014/main" id="{E316E724-9937-4863-B150-D5369FD7C4E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719" name="AutoShape 12">
          <a:extLst>
            <a:ext uri="{FF2B5EF4-FFF2-40B4-BE49-F238E27FC236}">
              <a16:creationId xmlns:a16="http://schemas.microsoft.com/office/drawing/2014/main" id="{EB0EAE84-DB4B-48B7-8EC2-DE545233FEB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720" name="AutoShape 12">
          <a:extLst>
            <a:ext uri="{FF2B5EF4-FFF2-40B4-BE49-F238E27FC236}">
              <a16:creationId xmlns:a16="http://schemas.microsoft.com/office/drawing/2014/main" id="{8790DF80-E47E-4305-AE8C-CE955CF9420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721" name="AutoShape 12">
          <a:extLst>
            <a:ext uri="{FF2B5EF4-FFF2-40B4-BE49-F238E27FC236}">
              <a16:creationId xmlns:a16="http://schemas.microsoft.com/office/drawing/2014/main" id="{7C879D82-867F-4059-9C1F-1458DDD9958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722" name="AutoShape 12">
          <a:extLst>
            <a:ext uri="{FF2B5EF4-FFF2-40B4-BE49-F238E27FC236}">
              <a16:creationId xmlns:a16="http://schemas.microsoft.com/office/drawing/2014/main" id="{DA2E8D46-9A9E-488F-B28D-E48F25CDA29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723" name="AutoShape 12">
          <a:extLst>
            <a:ext uri="{FF2B5EF4-FFF2-40B4-BE49-F238E27FC236}">
              <a16:creationId xmlns:a16="http://schemas.microsoft.com/office/drawing/2014/main" id="{21653EC4-930F-4DFF-A7FA-62E88C49BFA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724" name="AutoShape 12">
          <a:extLst>
            <a:ext uri="{FF2B5EF4-FFF2-40B4-BE49-F238E27FC236}">
              <a16:creationId xmlns:a16="http://schemas.microsoft.com/office/drawing/2014/main" id="{0B9843FD-624B-4777-98BB-205D17589C3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725" name="AutoShape 12">
          <a:extLst>
            <a:ext uri="{FF2B5EF4-FFF2-40B4-BE49-F238E27FC236}">
              <a16:creationId xmlns:a16="http://schemas.microsoft.com/office/drawing/2014/main" id="{8466C76A-EED1-4765-A60B-10A28636EB4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726" name="AutoShape 12">
          <a:extLst>
            <a:ext uri="{FF2B5EF4-FFF2-40B4-BE49-F238E27FC236}">
              <a16:creationId xmlns:a16="http://schemas.microsoft.com/office/drawing/2014/main" id="{04134101-7835-493D-81FA-4896BEE87D9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727" name="AutoShape 12">
          <a:extLst>
            <a:ext uri="{FF2B5EF4-FFF2-40B4-BE49-F238E27FC236}">
              <a16:creationId xmlns:a16="http://schemas.microsoft.com/office/drawing/2014/main" id="{BF9BC14C-5FCF-4748-96C1-7B331964D4E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728" name="AutoShape 12">
          <a:extLst>
            <a:ext uri="{FF2B5EF4-FFF2-40B4-BE49-F238E27FC236}">
              <a16:creationId xmlns:a16="http://schemas.microsoft.com/office/drawing/2014/main" id="{CE83F06F-24DF-4514-ACE6-0260BCC0E42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729" name="AutoShape 12">
          <a:extLst>
            <a:ext uri="{FF2B5EF4-FFF2-40B4-BE49-F238E27FC236}">
              <a16:creationId xmlns:a16="http://schemas.microsoft.com/office/drawing/2014/main" id="{6A8AFC63-CFFD-46A5-8412-4AE4D12999F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730" name="AutoShape 12">
          <a:extLst>
            <a:ext uri="{FF2B5EF4-FFF2-40B4-BE49-F238E27FC236}">
              <a16:creationId xmlns:a16="http://schemas.microsoft.com/office/drawing/2014/main" id="{FC7752DA-9395-4B62-A817-9CE3B260D7C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731" name="AutoShape 12">
          <a:extLst>
            <a:ext uri="{FF2B5EF4-FFF2-40B4-BE49-F238E27FC236}">
              <a16:creationId xmlns:a16="http://schemas.microsoft.com/office/drawing/2014/main" id="{A72C9D30-2763-4913-A3DB-B78237F1608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732" name="AutoShape 12">
          <a:extLst>
            <a:ext uri="{FF2B5EF4-FFF2-40B4-BE49-F238E27FC236}">
              <a16:creationId xmlns:a16="http://schemas.microsoft.com/office/drawing/2014/main" id="{1CB8436A-E6C6-442F-87EB-1E01EDF6BDE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733" name="AutoShape 12">
          <a:extLst>
            <a:ext uri="{FF2B5EF4-FFF2-40B4-BE49-F238E27FC236}">
              <a16:creationId xmlns:a16="http://schemas.microsoft.com/office/drawing/2014/main" id="{569B15E8-F097-4D2A-93CB-F815421B931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734" name="AutoShape 12">
          <a:extLst>
            <a:ext uri="{FF2B5EF4-FFF2-40B4-BE49-F238E27FC236}">
              <a16:creationId xmlns:a16="http://schemas.microsoft.com/office/drawing/2014/main" id="{672154FD-418C-4636-8313-0FF3C3ACA4D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735" name="AutoShape 12">
          <a:extLst>
            <a:ext uri="{FF2B5EF4-FFF2-40B4-BE49-F238E27FC236}">
              <a16:creationId xmlns:a16="http://schemas.microsoft.com/office/drawing/2014/main" id="{68234755-0297-4F9C-A699-2EEE6DB07D7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736" name="AutoShape 12">
          <a:extLst>
            <a:ext uri="{FF2B5EF4-FFF2-40B4-BE49-F238E27FC236}">
              <a16:creationId xmlns:a16="http://schemas.microsoft.com/office/drawing/2014/main" id="{7CEC5A5A-B38E-464F-B53A-05E79CF2768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737" name="AutoShape 12">
          <a:extLst>
            <a:ext uri="{FF2B5EF4-FFF2-40B4-BE49-F238E27FC236}">
              <a16:creationId xmlns:a16="http://schemas.microsoft.com/office/drawing/2014/main" id="{A773894B-2C6B-4042-B16E-165276F622D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738" name="AutoShape 12">
          <a:extLst>
            <a:ext uri="{FF2B5EF4-FFF2-40B4-BE49-F238E27FC236}">
              <a16:creationId xmlns:a16="http://schemas.microsoft.com/office/drawing/2014/main" id="{BB89E72B-1BFC-4163-8563-B4653CFF485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739" name="AutoShape 12">
          <a:extLst>
            <a:ext uri="{FF2B5EF4-FFF2-40B4-BE49-F238E27FC236}">
              <a16:creationId xmlns:a16="http://schemas.microsoft.com/office/drawing/2014/main" id="{BEC5BF83-A7F6-468E-A736-94C0536A29E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740" name="AutoShape 12">
          <a:extLst>
            <a:ext uri="{FF2B5EF4-FFF2-40B4-BE49-F238E27FC236}">
              <a16:creationId xmlns:a16="http://schemas.microsoft.com/office/drawing/2014/main" id="{D761D1A3-87F4-4170-BFA0-4FC60256B77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741" name="AutoShape 12">
          <a:extLst>
            <a:ext uri="{FF2B5EF4-FFF2-40B4-BE49-F238E27FC236}">
              <a16:creationId xmlns:a16="http://schemas.microsoft.com/office/drawing/2014/main" id="{B3A4E1C6-AB88-478F-803F-4D092F486B6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742" name="AutoShape 12">
          <a:extLst>
            <a:ext uri="{FF2B5EF4-FFF2-40B4-BE49-F238E27FC236}">
              <a16:creationId xmlns:a16="http://schemas.microsoft.com/office/drawing/2014/main" id="{C8A8393A-7135-43AC-8219-FA87D57B416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743" name="AutoShape 12">
          <a:extLst>
            <a:ext uri="{FF2B5EF4-FFF2-40B4-BE49-F238E27FC236}">
              <a16:creationId xmlns:a16="http://schemas.microsoft.com/office/drawing/2014/main" id="{3D482610-27E0-41CE-BFDA-530F08B95A3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744" name="AutoShape 12">
          <a:extLst>
            <a:ext uri="{FF2B5EF4-FFF2-40B4-BE49-F238E27FC236}">
              <a16:creationId xmlns:a16="http://schemas.microsoft.com/office/drawing/2014/main" id="{7F08FCA5-D836-4D42-9E5A-978011D2B64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745" name="AutoShape 12">
          <a:extLst>
            <a:ext uri="{FF2B5EF4-FFF2-40B4-BE49-F238E27FC236}">
              <a16:creationId xmlns:a16="http://schemas.microsoft.com/office/drawing/2014/main" id="{C437B926-48F1-4A05-871A-290A0FC4686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746" name="AutoShape 12">
          <a:extLst>
            <a:ext uri="{FF2B5EF4-FFF2-40B4-BE49-F238E27FC236}">
              <a16:creationId xmlns:a16="http://schemas.microsoft.com/office/drawing/2014/main" id="{6CB48EF7-6A5E-4B6A-969A-ACF826B7250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747" name="AutoShape 12">
          <a:extLst>
            <a:ext uri="{FF2B5EF4-FFF2-40B4-BE49-F238E27FC236}">
              <a16:creationId xmlns:a16="http://schemas.microsoft.com/office/drawing/2014/main" id="{83A774DD-A876-4158-BCD4-ACBD6D28AA6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748" name="AutoShape 12">
          <a:extLst>
            <a:ext uri="{FF2B5EF4-FFF2-40B4-BE49-F238E27FC236}">
              <a16:creationId xmlns:a16="http://schemas.microsoft.com/office/drawing/2014/main" id="{643ECA88-84BB-4A27-BE5E-CC8BBD5083E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749" name="AutoShape 12">
          <a:extLst>
            <a:ext uri="{FF2B5EF4-FFF2-40B4-BE49-F238E27FC236}">
              <a16:creationId xmlns:a16="http://schemas.microsoft.com/office/drawing/2014/main" id="{28F99AC1-0292-4255-8BD6-BB4FC3E7EF0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750" name="AutoShape 12">
          <a:extLst>
            <a:ext uri="{FF2B5EF4-FFF2-40B4-BE49-F238E27FC236}">
              <a16:creationId xmlns:a16="http://schemas.microsoft.com/office/drawing/2014/main" id="{BAAB51B6-21CA-4143-8779-FBFFD9B77CF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751" name="AutoShape 12">
          <a:extLst>
            <a:ext uri="{FF2B5EF4-FFF2-40B4-BE49-F238E27FC236}">
              <a16:creationId xmlns:a16="http://schemas.microsoft.com/office/drawing/2014/main" id="{C85A1ED2-E26A-474A-9B93-959C16B1DA3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752" name="AutoShape 12">
          <a:extLst>
            <a:ext uri="{FF2B5EF4-FFF2-40B4-BE49-F238E27FC236}">
              <a16:creationId xmlns:a16="http://schemas.microsoft.com/office/drawing/2014/main" id="{2D332958-A25D-4E1E-ACCB-6AA92E8E370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753" name="AutoShape 12">
          <a:extLst>
            <a:ext uri="{FF2B5EF4-FFF2-40B4-BE49-F238E27FC236}">
              <a16:creationId xmlns:a16="http://schemas.microsoft.com/office/drawing/2014/main" id="{9B03F73B-3F20-49CC-8CE6-CDFF221F627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754" name="AutoShape 12">
          <a:extLst>
            <a:ext uri="{FF2B5EF4-FFF2-40B4-BE49-F238E27FC236}">
              <a16:creationId xmlns:a16="http://schemas.microsoft.com/office/drawing/2014/main" id="{4D0340B4-12EE-4325-9A65-A4F0376C2D9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755" name="AutoShape 12">
          <a:extLst>
            <a:ext uri="{FF2B5EF4-FFF2-40B4-BE49-F238E27FC236}">
              <a16:creationId xmlns:a16="http://schemas.microsoft.com/office/drawing/2014/main" id="{77212878-2E5B-4DD7-83BE-4FD9FFDC0B7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756" name="AutoShape 12">
          <a:extLst>
            <a:ext uri="{FF2B5EF4-FFF2-40B4-BE49-F238E27FC236}">
              <a16:creationId xmlns:a16="http://schemas.microsoft.com/office/drawing/2014/main" id="{50150ACC-028A-4A62-99E1-9C5F8C96FC9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757" name="AutoShape 12">
          <a:extLst>
            <a:ext uri="{FF2B5EF4-FFF2-40B4-BE49-F238E27FC236}">
              <a16:creationId xmlns:a16="http://schemas.microsoft.com/office/drawing/2014/main" id="{249F1E1E-841B-4F0E-A410-0DF0118FEF3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758" name="AutoShape 12">
          <a:extLst>
            <a:ext uri="{FF2B5EF4-FFF2-40B4-BE49-F238E27FC236}">
              <a16:creationId xmlns:a16="http://schemas.microsoft.com/office/drawing/2014/main" id="{4F6FEDD7-C65B-4A04-89B4-E845D28C665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759" name="AutoShape 12">
          <a:extLst>
            <a:ext uri="{FF2B5EF4-FFF2-40B4-BE49-F238E27FC236}">
              <a16:creationId xmlns:a16="http://schemas.microsoft.com/office/drawing/2014/main" id="{ABE30C9D-6116-4BB3-9747-2E8C53EE5C4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760" name="AutoShape 12">
          <a:extLst>
            <a:ext uri="{FF2B5EF4-FFF2-40B4-BE49-F238E27FC236}">
              <a16:creationId xmlns:a16="http://schemas.microsoft.com/office/drawing/2014/main" id="{43FC66EC-09F4-4023-8193-DA26194FEEA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761" name="AutoShape 12">
          <a:extLst>
            <a:ext uri="{FF2B5EF4-FFF2-40B4-BE49-F238E27FC236}">
              <a16:creationId xmlns:a16="http://schemas.microsoft.com/office/drawing/2014/main" id="{21302C23-6913-4A48-AB37-938E8475A7F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762" name="AutoShape 12">
          <a:extLst>
            <a:ext uri="{FF2B5EF4-FFF2-40B4-BE49-F238E27FC236}">
              <a16:creationId xmlns:a16="http://schemas.microsoft.com/office/drawing/2014/main" id="{87B027D4-87FD-4A0A-8302-E03BE12CF27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763" name="AutoShape 12">
          <a:extLst>
            <a:ext uri="{FF2B5EF4-FFF2-40B4-BE49-F238E27FC236}">
              <a16:creationId xmlns:a16="http://schemas.microsoft.com/office/drawing/2014/main" id="{89B2B0BA-E3C9-4F83-BEE7-EEACE8BC615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764" name="AutoShape 12">
          <a:extLst>
            <a:ext uri="{FF2B5EF4-FFF2-40B4-BE49-F238E27FC236}">
              <a16:creationId xmlns:a16="http://schemas.microsoft.com/office/drawing/2014/main" id="{8E26C9E6-A506-4243-8397-F7B8A933F2D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765" name="AutoShape 12">
          <a:extLst>
            <a:ext uri="{FF2B5EF4-FFF2-40B4-BE49-F238E27FC236}">
              <a16:creationId xmlns:a16="http://schemas.microsoft.com/office/drawing/2014/main" id="{20E29ABD-9E48-42F3-89A7-FF783A68E9D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766" name="AutoShape 12">
          <a:extLst>
            <a:ext uri="{FF2B5EF4-FFF2-40B4-BE49-F238E27FC236}">
              <a16:creationId xmlns:a16="http://schemas.microsoft.com/office/drawing/2014/main" id="{70E5EFF4-2A78-4999-AFF1-34F76A492B2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767" name="AutoShape 12">
          <a:extLst>
            <a:ext uri="{FF2B5EF4-FFF2-40B4-BE49-F238E27FC236}">
              <a16:creationId xmlns:a16="http://schemas.microsoft.com/office/drawing/2014/main" id="{94A226A5-80D2-47C8-8DA8-869C1266D3E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768" name="AutoShape 12">
          <a:extLst>
            <a:ext uri="{FF2B5EF4-FFF2-40B4-BE49-F238E27FC236}">
              <a16:creationId xmlns:a16="http://schemas.microsoft.com/office/drawing/2014/main" id="{F535EC2E-DFF6-41D6-96FB-D942080E019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769" name="AutoShape 12">
          <a:extLst>
            <a:ext uri="{FF2B5EF4-FFF2-40B4-BE49-F238E27FC236}">
              <a16:creationId xmlns:a16="http://schemas.microsoft.com/office/drawing/2014/main" id="{D291369D-C345-4353-AFD6-AC14AB76810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770" name="AutoShape 12">
          <a:extLst>
            <a:ext uri="{FF2B5EF4-FFF2-40B4-BE49-F238E27FC236}">
              <a16:creationId xmlns:a16="http://schemas.microsoft.com/office/drawing/2014/main" id="{FCFB0E3C-5FC0-4FAD-9295-FC49D896710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771" name="AutoShape 12">
          <a:extLst>
            <a:ext uri="{FF2B5EF4-FFF2-40B4-BE49-F238E27FC236}">
              <a16:creationId xmlns:a16="http://schemas.microsoft.com/office/drawing/2014/main" id="{59F045C9-70FA-43E1-9232-31B5EFF99D5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772" name="AutoShape 12">
          <a:extLst>
            <a:ext uri="{FF2B5EF4-FFF2-40B4-BE49-F238E27FC236}">
              <a16:creationId xmlns:a16="http://schemas.microsoft.com/office/drawing/2014/main" id="{631D4448-C7F1-4C49-A58D-ED956B3861C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773" name="AutoShape 12">
          <a:extLst>
            <a:ext uri="{FF2B5EF4-FFF2-40B4-BE49-F238E27FC236}">
              <a16:creationId xmlns:a16="http://schemas.microsoft.com/office/drawing/2014/main" id="{8147881E-181D-4DC4-878A-50463E387B7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774" name="AutoShape 12">
          <a:extLst>
            <a:ext uri="{FF2B5EF4-FFF2-40B4-BE49-F238E27FC236}">
              <a16:creationId xmlns:a16="http://schemas.microsoft.com/office/drawing/2014/main" id="{4F0F3323-6B2B-42C0-84F8-5E9D84B2BA8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775" name="AutoShape 12">
          <a:extLst>
            <a:ext uri="{FF2B5EF4-FFF2-40B4-BE49-F238E27FC236}">
              <a16:creationId xmlns:a16="http://schemas.microsoft.com/office/drawing/2014/main" id="{E61BC457-C532-48AB-BE53-C6C7864D49A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776" name="AutoShape 12">
          <a:extLst>
            <a:ext uri="{FF2B5EF4-FFF2-40B4-BE49-F238E27FC236}">
              <a16:creationId xmlns:a16="http://schemas.microsoft.com/office/drawing/2014/main" id="{E48906A5-9515-4C40-9414-B9220519097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777" name="AutoShape 12">
          <a:extLst>
            <a:ext uri="{FF2B5EF4-FFF2-40B4-BE49-F238E27FC236}">
              <a16:creationId xmlns:a16="http://schemas.microsoft.com/office/drawing/2014/main" id="{F20E4CAE-B640-4E57-B0C1-22FAFF28FAD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778" name="AutoShape 12">
          <a:extLst>
            <a:ext uri="{FF2B5EF4-FFF2-40B4-BE49-F238E27FC236}">
              <a16:creationId xmlns:a16="http://schemas.microsoft.com/office/drawing/2014/main" id="{29622C9B-74BB-4629-8FFD-1FB346E6446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779" name="AutoShape 12">
          <a:extLst>
            <a:ext uri="{FF2B5EF4-FFF2-40B4-BE49-F238E27FC236}">
              <a16:creationId xmlns:a16="http://schemas.microsoft.com/office/drawing/2014/main" id="{7F24E3EC-9117-43F0-B24A-B67907C5802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780" name="AutoShape 12">
          <a:extLst>
            <a:ext uri="{FF2B5EF4-FFF2-40B4-BE49-F238E27FC236}">
              <a16:creationId xmlns:a16="http://schemas.microsoft.com/office/drawing/2014/main" id="{A979FD98-DB23-4E07-B38E-0D425D46D36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781" name="AutoShape 12">
          <a:extLst>
            <a:ext uri="{FF2B5EF4-FFF2-40B4-BE49-F238E27FC236}">
              <a16:creationId xmlns:a16="http://schemas.microsoft.com/office/drawing/2014/main" id="{F4C11B88-2172-455C-836A-EE9952B16B5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782" name="AutoShape 12">
          <a:extLst>
            <a:ext uri="{FF2B5EF4-FFF2-40B4-BE49-F238E27FC236}">
              <a16:creationId xmlns:a16="http://schemas.microsoft.com/office/drawing/2014/main" id="{07E29E7C-B655-4ACA-BDE7-20A48C3C7CF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783" name="AutoShape 12">
          <a:extLst>
            <a:ext uri="{FF2B5EF4-FFF2-40B4-BE49-F238E27FC236}">
              <a16:creationId xmlns:a16="http://schemas.microsoft.com/office/drawing/2014/main" id="{BE57D526-66D2-44A2-940F-A6B8996CDD9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784" name="AutoShape 12">
          <a:extLst>
            <a:ext uri="{FF2B5EF4-FFF2-40B4-BE49-F238E27FC236}">
              <a16:creationId xmlns:a16="http://schemas.microsoft.com/office/drawing/2014/main" id="{93D16ED2-E78E-4FAD-BFF9-6664FE52BB5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785" name="AutoShape 12">
          <a:extLst>
            <a:ext uri="{FF2B5EF4-FFF2-40B4-BE49-F238E27FC236}">
              <a16:creationId xmlns:a16="http://schemas.microsoft.com/office/drawing/2014/main" id="{F4922AA4-8FA2-4642-A2F7-53B998C5F64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786" name="AutoShape 12">
          <a:extLst>
            <a:ext uri="{FF2B5EF4-FFF2-40B4-BE49-F238E27FC236}">
              <a16:creationId xmlns:a16="http://schemas.microsoft.com/office/drawing/2014/main" id="{3952FA35-F5D0-40FF-B9A4-3ECA0F8EBD4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787" name="AutoShape 12">
          <a:extLst>
            <a:ext uri="{FF2B5EF4-FFF2-40B4-BE49-F238E27FC236}">
              <a16:creationId xmlns:a16="http://schemas.microsoft.com/office/drawing/2014/main" id="{37D54F26-0ACA-4A90-9D97-3B4561C2CA5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788" name="AutoShape 12">
          <a:extLst>
            <a:ext uri="{FF2B5EF4-FFF2-40B4-BE49-F238E27FC236}">
              <a16:creationId xmlns:a16="http://schemas.microsoft.com/office/drawing/2014/main" id="{357EB227-3C78-4AF6-8BAE-3D595305F6F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789" name="AutoShape 12">
          <a:extLst>
            <a:ext uri="{FF2B5EF4-FFF2-40B4-BE49-F238E27FC236}">
              <a16:creationId xmlns:a16="http://schemas.microsoft.com/office/drawing/2014/main" id="{B2404451-7446-4EFF-B1EC-64BD9D26B22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790" name="AutoShape 12">
          <a:extLst>
            <a:ext uri="{FF2B5EF4-FFF2-40B4-BE49-F238E27FC236}">
              <a16:creationId xmlns:a16="http://schemas.microsoft.com/office/drawing/2014/main" id="{A6E50354-C7ED-4641-BE82-30AF99D84B8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791" name="AutoShape 12">
          <a:extLst>
            <a:ext uri="{FF2B5EF4-FFF2-40B4-BE49-F238E27FC236}">
              <a16:creationId xmlns:a16="http://schemas.microsoft.com/office/drawing/2014/main" id="{D6A133BE-BB94-480E-8084-C634151A08A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792" name="AutoShape 12">
          <a:extLst>
            <a:ext uri="{FF2B5EF4-FFF2-40B4-BE49-F238E27FC236}">
              <a16:creationId xmlns:a16="http://schemas.microsoft.com/office/drawing/2014/main" id="{65063351-F9C1-44BD-B54F-73A35B940A6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793" name="AutoShape 12">
          <a:extLst>
            <a:ext uri="{FF2B5EF4-FFF2-40B4-BE49-F238E27FC236}">
              <a16:creationId xmlns:a16="http://schemas.microsoft.com/office/drawing/2014/main" id="{CA90E3BC-234D-4951-9D88-2C840DAC990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794" name="AutoShape 12">
          <a:extLst>
            <a:ext uri="{FF2B5EF4-FFF2-40B4-BE49-F238E27FC236}">
              <a16:creationId xmlns:a16="http://schemas.microsoft.com/office/drawing/2014/main" id="{5DA2B0E2-89D6-4E2D-B7C1-AA647486D5D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795" name="AutoShape 12">
          <a:extLst>
            <a:ext uri="{FF2B5EF4-FFF2-40B4-BE49-F238E27FC236}">
              <a16:creationId xmlns:a16="http://schemas.microsoft.com/office/drawing/2014/main" id="{CC29B44D-1ED4-47A8-904C-C0FF07E699D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796" name="AutoShape 12">
          <a:extLst>
            <a:ext uri="{FF2B5EF4-FFF2-40B4-BE49-F238E27FC236}">
              <a16:creationId xmlns:a16="http://schemas.microsoft.com/office/drawing/2014/main" id="{737E9710-381D-445A-9E7A-869E474AC33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797" name="AutoShape 12">
          <a:extLst>
            <a:ext uri="{FF2B5EF4-FFF2-40B4-BE49-F238E27FC236}">
              <a16:creationId xmlns:a16="http://schemas.microsoft.com/office/drawing/2014/main" id="{308E5BFA-6CFF-421C-B4E3-5E30AD7EF30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798" name="AutoShape 12">
          <a:extLst>
            <a:ext uri="{FF2B5EF4-FFF2-40B4-BE49-F238E27FC236}">
              <a16:creationId xmlns:a16="http://schemas.microsoft.com/office/drawing/2014/main" id="{9A1959A2-CF32-482D-B556-8574E35E50C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799" name="AutoShape 12">
          <a:extLst>
            <a:ext uri="{FF2B5EF4-FFF2-40B4-BE49-F238E27FC236}">
              <a16:creationId xmlns:a16="http://schemas.microsoft.com/office/drawing/2014/main" id="{3F4A84A5-69D7-4F7D-95AB-CB1CBA3483B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800" name="AutoShape 12">
          <a:extLst>
            <a:ext uri="{FF2B5EF4-FFF2-40B4-BE49-F238E27FC236}">
              <a16:creationId xmlns:a16="http://schemas.microsoft.com/office/drawing/2014/main" id="{906EDBE5-17A0-41F5-913A-A07D2218EA6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801" name="AutoShape 12">
          <a:extLst>
            <a:ext uri="{FF2B5EF4-FFF2-40B4-BE49-F238E27FC236}">
              <a16:creationId xmlns:a16="http://schemas.microsoft.com/office/drawing/2014/main" id="{583FD5BE-7C27-460E-A9D2-A1E974CC14B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802" name="AutoShape 12">
          <a:extLst>
            <a:ext uri="{FF2B5EF4-FFF2-40B4-BE49-F238E27FC236}">
              <a16:creationId xmlns:a16="http://schemas.microsoft.com/office/drawing/2014/main" id="{3917CA70-EE7E-42B2-93F4-6E7239D6009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803" name="AutoShape 12">
          <a:extLst>
            <a:ext uri="{FF2B5EF4-FFF2-40B4-BE49-F238E27FC236}">
              <a16:creationId xmlns:a16="http://schemas.microsoft.com/office/drawing/2014/main" id="{BB82D03E-4E67-40B7-96F6-2C3F55EF496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804" name="AutoShape 12">
          <a:extLst>
            <a:ext uri="{FF2B5EF4-FFF2-40B4-BE49-F238E27FC236}">
              <a16:creationId xmlns:a16="http://schemas.microsoft.com/office/drawing/2014/main" id="{1D2B9B53-503D-4C36-BC49-0819062B47E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805" name="AutoShape 12">
          <a:extLst>
            <a:ext uri="{FF2B5EF4-FFF2-40B4-BE49-F238E27FC236}">
              <a16:creationId xmlns:a16="http://schemas.microsoft.com/office/drawing/2014/main" id="{A80615C9-D5C5-4788-A314-9D1C0B7D068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806" name="AutoShape 12">
          <a:extLst>
            <a:ext uri="{FF2B5EF4-FFF2-40B4-BE49-F238E27FC236}">
              <a16:creationId xmlns:a16="http://schemas.microsoft.com/office/drawing/2014/main" id="{75303A35-4BAA-48B1-A75E-F76277803FF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807" name="AutoShape 12">
          <a:extLst>
            <a:ext uri="{FF2B5EF4-FFF2-40B4-BE49-F238E27FC236}">
              <a16:creationId xmlns:a16="http://schemas.microsoft.com/office/drawing/2014/main" id="{5A638388-D654-4C7B-AE96-891913F53BB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808" name="AutoShape 12">
          <a:extLst>
            <a:ext uri="{FF2B5EF4-FFF2-40B4-BE49-F238E27FC236}">
              <a16:creationId xmlns:a16="http://schemas.microsoft.com/office/drawing/2014/main" id="{BDED2F51-0AD7-4661-B7BD-1335617E906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809" name="AutoShape 12">
          <a:extLst>
            <a:ext uri="{FF2B5EF4-FFF2-40B4-BE49-F238E27FC236}">
              <a16:creationId xmlns:a16="http://schemas.microsoft.com/office/drawing/2014/main" id="{D216D5B6-AE57-4609-8B03-FD4B92EADCD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810" name="AutoShape 12">
          <a:extLst>
            <a:ext uri="{FF2B5EF4-FFF2-40B4-BE49-F238E27FC236}">
              <a16:creationId xmlns:a16="http://schemas.microsoft.com/office/drawing/2014/main" id="{12458047-6C1B-4ECA-AA32-9F7E828308B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811" name="AutoShape 12">
          <a:extLst>
            <a:ext uri="{FF2B5EF4-FFF2-40B4-BE49-F238E27FC236}">
              <a16:creationId xmlns:a16="http://schemas.microsoft.com/office/drawing/2014/main" id="{F701D42C-5A73-4DEB-BCF0-646874B773F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812" name="AutoShape 12">
          <a:extLst>
            <a:ext uri="{FF2B5EF4-FFF2-40B4-BE49-F238E27FC236}">
              <a16:creationId xmlns:a16="http://schemas.microsoft.com/office/drawing/2014/main" id="{AD8EFDA5-EC17-4327-A56D-5C5170075C7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813" name="AutoShape 12">
          <a:extLst>
            <a:ext uri="{FF2B5EF4-FFF2-40B4-BE49-F238E27FC236}">
              <a16:creationId xmlns:a16="http://schemas.microsoft.com/office/drawing/2014/main" id="{D1D4D8F8-DFE4-4D61-80A1-B9B470C1B35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814" name="AutoShape 12">
          <a:extLst>
            <a:ext uri="{FF2B5EF4-FFF2-40B4-BE49-F238E27FC236}">
              <a16:creationId xmlns:a16="http://schemas.microsoft.com/office/drawing/2014/main" id="{BBE19538-3F34-45C2-A137-1E2EC5EFDBE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815" name="AutoShape 12">
          <a:extLst>
            <a:ext uri="{FF2B5EF4-FFF2-40B4-BE49-F238E27FC236}">
              <a16:creationId xmlns:a16="http://schemas.microsoft.com/office/drawing/2014/main" id="{32D442D7-E45A-4CC1-A741-A5641D259D0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816" name="AutoShape 12">
          <a:extLst>
            <a:ext uri="{FF2B5EF4-FFF2-40B4-BE49-F238E27FC236}">
              <a16:creationId xmlns:a16="http://schemas.microsoft.com/office/drawing/2014/main" id="{2FD31239-EE4F-4F5C-AE51-09C8EAED6D5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817" name="AutoShape 12">
          <a:extLst>
            <a:ext uri="{FF2B5EF4-FFF2-40B4-BE49-F238E27FC236}">
              <a16:creationId xmlns:a16="http://schemas.microsoft.com/office/drawing/2014/main" id="{42D516E9-75B0-41F1-887A-F608B6E5899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818" name="AutoShape 12">
          <a:extLst>
            <a:ext uri="{FF2B5EF4-FFF2-40B4-BE49-F238E27FC236}">
              <a16:creationId xmlns:a16="http://schemas.microsoft.com/office/drawing/2014/main" id="{0975B35B-2CCD-48F7-A7E9-4C2E6D90884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819" name="AutoShape 12">
          <a:extLst>
            <a:ext uri="{FF2B5EF4-FFF2-40B4-BE49-F238E27FC236}">
              <a16:creationId xmlns:a16="http://schemas.microsoft.com/office/drawing/2014/main" id="{01228F61-23E5-49C9-93F9-83A340C81D2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820" name="AutoShape 12">
          <a:extLst>
            <a:ext uri="{FF2B5EF4-FFF2-40B4-BE49-F238E27FC236}">
              <a16:creationId xmlns:a16="http://schemas.microsoft.com/office/drawing/2014/main" id="{A251DA10-9F0A-4F13-858F-AD4C2170D3D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821" name="AutoShape 12">
          <a:extLst>
            <a:ext uri="{FF2B5EF4-FFF2-40B4-BE49-F238E27FC236}">
              <a16:creationId xmlns:a16="http://schemas.microsoft.com/office/drawing/2014/main" id="{EF007162-A1AF-469B-9C45-EB67DC3927B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822" name="AutoShape 12">
          <a:extLst>
            <a:ext uri="{FF2B5EF4-FFF2-40B4-BE49-F238E27FC236}">
              <a16:creationId xmlns:a16="http://schemas.microsoft.com/office/drawing/2014/main" id="{8681534C-825F-4795-B821-61AD2C633DC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823" name="AutoShape 12">
          <a:extLst>
            <a:ext uri="{FF2B5EF4-FFF2-40B4-BE49-F238E27FC236}">
              <a16:creationId xmlns:a16="http://schemas.microsoft.com/office/drawing/2014/main" id="{3892E19E-1F18-483C-A73B-1673D489E7F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824" name="AutoShape 12">
          <a:extLst>
            <a:ext uri="{FF2B5EF4-FFF2-40B4-BE49-F238E27FC236}">
              <a16:creationId xmlns:a16="http://schemas.microsoft.com/office/drawing/2014/main" id="{04AD505C-879A-4F06-A128-DB2C418FA18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825" name="AutoShape 12">
          <a:extLst>
            <a:ext uri="{FF2B5EF4-FFF2-40B4-BE49-F238E27FC236}">
              <a16:creationId xmlns:a16="http://schemas.microsoft.com/office/drawing/2014/main" id="{D4555D3D-7C7B-427E-895B-50BF6EA346F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826" name="AutoShape 12">
          <a:extLst>
            <a:ext uri="{FF2B5EF4-FFF2-40B4-BE49-F238E27FC236}">
              <a16:creationId xmlns:a16="http://schemas.microsoft.com/office/drawing/2014/main" id="{0A6BD9D0-4687-4EA5-AE5B-B59A915FBF2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827" name="AutoShape 12">
          <a:extLst>
            <a:ext uri="{FF2B5EF4-FFF2-40B4-BE49-F238E27FC236}">
              <a16:creationId xmlns:a16="http://schemas.microsoft.com/office/drawing/2014/main" id="{CBCEC72B-F4B0-43B9-8917-EE77D779E7F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828" name="AutoShape 12">
          <a:extLst>
            <a:ext uri="{FF2B5EF4-FFF2-40B4-BE49-F238E27FC236}">
              <a16:creationId xmlns:a16="http://schemas.microsoft.com/office/drawing/2014/main" id="{ACE8C6FF-C135-48F3-A5B8-E91DB741501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829" name="AutoShape 12">
          <a:extLst>
            <a:ext uri="{FF2B5EF4-FFF2-40B4-BE49-F238E27FC236}">
              <a16:creationId xmlns:a16="http://schemas.microsoft.com/office/drawing/2014/main" id="{0E7E8E77-5568-47C0-B59E-932DC4CBA0C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830" name="AutoShape 12">
          <a:extLst>
            <a:ext uri="{FF2B5EF4-FFF2-40B4-BE49-F238E27FC236}">
              <a16:creationId xmlns:a16="http://schemas.microsoft.com/office/drawing/2014/main" id="{886AA069-24AF-43BA-A4E9-1593E095D5A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831" name="AutoShape 12">
          <a:extLst>
            <a:ext uri="{FF2B5EF4-FFF2-40B4-BE49-F238E27FC236}">
              <a16:creationId xmlns:a16="http://schemas.microsoft.com/office/drawing/2014/main" id="{56D7110E-631B-4C96-922D-E59B9927D02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832" name="AutoShape 12">
          <a:extLst>
            <a:ext uri="{FF2B5EF4-FFF2-40B4-BE49-F238E27FC236}">
              <a16:creationId xmlns:a16="http://schemas.microsoft.com/office/drawing/2014/main" id="{9FB6C279-F06A-4E10-94CF-29DB800E1A0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833" name="AutoShape 12">
          <a:extLst>
            <a:ext uri="{FF2B5EF4-FFF2-40B4-BE49-F238E27FC236}">
              <a16:creationId xmlns:a16="http://schemas.microsoft.com/office/drawing/2014/main" id="{3210C478-4AAC-4B1A-8597-73EDC5F1391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834" name="AutoShape 12">
          <a:extLst>
            <a:ext uri="{FF2B5EF4-FFF2-40B4-BE49-F238E27FC236}">
              <a16:creationId xmlns:a16="http://schemas.microsoft.com/office/drawing/2014/main" id="{60AE7E19-7D77-46B3-91F8-4DEB36CDB1C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835" name="AutoShape 12">
          <a:extLst>
            <a:ext uri="{FF2B5EF4-FFF2-40B4-BE49-F238E27FC236}">
              <a16:creationId xmlns:a16="http://schemas.microsoft.com/office/drawing/2014/main" id="{78B17F47-7C6B-46A6-A535-A4A4EC2F103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836" name="AutoShape 12">
          <a:extLst>
            <a:ext uri="{FF2B5EF4-FFF2-40B4-BE49-F238E27FC236}">
              <a16:creationId xmlns:a16="http://schemas.microsoft.com/office/drawing/2014/main" id="{AFC284D0-94BA-41BB-B749-1F1969817B3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837" name="AutoShape 12">
          <a:extLst>
            <a:ext uri="{FF2B5EF4-FFF2-40B4-BE49-F238E27FC236}">
              <a16:creationId xmlns:a16="http://schemas.microsoft.com/office/drawing/2014/main" id="{C329047D-1610-4B1E-ACC3-8695AD467EB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838" name="AutoShape 12">
          <a:extLst>
            <a:ext uri="{FF2B5EF4-FFF2-40B4-BE49-F238E27FC236}">
              <a16:creationId xmlns:a16="http://schemas.microsoft.com/office/drawing/2014/main" id="{0788FC0F-53DD-40D4-A4DA-59CCD927753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839" name="AutoShape 12">
          <a:extLst>
            <a:ext uri="{FF2B5EF4-FFF2-40B4-BE49-F238E27FC236}">
              <a16:creationId xmlns:a16="http://schemas.microsoft.com/office/drawing/2014/main" id="{461CCE0F-BAF1-49C3-B2D6-E802109F4C2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840" name="AutoShape 12">
          <a:extLst>
            <a:ext uri="{FF2B5EF4-FFF2-40B4-BE49-F238E27FC236}">
              <a16:creationId xmlns:a16="http://schemas.microsoft.com/office/drawing/2014/main" id="{7D71B726-A4A8-481E-9051-7EABBCC267D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841" name="AutoShape 12">
          <a:extLst>
            <a:ext uri="{FF2B5EF4-FFF2-40B4-BE49-F238E27FC236}">
              <a16:creationId xmlns:a16="http://schemas.microsoft.com/office/drawing/2014/main" id="{2FFCD32C-082C-48F5-96FF-AEB4A508D66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842" name="AutoShape 12">
          <a:extLst>
            <a:ext uri="{FF2B5EF4-FFF2-40B4-BE49-F238E27FC236}">
              <a16:creationId xmlns:a16="http://schemas.microsoft.com/office/drawing/2014/main" id="{189BC602-782F-4BDD-A672-F9FF2B6ED38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843" name="AutoShape 12">
          <a:extLst>
            <a:ext uri="{FF2B5EF4-FFF2-40B4-BE49-F238E27FC236}">
              <a16:creationId xmlns:a16="http://schemas.microsoft.com/office/drawing/2014/main" id="{24FFA671-54EF-4009-B299-FFC96DADC60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844" name="AutoShape 12">
          <a:extLst>
            <a:ext uri="{FF2B5EF4-FFF2-40B4-BE49-F238E27FC236}">
              <a16:creationId xmlns:a16="http://schemas.microsoft.com/office/drawing/2014/main" id="{A0929F60-ECF4-4CBC-9C57-1BCA59F243B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845" name="AutoShape 12">
          <a:extLst>
            <a:ext uri="{FF2B5EF4-FFF2-40B4-BE49-F238E27FC236}">
              <a16:creationId xmlns:a16="http://schemas.microsoft.com/office/drawing/2014/main" id="{B9F4FE30-8E58-4F48-84A6-E2ABC2933AE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846" name="AutoShape 12">
          <a:extLst>
            <a:ext uri="{FF2B5EF4-FFF2-40B4-BE49-F238E27FC236}">
              <a16:creationId xmlns:a16="http://schemas.microsoft.com/office/drawing/2014/main" id="{04C9BE8F-2CAD-43EC-B0E5-F5402272F3E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847" name="AutoShape 12">
          <a:extLst>
            <a:ext uri="{FF2B5EF4-FFF2-40B4-BE49-F238E27FC236}">
              <a16:creationId xmlns:a16="http://schemas.microsoft.com/office/drawing/2014/main" id="{D1022D04-1BD6-4C5D-A17E-B4C982F9672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848" name="AutoShape 12">
          <a:extLst>
            <a:ext uri="{FF2B5EF4-FFF2-40B4-BE49-F238E27FC236}">
              <a16:creationId xmlns:a16="http://schemas.microsoft.com/office/drawing/2014/main" id="{B8AD5E04-A43D-4F1E-A2CC-B2600341957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849" name="AutoShape 12">
          <a:extLst>
            <a:ext uri="{FF2B5EF4-FFF2-40B4-BE49-F238E27FC236}">
              <a16:creationId xmlns:a16="http://schemas.microsoft.com/office/drawing/2014/main" id="{50A18624-3C85-4BBF-AEEF-03F443A2291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850" name="AutoShape 12">
          <a:extLst>
            <a:ext uri="{FF2B5EF4-FFF2-40B4-BE49-F238E27FC236}">
              <a16:creationId xmlns:a16="http://schemas.microsoft.com/office/drawing/2014/main" id="{DAD10277-FE54-4219-90C2-23D8607E8E5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851" name="AutoShape 12">
          <a:extLst>
            <a:ext uri="{FF2B5EF4-FFF2-40B4-BE49-F238E27FC236}">
              <a16:creationId xmlns:a16="http://schemas.microsoft.com/office/drawing/2014/main" id="{13192DB8-6FD1-4CE5-B633-2D7E46313A9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852" name="AutoShape 12">
          <a:extLst>
            <a:ext uri="{FF2B5EF4-FFF2-40B4-BE49-F238E27FC236}">
              <a16:creationId xmlns:a16="http://schemas.microsoft.com/office/drawing/2014/main" id="{74FE1984-D40C-4A98-AE10-10BF6F4E576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853" name="AutoShape 12">
          <a:extLst>
            <a:ext uri="{FF2B5EF4-FFF2-40B4-BE49-F238E27FC236}">
              <a16:creationId xmlns:a16="http://schemas.microsoft.com/office/drawing/2014/main" id="{FE4E6330-8C13-407C-995B-D46863713E8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854" name="AutoShape 12">
          <a:extLst>
            <a:ext uri="{FF2B5EF4-FFF2-40B4-BE49-F238E27FC236}">
              <a16:creationId xmlns:a16="http://schemas.microsoft.com/office/drawing/2014/main" id="{E49BDFDB-D7C4-4919-8C21-14C50191A9F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855" name="AutoShape 12">
          <a:extLst>
            <a:ext uri="{FF2B5EF4-FFF2-40B4-BE49-F238E27FC236}">
              <a16:creationId xmlns:a16="http://schemas.microsoft.com/office/drawing/2014/main" id="{6AE932CC-1CD4-4B40-8092-81CC767CC11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856" name="AutoShape 12">
          <a:extLst>
            <a:ext uri="{FF2B5EF4-FFF2-40B4-BE49-F238E27FC236}">
              <a16:creationId xmlns:a16="http://schemas.microsoft.com/office/drawing/2014/main" id="{5EAF2826-AEF8-451B-B70F-510C2284C41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857" name="AutoShape 12">
          <a:extLst>
            <a:ext uri="{FF2B5EF4-FFF2-40B4-BE49-F238E27FC236}">
              <a16:creationId xmlns:a16="http://schemas.microsoft.com/office/drawing/2014/main" id="{49D9FCE0-306A-4A26-90F1-117DF256315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858" name="AutoShape 12">
          <a:extLst>
            <a:ext uri="{FF2B5EF4-FFF2-40B4-BE49-F238E27FC236}">
              <a16:creationId xmlns:a16="http://schemas.microsoft.com/office/drawing/2014/main" id="{92F7EF49-AA73-4B5A-9648-D4D33380EBA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859" name="AutoShape 12">
          <a:extLst>
            <a:ext uri="{FF2B5EF4-FFF2-40B4-BE49-F238E27FC236}">
              <a16:creationId xmlns:a16="http://schemas.microsoft.com/office/drawing/2014/main" id="{E40EFB6C-89EA-49B7-90BD-39256DA6F38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860" name="AutoShape 12">
          <a:extLst>
            <a:ext uri="{FF2B5EF4-FFF2-40B4-BE49-F238E27FC236}">
              <a16:creationId xmlns:a16="http://schemas.microsoft.com/office/drawing/2014/main" id="{53EDD5BF-3838-4B5C-95C9-F3FCFC12918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861" name="AutoShape 12">
          <a:extLst>
            <a:ext uri="{FF2B5EF4-FFF2-40B4-BE49-F238E27FC236}">
              <a16:creationId xmlns:a16="http://schemas.microsoft.com/office/drawing/2014/main" id="{3FA3E313-CA39-4345-93AE-F6E58BD50F1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862" name="AutoShape 12">
          <a:extLst>
            <a:ext uri="{FF2B5EF4-FFF2-40B4-BE49-F238E27FC236}">
              <a16:creationId xmlns:a16="http://schemas.microsoft.com/office/drawing/2014/main" id="{AF0446F9-6303-4F52-BDE4-AEAC1594DF9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863" name="AutoShape 12">
          <a:extLst>
            <a:ext uri="{FF2B5EF4-FFF2-40B4-BE49-F238E27FC236}">
              <a16:creationId xmlns:a16="http://schemas.microsoft.com/office/drawing/2014/main" id="{ACA7226A-1558-4F41-8A0B-97EB7393257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864" name="AutoShape 12">
          <a:extLst>
            <a:ext uri="{FF2B5EF4-FFF2-40B4-BE49-F238E27FC236}">
              <a16:creationId xmlns:a16="http://schemas.microsoft.com/office/drawing/2014/main" id="{8A10664C-3608-4FB5-ADB4-760B6F138B2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865" name="AutoShape 12">
          <a:extLst>
            <a:ext uri="{FF2B5EF4-FFF2-40B4-BE49-F238E27FC236}">
              <a16:creationId xmlns:a16="http://schemas.microsoft.com/office/drawing/2014/main" id="{6B01DC27-88A9-40CF-A7AF-A75A58FABBC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866" name="AutoShape 12">
          <a:extLst>
            <a:ext uri="{FF2B5EF4-FFF2-40B4-BE49-F238E27FC236}">
              <a16:creationId xmlns:a16="http://schemas.microsoft.com/office/drawing/2014/main" id="{FEFC0E0D-39B0-4F99-AA2F-D7B39C98C4A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867" name="AutoShape 12">
          <a:extLst>
            <a:ext uri="{FF2B5EF4-FFF2-40B4-BE49-F238E27FC236}">
              <a16:creationId xmlns:a16="http://schemas.microsoft.com/office/drawing/2014/main" id="{86D61B61-4AF5-4411-9917-534FAF0FAB7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868" name="AutoShape 12">
          <a:extLst>
            <a:ext uri="{FF2B5EF4-FFF2-40B4-BE49-F238E27FC236}">
              <a16:creationId xmlns:a16="http://schemas.microsoft.com/office/drawing/2014/main" id="{5F799A33-27F8-4F98-91FA-3F14663BA56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869" name="AutoShape 12">
          <a:extLst>
            <a:ext uri="{FF2B5EF4-FFF2-40B4-BE49-F238E27FC236}">
              <a16:creationId xmlns:a16="http://schemas.microsoft.com/office/drawing/2014/main" id="{B92F5B47-3769-4FF9-9124-D0C8C59AF22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870" name="AutoShape 12">
          <a:extLst>
            <a:ext uri="{FF2B5EF4-FFF2-40B4-BE49-F238E27FC236}">
              <a16:creationId xmlns:a16="http://schemas.microsoft.com/office/drawing/2014/main" id="{A0FADB3E-EEA5-48FA-972F-9115FAA5513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871" name="AutoShape 12">
          <a:extLst>
            <a:ext uri="{FF2B5EF4-FFF2-40B4-BE49-F238E27FC236}">
              <a16:creationId xmlns:a16="http://schemas.microsoft.com/office/drawing/2014/main" id="{F4B47ADD-D867-4758-886C-4D22BCE2C84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872" name="AutoShape 12">
          <a:extLst>
            <a:ext uri="{FF2B5EF4-FFF2-40B4-BE49-F238E27FC236}">
              <a16:creationId xmlns:a16="http://schemas.microsoft.com/office/drawing/2014/main" id="{0EDE714E-F70C-4B36-900F-408065259DF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873" name="AutoShape 12">
          <a:extLst>
            <a:ext uri="{FF2B5EF4-FFF2-40B4-BE49-F238E27FC236}">
              <a16:creationId xmlns:a16="http://schemas.microsoft.com/office/drawing/2014/main" id="{B76175E8-550F-44CE-8016-5DFCCB937E8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874" name="AutoShape 12">
          <a:extLst>
            <a:ext uri="{FF2B5EF4-FFF2-40B4-BE49-F238E27FC236}">
              <a16:creationId xmlns:a16="http://schemas.microsoft.com/office/drawing/2014/main" id="{D3FA7697-CC51-47E8-856B-925CCEEFD16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875" name="AutoShape 12">
          <a:extLst>
            <a:ext uri="{FF2B5EF4-FFF2-40B4-BE49-F238E27FC236}">
              <a16:creationId xmlns:a16="http://schemas.microsoft.com/office/drawing/2014/main" id="{8B49DC60-7263-4ED7-83E4-29186BAAB74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876" name="AutoShape 12">
          <a:extLst>
            <a:ext uri="{FF2B5EF4-FFF2-40B4-BE49-F238E27FC236}">
              <a16:creationId xmlns:a16="http://schemas.microsoft.com/office/drawing/2014/main" id="{AB914458-50EA-40D5-9A89-71B9EB08B9B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877" name="AutoShape 12">
          <a:extLst>
            <a:ext uri="{FF2B5EF4-FFF2-40B4-BE49-F238E27FC236}">
              <a16:creationId xmlns:a16="http://schemas.microsoft.com/office/drawing/2014/main" id="{24F50D2C-A47D-4228-962B-5861B342A3F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878" name="AutoShape 12">
          <a:extLst>
            <a:ext uri="{FF2B5EF4-FFF2-40B4-BE49-F238E27FC236}">
              <a16:creationId xmlns:a16="http://schemas.microsoft.com/office/drawing/2014/main" id="{9C983BFD-912C-4B2E-A6F1-43C4BDDB296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879" name="AutoShape 12">
          <a:extLst>
            <a:ext uri="{FF2B5EF4-FFF2-40B4-BE49-F238E27FC236}">
              <a16:creationId xmlns:a16="http://schemas.microsoft.com/office/drawing/2014/main" id="{85003C80-5D2A-4BEC-8FF4-7D0E28F058F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880" name="AutoShape 12">
          <a:extLst>
            <a:ext uri="{FF2B5EF4-FFF2-40B4-BE49-F238E27FC236}">
              <a16:creationId xmlns:a16="http://schemas.microsoft.com/office/drawing/2014/main" id="{2AEBA3D8-5EE6-4882-883F-D8070C254AA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881" name="AutoShape 12">
          <a:extLst>
            <a:ext uri="{FF2B5EF4-FFF2-40B4-BE49-F238E27FC236}">
              <a16:creationId xmlns:a16="http://schemas.microsoft.com/office/drawing/2014/main" id="{162F64D8-3EA6-4C73-9657-09FAD3EB423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882" name="AutoShape 12">
          <a:extLst>
            <a:ext uri="{FF2B5EF4-FFF2-40B4-BE49-F238E27FC236}">
              <a16:creationId xmlns:a16="http://schemas.microsoft.com/office/drawing/2014/main" id="{F3ABAC81-F884-421D-AFED-F9EF29B600F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883" name="AutoShape 12">
          <a:extLst>
            <a:ext uri="{FF2B5EF4-FFF2-40B4-BE49-F238E27FC236}">
              <a16:creationId xmlns:a16="http://schemas.microsoft.com/office/drawing/2014/main" id="{E89A8FCF-8FED-4745-BE28-CCE0AC984BC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884" name="AutoShape 12">
          <a:extLst>
            <a:ext uri="{FF2B5EF4-FFF2-40B4-BE49-F238E27FC236}">
              <a16:creationId xmlns:a16="http://schemas.microsoft.com/office/drawing/2014/main" id="{9D8A2B27-BD9A-46F3-8FC0-E4B86548C5E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885" name="AutoShape 12">
          <a:extLst>
            <a:ext uri="{FF2B5EF4-FFF2-40B4-BE49-F238E27FC236}">
              <a16:creationId xmlns:a16="http://schemas.microsoft.com/office/drawing/2014/main" id="{4F359991-4C69-4CEC-8A74-8181EAC16DF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886" name="AutoShape 12">
          <a:extLst>
            <a:ext uri="{FF2B5EF4-FFF2-40B4-BE49-F238E27FC236}">
              <a16:creationId xmlns:a16="http://schemas.microsoft.com/office/drawing/2014/main" id="{3965829A-6905-4F0F-AF8B-904F58E01CE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887" name="AutoShape 12">
          <a:extLst>
            <a:ext uri="{FF2B5EF4-FFF2-40B4-BE49-F238E27FC236}">
              <a16:creationId xmlns:a16="http://schemas.microsoft.com/office/drawing/2014/main" id="{3ECF6DC3-70C2-456D-AF2B-824F84F8090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888" name="AutoShape 12">
          <a:extLst>
            <a:ext uri="{FF2B5EF4-FFF2-40B4-BE49-F238E27FC236}">
              <a16:creationId xmlns:a16="http://schemas.microsoft.com/office/drawing/2014/main" id="{E1544EFA-3090-40C0-81EA-25084E04C30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889" name="AutoShape 12">
          <a:extLst>
            <a:ext uri="{FF2B5EF4-FFF2-40B4-BE49-F238E27FC236}">
              <a16:creationId xmlns:a16="http://schemas.microsoft.com/office/drawing/2014/main" id="{C1459423-3A18-47BF-AFA5-FF16D4766D3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890" name="AutoShape 12">
          <a:extLst>
            <a:ext uri="{FF2B5EF4-FFF2-40B4-BE49-F238E27FC236}">
              <a16:creationId xmlns:a16="http://schemas.microsoft.com/office/drawing/2014/main" id="{07B954D8-4303-4F2C-889D-B232B958D4C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891" name="AutoShape 12">
          <a:extLst>
            <a:ext uri="{FF2B5EF4-FFF2-40B4-BE49-F238E27FC236}">
              <a16:creationId xmlns:a16="http://schemas.microsoft.com/office/drawing/2014/main" id="{3C99539F-ADC6-4A8D-BD8F-E828BC70BCC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892" name="AutoShape 12">
          <a:extLst>
            <a:ext uri="{FF2B5EF4-FFF2-40B4-BE49-F238E27FC236}">
              <a16:creationId xmlns:a16="http://schemas.microsoft.com/office/drawing/2014/main" id="{7E89438E-AC8E-4DC7-A5C1-80C42549B5B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893" name="AutoShape 12">
          <a:extLst>
            <a:ext uri="{FF2B5EF4-FFF2-40B4-BE49-F238E27FC236}">
              <a16:creationId xmlns:a16="http://schemas.microsoft.com/office/drawing/2014/main" id="{1C94D96D-ABAD-4145-8F6B-03E17E7A127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894" name="AutoShape 12">
          <a:extLst>
            <a:ext uri="{FF2B5EF4-FFF2-40B4-BE49-F238E27FC236}">
              <a16:creationId xmlns:a16="http://schemas.microsoft.com/office/drawing/2014/main" id="{0235A8FD-C393-4ED7-9F60-37E05737D67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895" name="AutoShape 12">
          <a:extLst>
            <a:ext uri="{FF2B5EF4-FFF2-40B4-BE49-F238E27FC236}">
              <a16:creationId xmlns:a16="http://schemas.microsoft.com/office/drawing/2014/main" id="{094784FE-C043-453C-8FB9-4690D3DAB5E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896" name="AutoShape 12">
          <a:extLst>
            <a:ext uri="{FF2B5EF4-FFF2-40B4-BE49-F238E27FC236}">
              <a16:creationId xmlns:a16="http://schemas.microsoft.com/office/drawing/2014/main" id="{34AD3C55-6656-4496-A359-5FE6E3DFB20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897" name="AutoShape 12">
          <a:extLst>
            <a:ext uri="{FF2B5EF4-FFF2-40B4-BE49-F238E27FC236}">
              <a16:creationId xmlns:a16="http://schemas.microsoft.com/office/drawing/2014/main" id="{E7BF1D30-218F-495B-BF99-C32A3A62267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898" name="AutoShape 12">
          <a:extLst>
            <a:ext uri="{FF2B5EF4-FFF2-40B4-BE49-F238E27FC236}">
              <a16:creationId xmlns:a16="http://schemas.microsoft.com/office/drawing/2014/main" id="{798920FF-9893-4C6A-9BB0-040F28BE37E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899" name="AutoShape 12">
          <a:extLst>
            <a:ext uri="{FF2B5EF4-FFF2-40B4-BE49-F238E27FC236}">
              <a16:creationId xmlns:a16="http://schemas.microsoft.com/office/drawing/2014/main" id="{CB943691-B58C-40D8-889B-0E2773FA605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900" name="AutoShape 12">
          <a:extLst>
            <a:ext uri="{FF2B5EF4-FFF2-40B4-BE49-F238E27FC236}">
              <a16:creationId xmlns:a16="http://schemas.microsoft.com/office/drawing/2014/main" id="{24590F40-5024-4605-AD95-86F5318C571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901" name="AutoShape 12">
          <a:extLst>
            <a:ext uri="{FF2B5EF4-FFF2-40B4-BE49-F238E27FC236}">
              <a16:creationId xmlns:a16="http://schemas.microsoft.com/office/drawing/2014/main" id="{3FEA449E-8613-4EB1-9B30-769D4D33E34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902" name="AutoShape 12">
          <a:extLst>
            <a:ext uri="{FF2B5EF4-FFF2-40B4-BE49-F238E27FC236}">
              <a16:creationId xmlns:a16="http://schemas.microsoft.com/office/drawing/2014/main" id="{1EAD0F5F-61F1-4177-90EA-B0FFDD7E456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903" name="AutoShape 12">
          <a:extLst>
            <a:ext uri="{FF2B5EF4-FFF2-40B4-BE49-F238E27FC236}">
              <a16:creationId xmlns:a16="http://schemas.microsoft.com/office/drawing/2014/main" id="{C75B1E84-AAB4-4021-8CBC-74E666419B3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904" name="AutoShape 12">
          <a:extLst>
            <a:ext uri="{FF2B5EF4-FFF2-40B4-BE49-F238E27FC236}">
              <a16:creationId xmlns:a16="http://schemas.microsoft.com/office/drawing/2014/main" id="{50C7695E-27DA-4508-B80E-63D7A6C9188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905" name="AutoShape 12">
          <a:extLst>
            <a:ext uri="{FF2B5EF4-FFF2-40B4-BE49-F238E27FC236}">
              <a16:creationId xmlns:a16="http://schemas.microsoft.com/office/drawing/2014/main" id="{E0937510-6F5D-40E3-95D3-24BE9649CC7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906" name="AutoShape 12">
          <a:extLst>
            <a:ext uri="{FF2B5EF4-FFF2-40B4-BE49-F238E27FC236}">
              <a16:creationId xmlns:a16="http://schemas.microsoft.com/office/drawing/2014/main" id="{F1527B51-D0A6-465C-BC6E-26901157398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907" name="AutoShape 12">
          <a:extLst>
            <a:ext uri="{FF2B5EF4-FFF2-40B4-BE49-F238E27FC236}">
              <a16:creationId xmlns:a16="http://schemas.microsoft.com/office/drawing/2014/main" id="{D8842067-6869-43B8-8376-84DE401E321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908" name="AutoShape 12">
          <a:extLst>
            <a:ext uri="{FF2B5EF4-FFF2-40B4-BE49-F238E27FC236}">
              <a16:creationId xmlns:a16="http://schemas.microsoft.com/office/drawing/2014/main" id="{E9D62E6C-C4E7-4E29-B563-AD5F9789305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909" name="AutoShape 12">
          <a:extLst>
            <a:ext uri="{FF2B5EF4-FFF2-40B4-BE49-F238E27FC236}">
              <a16:creationId xmlns:a16="http://schemas.microsoft.com/office/drawing/2014/main" id="{1C8FC388-7741-4DEE-8ED8-0A74EE7557B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910" name="AutoShape 12">
          <a:extLst>
            <a:ext uri="{FF2B5EF4-FFF2-40B4-BE49-F238E27FC236}">
              <a16:creationId xmlns:a16="http://schemas.microsoft.com/office/drawing/2014/main" id="{5C7CC453-04DB-487C-B62B-96CF9280E42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911" name="AutoShape 12">
          <a:extLst>
            <a:ext uri="{FF2B5EF4-FFF2-40B4-BE49-F238E27FC236}">
              <a16:creationId xmlns:a16="http://schemas.microsoft.com/office/drawing/2014/main" id="{0C90B7AB-FB93-4903-BC3B-8370E3EF665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912" name="AutoShape 12">
          <a:extLst>
            <a:ext uri="{FF2B5EF4-FFF2-40B4-BE49-F238E27FC236}">
              <a16:creationId xmlns:a16="http://schemas.microsoft.com/office/drawing/2014/main" id="{60C9E397-DEF8-4ACA-BD61-7EB53025D36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913" name="AutoShape 12">
          <a:extLst>
            <a:ext uri="{FF2B5EF4-FFF2-40B4-BE49-F238E27FC236}">
              <a16:creationId xmlns:a16="http://schemas.microsoft.com/office/drawing/2014/main" id="{49D12A15-2ED6-482F-A14F-C178DEAE9D8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914" name="AutoShape 12">
          <a:extLst>
            <a:ext uri="{FF2B5EF4-FFF2-40B4-BE49-F238E27FC236}">
              <a16:creationId xmlns:a16="http://schemas.microsoft.com/office/drawing/2014/main" id="{E017FF31-45AE-470C-9D23-FB83708406F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915" name="AutoShape 12">
          <a:extLst>
            <a:ext uri="{FF2B5EF4-FFF2-40B4-BE49-F238E27FC236}">
              <a16:creationId xmlns:a16="http://schemas.microsoft.com/office/drawing/2014/main" id="{407E8DD7-D89B-48DB-8B93-BC4D8151432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916" name="AutoShape 12">
          <a:extLst>
            <a:ext uri="{FF2B5EF4-FFF2-40B4-BE49-F238E27FC236}">
              <a16:creationId xmlns:a16="http://schemas.microsoft.com/office/drawing/2014/main" id="{B5D66EDE-6CB2-4B9A-9BA9-0D75C7A1815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917" name="AutoShape 12">
          <a:extLst>
            <a:ext uri="{FF2B5EF4-FFF2-40B4-BE49-F238E27FC236}">
              <a16:creationId xmlns:a16="http://schemas.microsoft.com/office/drawing/2014/main" id="{0016EF22-297E-443D-9D2A-15DCC7978EC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918" name="AutoShape 12">
          <a:extLst>
            <a:ext uri="{FF2B5EF4-FFF2-40B4-BE49-F238E27FC236}">
              <a16:creationId xmlns:a16="http://schemas.microsoft.com/office/drawing/2014/main" id="{CB265DAD-F65E-4B8A-85D2-2B6F6AEEAF0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919" name="AutoShape 12">
          <a:extLst>
            <a:ext uri="{FF2B5EF4-FFF2-40B4-BE49-F238E27FC236}">
              <a16:creationId xmlns:a16="http://schemas.microsoft.com/office/drawing/2014/main" id="{79254F86-BAFE-4533-960F-2ADF7605379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920" name="AutoShape 12">
          <a:extLst>
            <a:ext uri="{FF2B5EF4-FFF2-40B4-BE49-F238E27FC236}">
              <a16:creationId xmlns:a16="http://schemas.microsoft.com/office/drawing/2014/main" id="{117FCE66-1B65-47D4-A81D-349D08080D2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921" name="AutoShape 12">
          <a:extLst>
            <a:ext uri="{FF2B5EF4-FFF2-40B4-BE49-F238E27FC236}">
              <a16:creationId xmlns:a16="http://schemas.microsoft.com/office/drawing/2014/main" id="{E72A1188-C2E3-4F27-8B7B-D03DCAE4510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922" name="AutoShape 12">
          <a:extLst>
            <a:ext uri="{FF2B5EF4-FFF2-40B4-BE49-F238E27FC236}">
              <a16:creationId xmlns:a16="http://schemas.microsoft.com/office/drawing/2014/main" id="{9667BF48-CBBD-43FB-BCB9-56612E53F3E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923" name="AutoShape 12">
          <a:extLst>
            <a:ext uri="{FF2B5EF4-FFF2-40B4-BE49-F238E27FC236}">
              <a16:creationId xmlns:a16="http://schemas.microsoft.com/office/drawing/2014/main" id="{1A382DEE-EF33-438E-AEF7-58665295348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924" name="AutoShape 12">
          <a:extLst>
            <a:ext uri="{FF2B5EF4-FFF2-40B4-BE49-F238E27FC236}">
              <a16:creationId xmlns:a16="http://schemas.microsoft.com/office/drawing/2014/main" id="{CADD10C9-5A7B-49CF-B19A-EC00E1CC684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925" name="AutoShape 12">
          <a:extLst>
            <a:ext uri="{FF2B5EF4-FFF2-40B4-BE49-F238E27FC236}">
              <a16:creationId xmlns:a16="http://schemas.microsoft.com/office/drawing/2014/main" id="{05581B21-FC71-41FC-9178-864CFE232FD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926" name="AutoShape 12">
          <a:extLst>
            <a:ext uri="{FF2B5EF4-FFF2-40B4-BE49-F238E27FC236}">
              <a16:creationId xmlns:a16="http://schemas.microsoft.com/office/drawing/2014/main" id="{02D8FE58-6E59-436C-819B-E2FE0D21BC7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927" name="AutoShape 12">
          <a:extLst>
            <a:ext uri="{FF2B5EF4-FFF2-40B4-BE49-F238E27FC236}">
              <a16:creationId xmlns:a16="http://schemas.microsoft.com/office/drawing/2014/main" id="{143D3ECE-6006-4F81-A5E6-7CD60047EEC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928" name="AutoShape 12">
          <a:extLst>
            <a:ext uri="{FF2B5EF4-FFF2-40B4-BE49-F238E27FC236}">
              <a16:creationId xmlns:a16="http://schemas.microsoft.com/office/drawing/2014/main" id="{C6881F3B-1C6F-418C-B5B5-191C084B051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929" name="AutoShape 12">
          <a:extLst>
            <a:ext uri="{FF2B5EF4-FFF2-40B4-BE49-F238E27FC236}">
              <a16:creationId xmlns:a16="http://schemas.microsoft.com/office/drawing/2014/main" id="{18C14A28-131C-47F1-BED4-BBF07BB48FD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930" name="AutoShape 12">
          <a:extLst>
            <a:ext uri="{FF2B5EF4-FFF2-40B4-BE49-F238E27FC236}">
              <a16:creationId xmlns:a16="http://schemas.microsoft.com/office/drawing/2014/main" id="{C8A189E4-C73E-4A71-9D71-CAD48DC8689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931" name="AutoShape 12">
          <a:extLst>
            <a:ext uri="{FF2B5EF4-FFF2-40B4-BE49-F238E27FC236}">
              <a16:creationId xmlns:a16="http://schemas.microsoft.com/office/drawing/2014/main" id="{B16347B2-2E80-410D-9EF3-C4ADF9F9294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932" name="AutoShape 12">
          <a:extLst>
            <a:ext uri="{FF2B5EF4-FFF2-40B4-BE49-F238E27FC236}">
              <a16:creationId xmlns:a16="http://schemas.microsoft.com/office/drawing/2014/main" id="{D88E4E38-67A6-4009-AB7F-AEC56B1353B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933" name="AutoShape 12">
          <a:extLst>
            <a:ext uri="{FF2B5EF4-FFF2-40B4-BE49-F238E27FC236}">
              <a16:creationId xmlns:a16="http://schemas.microsoft.com/office/drawing/2014/main" id="{6A7C53EA-B44A-4F51-94D1-B7CD7C43960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934" name="AutoShape 12">
          <a:extLst>
            <a:ext uri="{FF2B5EF4-FFF2-40B4-BE49-F238E27FC236}">
              <a16:creationId xmlns:a16="http://schemas.microsoft.com/office/drawing/2014/main" id="{72050364-AC84-46B0-9648-B50A78F6CE5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935" name="AutoShape 12">
          <a:extLst>
            <a:ext uri="{FF2B5EF4-FFF2-40B4-BE49-F238E27FC236}">
              <a16:creationId xmlns:a16="http://schemas.microsoft.com/office/drawing/2014/main" id="{F663B63E-6754-4A5C-A43D-085F47F9A5E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936" name="AutoShape 12">
          <a:extLst>
            <a:ext uri="{FF2B5EF4-FFF2-40B4-BE49-F238E27FC236}">
              <a16:creationId xmlns:a16="http://schemas.microsoft.com/office/drawing/2014/main" id="{D39092F4-5DA6-46B2-ADAF-FEE711A8133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937" name="AutoShape 12">
          <a:extLst>
            <a:ext uri="{FF2B5EF4-FFF2-40B4-BE49-F238E27FC236}">
              <a16:creationId xmlns:a16="http://schemas.microsoft.com/office/drawing/2014/main" id="{FEDDC266-BDE8-4465-B7D8-2AA63C4AB5B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938" name="AutoShape 12">
          <a:extLst>
            <a:ext uri="{FF2B5EF4-FFF2-40B4-BE49-F238E27FC236}">
              <a16:creationId xmlns:a16="http://schemas.microsoft.com/office/drawing/2014/main" id="{3864FEFD-C299-4C0F-AF55-05A77B33140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939" name="AutoShape 12">
          <a:extLst>
            <a:ext uri="{FF2B5EF4-FFF2-40B4-BE49-F238E27FC236}">
              <a16:creationId xmlns:a16="http://schemas.microsoft.com/office/drawing/2014/main" id="{EEA18B38-439E-46C7-9E92-EB7C7A27C75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940" name="AutoShape 12">
          <a:extLst>
            <a:ext uri="{FF2B5EF4-FFF2-40B4-BE49-F238E27FC236}">
              <a16:creationId xmlns:a16="http://schemas.microsoft.com/office/drawing/2014/main" id="{7FB4A4C1-3A55-43C4-919F-6BFD221D65C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941" name="AutoShape 12">
          <a:extLst>
            <a:ext uri="{FF2B5EF4-FFF2-40B4-BE49-F238E27FC236}">
              <a16:creationId xmlns:a16="http://schemas.microsoft.com/office/drawing/2014/main" id="{BD3A77F7-98FE-4B60-A6BD-4DC26838C28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942" name="AutoShape 12">
          <a:extLst>
            <a:ext uri="{FF2B5EF4-FFF2-40B4-BE49-F238E27FC236}">
              <a16:creationId xmlns:a16="http://schemas.microsoft.com/office/drawing/2014/main" id="{9F432963-8778-49E5-9931-A69011A739A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943" name="AutoShape 12">
          <a:extLst>
            <a:ext uri="{FF2B5EF4-FFF2-40B4-BE49-F238E27FC236}">
              <a16:creationId xmlns:a16="http://schemas.microsoft.com/office/drawing/2014/main" id="{60FC93D4-B917-4300-98F6-C867F921580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944" name="AutoShape 12">
          <a:extLst>
            <a:ext uri="{FF2B5EF4-FFF2-40B4-BE49-F238E27FC236}">
              <a16:creationId xmlns:a16="http://schemas.microsoft.com/office/drawing/2014/main" id="{6F0EC717-1A38-4837-8127-44BB5039CF6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945" name="AutoShape 12">
          <a:extLst>
            <a:ext uri="{FF2B5EF4-FFF2-40B4-BE49-F238E27FC236}">
              <a16:creationId xmlns:a16="http://schemas.microsoft.com/office/drawing/2014/main" id="{1B9A7C60-3C2C-4D90-B4F2-7A0BC60BBCF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946" name="AutoShape 12">
          <a:extLst>
            <a:ext uri="{FF2B5EF4-FFF2-40B4-BE49-F238E27FC236}">
              <a16:creationId xmlns:a16="http://schemas.microsoft.com/office/drawing/2014/main" id="{F7ECE274-83D8-4EE9-ACE1-F20CB7CC9A1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947" name="AutoShape 12">
          <a:extLst>
            <a:ext uri="{FF2B5EF4-FFF2-40B4-BE49-F238E27FC236}">
              <a16:creationId xmlns:a16="http://schemas.microsoft.com/office/drawing/2014/main" id="{D82CECF0-DB4C-4A41-8759-8EF85CDC426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948" name="AutoShape 12">
          <a:extLst>
            <a:ext uri="{FF2B5EF4-FFF2-40B4-BE49-F238E27FC236}">
              <a16:creationId xmlns:a16="http://schemas.microsoft.com/office/drawing/2014/main" id="{C15F8DE4-ADE6-4B2F-95B6-281B207F800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949" name="AutoShape 12">
          <a:extLst>
            <a:ext uri="{FF2B5EF4-FFF2-40B4-BE49-F238E27FC236}">
              <a16:creationId xmlns:a16="http://schemas.microsoft.com/office/drawing/2014/main" id="{F5F2FD66-31A1-4641-838C-EE01F9CB29E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950" name="AutoShape 12">
          <a:extLst>
            <a:ext uri="{FF2B5EF4-FFF2-40B4-BE49-F238E27FC236}">
              <a16:creationId xmlns:a16="http://schemas.microsoft.com/office/drawing/2014/main" id="{7AA9CEBD-EB60-4E60-9DF8-18695090691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951" name="AutoShape 12">
          <a:extLst>
            <a:ext uri="{FF2B5EF4-FFF2-40B4-BE49-F238E27FC236}">
              <a16:creationId xmlns:a16="http://schemas.microsoft.com/office/drawing/2014/main" id="{3270C49F-AE64-4EBE-9E67-FF81A9A04A9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952" name="AutoShape 12">
          <a:extLst>
            <a:ext uri="{FF2B5EF4-FFF2-40B4-BE49-F238E27FC236}">
              <a16:creationId xmlns:a16="http://schemas.microsoft.com/office/drawing/2014/main" id="{0D804181-A62D-4974-B748-0E2DD5A264B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953" name="AutoShape 12">
          <a:extLst>
            <a:ext uri="{FF2B5EF4-FFF2-40B4-BE49-F238E27FC236}">
              <a16:creationId xmlns:a16="http://schemas.microsoft.com/office/drawing/2014/main" id="{74C58BE7-223E-4DAB-915B-8347DC9D9B9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954" name="AutoShape 12">
          <a:extLst>
            <a:ext uri="{FF2B5EF4-FFF2-40B4-BE49-F238E27FC236}">
              <a16:creationId xmlns:a16="http://schemas.microsoft.com/office/drawing/2014/main" id="{7B997294-1E30-44FB-BEF2-6B45D0B5AE5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955" name="AutoShape 12">
          <a:extLst>
            <a:ext uri="{FF2B5EF4-FFF2-40B4-BE49-F238E27FC236}">
              <a16:creationId xmlns:a16="http://schemas.microsoft.com/office/drawing/2014/main" id="{9EC2E356-768B-4E98-B6F4-3200F58307D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956" name="AutoShape 12">
          <a:extLst>
            <a:ext uri="{FF2B5EF4-FFF2-40B4-BE49-F238E27FC236}">
              <a16:creationId xmlns:a16="http://schemas.microsoft.com/office/drawing/2014/main" id="{1112D0D7-B707-49FC-A108-736785C78E2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957" name="AutoShape 12">
          <a:extLst>
            <a:ext uri="{FF2B5EF4-FFF2-40B4-BE49-F238E27FC236}">
              <a16:creationId xmlns:a16="http://schemas.microsoft.com/office/drawing/2014/main" id="{67B29829-4071-454D-B46B-EC77F867220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958" name="AutoShape 12">
          <a:extLst>
            <a:ext uri="{FF2B5EF4-FFF2-40B4-BE49-F238E27FC236}">
              <a16:creationId xmlns:a16="http://schemas.microsoft.com/office/drawing/2014/main" id="{6DE71C54-C994-4007-9603-EDA79BD34D6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959" name="AutoShape 12">
          <a:extLst>
            <a:ext uri="{FF2B5EF4-FFF2-40B4-BE49-F238E27FC236}">
              <a16:creationId xmlns:a16="http://schemas.microsoft.com/office/drawing/2014/main" id="{5AD59BD7-D2A5-4EF4-B9CE-270DBD5CE85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960" name="AutoShape 12">
          <a:extLst>
            <a:ext uri="{FF2B5EF4-FFF2-40B4-BE49-F238E27FC236}">
              <a16:creationId xmlns:a16="http://schemas.microsoft.com/office/drawing/2014/main" id="{FA2EFB3B-E5DE-40FD-A477-A0D501B663D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961" name="AutoShape 12">
          <a:extLst>
            <a:ext uri="{FF2B5EF4-FFF2-40B4-BE49-F238E27FC236}">
              <a16:creationId xmlns:a16="http://schemas.microsoft.com/office/drawing/2014/main" id="{062895F0-5D04-447B-BA97-1A35B4EE4A0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962" name="AutoShape 12">
          <a:extLst>
            <a:ext uri="{FF2B5EF4-FFF2-40B4-BE49-F238E27FC236}">
              <a16:creationId xmlns:a16="http://schemas.microsoft.com/office/drawing/2014/main" id="{5F27F248-5D32-4E53-802D-76CBBF7D079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963" name="AutoShape 12">
          <a:extLst>
            <a:ext uri="{FF2B5EF4-FFF2-40B4-BE49-F238E27FC236}">
              <a16:creationId xmlns:a16="http://schemas.microsoft.com/office/drawing/2014/main" id="{B9246B82-A3CF-4CC5-AAE6-C8E0DF08CA0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964" name="AutoShape 12">
          <a:extLst>
            <a:ext uri="{FF2B5EF4-FFF2-40B4-BE49-F238E27FC236}">
              <a16:creationId xmlns:a16="http://schemas.microsoft.com/office/drawing/2014/main" id="{2266CE0D-9CB9-4E80-9840-298130F7A5D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965" name="AutoShape 12">
          <a:extLst>
            <a:ext uri="{FF2B5EF4-FFF2-40B4-BE49-F238E27FC236}">
              <a16:creationId xmlns:a16="http://schemas.microsoft.com/office/drawing/2014/main" id="{C869A684-2D4D-4BF4-B117-84788BA6143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966" name="AutoShape 12">
          <a:extLst>
            <a:ext uri="{FF2B5EF4-FFF2-40B4-BE49-F238E27FC236}">
              <a16:creationId xmlns:a16="http://schemas.microsoft.com/office/drawing/2014/main" id="{BE534935-7C62-4FC7-B511-0FD53C6748D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967" name="AutoShape 12">
          <a:extLst>
            <a:ext uri="{FF2B5EF4-FFF2-40B4-BE49-F238E27FC236}">
              <a16:creationId xmlns:a16="http://schemas.microsoft.com/office/drawing/2014/main" id="{C0DD4C28-B7CF-4A34-AB4F-7695430B74C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968" name="AutoShape 12">
          <a:extLst>
            <a:ext uri="{FF2B5EF4-FFF2-40B4-BE49-F238E27FC236}">
              <a16:creationId xmlns:a16="http://schemas.microsoft.com/office/drawing/2014/main" id="{E1CB20A1-335B-4511-8162-328AF8D3E38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969" name="AutoShape 12">
          <a:extLst>
            <a:ext uri="{FF2B5EF4-FFF2-40B4-BE49-F238E27FC236}">
              <a16:creationId xmlns:a16="http://schemas.microsoft.com/office/drawing/2014/main" id="{D16D7793-6AE0-4886-91DF-352E5AD4A84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970" name="AutoShape 12">
          <a:extLst>
            <a:ext uri="{FF2B5EF4-FFF2-40B4-BE49-F238E27FC236}">
              <a16:creationId xmlns:a16="http://schemas.microsoft.com/office/drawing/2014/main" id="{AECA297C-F00E-4CE8-90E4-48077614420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971" name="AutoShape 12">
          <a:extLst>
            <a:ext uri="{FF2B5EF4-FFF2-40B4-BE49-F238E27FC236}">
              <a16:creationId xmlns:a16="http://schemas.microsoft.com/office/drawing/2014/main" id="{2080B579-772E-4D22-A2CE-4372F0534AB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972" name="AutoShape 12">
          <a:extLst>
            <a:ext uri="{FF2B5EF4-FFF2-40B4-BE49-F238E27FC236}">
              <a16:creationId xmlns:a16="http://schemas.microsoft.com/office/drawing/2014/main" id="{517F87B5-A563-4517-A23E-99482B7E521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973" name="AutoShape 12">
          <a:extLst>
            <a:ext uri="{FF2B5EF4-FFF2-40B4-BE49-F238E27FC236}">
              <a16:creationId xmlns:a16="http://schemas.microsoft.com/office/drawing/2014/main" id="{E0668409-A99A-4C12-AFBD-7F6C0836AF3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974" name="AutoShape 12">
          <a:extLst>
            <a:ext uri="{FF2B5EF4-FFF2-40B4-BE49-F238E27FC236}">
              <a16:creationId xmlns:a16="http://schemas.microsoft.com/office/drawing/2014/main" id="{07BC4A03-BFB5-4EBA-82BE-3BE944F1ABE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975" name="AutoShape 12">
          <a:extLst>
            <a:ext uri="{FF2B5EF4-FFF2-40B4-BE49-F238E27FC236}">
              <a16:creationId xmlns:a16="http://schemas.microsoft.com/office/drawing/2014/main" id="{F649D971-14A5-44E6-8E32-5DF75B31386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976" name="AutoShape 12">
          <a:extLst>
            <a:ext uri="{FF2B5EF4-FFF2-40B4-BE49-F238E27FC236}">
              <a16:creationId xmlns:a16="http://schemas.microsoft.com/office/drawing/2014/main" id="{4EEB64DF-B257-4CB1-AC7D-FEAF299F01B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977" name="AutoShape 12">
          <a:extLst>
            <a:ext uri="{FF2B5EF4-FFF2-40B4-BE49-F238E27FC236}">
              <a16:creationId xmlns:a16="http://schemas.microsoft.com/office/drawing/2014/main" id="{47FAD275-D515-4928-AD4E-B79020F3541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978" name="AutoShape 12">
          <a:extLst>
            <a:ext uri="{FF2B5EF4-FFF2-40B4-BE49-F238E27FC236}">
              <a16:creationId xmlns:a16="http://schemas.microsoft.com/office/drawing/2014/main" id="{68D489BA-8D2F-4D1B-B7DE-22B73104DD4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979" name="AutoShape 12">
          <a:extLst>
            <a:ext uri="{FF2B5EF4-FFF2-40B4-BE49-F238E27FC236}">
              <a16:creationId xmlns:a16="http://schemas.microsoft.com/office/drawing/2014/main" id="{3D2D20A2-EE7B-4F02-BF20-322E5FD20EE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980" name="AutoShape 12">
          <a:extLst>
            <a:ext uri="{FF2B5EF4-FFF2-40B4-BE49-F238E27FC236}">
              <a16:creationId xmlns:a16="http://schemas.microsoft.com/office/drawing/2014/main" id="{99402718-B560-4C44-99A6-91C69E229FB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981" name="AutoShape 12">
          <a:extLst>
            <a:ext uri="{FF2B5EF4-FFF2-40B4-BE49-F238E27FC236}">
              <a16:creationId xmlns:a16="http://schemas.microsoft.com/office/drawing/2014/main" id="{4D93C13C-08A0-4E7C-8126-805199ABD94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982" name="AutoShape 12">
          <a:extLst>
            <a:ext uri="{FF2B5EF4-FFF2-40B4-BE49-F238E27FC236}">
              <a16:creationId xmlns:a16="http://schemas.microsoft.com/office/drawing/2014/main" id="{496B138C-3CE6-4DA9-A8FF-9C8967DD782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983" name="AutoShape 12">
          <a:extLst>
            <a:ext uri="{FF2B5EF4-FFF2-40B4-BE49-F238E27FC236}">
              <a16:creationId xmlns:a16="http://schemas.microsoft.com/office/drawing/2014/main" id="{E90D7A8D-BB60-4774-A5CC-F735791E351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984" name="AutoShape 12">
          <a:extLst>
            <a:ext uri="{FF2B5EF4-FFF2-40B4-BE49-F238E27FC236}">
              <a16:creationId xmlns:a16="http://schemas.microsoft.com/office/drawing/2014/main" id="{6E06CB7E-A006-4586-A683-1317136B508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985" name="AutoShape 12">
          <a:extLst>
            <a:ext uri="{FF2B5EF4-FFF2-40B4-BE49-F238E27FC236}">
              <a16:creationId xmlns:a16="http://schemas.microsoft.com/office/drawing/2014/main" id="{5C5FDCB9-7378-473E-B8C8-7CF184A5A4F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986" name="AutoShape 12">
          <a:extLst>
            <a:ext uri="{FF2B5EF4-FFF2-40B4-BE49-F238E27FC236}">
              <a16:creationId xmlns:a16="http://schemas.microsoft.com/office/drawing/2014/main" id="{578C53A9-9EE3-43B3-AA55-56E4D0BC31F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987" name="AutoShape 12">
          <a:extLst>
            <a:ext uri="{FF2B5EF4-FFF2-40B4-BE49-F238E27FC236}">
              <a16:creationId xmlns:a16="http://schemas.microsoft.com/office/drawing/2014/main" id="{D3A09C17-E112-4927-8A2A-A8E362F063C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988" name="AutoShape 12">
          <a:extLst>
            <a:ext uri="{FF2B5EF4-FFF2-40B4-BE49-F238E27FC236}">
              <a16:creationId xmlns:a16="http://schemas.microsoft.com/office/drawing/2014/main" id="{86135B2B-B8A6-42FA-97AD-5968D47404E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989" name="AutoShape 12">
          <a:extLst>
            <a:ext uri="{FF2B5EF4-FFF2-40B4-BE49-F238E27FC236}">
              <a16:creationId xmlns:a16="http://schemas.microsoft.com/office/drawing/2014/main" id="{5EC2A032-96D5-4DB4-AD6E-397D440F67B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990" name="AutoShape 12">
          <a:extLst>
            <a:ext uri="{FF2B5EF4-FFF2-40B4-BE49-F238E27FC236}">
              <a16:creationId xmlns:a16="http://schemas.microsoft.com/office/drawing/2014/main" id="{2AB7D234-8C72-4458-ABBA-4B984343AFE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991" name="AutoShape 12">
          <a:extLst>
            <a:ext uri="{FF2B5EF4-FFF2-40B4-BE49-F238E27FC236}">
              <a16:creationId xmlns:a16="http://schemas.microsoft.com/office/drawing/2014/main" id="{F6DAF22B-CCE3-4656-8BBB-57ADB6685DC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992" name="AutoShape 12">
          <a:extLst>
            <a:ext uri="{FF2B5EF4-FFF2-40B4-BE49-F238E27FC236}">
              <a16:creationId xmlns:a16="http://schemas.microsoft.com/office/drawing/2014/main" id="{CBB30A33-C7B8-4B1D-AAE2-630602EB5E1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993" name="AutoShape 12">
          <a:extLst>
            <a:ext uri="{FF2B5EF4-FFF2-40B4-BE49-F238E27FC236}">
              <a16:creationId xmlns:a16="http://schemas.microsoft.com/office/drawing/2014/main" id="{1DAF029D-B75D-4A26-A53E-B8C7EDFB94E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994" name="AutoShape 12">
          <a:extLst>
            <a:ext uri="{FF2B5EF4-FFF2-40B4-BE49-F238E27FC236}">
              <a16:creationId xmlns:a16="http://schemas.microsoft.com/office/drawing/2014/main" id="{5CA316D9-F1AF-46F8-BA76-33E171F0CFE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995" name="AutoShape 12">
          <a:extLst>
            <a:ext uri="{FF2B5EF4-FFF2-40B4-BE49-F238E27FC236}">
              <a16:creationId xmlns:a16="http://schemas.microsoft.com/office/drawing/2014/main" id="{C6429C56-968B-4666-988D-5056976A337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996" name="AutoShape 12">
          <a:extLst>
            <a:ext uri="{FF2B5EF4-FFF2-40B4-BE49-F238E27FC236}">
              <a16:creationId xmlns:a16="http://schemas.microsoft.com/office/drawing/2014/main" id="{91287E04-3F66-4332-B90A-194B6DEBBB8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863</xdr:row>
      <xdr:rowOff>0</xdr:rowOff>
    </xdr:from>
    <xdr:ext cx="304800" cy="304094"/>
    <xdr:sp macro="" textlink="">
      <xdr:nvSpPr>
        <xdr:cNvPr id="7997" name="AutoShape 12">
          <a:extLst>
            <a:ext uri="{FF2B5EF4-FFF2-40B4-BE49-F238E27FC236}">
              <a16:creationId xmlns:a16="http://schemas.microsoft.com/office/drawing/2014/main" id="{1F0E3976-D578-4118-87DD-E81EEAD7337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7998" name="AutoShape 12">
          <a:extLst>
            <a:ext uri="{FF2B5EF4-FFF2-40B4-BE49-F238E27FC236}">
              <a16:creationId xmlns:a16="http://schemas.microsoft.com/office/drawing/2014/main" id="{4217C402-DE7F-483E-8D17-FD722EA46F8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7999" name="AutoShape 12">
          <a:extLst>
            <a:ext uri="{FF2B5EF4-FFF2-40B4-BE49-F238E27FC236}">
              <a16:creationId xmlns:a16="http://schemas.microsoft.com/office/drawing/2014/main" id="{6E6EDF11-E14F-45E3-B2A7-FB3E0BD470D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8000" name="AutoShape 12">
          <a:extLst>
            <a:ext uri="{FF2B5EF4-FFF2-40B4-BE49-F238E27FC236}">
              <a16:creationId xmlns:a16="http://schemas.microsoft.com/office/drawing/2014/main" id="{EC579A46-E544-48B9-9FB2-D37BAE3B69D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8001" name="AutoShape 12">
          <a:extLst>
            <a:ext uri="{FF2B5EF4-FFF2-40B4-BE49-F238E27FC236}">
              <a16:creationId xmlns:a16="http://schemas.microsoft.com/office/drawing/2014/main" id="{53E52E3D-C1BF-4819-AB89-84A71BE32E5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8002" name="AutoShape 12">
          <a:extLst>
            <a:ext uri="{FF2B5EF4-FFF2-40B4-BE49-F238E27FC236}">
              <a16:creationId xmlns:a16="http://schemas.microsoft.com/office/drawing/2014/main" id="{B02BF615-4689-4A95-B0CB-AB683FEC311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8003" name="AutoShape 12">
          <a:extLst>
            <a:ext uri="{FF2B5EF4-FFF2-40B4-BE49-F238E27FC236}">
              <a16:creationId xmlns:a16="http://schemas.microsoft.com/office/drawing/2014/main" id="{30B58D74-D5CE-4E41-B4A3-3799DD77466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8004" name="AutoShape 12">
          <a:extLst>
            <a:ext uri="{FF2B5EF4-FFF2-40B4-BE49-F238E27FC236}">
              <a16:creationId xmlns:a16="http://schemas.microsoft.com/office/drawing/2014/main" id="{77260A28-58CF-48B5-927B-121D579D8EE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8005" name="AutoShape 12">
          <a:extLst>
            <a:ext uri="{FF2B5EF4-FFF2-40B4-BE49-F238E27FC236}">
              <a16:creationId xmlns:a16="http://schemas.microsoft.com/office/drawing/2014/main" id="{40B7AFC0-5CB5-4AA4-A0F4-F4A97AD9F1A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8006" name="AutoShape 12">
          <a:extLst>
            <a:ext uri="{FF2B5EF4-FFF2-40B4-BE49-F238E27FC236}">
              <a16:creationId xmlns:a16="http://schemas.microsoft.com/office/drawing/2014/main" id="{72DC61F2-39FD-40AA-B8FD-446F3AF25D2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8007" name="AutoShape 12">
          <a:extLst>
            <a:ext uri="{FF2B5EF4-FFF2-40B4-BE49-F238E27FC236}">
              <a16:creationId xmlns:a16="http://schemas.microsoft.com/office/drawing/2014/main" id="{03E3DA6D-1C75-41AD-8A53-33D8F909677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8008" name="AutoShape 12">
          <a:extLst>
            <a:ext uri="{FF2B5EF4-FFF2-40B4-BE49-F238E27FC236}">
              <a16:creationId xmlns:a16="http://schemas.microsoft.com/office/drawing/2014/main" id="{EFD6186D-5EDA-4970-92FA-4B5F2BE408D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8009" name="AutoShape 12">
          <a:extLst>
            <a:ext uri="{FF2B5EF4-FFF2-40B4-BE49-F238E27FC236}">
              <a16:creationId xmlns:a16="http://schemas.microsoft.com/office/drawing/2014/main" id="{10FAC3EC-485F-45BA-8E94-5DF7BA24AAA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8010" name="AutoShape 12">
          <a:extLst>
            <a:ext uri="{FF2B5EF4-FFF2-40B4-BE49-F238E27FC236}">
              <a16:creationId xmlns:a16="http://schemas.microsoft.com/office/drawing/2014/main" id="{C3BEE3C0-A692-44E0-8CD7-C8BAA490BF9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8011" name="AutoShape 12">
          <a:extLst>
            <a:ext uri="{FF2B5EF4-FFF2-40B4-BE49-F238E27FC236}">
              <a16:creationId xmlns:a16="http://schemas.microsoft.com/office/drawing/2014/main" id="{A26CB246-C491-416A-B234-0F64433F9D6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8012" name="AutoShape 12">
          <a:extLst>
            <a:ext uri="{FF2B5EF4-FFF2-40B4-BE49-F238E27FC236}">
              <a16:creationId xmlns:a16="http://schemas.microsoft.com/office/drawing/2014/main" id="{E7274759-93C9-4485-AA93-730B0E64410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8013" name="AutoShape 12">
          <a:extLst>
            <a:ext uri="{FF2B5EF4-FFF2-40B4-BE49-F238E27FC236}">
              <a16:creationId xmlns:a16="http://schemas.microsoft.com/office/drawing/2014/main" id="{EF4CC174-9A77-4B02-82FD-BEBE5C17020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8014" name="AutoShape 12">
          <a:extLst>
            <a:ext uri="{FF2B5EF4-FFF2-40B4-BE49-F238E27FC236}">
              <a16:creationId xmlns:a16="http://schemas.microsoft.com/office/drawing/2014/main" id="{E8517A1B-4861-4682-A0C0-767A5880029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8015" name="AutoShape 12">
          <a:extLst>
            <a:ext uri="{FF2B5EF4-FFF2-40B4-BE49-F238E27FC236}">
              <a16:creationId xmlns:a16="http://schemas.microsoft.com/office/drawing/2014/main" id="{74A88555-B964-4053-9EA2-88EF9FF79FE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8016" name="AutoShape 12">
          <a:extLst>
            <a:ext uri="{FF2B5EF4-FFF2-40B4-BE49-F238E27FC236}">
              <a16:creationId xmlns:a16="http://schemas.microsoft.com/office/drawing/2014/main" id="{6DEB087B-3594-4E79-830E-7563E80BFE9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8017" name="AutoShape 12">
          <a:extLst>
            <a:ext uri="{FF2B5EF4-FFF2-40B4-BE49-F238E27FC236}">
              <a16:creationId xmlns:a16="http://schemas.microsoft.com/office/drawing/2014/main" id="{9BE5F9B1-0E3D-42EB-84D6-E2255592B32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8018" name="AutoShape 12">
          <a:extLst>
            <a:ext uri="{FF2B5EF4-FFF2-40B4-BE49-F238E27FC236}">
              <a16:creationId xmlns:a16="http://schemas.microsoft.com/office/drawing/2014/main" id="{E7D35AB2-B0F7-4664-8E9E-71D6B263918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8019" name="AutoShape 12">
          <a:extLst>
            <a:ext uri="{FF2B5EF4-FFF2-40B4-BE49-F238E27FC236}">
              <a16:creationId xmlns:a16="http://schemas.microsoft.com/office/drawing/2014/main" id="{AECC4E82-615A-4DA8-9DA7-BFD3AED278B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8020" name="AutoShape 12">
          <a:extLst>
            <a:ext uri="{FF2B5EF4-FFF2-40B4-BE49-F238E27FC236}">
              <a16:creationId xmlns:a16="http://schemas.microsoft.com/office/drawing/2014/main" id="{AB03B3F6-E346-47A3-8CA1-99D989CD46B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8021" name="AutoShape 12">
          <a:extLst>
            <a:ext uri="{FF2B5EF4-FFF2-40B4-BE49-F238E27FC236}">
              <a16:creationId xmlns:a16="http://schemas.microsoft.com/office/drawing/2014/main" id="{418A9C26-6671-4931-ADAF-53D71CAE61D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8022" name="AutoShape 12">
          <a:extLst>
            <a:ext uri="{FF2B5EF4-FFF2-40B4-BE49-F238E27FC236}">
              <a16:creationId xmlns:a16="http://schemas.microsoft.com/office/drawing/2014/main" id="{85553900-A1F9-45E7-B691-CF6521684CC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8023" name="AutoShape 12">
          <a:extLst>
            <a:ext uri="{FF2B5EF4-FFF2-40B4-BE49-F238E27FC236}">
              <a16:creationId xmlns:a16="http://schemas.microsoft.com/office/drawing/2014/main" id="{5BF54289-C740-4180-9A6E-8A26ED4AF7B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8024" name="AutoShape 12">
          <a:extLst>
            <a:ext uri="{FF2B5EF4-FFF2-40B4-BE49-F238E27FC236}">
              <a16:creationId xmlns:a16="http://schemas.microsoft.com/office/drawing/2014/main" id="{9C643D92-752C-4892-B99A-DD381575084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8025" name="AutoShape 12">
          <a:extLst>
            <a:ext uri="{FF2B5EF4-FFF2-40B4-BE49-F238E27FC236}">
              <a16:creationId xmlns:a16="http://schemas.microsoft.com/office/drawing/2014/main" id="{0334E1FE-000D-4676-B10C-B0BCAC8BB8F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8026" name="AutoShape 12">
          <a:extLst>
            <a:ext uri="{FF2B5EF4-FFF2-40B4-BE49-F238E27FC236}">
              <a16:creationId xmlns:a16="http://schemas.microsoft.com/office/drawing/2014/main" id="{58437D78-5028-47E2-82A5-835C82CD43A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8027" name="AutoShape 12">
          <a:extLst>
            <a:ext uri="{FF2B5EF4-FFF2-40B4-BE49-F238E27FC236}">
              <a16:creationId xmlns:a16="http://schemas.microsoft.com/office/drawing/2014/main" id="{1628EF96-CBFC-4CA5-8E3B-10D4C5856E8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8028" name="AutoShape 12">
          <a:extLst>
            <a:ext uri="{FF2B5EF4-FFF2-40B4-BE49-F238E27FC236}">
              <a16:creationId xmlns:a16="http://schemas.microsoft.com/office/drawing/2014/main" id="{041B1C0A-85B9-4AAE-B4BF-11E323A8652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8029" name="AutoShape 12">
          <a:extLst>
            <a:ext uri="{FF2B5EF4-FFF2-40B4-BE49-F238E27FC236}">
              <a16:creationId xmlns:a16="http://schemas.microsoft.com/office/drawing/2014/main" id="{94CC3268-D8F2-4780-BFA3-692843EDD5A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8030" name="AutoShape 12">
          <a:extLst>
            <a:ext uri="{FF2B5EF4-FFF2-40B4-BE49-F238E27FC236}">
              <a16:creationId xmlns:a16="http://schemas.microsoft.com/office/drawing/2014/main" id="{8DC6C2CE-C5EF-4BBE-B20A-C6695BDB5C1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8031" name="AutoShape 12">
          <a:extLst>
            <a:ext uri="{FF2B5EF4-FFF2-40B4-BE49-F238E27FC236}">
              <a16:creationId xmlns:a16="http://schemas.microsoft.com/office/drawing/2014/main" id="{5102592D-DCBF-4B6F-93EC-AFC17F58B21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8032" name="AutoShape 12">
          <a:extLst>
            <a:ext uri="{FF2B5EF4-FFF2-40B4-BE49-F238E27FC236}">
              <a16:creationId xmlns:a16="http://schemas.microsoft.com/office/drawing/2014/main" id="{9523D20B-B2E1-49CD-A6B4-82E9F2CBDAA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8033" name="AutoShape 12">
          <a:extLst>
            <a:ext uri="{FF2B5EF4-FFF2-40B4-BE49-F238E27FC236}">
              <a16:creationId xmlns:a16="http://schemas.microsoft.com/office/drawing/2014/main" id="{DEF8A5AB-8615-4658-B3CE-0E0CE5BB574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8034" name="AutoShape 12">
          <a:extLst>
            <a:ext uri="{FF2B5EF4-FFF2-40B4-BE49-F238E27FC236}">
              <a16:creationId xmlns:a16="http://schemas.microsoft.com/office/drawing/2014/main" id="{8E7BDC78-864F-41DD-BDAD-4D9C0193B49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8035" name="AutoShape 12">
          <a:extLst>
            <a:ext uri="{FF2B5EF4-FFF2-40B4-BE49-F238E27FC236}">
              <a16:creationId xmlns:a16="http://schemas.microsoft.com/office/drawing/2014/main" id="{29A51EC3-57F1-480E-99A5-2415732A0A5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8036" name="AutoShape 12">
          <a:extLst>
            <a:ext uri="{FF2B5EF4-FFF2-40B4-BE49-F238E27FC236}">
              <a16:creationId xmlns:a16="http://schemas.microsoft.com/office/drawing/2014/main" id="{F7DE2555-EB5F-43C4-AD5C-D5C9A436A77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8037" name="AutoShape 12">
          <a:extLst>
            <a:ext uri="{FF2B5EF4-FFF2-40B4-BE49-F238E27FC236}">
              <a16:creationId xmlns:a16="http://schemas.microsoft.com/office/drawing/2014/main" id="{26E119DD-069A-41A3-9678-05C1708B56A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8038" name="AutoShape 12">
          <a:extLst>
            <a:ext uri="{FF2B5EF4-FFF2-40B4-BE49-F238E27FC236}">
              <a16:creationId xmlns:a16="http://schemas.microsoft.com/office/drawing/2014/main" id="{E6B346E7-DA2A-4898-9660-5F172EEB14A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8039" name="AutoShape 12">
          <a:extLst>
            <a:ext uri="{FF2B5EF4-FFF2-40B4-BE49-F238E27FC236}">
              <a16:creationId xmlns:a16="http://schemas.microsoft.com/office/drawing/2014/main" id="{517EA4B4-7417-4BD2-8B13-0388D79DCEF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8040" name="AutoShape 12">
          <a:extLst>
            <a:ext uri="{FF2B5EF4-FFF2-40B4-BE49-F238E27FC236}">
              <a16:creationId xmlns:a16="http://schemas.microsoft.com/office/drawing/2014/main" id="{61D58413-D62D-47E2-9DD8-4BFFC7FE28E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8041" name="AutoShape 12">
          <a:extLst>
            <a:ext uri="{FF2B5EF4-FFF2-40B4-BE49-F238E27FC236}">
              <a16:creationId xmlns:a16="http://schemas.microsoft.com/office/drawing/2014/main" id="{A21F154E-1F69-4D88-BDC8-6A627C6698B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8042" name="AutoShape 12">
          <a:extLst>
            <a:ext uri="{FF2B5EF4-FFF2-40B4-BE49-F238E27FC236}">
              <a16:creationId xmlns:a16="http://schemas.microsoft.com/office/drawing/2014/main" id="{D2F5E849-B724-4835-89D0-5F97D61FDE6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8043" name="AutoShape 12">
          <a:extLst>
            <a:ext uri="{FF2B5EF4-FFF2-40B4-BE49-F238E27FC236}">
              <a16:creationId xmlns:a16="http://schemas.microsoft.com/office/drawing/2014/main" id="{A90D8979-1C68-4DAF-B3A8-E341578D044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8044" name="AutoShape 12">
          <a:extLst>
            <a:ext uri="{FF2B5EF4-FFF2-40B4-BE49-F238E27FC236}">
              <a16:creationId xmlns:a16="http://schemas.microsoft.com/office/drawing/2014/main" id="{1BB28F51-499C-4A49-B7D8-0754FF2D0F0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8045" name="AutoShape 12">
          <a:extLst>
            <a:ext uri="{FF2B5EF4-FFF2-40B4-BE49-F238E27FC236}">
              <a16:creationId xmlns:a16="http://schemas.microsoft.com/office/drawing/2014/main" id="{24E00C80-743A-44E5-9A1A-3CA5A7F5FBC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8046" name="AutoShape 12">
          <a:extLst>
            <a:ext uri="{FF2B5EF4-FFF2-40B4-BE49-F238E27FC236}">
              <a16:creationId xmlns:a16="http://schemas.microsoft.com/office/drawing/2014/main" id="{D0011CBC-85EF-49F9-A915-A6359E44615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8047" name="AutoShape 12">
          <a:extLst>
            <a:ext uri="{FF2B5EF4-FFF2-40B4-BE49-F238E27FC236}">
              <a16:creationId xmlns:a16="http://schemas.microsoft.com/office/drawing/2014/main" id="{20AAE496-6300-4442-BAB3-61D66ABC199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8048" name="AutoShape 12">
          <a:extLst>
            <a:ext uri="{FF2B5EF4-FFF2-40B4-BE49-F238E27FC236}">
              <a16:creationId xmlns:a16="http://schemas.microsoft.com/office/drawing/2014/main" id="{127310F2-17AC-4595-AF08-1696A8D0872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8049" name="AutoShape 12">
          <a:extLst>
            <a:ext uri="{FF2B5EF4-FFF2-40B4-BE49-F238E27FC236}">
              <a16:creationId xmlns:a16="http://schemas.microsoft.com/office/drawing/2014/main" id="{9345F7B7-FA17-4EE6-84CA-6FDB2E97E1E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8050" name="AutoShape 12">
          <a:extLst>
            <a:ext uri="{FF2B5EF4-FFF2-40B4-BE49-F238E27FC236}">
              <a16:creationId xmlns:a16="http://schemas.microsoft.com/office/drawing/2014/main" id="{1F339289-7295-4D8D-AC89-AB4368FBF25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8051" name="AutoShape 12">
          <a:extLst>
            <a:ext uri="{FF2B5EF4-FFF2-40B4-BE49-F238E27FC236}">
              <a16:creationId xmlns:a16="http://schemas.microsoft.com/office/drawing/2014/main" id="{59E4D155-2B7D-400C-8664-86B258220F0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8052" name="AutoShape 12">
          <a:extLst>
            <a:ext uri="{FF2B5EF4-FFF2-40B4-BE49-F238E27FC236}">
              <a16:creationId xmlns:a16="http://schemas.microsoft.com/office/drawing/2014/main" id="{BCD278A7-C959-4B92-B527-8C75EE600C6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8053" name="AutoShape 12">
          <a:extLst>
            <a:ext uri="{FF2B5EF4-FFF2-40B4-BE49-F238E27FC236}">
              <a16:creationId xmlns:a16="http://schemas.microsoft.com/office/drawing/2014/main" id="{DDE213B1-DF1D-4EF5-9264-09A54918689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8054" name="AutoShape 12">
          <a:extLst>
            <a:ext uri="{FF2B5EF4-FFF2-40B4-BE49-F238E27FC236}">
              <a16:creationId xmlns:a16="http://schemas.microsoft.com/office/drawing/2014/main" id="{A15CB35E-A2C2-4FE3-8672-C298AF6F834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8055" name="AutoShape 12">
          <a:extLst>
            <a:ext uri="{FF2B5EF4-FFF2-40B4-BE49-F238E27FC236}">
              <a16:creationId xmlns:a16="http://schemas.microsoft.com/office/drawing/2014/main" id="{66C33F04-C873-4D56-B03C-234326D2F8C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8056" name="AutoShape 12">
          <a:extLst>
            <a:ext uri="{FF2B5EF4-FFF2-40B4-BE49-F238E27FC236}">
              <a16:creationId xmlns:a16="http://schemas.microsoft.com/office/drawing/2014/main" id="{720E2124-656B-4ECD-B9C1-4A2580A9574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8057" name="AutoShape 12">
          <a:extLst>
            <a:ext uri="{FF2B5EF4-FFF2-40B4-BE49-F238E27FC236}">
              <a16:creationId xmlns:a16="http://schemas.microsoft.com/office/drawing/2014/main" id="{F8A3DF1C-BF68-41F4-BFB8-9F4597CB1E7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8058" name="AutoShape 12">
          <a:extLst>
            <a:ext uri="{FF2B5EF4-FFF2-40B4-BE49-F238E27FC236}">
              <a16:creationId xmlns:a16="http://schemas.microsoft.com/office/drawing/2014/main" id="{4CE25F0B-671C-4C10-B9D5-620AA34CF80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8059" name="AutoShape 12">
          <a:extLst>
            <a:ext uri="{FF2B5EF4-FFF2-40B4-BE49-F238E27FC236}">
              <a16:creationId xmlns:a16="http://schemas.microsoft.com/office/drawing/2014/main" id="{084F96EB-6128-4FDA-BBD5-2FA55613C6C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8060" name="AutoShape 12">
          <a:extLst>
            <a:ext uri="{FF2B5EF4-FFF2-40B4-BE49-F238E27FC236}">
              <a16:creationId xmlns:a16="http://schemas.microsoft.com/office/drawing/2014/main" id="{36BE16A5-F685-4BED-9B45-38F92F2E33C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8061" name="AutoShape 12">
          <a:extLst>
            <a:ext uri="{FF2B5EF4-FFF2-40B4-BE49-F238E27FC236}">
              <a16:creationId xmlns:a16="http://schemas.microsoft.com/office/drawing/2014/main" id="{6C1123B9-2B76-4003-B290-63F08C548AF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8062" name="AutoShape 12">
          <a:extLst>
            <a:ext uri="{FF2B5EF4-FFF2-40B4-BE49-F238E27FC236}">
              <a16:creationId xmlns:a16="http://schemas.microsoft.com/office/drawing/2014/main" id="{BC30341B-B900-4E31-9EC1-840FA886250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8063" name="AutoShape 12">
          <a:extLst>
            <a:ext uri="{FF2B5EF4-FFF2-40B4-BE49-F238E27FC236}">
              <a16:creationId xmlns:a16="http://schemas.microsoft.com/office/drawing/2014/main" id="{5D3299AD-8A3F-44BC-9748-5F46D9A2584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8064" name="AutoShape 12">
          <a:extLst>
            <a:ext uri="{FF2B5EF4-FFF2-40B4-BE49-F238E27FC236}">
              <a16:creationId xmlns:a16="http://schemas.microsoft.com/office/drawing/2014/main" id="{3D9E80A0-F8B4-4AC4-B7E8-747C9F31FA4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8065" name="AutoShape 12">
          <a:extLst>
            <a:ext uri="{FF2B5EF4-FFF2-40B4-BE49-F238E27FC236}">
              <a16:creationId xmlns:a16="http://schemas.microsoft.com/office/drawing/2014/main" id="{B75B3A9B-4A26-4862-98F7-D24037C84F3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8066" name="AutoShape 12">
          <a:extLst>
            <a:ext uri="{FF2B5EF4-FFF2-40B4-BE49-F238E27FC236}">
              <a16:creationId xmlns:a16="http://schemas.microsoft.com/office/drawing/2014/main" id="{02795C7C-A611-4F42-807F-2232CE11FB3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8067" name="AutoShape 12">
          <a:extLst>
            <a:ext uri="{FF2B5EF4-FFF2-40B4-BE49-F238E27FC236}">
              <a16:creationId xmlns:a16="http://schemas.microsoft.com/office/drawing/2014/main" id="{2D4EDF82-B72B-40C4-8C0B-8C2E0D73B38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8068" name="AutoShape 12">
          <a:extLst>
            <a:ext uri="{FF2B5EF4-FFF2-40B4-BE49-F238E27FC236}">
              <a16:creationId xmlns:a16="http://schemas.microsoft.com/office/drawing/2014/main" id="{BFD69474-4795-49FD-B4F9-19BF6186FF2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8069" name="AutoShape 12">
          <a:extLst>
            <a:ext uri="{FF2B5EF4-FFF2-40B4-BE49-F238E27FC236}">
              <a16:creationId xmlns:a16="http://schemas.microsoft.com/office/drawing/2014/main" id="{0FE58D91-7415-4C3A-9BE5-D377B49321A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8070" name="AutoShape 12">
          <a:extLst>
            <a:ext uri="{FF2B5EF4-FFF2-40B4-BE49-F238E27FC236}">
              <a16:creationId xmlns:a16="http://schemas.microsoft.com/office/drawing/2014/main" id="{7D1D7C28-C8B0-43E5-9F59-45539C14251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8071" name="AutoShape 12">
          <a:extLst>
            <a:ext uri="{FF2B5EF4-FFF2-40B4-BE49-F238E27FC236}">
              <a16:creationId xmlns:a16="http://schemas.microsoft.com/office/drawing/2014/main" id="{395DAEC8-42E5-4BA3-ABD2-9920F363813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8072" name="AutoShape 12">
          <a:extLst>
            <a:ext uri="{FF2B5EF4-FFF2-40B4-BE49-F238E27FC236}">
              <a16:creationId xmlns:a16="http://schemas.microsoft.com/office/drawing/2014/main" id="{AFD0FD1B-A944-4524-B4F3-1A7B75710E3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8073" name="AutoShape 12">
          <a:extLst>
            <a:ext uri="{FF2B5EF4-FFF2-40B4-BE49-F238E27FC236}">
              <a16:creationId xmlns:a16="http://schemas.microsoft.com/office/drawing/2014/main" id="{09AC53E6-E385-42FC-8197-17C8744868D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8074" name="AutoShape 12">
          <a:extLst>
            <a:ext uri="{FF2B5EF4-FFF2-40B4-BE49-F238E27FC236}">
              <a16:creationId xmlns:a16="http://schemas.microsoft.com/office/drawing/2014/main" id="{4E056DE3-4B19-471D-A285-56DCC9021DE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8075" name="AutoShape 12">
          <a:extLst>
            <a:ext uri="{FF2B5EF4-FFF2-40B4-BE49-F238E27FC236}">
              <a16:creationId xmlns:a16="http://schemas.microsoft.com/office/drawing/2014/main" id="{E5EAEA18-BEEF-4A27-9D1F-E45F5C1E450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8076" name="AutoShape 12">
          <a:extLst>
            <a:ext uri="{FF2B5EF4-FFF2-40B4-BE49-F238E27FC236}">
              <a16:creationId xmlns:a16="http://schemas.microsoft.com/office/drawing/2014/main" id="{B14BF22D-0FF4-4605-84C9-10651985A40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8077" name="AutoShape 12">
          <a:extLst>
            <a:ext uri="{FF2B5EF4-FFF2-40B4-BE49-F238E27FC236}">
              <a16:creationId xmlns:a16="http://schemas.microsoft.com/office/drawing/2014/main" id="{1A226358-8E00-4098-8AB5-D3379BBA73B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8078" name="AutoShape 12">
          <a:extLst>
            <a:ext uri="{FF2B5EF4-FFF2-40B4-BE49-F238E27FC236}">
              <a16:creationId xmlns:a16="http://schemas.microsoft.com/office/drawing/2014/main" id="{47D3C9E2-6C67-462C-BCC3-1992936AC75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8079" name="AutoShape 12">
          <a:extLst>
            <a:ext uri="{FF2B5EF4-FFF2-40B4-BE49-F238E27FC236}">
              <a16:creationId xmlns:a16="http://schemas.microsoft.com/office/drawing/2014/main" id="{1BEE8E03-0945-4610-89A2-797AFCA8E56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8080" name="AutoShape 12">
          <a:extLst>
            <a:ext uri="{FF2B5EF4-FFF2-40B4-BE49-F238E27FC236}">
              <a16:creationId xmlns:a16="http://schemas.microsoft.com/office/drawing/2014/main" id="{901974FC-7054-4D0D-AA38-CDC844BF62E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8081" name="AutoShape 12">
          <a:extLst>
            <a:ext uri="{FF2B5EF4-FFF2-40B4-BE49-F238E27FC236}">
              <a16:creationId xmlns:a16="http://schemas.microsoft.com/office/drawing/2014/main" id="{41965075-A66D-4F31-8309-4821FD89F06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8082" name="AutoShape 12">
          <a:extLst>
            <a:ext uri="{FF2B5EF4-FFF2-40B4-BE49-F238E27FC236}">
              <a16:creationId xmlns:a16="http://schemas.microsoft.com/office/drawing/2014/main" id="{601D164A-38E1-441B-8896-06D1247FC0E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8083" name="AutoShape 12">
          <a:extLst>
            <a:ext uri="{FF2B5EF4-FFF2-40B4-BE49-F238E27FC236}">
              <a16:creationId xmlns:a16="http://schemas.microsoft.com/office/drawing/2014/main" id="{D8EBFBCB-EA76-41F1-AA21-439FB579F98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8084" name="AutoShape 12">
          <a:extLst>
            <a:ext uri="{FF2B5EF4-FFF2-40B4-BE49-F238E27FC236}">
              <a16:creationId xmlns:a16="http://schemas.microsoft.com/office/drawing/2014/main" id="{D0EA9E9B-0321-4EF7-A9D5-2A2175712B8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8085" name="AutoShape 12">
          <a:extLst>
            <a:ext uri="{FF2B5EF4-FFF2-40B4-BE49-F238E27FC236}">
              <a16:creationId xmlns:a16="http://schemas.microsoft.com/office/drawing/2014/main" id="{C4CFE148-EC27-4D48-AAAB-134285B5812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8086" name="AutoShape 12">
          <a:extLst>
            <a:ext uri="{FF2B5EF4-FFF2-40B4-BE49-F238E27FC236}">
              <a16:creationId xmlns:a16="http://schemas.microsoft.com/office/drawing/2014/main" id="{259CFE15-C6BD-49B9-BF27-EB51FCD44B7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8087" name="AutoShape 12">
          <a:extLst>
            <a:ext uri="{FF2B5EF4-FFF2-40B4-BE49-F238E27FC236}">
              <a16:creationId xmlns:a16="http://schemas.microsoft.com/office/drawing/2014/main" id="{607F5766-0189-4AFC-978C-2747DCFDD51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8088" name="AutoShape 12">
          <a:extLst>
            <a:ext uri="{FF2B5EF4-FFF2-40B4-BE49-F238E27FC236}">
              <a16:creationId xmlns:a16="http://schemas.microsoft.com/office/drawing/2014/main" id="{FC4F3DA5-7190-4F5E-87C4-5EA4AF656CD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8089" name="AutoShape 12">
          <a:extLst>
            <a:ext uri="{FF2B5EF4-FFF2-40B4-BE49-F238E27FC236}">
              <a16:creationId xmlns:a16="http://schemas.microsoft.com/office/drawing/2014/main" id="{06C8F641-2BE8-42F9-9150-D380E28B70E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8090" name="AutoShape 12">
          <a:extLst>
            <a:ext uri="{FF2B5EF4-FFF2-40B4-BE49-F238E27FC236}">
              <a16:creationId xmlns:a16="http://schemas.microsoft.com/office/drawing/2014/main" id="{F9030F87-0E5F-4157-852C-D140CE815CC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8091" name="AutoShape 12">
          <a:extLst>
            <a:ext uri="{FF2B5EF4-FFF2-40B4-BE49-F238E27FC236}">
              <a16:creationId xmlns:a16="http://schemas.microsoft.com/office/drawing/2014/main" id="{A45AA2DB-237F-45FA-BCE9-D1126B14FF5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8092" name="AutoShape 12">
          <a:extLst>
            <a:ext uri="{FF2B5EF4-FFF2-40B4-BE49-F238E27FC236}">
              <a16:creationId xmlns:a16="http://schemas.microsoft.com/office/drawing/2014/main" id="{71AB5D15-2B02-4E7B-B7D7-543045472E9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8093" name="AutoShape 12">
          <a:extLst>
            <a:ext uri="{FF2B5EF4-FFF2-40B4-BE49-F238E27FC236}">
              <a16:creationId xmlns:a16="http://schemas.microsoft.com/office/drawing/2014/main" id="{64316717-7549-4CC1-976C-D5F269C061F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8094" name="AutoShape 12">
          <a:extLst>
            <a:ext uri="{FF2B5EF4-FFF2-40B4-BE49-F238E27FC236}">
              <a16:creationId xmlns:a16="http://schemas.microsoft.com/office/drawing/2014/main" id="{C3652F1B-AEFC-4761-AD78-C82D0A606C2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8095" name="AutoShape 12">
          <a:extLst>
            <a:ext uri="{FF2B5EF4-FFF2-40B4-BE49-F238E27FC236}">
              <a16:creationId xmlns:a16="http://schemas.microsoft.com/office/drawing/2014/main" id="{4671F497-EB32-4766-AEEE-12C2EA85326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8096" name="AutoShape 12">
          <a:extLst>
            <a:ext uri="{FF2B5EF4-FFF2-40B4-BE49-F238E27FC236}">
              <a16:creationId xmlns:a16="http://schemas.microsoft.com/office/drawing/2014/main" id="{C7200E94-D99C-4D87-B06B-5F70F6F23CB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8097" name="AutoShape 12">
          <a:extLst>
            <a:ext uri="{FF2B5EF4-FFF2-40B4-BE49-F238E27FC236}">
              <a16:creationId xmlns:a16="http://schemas.microsoft.com/office/drawing/2014/main" id="{4E75F32C-D47C-4EAC-B06A-A792E1E51FB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8098" name="AutoShape 12">
          <a:extLst>
            <a:ext uri="{FF2B5EF4-FFF2-40B4-BE49-F238E27FC236}">
              <a16:creationId xmlns:a16="http://schemas.microsoft.com/office/drawing/2014/main" id="{5743B8D4-A417-4CB7-9824-539B094C265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8099" name="AutoShape 12">
          <a:extLst>
            <a:ext uri="{FF2B5EF4-FFF2-40B4-BE49-F238E27FC236}">
              <a16:creationId xmlns:a16="http://schemas.microsoft.com/office/drawing/2014/main" id="{D14A45E6-8CEA-4451-A881-6495028F471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8100" name="AutoShape 12">
          <a:extLst>
            <a:ext uri="{FF2B5EF4-FFF2-40B4-BE49-F238E27FC236}">
              <a16:creationId xmlns:a16="http://schemas.microsoft.com/office/drawing/2014/main" id="{020A5D0E-C6C4-4F9E-A75E-1B7DBC05097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8101" name="AutoShape 12">
          <a:extLst>
            <a:ext uri="{FF2B5EF4-FFF2-40B4-BE49-F238E27FC236}">
              <a16:creationId xmlns:a16="http://schemas.microsoft.com/office/drawing/2014/main" id="{5EB8309B-9F3E-426C-82C7-8D540FA2C25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8102" name="AutoShape 12">
          <a:extLst>
            <a:ext uri="{FF2B5EF4-FFF2-40B4-BE49-F238E27FC236}">
              <a16:creationId xmlns:a16="http://schemas.microsoft.com/office/drawing/2014/main" id="{1B369E4C-DD12-406E-A855-6CA1096E7CE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8103" name="AutoShape 12">
          <a:extLst>
            <a:ext uri="{FF2B5EF4-FFF2-40B4-BE49-F238E27FC236}">
              <a16:creationId xmlns:a16="http://schemas.microsoft.com/office/drawing/2014/main" id="{8AA07598-A588-4BCC-89AF-09B64D43AE1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8104" name="AutoShape 12">
          <a:extLst>
            <a:ext uri="{FF2B5EF4-FFF2-40B4-BE49-F238E27FC236}">
              <a16:creationId xmlns:a16="http://schemas.microsoft.com/office/drawing/2014/main" id="{F2353F6D-BF79-4E3A-9E61-56BE9729331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8105" name="AutoShape 12">
          <a:extLst>
            <a:ext uri="{FF2B5EF4-FFF2-40B4-BE49-F238E27FC236}">
              <a16:creationId xmlns:a16="http://schemas.microsoft.com/office/drawing/2014/main" id="{01955FC4-1A23-4F05-B3F5-9AE5ABAA073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8106" name="AutoShape 12">
          <a:extLst>
            <a:ext uri="{FF2B5EF4-FFF2-40B4-BE49-F238E27FC236}">
              <a16:creationId xmlns:a16="http://schemas.microsoft.com/office/drawing/2014/main" id="{21AF7CB3-9417-44C7-AB33-01F6BD51C82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8107" name="AutoShape 12">
          <a:extLst>
            <a:ext uri="{FF2B5EF4-FFF2-40B4-BE49-F238E27FC236}">
              <a16:creationId xmlns:a16="http://schemas.microsoft.com/office/drawing/2014/main" id="{A28F0436-97E5-4642-A14A-9326680891C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8108" name="AutoShape 12">
          <a:extLst>
            <a:ext uri="{FF2B5EF4-FFF2-40B4-BE49-F238E27FC236}">
              <a16:creationId xmlns:a16="http://schemas.microsoft.com/office/drawing/2014/main" id="{8345C4F8-B4AF-47F6-824F-4995A0388CC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8109" name="AutoShape 12">
          <a:extLst>
            <a:ext uri="{FF2B5EF4-FFF2-40B4-BE49-F238E27FC236}">
              <a16:creationId xmlns:a16="http://schemas.microsoft.com/office/drawing/2014/main" id="{99CDB61B-4C37-47EF-B5F5-5E0628BB958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8110" name="AutoShape 12">
          <a:extLst>
            <a:ext uri="{FF2B5EF4-FFF2-40B4-BE49-F238E27FC236}">
              <a16:creationId xmlns:a16="http://schemas.microsoft.com/office/drawing/2014/main" id="{5B52F38F-E500-43A4-8E3B-00720708E5C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8111" name="AutoShape 12">
          <a:extLst>
            <a:ext uri="{FF2B5EF4-FFF2-40B4-BE49-F238E27FC236}">
              <a16:creationId xmlns:a16="http://schemas.microsoft.com/office/drawing/2014/main" id="{5FB6D536-1C87-4D69-BF19-F479FFE94B5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8112" name="AutoShape 12">
          <a:extLst>
            <a:ext uri="{FF2B5EF4-FFF2-40B4-BE49-F238E27FC236}">
              <a16:creationId xmlns:a16="http://schemas.microsoft.com/office/drawing/2014/main" id="{B8A22D11-1195-47F2-B50A-1A6FD6032B2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8113" name="AutoShape 12">
          <a:extLst>
            <a:ext uri="{FF2B5EF4-FFF2-40B4-BE49-F238E27FC236}">
              <a16:creationId xmlns:a16="http://schemas.microsoft.com/office/drawing/2014/main" id="{54EF9381-79CD-4328-BCB3-C35DA9DB485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8114" name="AutoShape 12">
          <a:extLst>
            <a:ext uri="{FF2B5EF4-FFF2-40B4-BE49-F238E27FC236}">
              <a16:creationId xmlns:a16="http://schemas.microsoft.com/office/drawing/2014/main" id="{89049D9C-1BD3-4B79-BDEB-33F2881F263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8115" name="AutoShape 12">
          <a:extLst>
            <a:ext uri="{FF2B5EF4-FFF2-40B4-BE49-F238E27FC236}">
              <a16:creationId xmlns:a16="http://schemas.microsoft.com/office/drawing/2014/main" id="{78A3DC63-E124-41A9-8A26-D7EE6CE21B3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8116" name="AutoShape 12">
          <a:extLst>
            <a:ext uri="{FF2B5EF4-FFF2-40B4-BE49-F238E27FC236}">
              <a16:creationId xmlns:a16="http://schemas.microsoft.com/office/drawing/2014/main" id="{9FF0F076-806C-41CA-876B-501B6C2EA9D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8117" name="AutoShape 12">
          <a:extLst>
            <a:ext uri="{FF2B5EF4-FFF2-40B4-BE49-F238E27FC236}">
              <a16:creationId xmlns:a16="http://schemas.microsoft.com/office/drawing/2014/main" id="{011CEE05-D042-4270-8EA9-DF330DEC683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8118" name="AutoShape 12">
          <a:extLst>
            <a:ext uri="{FF2B5EF4-FFF2-40B4-BE49-F238E27FC236}">
              <a16:creationId xmlns:a16="http://schemas.microsoft.com/office/drawing/2014/main" id="{0005C4D2-A020-4F49-B7B3-0AC57BE89BD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8119" name="AutoShape 12">
          <a:extLst>
            <a:ext uri="{FF2B5EF4-FFF2-40B4-BE49-F238E27FC236}">
              <a16:creationId xmlns:a16="http://schemas.microsoft.com/office/drawing/2014/main" id="{FD13E4AA-7D03-4371-8C7C-D1890594273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8120" name="AutoShape 12">
          <a:extLst>
            <a:ext uri="{FF2B5EF4-FFF2-40B4-BE49-F238E27FC236}">
              <a16:creationId xmlns:a16="http://schemas.microsoft.com/office/drawing/2014/main" id="{E2240CA4-0919-4F14-87DF-44022DBE24F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8121" name="AutoShape 12">
          <a:extLst>
            <a:ext uri="{FF2B5EF4-FFF2-40B4-BE49-F238E27FC236}">
              <a16:creationId xmlns:a16="http://schemas.microsoft.com/office/drawing/2014/main" id="{03934FFF-C94F-46D5-BC89-0B0AE25DA1F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8122" name="AutoShape 12">
          <a:extLst>
            <a:ext uri="{FF2B5EF4-FFF2-40B4-BE49-F238E27FC236}">
              <a16:creationId xmlns:a16="http://schemas.microsoft.com/office/drawing/2014/main" id="{562C8DC9-B2CD-42F4-AA6B-25A7C4699CF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8123" name="AutoShape 12">
          <a:extLst>
            <a:ext uri="{FF2B5EF4-FFF2-40B4-BE49-F238E27FC236}">
              <a16:creationId xmlns:a16="http://schemas.microsoft.com/office/drawing/2014/main" id="{4C22D7A5-2ABA-4936-8FCD-68260AA73C0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8124" name="AutoShape 12">
          <a:extLst>
            <a:ext uri="{FF2B5EF4-FFF2-40B4-BE49-F238E27FC236}">
              <a16:creationId xmlns:a16="http://schemas.microsoft.com/office/drawing/2014/main" id="{25EE716C-75F4-4FFA-9A90-B47EDA3A597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8125" name="AutoShape 12">
          <a:extLst>
            <a:ext uri="{FF2B5EF4-FFF2-40B4-BE49-F238E27FC236}">
              <a16:creationId xmlns:a16="http://schemas.microsoft.com/office/drawing/2014/main" id="{7F2441CB-5D56-4D36-B3F7-319C59A1B6D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8126" name="AutoShape 12">
          <a:extLst>
            <a:ext uri="{FF2B5EF4-FFF2-40B4-BE49-F238E27FC236}">
              <a16:creationId xmlns:a16="http://schemas.microsoft.com/office/drawing/2014/main" id="{F15620D5-A18C-41C5-BD61-48E6C416C05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8127" name="AutoShape 12">
          <a:extLst>
            <a:ext uri="{FF2B5EF4-FFF2-40B4-BE49-F238E27FC236}">
              <a16:creationId xmlns:a16="http://schemas.microsoft.com/office/drawing/2014/main" id="{3EA27FA7-2194-4B29-BAF5-502482FDC66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8128" name="AutoShape 12">
          <a:extLst>
            <a:ext uri="{FF2B5EF4-FFF2-40B4-BE49-F238E27FC236}">
              <a16:creationId xmlns:a16="http://schemas.microsoft.com/office/drawing/2014/main" id="{A7520C32-CE22-4CAD-85E6-3544F5ACD71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8129" name="AutoShape 12">
          <a:extLst>
            <a:ext uri="{FF2B5EF4-FFF2-40B4-BE49-F238E27FC236}">
              <a16:creationId xmlns:a16="http://schemas.microsoft.com/office/drawing/2014/main" id="{A7AB70BC-7418-4D07-ADB6-4B290B1CE40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8130" name="AutoShape 12">
          <a:extLst>
            <a:ext uri="{FF2B5EF4-FFF2-40B4-BE49-F238E27FC236}">
              <a16:creationId xmlns:a16="http://schemas.microsoft.com/office/drawing/2014/main" id="{CF903C93-97FE-4A1A-9EBA-648CA599D2F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8131" name="AutoShape 12">
          <a:extLst>
            <a:ext uri="{FF2B5EF4-FFF2-40B4-BE49-F238E27FC236}">
              <a16:creationId xmlns:a16="http://schemas.microsoft.com/office/drawing/2014/main" id="{D0C348B5-F8E9-4043-A931-614887B9FEC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8132" name="AutoShape 12">
          <a:extLst>
            <a:ext uri="{FF2B5EF4-FFF2-40B4-BE49-F238E27FC236}">
              <a16:creationId xmlns:a16="http://schemas.microsoft.com/office/drawing/2014/main" id="{42C1C4E0-6B35-4C5D-BA8B-B03EC066597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8133" name="AutoShape 12">
          <a:extLst>
            <a:ext uri="{FF2B5EF4-FFF2-40B4-BE49-F238E27FC236}">
              <a16:creationId xmlns:a16="http://schemas.microsoft.com/office/drawing/2014/main" id="{AA64D3CF-9609-4D6E-8C56-DB80690EF79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8134" name="AutoShape 12">
          <a:extLst>
            <a:ext uri="{FF2B5EF4-FFF2-40B4-BE49-F238E27FC236}">
              <a16:creationId xmlns:a16="http://schemas.microsoft.com/office/drawing/2014/main" id="{DEFFA41F-BF8C-45CA-BB5D-60AC0B00C00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8135" name="AutoShape 12">
          <a:extLst>
            <a:ext uri="{FF2B5EF4-FFF2-40B4-BE49-F238E27FC236}">
              <a16:creationId xmlns:a16="http://schemas.microsoft.com/office/drawing/2014/main" id="{882D7DF9-63E8-4245-86BA-92365A452FE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8136" name="AutoShape 12">
          <a:extLst>
            <a:ext uri="{FF2B5EF4-FFF2-40B4-BE49-F238E27FC236}">
              <a16:creationId xmlns:a16="http://schemas.microsoft.com/office/drawing/2014/main" id="{B79C9B59-51C7-4474-BBA6-C288F0E6F88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8137" name="AutoShape 12">
          <a:extLst>
            <a:ext uri="{FF2B5EF4-FFF2-40B4-BE49-F238E27FC236}">
              <a16:creationId xmlns:a16="http://schemas.microsoft.com/office/drawing/2014/main" id="{58760F8E-80BF-4EE7-B1D2-259121374B8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8138" name="AutoShape 12">
          <a:extLst>
            <a:ext uri="{FF2B5EF4-FFF2-40B4-BE49-F238E27FC236}">
              <a16:creationId xmlns:a16="http://schemas.microsoft.com/office/drawing/2014/main" id="{E2FF5890-A6EF-4210-AA5A-47CE5FF6347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8139" name="AutoShape 12">
          <a:extLst>
            <a:ext uri="{FF2B5EF4-FFF2-40B4-BE49-F238E27FC236}">
              <a16:creationId xmlns:a16="http://schemas.microsoft.com/office/drawing/2014/main" id="{E195F786-9113-42B1-AD2F-2B0690DA676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8140" name="AutoShape 12">
          <a:extLst>
            <a:ext uri="{FF2B5EF4-FFF2-40B4-BE49-F238E27FC236}">
              <a16:creationId xmlns:a16="http://schemas.microsoft.com/office/drawing/2014/main" id="{2D709984-0D9E-4991-803F-E80A49E7329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8141" name="AutoShape 12">
          <a:extLst>
            <a:ext uri="{FF2B5EF4-FFF2-40B4-BE49-F238E27FC236}">
              <a16:creationId xmlns:a16="http://schemas.microsoft.com/office/drawing/2014/main" id="{2A617878-8E95-47EA-9104-D13E35308C4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8142" name="AutoShape 12">
          <a:extLst>
            <a:ext uri="{FF2B5EF4-FFF2-40B4-BE49-F238E27FC236}">
              <a16:creationId xmlns:a16="http://schemas.microsoft.com/office/drawing/2014/main" id="{FC112E0C-7F74-4195-803D-32D242A9AAE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8143" name="AutoShape 12">
          <a:extLst>
            <a:ext uri="{FF2B5EF4-FFF2-40B4-BE49-F238E27FC236}">
              <a16:creationId xmlns:a16="http://schemas.microsoft.com/office/drawing/2014/main" id="{0885E83E-8CEB-459A-A17C-06A7E0DAA56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8144" name="AutoShape 12">
          <a:extLst>
            <a:ext uri="{FF2B5EF4-FFF2-40B4-BE49-F238E27FC236}">
              <a16:creationId xmlns:a16="http://schemas.microsoft.com/office/drawing/2014/main" id="{D7637782-C6FF-42D3-BBA9-76E5871979C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8145" name="AutoShape 12">
          <a:extLst>
            <a:ext uri="{FF2B5EF4-FFF2-40B4-BE49-F238E27FC236}">
              <a16:creationId xmlns:a16="http://schemas.microsoft.com/office/drawing/2014/main" id="{A00A4EC7-0425-4563-9666-6E8A8794D67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8146" name="AutoShape 12">
          <a:extLst>
            <a:ext uri="{FF2B5EF4-FFF2-40B4-BE49-F238E27FC236}">
              <a16:creationId xmlns:a16="http://schemas.microsoft.com/office/drawing/2014/main" id="{67874F54-D37B-4431-A2CF-E494281355A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8147" name="AutoShape 12">
          <a:extLst>
            <a:ext uri="{FF2B5EF4-FFF2-40B4-BE49-F238E27FC236}">
              <a16:creationId xmlns:a16="http://schemas.microsoft.com/office/drawing/2014/main" id="{7506CA87-DAB6-441A-9BFE-CEA3CBF0629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8148" name="AutoShape 12">
          <a:extLst>
            <a:ext uri="{FF2B5EF4-FFF2-40B4-BE49-F238E27FC236}">
              <a16:creationId xmlns:a16="http://schemas.microsoft.com/office/drawing/2014/main" id="{6CE6C216-72DF-4BEB-825A-3D208CAFFF0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8149" name="AutoShape 12">
          <a:extLst>
            <a:ext uri="{FF2B5EF4-FFF2-40B4-BE49-F238E27FC236}">
              <a16:creationId xmlns:a16="http://schemas.microsoft.com/office/drawing/2014/main" id="{553E9E9E-8749-4015-91F9-F645CDFE6AC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8150" name="AutoShape 12">
          <a:extLst>
            <a:ext uri="{FF2B5EF4-FFF2-40B4-BE49-F238E27FC236}">
              <a16:creationId xmlns:a16="http://schemas.microsoft.com/office/drawing/2014/main" id="{B29E7709-8791-42F2-90C8-6AA428378AF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8151" name="AutoShape 12">
          <a:extLst>
            <a:ext uri="{FF2B5EF4-FFF2-40B4-BE49-F238E27FC236}">
              <a16:creationId xmlns:a16="http://schemas.microsoft.com/office/drawing/2014/main" id="{9E3ED267-E979-487A-9495-E5111F8104C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8152" name="AutoShape 12">
          <a:extLst>
            <a:ext uri="{FF2B5EF4-FFF2-40B4-BE49-F238E27FC236}">
              <a16:creationId xmlns:a16="http://schemas.microsoft.com/office/drawing/2014/main" id="{88512E32-CE3B-47CF-9AA3-B42721630F7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8153" name="AutoShape 12">
          <a:extLst>
            <a:ext uri="{FF2B5EF4-FFF2-40B4-BE49-F238E27FC236}">
              <a16:creationId xmlns:a16="http://schemas.microsoft.com/office/drawing/2014/main" id="{85B689B8-AC0E-49CD-8AE1-9F6AC095242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8154" name="AutoShape 12">
          <a:extLst>
            <a:ext uri="{FF2B5EF4-FFF2-40B4-BE49-F238E27FC236}">
              <a16:creationId xmlns:a16="http://schemas.microsoft.com/office/drawing/2014/main" id="{604A1096-A5A2-414F-9216-31403C12655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8155" name="AutoShape 12">
          <a:extLst>
            <a:ext uri="{FF2B5EF4-FFF2-40B4-BE49-F238E27FC236}">
              <a16:creationId xmlns:a16="http://schemas.microsoft.com/office/drawing/2014/main" id="{C65A5FFB-25CA-4999-902E-9F8FF0918B0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8156" name="AutoShape 12">
          <a:extLst>
            <a:ext uri="{FF2B5EF4-FFF2-40B4-BE49-F238E27FC236}">
              <a16:creationId xmlns:a16="http://schemas.microsoft.com/office/drawing/2014/main" id="{0FCA1DB2-7411-462C-91BA-A2A4D1A4732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8157" name="AutoShape 12">
          <a:extLst>
            <a:ext uri="{FF2B5EF4-FFF2-40B4-BE49-F238E27FC236}">
              <a16:creationId xmlns:a16="http://schemas.microsoft.com/office/drawing/2014/main" id="{3EE325D0-9A15-4735-B209-73F94DBA7EC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8158" name="AutoShape 12">
          <a:extLst>
            <a:ext uri="{FF2B5EF4-FFF2-40B4-BE49-F238E27FC236}">
              <a16:creationId xmlns:a16="http://schemas.microsoft.com/office/drawing/2014/main" id="{10B2D222-5D11-4DAB-BF63-E02C31D8ACF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8159" name="AutoShape 12">
          <a:extLst>
            <a:ext uri="{FF2B5EF4-FFF2-40B4-BE49-F238E27FC236}">
              <a16:creationId xmlns:a16="http://schemas.microsoft.com/office/drawing/2014/main" id="{18B91329-4085-45C0-9481-5F5E62B5640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8160" name="AutoShape 12">
          <a:extLst>
            <a:ext uri="{FF2B5EF4-FFF2-40B4-BE49-F238E27FC236}">
              <a16:creationId xmlns:a16="http://schemas.microsoft.com/office/drawing/2014/main" id="{3816DF40-81ED-425B-A8A0-F8A4DFDFDB6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8161" name="AutoShape 12">
          <a:extLst>
            <a:ext uri="{FF2B5EF4-FFF2-40B4-BE49-F238E27FC236}">
              <a16:creationId xmlns:a16="http://schemas.microsoft.com/office/drawing/2014/main" id="{659D27F2-46DA-4463-AFB4-F45BD8FD31B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8162" name="AutoShape 12">
          <a:extLst>
            <a:ext uri="{FF2B5EF4-FFF2-40B4-BE49-F238E27FC236}">
              <a16:creationId xmlns:a16="http://schemas.microsoft.com/office/drawing/2014/main" id="{E35BEB77-ECA1-4A22-AAB8-5509E874AE5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8163" name="AutoShape 12">
          <a:extLst>
            <a:ext uri="{FF2B5EF4-FFF2-40B4-BE49-F238E27FC236}">
              <a16:creationId xmlns:a16="http://schemas.microsoft.com/office/drawing/2014/main" id="{8A6E7786-5E74-446C-938A-1360FBA6DC5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8164" name="AutoShape 12">
          <a:extLst>
            <a:ext uri="{FF2B5EF4-FFF2-40B4-BE49-F238E27FC236}">
              <a16:creationId xmlns:a16="http://schemas.microsoft.com/office/drawing/2014/main" id="{F13C3BAC-BFC7-491B-A73A-D5B2B5925BA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8165" name="AutoShape 12">
          <a:extLst>
            <a:ext uri="{FF2B5EF4-FFF2-40B4-BE49-F238E27FC236}">
              <a16:creationId xmlns:a16="http://schemas.microsoft.com/office/drawing/2014/main" id="{E183E6A8-E679-4ED2-99ED-8C0105F471C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8166" name="AutoShape 12">
          <a:extLst>
            <a:ext uri="{FF2B5EF4-FFF2-40B4-BE49-F238E27FC236}">
              <a16:creationId xmlns:a16="http://schemas.microsoft.com/office/drawing/2014/main" id="{B48F4B3A-F56A-460C-8FF0-BC646B3B001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8167" name="AutoShape 12">
          <a:extLst>
            <a:ext uri="{FF2B5EF4-FFF2-40B4-BE49-F238E27FC236}">
              <a16:creationId xmlns:a16="http://schemas.microsoft.com/office/drawing/2014/main" id="{80E50E4E-CADA-4454-B9A3-610745F072F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8168" name="AutoShape 12">
          <a:extLst>
            <a:ext uri="{FF2B5EF4-FFF2-40B4-BE49-F238E27FC236}">
              <a16:creationId xmlns:a16="http://schemas.microsoft.com/office/drawing/2014/main" id="{19C2EDA0-5544-4C50-8226-D67AE3C4B59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8169" name="AutoShape 12">
          <a:extLst>
            <a:ext uri="{FF2B5EF4-FFF2-40B4-BE49-F238E27FC236}">
              <a16:creationId xmlns:a16="http://schemas.microsoft.com/office/drawing/2014/main" id="{36564900-F8E9-46A8-ACE1-09F0EC4FCAA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8170" name="AutoShape 12">
          <a:extLst>
            <a:ext uri="{FF2B5EF4-FFF2-40B4-BE49-F238E27FC236}">
              <a16:creationId xmlns:a16="http://schemas.microsoft.com/office/drawing/2014/main" id="{68707D13-EAD6-45B6-9C36-8E4B190934C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8171" name="AutoShape 12">
          <a:extLst>
            <a:ext uri="{FF2B5EF4-FFF2-40B4-BE49-F238E27FC236}">
              <a16:creationId xmlns:a16="http://schemas.microsoft.com/office/drawing/2014/main" id="{16411B01-F576-4551-88E0-24D7B2BA9FD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8172" name="AutoShape 12">
          <a:extLst>
            <a:ext uri="{FF2B5EF4-FFF2-40B4-BE49-F238E27FC236}">
              <a16:creationId xmlns:a16="http://schemas.microsoft.com/office/drawing/2014/main" id="{C3EE0D42-B843-4572-B0F6-5D559E26AA0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8173" name="AutoShape 12">
          <a:extLst>
            <a:ext uri="{FF2B5EF4-FFF2-40B4-BE49-F238E27FC236}">
              <a16:creationId xmlns:a16="http://schemas.microsoft.com/office/drawing/2014/main" id="{5AC4F564-26B8-4C58-A00B-D6B8A77B283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8174" name="AutoShape 12">
          <a:extLst>
            <a:ext uri="{FF2B5EF4-FFF2-40B4-BE49-F238E27FC236}">
              <a16:creationId xmlns:a16="http://schemas.microsoft.com/office/drawing/2014/main" id="{547D6133-9B3C-4940-942B-6D501BA8E9E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8175" name="AutoShape 12">
          <a:extLst>
            <a:ext uri="{FF2B5EF4-FFF2-40B4-BE49-F238E27FC236}">
              <a16:creationId xmlns:a16="http://schemas.microsoft.com/office/drawing/2014/main" id="{BDC9B0B6-796D-4D9E-AB9C-85189E186E2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8176" name="AutoShape 12">
          <a:extLst>
            <a:ext uri="{FF2B5EF4-FFF2-40B4-BE49-F238E27FC236}">
              <a16:creationId xmlns:a16="http://schemas.microsoft.com/office/drawing/2014/main" id="{5776C3BF-FA11-4D81-8169-8541B92958E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8177" name="AutoShape 12">
          <a:extLst>
            <a:ext uri="{FF2B5EF4-FFF2-40B4-BE49-F238E27FC236}">
              <a16:creationId xmlns:a16="http://schemas.microsoft.com/office/drawing/2014/main" id="{842AD7B2-4FE3-4622-8884-09578F1AEE3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8178" name="AutoShape 12">
          <a:extLst>
            <a:ext uri="{FF2B5EF4-FFF2-40B4-BE49-F238E27FC236}">
              <a16:creationId xmlns:a16="http://schemas.microsoft.com/office/drawing/2014/main" id="{64384C89-5F4E-47BC-BC14-9E34B12273A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8179" name="AutoShape 12">
          <a:extLst>
            <a:ext uri="{FF2B5EF4-FFF2-40B4-BE49-F238E27FC236}">
              <a16:creationId xmlns:a16="http://schemas.microsoft.com/office/drawing/2014/main" id="{BF8EB417-6443-48D9-B4BB-069D0F0C78D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8180" name="AutoShape 12">
          <a:extLst>
            <a:ext uri="{FF2B5EF4-FFF2-40B4-BE49-F238E27FC236}">
              <a16:creationId xmlns:a16="http://schemas.microsoft.com/office/drawing/2014/main" id="{76B8CF58-5233-4843-B758-4CA65E4F20C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8181" name="AutoShape 12">
          <a:extLst>
            <a:ext uri="{FF2B5EF4-FFF2-40B4-BE49-F238E27FC236}">
              <a16:creationId xmlns:a16="http://schemas.microsoft.com/office/drawing/2014/main" id="{FC7B3F27-F4BD-4650-ADA6-F5AF92AE043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8182" name="AutoShape 12">
          <a:extLst>
            <a:ext uri="{FF2B5EF4-FFF2-40B4-BE49-F238E27FC236}">
              <a16:creationId xmlns:a16="http://schemas.microsoft.com/office/drawing/2014/main" id="{2A6D09B3-B6C5-44C1-8795-F623F931060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8183" name="AutoShape 12">
          <a:extLst>
            <a:ext uri="{FF2B5EF4-FFF2-40B4-BE49-F238E27FC236}">
              <a16:creationId xmlns:a16="http://schemas.microsoft.com/office/drawing/2014/main" id="{C2AD4029-0786-493C-96C1-AF11A0E2AA0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8184" name="AutoShape 12">
          <a:extLst>
            <a:ext uri="{FF2B5EF4-FFF2-40B4-BE49-F238E27FC236}">
              <a16:creationId xmlns:a16="http://schemas.microsoft.com/office/drawing/2014/main" id="{3A7475BD-02D9-441B-824E-1F62A875AE9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8185" name="AutoShape 12">
          <a:extLst>
            <a:ext uri="{FF2B5EF4-FFF2-40B4-BE49-F238E27FC236}">
              <a16:creationId xmlns:a16="http://schemas.microsoft.com/office/drawing/2014/main" id="{DD59C977-793E-44CA-9AD1-3C385DFD4FD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8186" name="AutoShape 12">
          <a:extLst>
            <a:ext uri="{FF2B5EF4-FFF2-40B4-BE49-F238E27FC236}">
              <a16:creationId xmlns:a16="http://schemas.microsoft.com/office/drawing/2014/main" id="{38FAAC41-58EA-4DA9-8F5F-8A2036F231F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8187" name="AutoShape 12">
          <a:extLst>
            <a:ext uri="{FF2B5EF4-FFF2-40B4-BE49-F238E27FC236}">
              <a16:creationId xmlns:a16="http://schemas.microsoft.com/office/drawing/2014/main" id="{10B4F4B0-28C1-4AB2-BD44-F99E6BAAD47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8188" name="AutoShape 12">
          <a:extLst>
            <a:ext uri="{FF2B5EF4-FFF2-40B4-BE49-F238E27FC236}">
              <a16:creationId xmlns:a16="http://schemas.microsoft.com/office/drawing/2014/main" id="{0D3C2D4F-7F31-46B9-B01C-A5D369B205C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8189" name="AutoShape 12">
          <a:extLst>
            <a:ext uri="{FF2B5EF4-FFF2-40B4-BE49-F238E27FC236}">
              <a16:creationId xmlns:a16="http://schemas.microsoft.com/office/drawing/2014/main" id="{4ED7F28E-CE00-454B-BCAC-3A84CEB677E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8190" name="AutoShape 12">
          <a:extLst>
            <a:ext uri="{FF2B5EF4-FFF2-40B4-BE49-F238E27FC236}">
              <a16:creationId xmlns:a16="http://schemas.microsoft.com/office/drawing/2014/main" id="{3AEF8F32-2525-4459-A983-EA30B53F3AD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8191" name="AutoShape 12">
          <a:extLst>
            <a:ext uri="{FF2B5EF4-FFF2-40B4-BE49-F238E27FC236}">
              <a16:creationId xmlns:a16="http://schemas.microsoft.com/office/drawing/2014/main" id="{AE0CB9AC-8FA8-441F-B1ED-28CF8E209F4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8192" name="AutoShape 12">
          <a:extLst>
            <a:ext uri="{FF2B5EF4-FFF2-40B4-BE49-F238E27FC236}">
              <a16:creationId xmlns:a16="http://schemas.microsoft.com/office/drawing/2014/main" id="{DF130BFC-FE22-48E2-BC43-4FC6E569406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8193" name="AutoShape 12">
          <a:extLst>
            <a:ext uri="{FF2B5EF4-FFF2-40B4-BE49-F238E27FC236}">
              <a16:creationId xmlns:a16="http://schemas.microsoft.com/office/drawing/2014/main" id="{97905A81-9B1E-4FD0-981F-B0FE6D8048A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8194" name="AutoShape 12">
          <a:extLst>
            <a:ext uri="{FF2B5EF4-FFF2-40B4-BE49-F238E27FC236}">
              <a16:creationId xmlns:a16="http://schemas.microsoft.com/office/drawing/2014/main" id="{52E514DB-6638-4BE1-A32C-F0B934D5FA0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8195" name="AutoShape 12">
          <a:extLst>
            <a:ext uri="{FF2B5EF4-FFF2-40B4-BE49-F238E27FC236}">
              <a16:creationId xmlns:a16="http://schemas.microsoft.com/office/drawing/2014/main" id="{15BC0852-8898-4E30-B2AC-14FE92C4003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8196" name="AutoShape 12">
          <a:extLst>
            <a:ext uri="{FF2B5EF4-FFF2-40B4-BE49-F238E27FC236}">
              <a16:creationId xmlns:a16="http://schemas.microsoft.com/office/drawing/2014/main" id="{BD24DD45-9F11-4BDE-AE47-DA29A0023CE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8197" name="AutoShape 12">
          <a:extLst>
            <a:ext uri="{FF2B5EF4-FFF2-40B4-BE49-F238E27FC236}">
              <a16:creationId xmlns:a16="http://schemas.microsoft.com/office/drawing/2014/main" id="{FD68F58F-7F3B-425E-A45C-2AD101DCD5E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8198" name="AutoShape 12">
          <a:extLst>
            <a:ext uri="{FF2B5EF4-FFF2-40B4-BE49-F238E27FC236}">
              <a16:creationId xmlns:a16="http://schemas.microsoft.com/office/drawing/2014/main" id="{6763FDDB-4C04-4C42-84E4-4C90A50D739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8199" name="AutoShape 12">
          <a:extLst>
            <a:ext uri="{FF2B5EF4-FFF2-40B4-BE49-F238E27FC236}">
              <a16:creationId xmlns:a16="http://schemas.microsoft.com/office/drawing/2014/main" id="{9FB29B34-97ED-4BED-8F08-59CBC49DC37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8200" name="AutoShape 12">
          <a:extLst>
            <a:ext uri="{FF2B5EF4-FFF2-40B4-BE49-F238E27FC236}">
              <a16:creationId xmlns:a16="http://schemas.microsoft.com/office/drawing/2014/main" id="{9B598567-B7BB-4B8C-B1CF-0C30544BA23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8201" name="AutoShape 12">
          <a:extLst>
            <a:ext uri="{FF2B5EF4-FFF2-40B4-BE49-F238E27FC236}">
              <a16:creationId xmlns:a16="http://schemas.microsoft.com/office/drawing/2014/main" id="{3D7EECE4-1321-4C48-81B2-AB31B6848C8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8202" name="AutoShape 12">
          <a:extLst>
            <a:ext uri="{FF2B5EF4-FFF2-40B4-BE49-F238E27FC236}">
              <a16:creationId xmlns:a16="http://schemas.microsoft.com/office/drawing/2014/main" id="{0FB887AC-2190-4654-8A3A-525270E1165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8203" name="AutoShape 12">
          <a:extLst>
            <a:ext uri="{FF2B5EF4-FFF2-40B4-BE49-F238E27FC236}">
              <a16:creationId xmlns:a16="http://schemas.microsoft.com/office/drawing/2014/main" id="{C9277B87-D450-47B2-8125-E31739D73F7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8204" name="AutoShape 12">
          <a:extLst>
            <a:ext uri="{FF2B5EF4-FFF2-40B4-BE49-F238E27FC236}">
              <a16:creationId xmlns:a16="http://schemas.microsoft.com/office/drawing/2014/main" id="{2AD2A08E-EE73-4875-BB4D-CB2E4944BD5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8205" name="AutoShape 12">
          <a:extLst>
            <a:ext uri="{FF2B5EF4-FFF2-40B4-BE49-F238E27FC236}">
              <a16:creationId xmlns:a16="http://schemas.microsoft.com/office/drawing/2014/main" id="{D10A4E83-BFB7-4CFF-93DA-BF6041F33CD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8206" name="AutoShape 12">
          <a:extLst>
            <a:ext uri="{FF2B5EF4-FFF2-40B4-BE49-F238E27FC236}">
              <a16:creationId xmlns:a16="http://schemas.microsoft.com/office/drawing/2014/main" id="{16F64B00-2506-4AB7-A3DD-6DD86B07430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8207" name="AutoShape 12">
          <a:extLst>
            <a:ext uri="{FF2B5EF4-FFF2-40B4-BE49-F238E27FC236}">
              <a16:creationId xmlns:a16="http://schemas.microsoft.com/office/drawing/2014/main" id="{3B203B65-565E-4B0F-88B2-D7C38FADA4B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8208" name="AutoShape 12">
          <a:extLst>
            <a:ext uri="{FF2B5EF4-FFF2-40B4-BE49-F238E27FC236}">
              <a16:creationId xmlns:a16="http://schemas.microsoft.com/office/drawing/2014/main" id="{89E72C54-FFC5-44F3-BD44-26FFDE56B21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8209" name="AutoShape 12">
          <a:extLst>
            <a:ext uri="{FF2B5EF4-FFF2-40B4-BE49-F238E27FC236}">
              <a16:creationId xmlns:a16="http://schemas.microsoft.com/office/drawing/2014/main" id="{23FF3BD5-AF9E-4B09-9F33-38A772154D9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8210" name="AutoShape 12">
          <a:extLst>
            <a:ext uri="{FF2B5EF4-FFF2-40B4-BE49-F238E27FC236}">
              <a16:creationId xmlns:a16="http://schemas.microsoft.com/office/drawing/2014/main" id="{1205D9F5-E11F-4A65-935E-B49880E21D6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8211" name="AutoShape 12">
          <a:extLst>
            <a:ext uri="{FF2B5EF4-FFF2-40B4-BE49-F238E27FC236}">
              <a16:creationId xmlns:a16="http://schemas.microsoft.com/office/drawing/2014/main" id="{DBC39704-2429-47E6-A359-0E5DC8CA83F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8212" name="AutoShape 12">
          <a:extLst>
            <a:ext uri="{FF2B5EF4-FFF2-40B4-BE49-F238E27FC236}">
              <a16:creationId xmlns:a16="http://schemas.microsoft.com/office/drawing/2014/main" id="{F386A12B-58E6-45B4-B46F-460E79106DE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8213" name="AutoShape 12">
          <a:extLst>
            <a:ext uri="{FF2B5EF4-FFF2-40B4-BE49-F238E27FC236}">
              <a16:creationId xmlns:a16="http://schemas.microsoft.com/office/drawing/2014/main" id="{6F4A537C-0E20-4333-A71B-8EFD83F0779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8214" name="AutoShape 12">
          <a:extLst>
            <a:ext uri="{FF2B5EF4-FFF2-40B4-BE49-F238E27FC236}">
              <a16:creationId xmlns:a16="http://schemas.microsoft.com/office/drawing/2014/main" id="{6D438378-4D74-4067-8B1F-7690323D344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8215" name="AutoShape 12">
          <a:extLst>
            <a:ext uri="{FF2B5EF4-FFF2-40B4-BE49-F238E27FC236}">
              <a16:creationId xmlns:a16="http://schemas.microsoft.com/office/drawing/2014/main" id="{E8BC6E02-0CD7-4790-BE4E-7B7ABE31273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8216" name="AutoShape 12">
          <a:extLst>
            <a:ext uri="{FF2B5EF4-FFF2-40B4-BE49-F238E27FC236}">
              <a16:creationId xmlns:a16="http://schemas.microsoft.com/office/drawing/2014/main" id="{841A8CD2-446E-465C-BCAF-555BFCA86B0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8217" name="AutoShape 12">
          <a:extLst>
            <a:ext uri="{FF2B5EF4-FFF2-40B4-BE49-F238E27FC236}">
              <a16:creationId xmlns:a16="http://schemas.microsoft.com/office/drawing/2014/main" id="{53491A28-D7B3-4C10-A087-4C5B4A077EB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8218" name="AutoShape 12">
          <a:extLst>
            <a:ext uri="{FF2B5EF4-FFF2-40B4-BE49-F238E27FC236}">
              <a16:creationId xmlns:a16="http://schemas.microsoft.com/office/drawing/2014/main" id="{7C4705D0-DF02-45E3-985E-52C871E2E2D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8219" name="AutoShape 12">
          <a:extLst>
            <a:ext uri="{FF2B5EF4-FFF2-40B4-BE49-F238E27FC236}">
              <a16:creationId xmlns:a16="http://schemas.microsoft.com/office/drawing/2014/main" id="{BE65D905-9B26-45BB-82A1-55306BCBB4F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8220" name="AutoShape 12">
          <a:extLst>
            <a:ext uri="{FF2B5EF4-FFF2-40B4-BE49-F238E27FC236}">
              <a16:creationId xmlns:a16="http://schemas.microsoft.com/office/drawing/2014/main" id="{019A44B9-2A76-4B75-B968-575FB4739E7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8221" name="AutoShape 12">
          <a:extLst>
            <a:ext uri="{FF2B5EF4-FFF2-40B4-BE49-F238E27FC236}">
              <a16:creationId xmlns:a16="http://schemas.microsoft.com/office/drawing/2014/main" id="{56400268-47D2-432C-B671-7F02CD178BC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8222" name="AutoShape 12">
          <a:extLst>
            <a:ext uri="{FF2B5EF4-FFF2-40B4-BE49-F238E27FC236}">
              <a16:creationId xmlns:a16="http://schemas.microsoft.com/office/drawing/2014/main" id="{5BDF018F-C976-4158-A1D3-E0805E48088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8223" name="AutoShape 12">
          <a:extLst>
            <a:ext uri="{FF2B5EF4-FFF2-40B4-BE49-F238E27FC236}">
              <a16:creationId xmlns:a16="http://schemas.microsoft.com/office/drawing/2014/main" id="{2586319A-470D-4D47-9118-11231BE8DA6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8224" name="AutoShape 12">
          <a:extLst>
            <a:ext uri="{FF2B5EF4-FFF2-40B4-BE49-F238E27FC236}">
              <a16:creationId xmlns:a16="http://schemas.microsoft.com/office/drawing/2014/main" id="{D044E589-3AC0-4DFD-AE02-AF875F04866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8225" name="AutoShape 12">
          <a:extLst>
            <a:ext uri="{FF2B5EF4-FFF2-40B4-BE49-F238E27FC236}">
              <a16:creationId xmlns:a16="http://schemas.microsoft.com/office/drawing/2014/main" id="{D415EA9E-1223-4892-A491-A90BA453B03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8226" name="AutoShape 12">
          <a:extLst>
            <a:ext uri="{FF2B5EF4-FFF2-40B4-BE49-F238E27FC236}">
              <a16:creationId xmlns:a16="http://schemas.microsoft.com/office/drawing/2014/main" id="{952250E9-E6E4-47CD-B6C4-4143F56A8E7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8227" name="AutoShape 12">
          <a:extLst>
            <a:ext uri="{FF2B5EF4-FFF2-40B4-BE49-F238E27FC236}">
              <a16:creationId xmlns:a16="http://schemas.microsoft.com/office/drawing/2014/main" id="{4ECEDC52-2D8B-41A3-A04E-37AEA957275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8228" name="AutoShape 12">
          <a:extLst>
            <a:ext uri="{FF2B5EF4-FFF2-40B4-BE49-F238E27FC236}">
              <a16:creationId xmlns:a16="http://schemas.microsoft.com/office/drawing/2014/main" id="{FF627726-64AA-4148-8BC3-75C6C1486A9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8229" name="AutoShape 12">
          <a:extLst>
            <a:ext uri="{FF2B5EF4-FFF2-40B4-BE49-F238E27FC236}">
              <a16:creationId xmlns:a16="http://schemas.microsoft.com/office/drawing/2014/main" id="{C142CD88-55D8-4B11-A48D-0E41750810D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8230" name="AutoShape 12">
          <a:extLst>
            <a:ext uri="{FF2B5EF4-FFF2-40B4-BE49-F238E27FC236}">
              <a16:creationId xmlns:a16="http://schemas.microsoft.com/office/drawing/2014/main" id="{EE72480F-5419-4260-B5BB-AA748F85BDF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8231" name="AutoShape 12">
          <a:extLst>
            <a:ext uri="{FF2B5EF4-FFF2-40B4-BE49-F238E27FC236}">
              <a16:creationId xmlns:a16="http://schemas.microsoft.com/office/drawing/2014/main" id="{99062652-879C-4A92-A4E1-66CA529E214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8232" name="AutoShape 12">
          <a:extLst>
            <a:ext uri="{FF2B5EF4-FFF2-40B4-BE49-F238E27FC236}">
              <a16:creationId xmlns:a16="http://schemas.microsoft.com/office/drawing/2014/main" id="{4C6D65C3-81AC-4A92-8137-842E447EC47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8233" name="AutoShape 12">
          <a:extLst>
            <a:ext uri="{FF2B5EF4-FFF2-40B4-BE49-F238E27FC236}">
              <a16:creationId xmlns:a16="http://schemas.microsoft.com/office/drawing/2014/main" id="{E8720978-9360-435B-9905-EA2FCBE9C78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8234" name="AutoShape 12">
          <a:extLst>
            <a:ext uri="{FF2B5EF4-FFF2-40B4-BE49-F238E27FC236}">
              <a16:creationId xmlns:a16="http://schemas.microsoft.com/office/drawing/2014/main" id="{2E3A8E57-347B-47AA-97D7-01AF31E93A6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8235" name="AutoShape 12">
          <a:extLst>
            <a:ext uri="{FF2B5EF4-FFF2-40B4-BE49-F238E27FC236}">
              <a16:creationId xmlns:a16="http://schemas.microsoft.com/office/drawing/2014/main" id="{3D5F7666-A63D-43DF-815E-8CB58D2460D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8236" name="AutoShape 12">
          <a:extLst>
            <a:ext uri="{FF2B5EF4-FFF2-40B4-BE49-F238E27FC236}">
              <a16:creationId xmlns:a16="http://schemas.microsoft.com/office/drawing/2014/main" id="{618CB258-8255-41A7-AFF9-580482C4BBC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8237" name="AutoShape 12">
          <a:extLst>
            <a:ext uri="{FF2B5EF4-FFF2-40B4-BE49-F238E27FC236}">
              <a16:creationId xmlns:a16="http://schemas.microsoft.com/office/drawing/2014/main" id="{636B4D7F-039A-434A-A1D0-4739EEC710D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8238" name="AutoShape 12">
          <a:extLst>
            <a:ext uri="{FF2B5EF4-FFF2-40B4-BE49-F238E27FC236}">
              <a16:creationId xmlns:a16="http://schemas.microsoft.com/office/drawing/2014/main" id="{3A5BD02B-EC42-435A-85C6-C9B138ADC63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8239" name="AutoShape 12">
          <a:extLst>
            <a:ext uri="{FF2B5EF4-FFF2-40B4-BE49-F238E27FC236}">
              <a16:creationId xmlns:a16="http://schemas.microsoft.com/office/drawing/2014/main" id="{0FD0F238-4864-4C09-A452-A9E89FA7BA7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8240" name="AutoShape 12">
          <a:extLst>
            <a:ext uri="{FF2B5EF4-FFF2-40B4-BE49-F238E27FC236}">
              <a16:creationId xmlns:a16="http://schemas.microsoft.com/office/drawing/2014/main" id="{295F5DEE-758A-4E4C-B6F5-63AB3333E5D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8241" name="AutoShape 12">
          <a:extLst>
            <a:ext uri="{FF2B5EF4-FFF2-40B4-BE49-F238E27FC236}">
              <a16:creationId xmlns:a16="http://schemas.microsoft.com/office/drawing/2014/main" id="{C631A667-3BE2-4248-AE7C-D73901E867C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8242" name="AutoShape 12">
          <a:extLst>
            <a:ext uri="{FF2B5EF4-FFF2-40B4-BE49-F238E27FC236}">
              <a16:creationId xmlns:a16="http://schemas.microsoft.com/office/drawing/2014/main" id="{0F892246-A7A7-44BF-99E7-2838CE87081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8243" name="AutoShape 12">
          <a:extLst>
            <a:ext uri="{FF2B5EF4-FFF2-40B4-BE49-F238E27FC236}">
              <a16:creationId xmlns:a16="http://schemas.microsoft.com/office/drawing/2014/main" id="{E3453E42-8E2E-4836-8518-12D21584C8B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8244" name="AutoShape 12">
          <a:extLst>
            <a:ext uri="{FF2B5EF4-FFF2-40B4-BE49-F238E27FC236}">
              <a16:creationId xmlns:a16="http://schemas.microsoft.com/office/drawing/2014/main" id="{5F2A285A-260C-486E-88DF-E8BB2D4FCD9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8245" name="AutoShape 12">
          <a:extLst>
            <a:ext uri="{FF2B5EF4-FFF2-40B4-BE49-F238E27FC236}">
              <a16:creationId xmlns:a16="http://schemas.microsoft.com/office/drawing/2014/main" id="{7DA47247-4AB3-45EF-9091-63ADBE0EEEB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8246" name="AutoShape 12">
          <a:extLst>
            <a:ext uri="{FF2B5EF4-FFF2-40B4-BE49-F238E27FC236}">
              <a16:creationId xmlns:a16="http://schemas.microsoft.com/office/drawing/2014/main" id="{330390D8-0C5F-4971-82C1-4DAE7C1C684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8247" name="AutoShape 12">
          <a:extLst>
            <a:ext uri="{FF2B5EF4-FFF2-40B4-BE49-F238E27FC236}">
              <a16:creationId xmlns:a16="http://schemas.microsoft.com/office/drawing/2014/main" id="{BC4D489E-81CF-4CE0-88A0-866D403BECD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8248" name="AutoShape 12">
          <a:extLst>
            <a:ext uri="{FF2B5EF4-FFF2-40B4-BE49-F238E27FC236}">
              <a16:creationId xmlns:a16="http://schemas.microsoft.com/office/drawing/2014/main" id="{56F198CE-4F35-4EBE-BC08-12C430DE7FD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8249" name="AutoShape 12">
          <a:extLst>
            <a:ext uri="{FF2B5EF4-FFF2-40B4-BE49-F238E27FC236}">
              <a16:creationId xmlns:a16="http://schemas.microsoft.com/office/drawing/2014/main" id="{9FCB907F-8A9F-419F-B9C6-E8B9CD993D7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8250" name="AutoShape 12">
          <a:extLst>
            <a:ext uri="{FF2B5EF4-FFF2-40B4-BE49-F238E27FC236}">
              <a16:creationId xmlns:a16="http://schemas.microsoft.com/office/drawing/2014/main" id="{A131F286-5F34-4089-BA78-60651EBD49D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8251" name="AutoShape 12">
          <a:extLst>
            <a:ext uri="{FF2B5EF4-FFF2-40B4-BE49-F238E27FC236}">
              <a16:creationId xmlns:a16="http://schemas.microsoft.com/office/drawing/2014/main" id="{67D08878-4123-4E09-BF6C-9D7E6161DB0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8252" name="AutoShape 12">
          <a:extLst>
            <a:ext uri="{FF2B5EF4-FFF2-40B4-BE49-F238E27FC236}">
              <a16:creationId xmlns:a16="http://schemas.microsoft.com/office/drawing/2014/main" id="{6163CBDA-AB47-45DD-A097-53AF7158A0B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8253" name="AutoShape 12">
          <a:extLst>
            <a:ext uri="{FF2B5EF4-FFF2-40B4-BE49-F238E27FC236}">
              <a16:creationId xmlns:a16="http://schemas.microsoft.com/office/drawing/2014/main" id="{841048DB-9574-4236-A059-098E47DFD4E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8254" name="AutoShape 12">
          <a:extLst>
            <a:ext uri="{FF2B5EF4-FFF2-40B4-BE49-F238E27FC236}">
              <a16:creationId xmlns:a16="http://schemas.microsoft.com/office/drawing/2014/main" id="{469452D1-01E6-4D6A-87D7-D6481493E12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8255" name="AutoShape 12">
          <a:extLst>
            <a:ext uri="{FF2B5EF4-FFF2-40B4-BE49-F238E27FC236}">
              <a16:creationId xmlns:a16="http://schemas.microsoft.com/office/drawing/2014/main" id="{0CCFB71B-CFDE-4683-B8D7-B6278DA7193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8256" name="AutoShape 12">
          <a:extLst>
            <a:ext uri="{FF2B5EF4-FFF2-40B4-BE49-F238E27FC236}">
              <a16:creationId xmlns:a16="http://schemas.microsoft.com/office/drawing/2014/main" id="{ADDDC688-3B11-4F6C-9849-0B82D30856D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8257" name="AutoShape 12">
          <a:extLst>
            <a:ext uri="{FF2B5EF4-FFF2-40B4-BE49-F238E27FC236}">
              <a16:creationId xmlns:a16="http://schemas.microsoft.com/office/drawing/2014/main" id="{4D038DAA-70CD-4D80-B888-D83D284F7C5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8258" name="AutoShape 12">
          <a:extLst>
            <a:ext uri="{FF2B5EF4-FFF2-40B4-BE49-F238E27FC236}">
              <a16:creationId xmlns:a16="http://schemas.microsoft.com/office/drawing/2014/main" id="{F5DE627A-FE59-4061-8ED2-421AFE04EA4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8259" name="AutoShape 12">
          <a:extLst>
            <a:ext uri="{FF2B5EF4-FFF2-40B4-BE49-F238E27FC236}">
              <a16:creationId xmlns:a16="http://schemas.microsoft.com/office/drawing/2014/main" id="{7B825DBE-55B3-4CFB-9C6E-D12CCBD7D78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8260" name="AutoShape 12">
          <a:extLst>
            <a:ext uri="{FF2B5EF4-FFF2-40B4-BE49-F238E27FC236}">
              <a16:creationId xmlns:a16="http://schemas.microsoft.com/office/drawing/2014/main" id="{AE78F455-94E8-4ED7-89DD-D0A10F30AB6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8261" name="AutoShape 12">
          <a:extLst>
            <a:ext uri="{FF2B5EF4-FFF2-40B4-BE49-F238E27FC236}">
              <a16:creationId xmlns:a16="http://schemas.microsoft.com/office/drawing/2014/main" id="{9FBB9FB9-00FF-4694-A533-C155A0C8A3F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8262" name="AutoShape 12">
          <a:extLst>
            <a:ext uri="{FF2B5EF4-FFF2-40B4-BE49-F238E27FC236}">
              <a16:creationId xmlns:a16="http://schemas.microsoft.com/office/drawing/2014/main" id="{A4B122A5-C54C-475D-A095-E6BCF6BACB8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8263" name="AutoShape 12">
          <a:extLst>
            <a:ext uri="{FF2B5EF4-FFF2-40B4-BE49-F238E27FC236}">
              <a16:creationId xmlns:a16="http://schemas.microsoft.com/office/drawing/2014/main" id="{08B64099-881A-47B9-BC11-A8B15D2EB80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8264" name="AutoShape 12">
          <a:extLst>
            <a:ext uri="{FF2B5EF4-FFF2-40B4-BE49-F238E27FC236}">
              <a16:creationId xmlns:a16="http://schemas.microsoft.com/office/drawing/2014/main" id="{9244C349-FA5D-417F-9E4B-4114FFB472F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8265" name="AutoShape 12">
          <a:extLst>
            <a:ext uri="{FF2B5EF4-FFF2-40B4-BE49-F238E27FC236}">
              <a16:creationId xmlns:a16="http://schemas.microsoft.com/office/drawing/2014/main" id="{09D4E982-BDC6-42BB-89A7-24F1728BD4C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8266" name="AutoShape 12">
          <a:extLst>
            <a:ext uri="{FF2B5EF4-FFF2-40B4-BE49-F238E27FC236}">
              <a16:creationId xmlns:a16="http://schemas.microsoft.com/office/drawing/2014/main" id="{942627F8-0E3D-4E66-8E75-9634B5F4874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8267" name="AutoShape 12">
          <a:extLst>
            <a:ext uri="{FF2B5EF4-FFF2-40B4-BE49-F238E27FC236}">
              <a16:creationId xmlns:a16="http://schemas.microsoft.com/office/drawing/2014/main" id="{3BACBEB4-5A8E-408D-BACD-21F36977C0A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8268" name="AutoShape 12">
          <a:extLst>
            <a:ext uri="{FF2B5EF4-FFF2-40B4-BE49-F238E27FC236}">
              <a16:creationId xmlns:a16="http://schemas.microsoft.com/office/drawing/2014/main" id="{7881AFE5-78EA-4B49-8C62-F1D7373C44B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8269" name="AutoShape 12">
          <a:extLst>
            <a:ext uri="{FF2B5EF4-FFF2-40B4-BE49-F238E27FC236}">
              <a16:creationId xmlns:a16="http://schemas.microsoft.com/office/drawing/2014/main" id="{7A9CFE62-63BA-4F53-9D2C-868CA683E7C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8270" name="AutoShape 12">
          <a:extLst>
            <a:ext uri="{FF2B5EF4-FFF2-40B4-BE49-F238E27FC236}">
              <a16:creationId xmlns:a16="http://schemas.microsoft.com/office/drawing/2014/main" id="{50C338B4-2A90-47C5-B70A-ED289BFB6CF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8271" name="AutoShape 12">
          <a:extLst>
            <a:ext uri="{FF2B5EF4-FFF2-40B4-BE49-F238E27FC236}">
              <a16:creationId xmlns:a16="http://schemas.microsoft.com/office/drawing/2014/main" id="{1BB19B86-3078-4F0B-A03A-4F7A7337DA4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8272" name="AutoShape 12">
          <a:extLst>
            <a:ext uri="{FF2B5EF4-FFF2-40B4-BE49-F238E27FC236}">
              <a16:creationId xmlns:a16="http://schemas.microsoft.com/office/drawing/2014/main" id="{31195D73-3023-4D08-BE8B-CFBAC9EC2BD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8273" name="AutoShape 12">
          <a:extLst>
            <a:ext uri="{FF2B5EF4-FFF2-40B4-BE49-F238E27FC236}">
              <a16:creationId xmlns:a16="http://schemas.microsoft.com/office/drawing/2014/main" id="{F207C212-6644-4088-937C-97E5F6181E0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8274" name="AutoShape 12">
          <a:extLst>
            <a:ext uri="{FF2B5EF4-FFF2-40B4-BE49-F238E27FC236}">
              <a16:creationId xmlns:a16="http://schemas.microsoft.com/office/drawing/2014/main" id="{0799FCC8-4EBB-42FC-B8D2-A6284E63A9C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8275" name="AutoShape 12">
          <a:extLst>
            <a:ext uri="{FF2B5EF4-FFF2-40B4-BE49-F238E27FC236}">
              <a16:creationId xmlns:a16="http://schemas.microsoft.com/office/drawing/2014/main" id="{2BC9D141-4E8E-4EF3-8476-1FB03043C9A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8276" name="AutoShape 12">
          <a:extLst>
            <a:ext uri="{FF2B5EF4-FFF2-40B4-BE49-F238E27FC236}">
              <a16:creationId xmlns:a16="http://schemas.microsoft.com/office/drawing/2014/main" id="{A1B337A4-A064-4C8B-AEBB-9E591644B50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8277" name="AutoShape 12">
          <a:extLst>
            <a:ext uri="{FF2B5EF4-FFF2-40B4-BE49-F238E27FC236}">
              <a16:creationId xmlns:a16="http://schemas.microsoft.com/office/drawing/2014/main" id="{5B5EA494-0B31-4D97-BCC8-E0A77EA4608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8278" name="AutoShape 12">
          <a:extLst>
            <a:ext uri="{FF2B5EF4-FFF2-40B4-BE49-F238E27FC236}">
              <a16:creationId xmlns:a16="http://schemas.microsoft.com/office/drawing/2014/main" id="{AA9CB4FC-75F9-453F-85F2-37075FFC5FF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8279" name="AutoShape 12">
          <a:extLst>
            <a:ext uri="{FF2B5EF4-FFF2-40B4-BE49-F238E27FC236}">
              <a16:creationId xmlns:a16="http://schemas.microsoft.com/office/drawing/2014/main" id="{9A52D56F-2CA8-41DA-967D-565964B979C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8280" name="AutoShape 12">
          <a:extLst>
            <a:ext uri="{FF2B5EF4-FFF2-40B4-BE49-F238E27FC236}">
              <a16:creationId xmlns:a16="http://schemas.microsoft.com/office/drawing/2014/main" id="{920196A4-E44F-4983-A0D9-FEC62258947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8281" name="AutoShape 12">
          <a:extLst>
            <a:ext uri="{FF2B5EF4-FFF2-40B4-BE49-F238E27FC236}">
              <a16:creationId xmlns:a16="http://schemas.microsoft.com/office/drawing/2014/main" id="{365FB43E-D9AB-4300-A2BF-07929671D5F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8282" name="AutoShape 12">
          <a:extLst>
            <a:ext uri="{FF2B5EF4-FFF2-40B4-BE49-F238E27FC236}">
              <a16:creationId xmlns:a16="http://schemas.microsoft.com/office/drawing/2014/main" id="{FEE9AEFB-3B8F-421F-82E7-60DD8058813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8283" name="AutoShape 12">
          <a:extLst>
            <a:ext uri="{FF2B5EF4-FFF2-40B4-BE49-F238E27FC236}">
              <a16:creationId xmlns:a16="http://schemas.microsoft.com/office/drawing/2014/main" id="{68E36FC8-89FD-4ED7-A7FC-D4D1FE435F6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876</xdr:row>
      <xdr:rowOff>0</xdr:rowOff>
    </xdr:from>
    <xdr:ext cx="304800" cy="304094"/>
    <xdr:sp macro="" textlink="">
      <xdr:nvSpPr>
        <xdr:cNvPr id="8284" name="AutoShape 12">
          <a:extLst>
            <a:ext uri="{FF2B5EF4-FFF2-40B4-BE49-F238E27FC236}">
              <a16:creationId xmlns:a16="http://schemas.microsoft.com/office/drawing/2014/main" id="{F8B18B94-A862-41BD-9CEB-429E32209C6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285" name="AutoShape 12">
          <a:extLst>
            <a:ext uri="{FF2B5EF4-FFF2-40B4-BE49-F238E27FC236}">
              <a16:creationId xmlns:a16="http://schemas.microsoft.com/office/drawing/2014/main" id="{E68BA357-1668-4036-95E7-B924B98FA59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286" name="AutoShape 12">
          <a:extLst>
            <a:ext uri="{FF2B5EF4-FFF2-40B4-BE49-F238E27FC236}">
              <a16:creationId xmlns:a16="http://schemas.microsoft.com/office/drawing/2014/main" id="{CAA39ED2-93AB-4453-99E8-21EBFFE4375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287" name="AutoShape 12">
          <a:extLst>
            <a:ext uri="{FF2B5EF4-FFF2-40B4-BE49-F238E27FC236}">
              <a16:creationId xmlns:a16="http://schemas.microsoft.com/office/drawing/2014/main" id="{F1B5BE98-7FBD-44E9-89DC-C36E7C1AEAD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288" name="AutoShape 12">
          <a:extLst>
            <a:ext uri="{FF2B5EF4-FFF2-40B4-BE49-F238E27FC236}">
              <a16:creationId xmlns:a16="http://schemas.microsoft.com/office/drawing/2014/main" id="{EDA95856-DD8D-405C-8C79-9A5556D4D90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289" name="AutoShape 12">
          <a:extLst>
            <a:ext uri="{FF2B5EF4-FFF2-40B4-BE49-F238E27FC236}">
              <a16:creationId xmlns:a16="http://schemas.microsoft.com/office/drawing/2014/main" id="{0FED7AEF-93DB-4004-9AAB-E30DA3CA28E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290" name="AutoShape 12">
          <a:extLst>
            <a:ext uri="{FF2B5EF4-FFF2-40B4-BE49-F238E27FC236}">
              <a16:creationId xmlns:a16="http://schemas.microsoft.com/office/drawing/2014/main" id="{0AEDE7C7-41EF-4983-A881-72E0184383D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291" name="AutoShape 12">
          <a:extLst>
            <a:ext uri="{FF2B5EF4-FFF2-40B4-BE49-F238E27FC236}">
              <a16:creationId xmlns:a16="http://schemas.microsoft.com/office/drawing/2014/main" id="{C25877ED-511A-4C69-AFC5-94632CC3A6B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292" name="AutoShape 12">
          <a:extLst>
            <a:ext uri="{FF2B5EF4-FFF2-40B4-BE49-F238E27FC236}">
              <a16:creationId xmlns:a16="http://schemas.microsoft.com/office/drawing/2014/main" id="{F254EE5A-2E24-4CB2-B935-8D1548E973E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293" name="AutoShape 12">
          <a:extLst>
            <a:ext uri="{FF2B5EF4-FFF2-40B4-BE49-F238E27FC236}">
              <a16:creationId xmlns:a16="http://schemas.microsoft.com/office/drawing/2014/main" id="{3ED3B756-621D-4D77-9C05-78CDD0B5A7C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294" name="AutoShape 12">
          <a:extLst>
            <a:ext uri="{FF2B5EF4-FFF2-40B4-BE49-F238E27FC236}">
              <a16:creationId xmlns:a16="http://schemas.microsoft.com/office/drawing/2014/main" id="{9A081F5D-9D78-484D-BC9A-A4415F96181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295" name="AutoShape 12">
          <a:extLst>
            <a:ext uri="{FF2B5EF4-FFF2-40B4-BE49-F238E27FC236}">
              <a16:creationId xmlns:a16="http://schemas.microsoft.com/office/drawing/2014/main" id="{09B37A4A-C0DB-4B3E-918D-638BD348638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296" name="AutoShape 12">
          <a:extLst>
            <a:ext uri="{FF2B5EF4-FFF2-40B4-BE49-F238E27FC236}">
              <a16:creationId xmlns:a16="http://schemas.microsoft.com/office/drawing/2014/main" id="{D2A7B4CB-CCEC-4EF1-8DE1-CD3FB2BB2ED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297" name="AutoShape 12">
          <a:extLst>
            <a:ext uri="{FF2B5EF4-FFF2-40B4-BE49-F238E27FC236}">
              <a16:creationId xmlns:a16="http://schemas.microsoft.com/office/drawing/2014/main" id="{A0F26878-EF29-4BFE-B847-2B436C8B9CA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298" name="AutoShape 12">
          <a:extLst>
            <a:ext uri="{FF2B5EF4-FFF2-40B4-BE49-F238E27FC236}">
              <a16:creationId xmlns:a16="http://schemas.microsoft.com/office/drawing/2014/main" id="{A9ABA47C-A54E-4F46-A9E3-B67C1CFF8E5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299" name="AutoShape 12">
          <a:extLst>
            <a:ext uri="{FF2B5EF4-FFF2-40B4-BE49-F238E27FC236}">
              <a16:creationId xmlns:a16="http://schemas.microsoft.com/office/drawing/2014/main" id="{C9EA02D8-5C28-4169-B4B4-7BB3AAABD8D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300" name="AutoShape 12">
          <a:extLst>
            <a:ext uri="{FF2B5EF4-FFF2-40B4-BE49-F238E27FC236}">
              <a16:creationId xmlns:a16="http://schemas.microsoft.com/office/drawing/2014/main" id="{74B5C634-1A36-4A84-937D-AC568004909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301" name="AutoShape 12">
          <a:extLst>
            <a:ext uri="{FF2B5EF4-FFF2-40B4-BE49-F238E27FC236}">
              <a16:creationId xmlns:a16="http://schemas.microsoft.com/office/drawing/2014/main" id="{0FB79E87-CC49-4850-AF0C-B184B5BC68D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302" name="AutoShape 12">
          <a:extLst>
            <a:ext uri="{FF2B5EF4-FFF2-40B4-BE49-F238E27FC236}">
              <a16:creationId xmlns:a16="http://schemas.microsoft.com/office/drawing/2014/main" id="{DB8859B5-8E2B-4093-809A-98C5E8B242C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303" name="AutoShape 12">
          <a:extLst>
            <a:ext uri="{FF2B5EF4-FFF2-40B4-BE49-F238E27FC236}">
              <a16:creationId xmlns:a16="http://schemas.microsoft.com/office/drawing/2014/main" id="{456331DD-6118-430D-8B26-6A836DC5C2B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304" name="AutoShape 12">
          <a:extLst>
            <a:ext uri="{FF2B5EF4-FFF2-40B4-BE49-F238E27FC236}">
              <a16:creationId xmlns:a16="http://schemas.microsoft.com/office/drawing/2014/main" id="{A8AF978C-4D99-41F0-90E2-E5205F6206E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305" name="AutoShape 12">
          <a:extLst>
            <a:ext uri="{FF2B5EF4-FFF2-40B4-BE49-F238E27FC236}">
              <a16:creationId xmlns:a16="http://schemas.microsoft.com/office/drawing/2014/main" id="{D6F6C282-B83C-4899-B746-8DFE2962FBA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306" name="AutoShape 12">
          <a:extLst>
            <a:ext uri="{FF2B5EF4-FFF2-40B4-BE49-F238E27FC236}">
              <a16:creationId xmlns:a16="http://schemas.microsoft.com/office/drawing/2014/main" id="{69B9BFCB-4AFA-498F-99B0-9D16577B56A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307" name="AutoShape 12">
          <a:extLst>
            <a:ext uri="{FF2B5EF4-FFF2-40B4-BE49-F238E27FC236}">
              <a16:creationId xmlns:a16="http://schemas.microsoft.com/office/drawing/2014/main" id="{ACF25BF2-BE2D-4CE7-9A13-8D2FD1D9C29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308" name="AutoShape 12">
          <a:extLst>
            <a:ext uri="{FF2B5EF4-FFF2-40B4-BE49-F238E27FC236}">
              <a16:creationId xmlns:a16="http://schemas.microsoft.com/office/drawing/2014/main" id="{0BD4B1A5-0215-4F8C-84C1-4E02C0D48F9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309" name="AutoShape 12">
          <a:extLst>
            <a:ext uri="{FF2B5EF4-FFF2-40B4-BE49-F238E27FC236}">
              <a16:creationId xmlns:a16="http://schemas.microsoft.com/office/drawing/2014/main" id="{09FC128C-6788-474E-8E0C-ABF8F58B223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310" name="AutoShape 12">
          <a:extLst>
            <a:ext uri="{FF2B5EF4-FFF2-40B4-BE49-F238E27FC236}">
              <a16:creationId xmlns:a16="http://schemas.microsoft.com/office/drawing/2014/main" id="{FFAE38E2-4BEE-4167-915D-2FC598BBBAD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311" name="AutoShape 12">
          <a:extLst>
            <a:ext uri="{FF2B5EF4-FFF2-40B4-BE49-F238E27FC236}">
              <a16:creationId xmlns:a16="http://schemas.microsoft.com/office/drawing/2014/main" id="{9788CE7B-A388-4DA0-938C-1F29F8E9288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312" name="AutoShape 12">
          <a:extLst>
            <a:ext uri="{FF2B5EF4-FFF2-40B4-BE49-F238E27FC236}">
              <a16:creationId xmlns:a16="http://schemas.microsoft.com/office/drawing/2014/main" id="{7D7F171F-41BB-4F63-8C4C-376778856AD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313" name="AutoShape 12">
          <a:extLst>
            <a:ext uri="{FF2B5EF4-FFF2-40B4-BE49-F238E27FC236}">
              <a16:creationId xmlns:a16="http://schemas.microsoft.com/office/drawing/2014/main" id="{7089D53F-1D46-446F-8FCD-031C7E28203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314" name="AutoShape 12">
          <a:extLst>
            <a:ext uri="{FF2B5EF4-FFF2-40B4-BE49-F238E27FC236}">
              <a16:creationId xmlns:a16="http://schemas.microsoft.com/office/drawing/2014/main" id="{60B37026-C941-4D69-9F4C-3028763785D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315" name="AutoShape 12">
          <a:extLst>
            <a:ext uri="{FF2B5EF4-FFF2-40B4-BE49-F238E27FC236}">
              <a16:creationId xmlns:a16="http://schemas.microsoft.com/office/drawing/2014/main" id="{4C3B93E8-E0C8-4FA2-87FA-521DE96AA79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316" name="AutoShape 12">
          <a:extLst>
            <a:ext uri="{FF2B5EF4-FFF2-40B4-BE49-F238E27FC236}">
              <a16:creationId xmlns:a16="http://schemas.microsoft.com/office/drawing/2014/main" id="{36711CA9-940F-4167-A698-54317D5F84D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317" name="AutoShape 12">
          <a:extLst>
            <a:ext uri="{FF2B5EF4-FFF2-40B4-BE49-F238E27FC236}">
              <a16:creationId xmlns:a16="http://schemas.microsoft.com/office/drawing/2014/main" id="{B5B69899-70BB-48F0-B561-28181DEF169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318" name="AutoShape 12">
          <a:extLst>
            <a:ext uri="{FF2B5EF4-FFF2-40B4-BE49-F238E27FC236}">
              <a16:creationId xmlns:a16="http://schemas.microsoft.com/office/drawing/2014/main" id="{36C59729-1B72-47CB-B949-5731B17C231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319" name="AutoShape 12">
          <a:extLst>
            <a:ext uri="{FF2B5EF4-FFF2-40B4-BE49-F238E27FC236}">
              <a16:creationId xmlns:a16="http://schemas.microsoft.com/office/drawing/2014/main" id="{2EF865B5-684C-4EC7-AA25-6D7AE6E6A93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320" name="AutoShape 12">
          <a:extLst>
            <a:ext uri="{FF2B5EF4-FFF2-40B4-BE49-F238E27FC236}">
              <a16:creationId xmlns:a16="http://schemas.microsoft.com/office/drawing/2014/main" id="{D14B2F5B-4733-4722-9E04-33BE984BCF6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321" name="AutoShape 12">
          <a:extLst>
            <a:ext uri="{FF2B5EF4-FFF2-40B4-BE49-F238E27FC236}">
              <a16:creationId xmlns:a16="http://schemas.microsoft.com/office/drawing/2014/main" id="{6B0AE0AB-883E-48BF-996E-9D5313A530D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322" name="AutoShape 12">
          <a:extLst>
            <a:ext uri="{FF2B5EF4-FFF2-40B4-BE49-F238E27FC236}">
              <a16:creationId xmlns:a16="http://schemas.microsoft.com/office/drawing/2014/main" id="{D2482BF3-C9BA-4B9F-B7C1-EB574375351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323" name="AutoShape 12">
          <a:extLst>
            <a:ext uri="{FF2B5EF4-FFF2-40B4-BE49-F238E27FC236}">
              <a16:creationId xmlns:a16="http://schemas.microsoft.com/office/drawing/2014/main" id="{BB1E7EAE-7F2D-45B2-9D13-B17BD642CFF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324" name="AutoShape 12">
          <a:extLst>
            <a:ext uri="{FF2B5EF4-FFF2-40B4-BE49-F238E27FC236}">
              <a16:creationId xmlns:a16="http://schemas.microsoft.com/office/drawing/2014/main" id="{F000062B-02F3-41F6-A5B8-6A6992C4903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325" name="AutoShape 12">
          <a:extLst>
            <a:ext uri="{FF2B5EF4-FFF2-40B4-BE49-F238E27FC236}">
              <a16:creationId xmlns:a16="http://schemas.microsoft.com/office/drawing/2014/main" id="{40A77F25-3C55-48C3-88EE-BAA452AA6BD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326" name="AutoShape 12">
          <a:extLst>
            <a:ext uri="{FF2B5EF4-FFF2-40B4-BE49-F238E27FC236}">
              <a16:creationId xmlns:a16="http://schemas.microsoft.com/office/drawing/2014/main" id="{065A27AA-4568-40CA-A287-E6F0BDAC99A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327" name="AutoShape 12">
          <a:extLst>
            <a:ext uri="{FF2B5EF4-FFF2-40B4-BE49-F238E27FC236}">
              <a16:creationId xmlns:a16="http://schemas.microsoft.com/office/drawing/2014/main" id="{5516E069-19A0-4031-BE89-9593CFC8090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328" name="AutoShape 12">
          <a:extLst>
            <a:ext uri="{FF2B5EF4-FFF2-40B4-BE49-F238E27FC236}">
              <a16:creationId xmlns:a16="http://schemas.microsoft.com/office/drawing/2014/main" id="{22B2F8C2-9315-4726-AA6C-64AF19E86FB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329" name="AutoShape 12">
          <a:extLst>
            <a:ext uri="{FF2B5EF4-FFF2-40B4-BE49-F238E27FC236}">
              <a16:creationId xmlns:a16="http://schemas.microsoft.com/office/drawing/2014/main" id="{03C82C0B-2936-4EE1-B8A4-976A9D1B3C3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330" name="AutoShape 12">
          <a:extLst>
            <a:ext uri="{FF2B5EF4-FFF2-40B4-BE49-F238E27FC236}">
              <a16:creationId xmlns:a16="http://schemas.microsoft.com/office/drawing/2014/main" id="{17F8B270-526F-4CBE-BDE5-53D70965EF4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331" name="AutoShape 12">
          <a:extLst>
            <a:ext uri="{FF2B5EF4-FFF2-40B4-BE49-F238E27FC236}">
              <a16:creationId xmlns:a16="http://schemas.microsoft.com/office/drawing/2014/main" id="{077AFC81-0C74-46D6-88DA-7298C4DF0B4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332" name="AutoShape 12">
          <a:extLst>
            <a:ext uri="{FF2B5EF4-FFF2-40B4-BE49-F238E27FC236}">
              <a16:creationId xmlns:a16="http://schemas.microsoft.com/office/drawing/2014/main" id="{968DBE9B-EF07-4166-A62A-78E2982D3A2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333" name="AutoShape 12">
          <a:extLst>
            <a:ext uri="{FF2B5EF4-FFF2-40B4-BE49-F238E27FC236}">
              <a16:creationId xmlns:a16="http://schemas.microsoft.com/office/drawing/2014/main" id="{09E1A6E7-F5A4-4FA4-AC50-98BECDD246C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334" name="AutoShape 12">
          <a:extLst>
            <a:ext uri="{FF2B5EF4-FFF2-40B4-BE49-F238E27FC236}">
              <a16:creationId xmlns:a16="http://schemas.microsoft.com/office/drawing/2014/main" id="{4DA3EE3C-8BAC-453C-A157-1FDDEE4F5D6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335" name="AutoShape 12">
          <a:extLst>
            <a:ext uri="{FF2B5EF4-FFF2-40B4-BE49-F238E27FC236}">
              <a16:creationId xmlns:a16="http://schemas.microsoft.com/office/drawing/2014/main" id="{15C196EE-E86E-425B-97E0-27947F2483E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336" name="AutoShape 12">
          <a:extLst>
            <a:ext uri="{FF2B5EF4-FFF2-40B4-BE49-F238E27FC236}">
              <a16:creationId xmlns:a16="http://schemas.microsoft.com/office/drawing/2014/main" id="{66C8B621-3834-4AF8-9E25-190730427CB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337" name="AutoShape 12">
          <a:extLst>
            <a:ext uri="{FF2B5EF4-FFF2-40B4-BE49-F238E27FC236}">
              <a16:creationId xmlns:a16="http://schemas.microsoft.com/office/drawing/2014/main" id="{FD019250-388F-4C31-995E-4AF90779AEE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338" name="AutoShape 12">
          <a:extLst>
            <a:ext uri="{FF2B5EF4-FFF2-40B4-BE49-F238E27FC236}">
              <a16:creationId xmlns:a16="http://schemas.microsoft.com/office/drawing/2014/main" id="{65C03F76-C5C3-47C6-9259-05DFE3D463A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339" name="AutoShape 12">
          <a:extLst>
            <a:ext uri="{FF2B5EF4-FFF2-40B4-BE49-F238E27FC236}">
              <a16:creationId xmlns:a16="http://schemas.microsoft.com/office/drawing/2014/main" id="{952134A8-A666-47AD-86B0-BE0F3644681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340" name="AutoShape 12">
          <a:extLst>
            <a:ext uri="{FF2B5EF4-FFF2-40B4-BE49-F238E27FC236}">
              <a16:creationId xmlns:a16="http://schemas.microsoft.com/office/drawing/2014/main" id="{7B87AD39-73ED-4D92-B533-350AD750AE5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341" name="AutoShape 12">
          <a:extLst>
            <a:ext uri="{FF2B5EF4-FFF2-40B4-BE49-F238E27FC236}">
              <a16:creationId xmlns:a16="http://schemas.microsoft.com/office/drawing/2014/main" id="{50CBA344-FBB9-47DF-9DB5-C1760EDE7FA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342" name="AutoShape 12">
          <a:extLst>
            <a:ext uri="{FF2B5EF4-FFF2-40B4-BE49-F238E27FC236}">
              <a16:creationId xmlns:a16="http://schemas.microsoft.com/office/drawing/2014/main" id="{382254BC-F53F-4481-AC6D-E4BF8C41885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343" name="AutoShape 12">
          <a:extLst>
            <a:ext uri="{FF2B5EF4-FFF2-40B4-BE49-F238E27FC236}">
              <a16:creationId xmlns:a16="http://schemas.microsoft.com/office/drawing/2014/main" id="{9927D2AE-3AA9-414E-ADB1-9B63AB5CD4B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344" name="AutoShape 12">
          <a:extLst>
            <a:ext uri="{FF2B5EF4-FFF2-40B4-BE49-F238E27FC236}">
              <a16:creationId xmlns:a16="http://schemas.microsoft.com/office/drawing/2014/main" id="{411A5D8F-202D-4D58-B644-0CB9BDDD04E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345" name="AutoShape 12">
          <a:extLst>
            <a:ext uri="{FF2B5EF4-FFF2-40B4-BE49-F238E27FC236}">
              <a16:creationId xmlns:a16="http://schemas.microsoft.com/office/drawing/2014/main" id="{1C40DC0D-B3C8-4193-AFB4-F6E00E038E6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346" name="AutoShape 12">
          <a:extLst>
            <a:ext uri="{FF2B5EF4-FFF2-40B4-BE49-F238E27FC236}">
              <a16:creationId xmlns:a16="http://schemas.microsoft.com/office/drawing/2014/main" id="{C44B8140-752A-42EF-B1CA-86F4172C158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347" name="AutoShape 12">
          <a:extLst>
            <a:ext uri="{FF2B5EF4-FFF2-40B4-BE49-F238E27FC236}">
              <a16:creationId xmlns:a16="http://schemas.microsoft.com/office/drawing/2014/main" id="{3E866AEB-76F6-4061-BD29-BC30A5514F5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348" name="AutoShape 12">
          <a:extLst>
            <a:ext uri="{FF2B5EF4-FFF2-40B4-BE49-F238E27FC236}">
              <a16:creationId xmlns:a16="http://schemas.microsoft.com/office/drawing/2014/main" id="{03DE7824-BBBC-4C41-B1AF-FA75EE75357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349" name="AutoShape 12">
          <a:extLst>
            <a:ext uri="{FF2B5EF4-FFF2-40B4-BE49-F238E27FC236}">
              <a16:creationId xmlns:a16="http://schemas.microsoft.com/office/drawing/2014/main" id="{2BB56D6B-1891-4A84-BFD5-F1BD40DD91A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350" name="AutoShape 12">
          <a:extLst>
            <a:ext uri="{FF2B5EF4-FFF2-40B4-BE49-F238E27FC236}">
              <a16:creationId xmlns:a16="http://schemas.microsoft.com/office/drawing/2014/main" id="{0E30757A-52B8-4F1F-872E-FFBBFBFF8BE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351" name="AutoShape 12">
          <a:extLst>
            <a:ext uri="{FF2B5EF4-FFF2-40B4-BE49-F238E27FC236}">
              <a16:creationId xmlns:a16="http://schemas.microsoft.com/office/drawing/2014/main" id="{09306117-D65B-48EE-8E05-595AEBC4DFA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352" name="AutoShape 12">
          <a:extLst>
            <a:ext uri="{FF2B5EF4-FFF2-40B4-BE49-F238E27FC236}">
              <a16:creationId xmlns:a16="http://schemas.microsoft.com/office/drawing/2014/main" id="{33EB7263-BCE6-4D2D-8C4A-D58ED7960FF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353" name="AutoShape 12">
          <a:extLst>
            <a:ext uri="{FF2B5EF4-FFF2-40B4-BE49-F238E27FC236}">
              <a16:creationId xmlns:a16="http://schemas.microsoft.com/office/drawing/2014/main" id="{5F3DFDFD-20AB-4CE8-ACD3-752AC111611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354" name="AutoShape 12">
          <a:extLst>
            <a:ext uri="{FF2B5EF4-FFF2-40B4-BE49-F238E27FC236}">
              <a16:creationId xmlns:a16="http://schemas.microsoft.com/office/drawing/2014/main" id="{7D979099-A9D5-4CDF-B809-CBA0C6727F5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355" name="AutoShape 12">
          <a:extLst>
            <a:ext uri="{FF2B5EF4-FFF2-40B4-BE49-F238E27FC236}">
              <a16:creationId xmlns:a16="http://schemas.microsoft.com/office/drawing/2014/main" id="{B421E600-46C8-4D01-A69F-297E136A9AB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356" name="AutoShape 12">
          <a:extLst>
            <a:ext uri="{FF2B5EF4-FFF2-40B4-BE49-F238E27FC236}">
              <a16:creationId xmlns:a16="http://schemas.microsoft.com/office/drawing/2014/main" id="{C8498E3B-988A-420D-8DA7-EE236506B2E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357" name="AutoShape 12">
          <a:extLst>
            <a:ext uri="{FF2B5EF4-FFF2-40B4-BE49-F238E27FC236}">
              <a16:creationId xmlns:a16="http://schemas.microsoft.com/office/drawing/2014/main" id="{8F21B7A5-4CC8-4E89-B4A9-F910E57612E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358" name="AutoShape 12">
          <a:extLst>
            <a:ext uri="{FF2B5EF4-FFF2-40B4-BE49-F238E27FC236}">
              <a16:creationId xmlns:a16="http://schemas.microsoft.com/office/drawing/2014/main" id="{469965DE-3C1A-4483-A19F-D3F2092B6B9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359" name="AutoShape 12">
          <a:extLst>
            <a:ext uri="{FF2B5EF4-FFF2-40B4-BE49-F238E27FC236}">
              <a16:creationId xmlns:a16="http://schemas.microsoft.com/office/drawing/2014/main" id="{D108710B-D784-420B-9F65-2D8EBD835A3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360" name="AutoShape 12">
          <a:extLst>
            <a:ext uri="{FF2B5EF4-FFF2-40B4-BE49-F238E27FC236}">
              <a16:creationId xmlns:a16="http://schemas.microsoft.com/office/drawing/2014/main" id="{B296946B-04DB-412C-8504-F30C22B60B9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361" name="AutoShape 12">
          <a:extLst>
            <a:ext uri="{FF2B5EF4-FFF2-40B4-BE49-F238E27FC236}">
              <a16:creationId xmlns:a16="http://schemas.microsoft.com/office/drawing/2014/main" id="{94E82350-8235-4E2B-BCBE-53F71892693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362" name="AutoShape 12">
          <a:extLst>
            <a:ext uri="{FF2B5EF4-FFF2-40B4-BE49-F238E27FC236}">
              <a16:creationId xmlns:a16="http://schemas.microsoft.com/office/drawing/2014/main" id="{6654A6C2-2B1E-4172-B3ED-46C8216F1B0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363" name="AutoShape 12">
          <a:extLst>
            <a:ext uri="{FF2B5EF4-FFF2-40B4-BE49-F238E27FC236}">
              <a16:creationId xmlns:a16="http://schemas.microsoft.com/office/drawing/2014/main" id="{7798F849-5874-4F5D-B589-EBA2A9B708B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364" name="AutoShape 12">
          <a:extLst>
            <a:ext uri="{FF2B5EF4-FFF2-40B4-BE49-F238E27FC236}">
              <a16:creationId xmlns:a16="http://schemas.microsoft.com/office/drawing/2014/main" id="{C2DB7521-5B40-4D51-AAB9-95EA0BFC880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365" name="AutoShape 12">
          <a:extLst>
            <a:ext uri="{FF2B5EF4-FFF2-40B4-BE49-F238E27FC236}">
              <a16:creationId xmlns:a16="http://schemas.microsoft.com/office/drawing/2014/main" id="{4929FE6E-7E9F-43D7-8FCF-3C76C9180E9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366" name="AutoShape 12">
          <a:extLst>
            <a:ext uri="{FF2B5EF4-FFF2-40B4-BE49-F238E27FC236}">
              <a16:creationId xmlns:a16="http://schemas.microsoft.com/office/drawing/2014/main" id="{F9F73E9B-B04A-4C26-95D1-DB03753CB15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367" name="AutoShape 12">
          <a:extLst>
            <a:ext uri="{FF2B5EF4-FFF2-40B4-BE49-F238E27FC236}">
              <a16:creationId xmlns:a16="http://schemas.microsoft.com/office/drawing/2014/main" id="{6CB18126-36FD-41B9-9A87-36FA8F6839A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368" name="AutoShape 12">
          <a:extLst>
            <a:ext uri="{FF2B5EF4-FFF2-40B4-BE49-F238E27FC236}">
              <a16:creationId xmlns:a16="http://schemas.microsoft.com/office/drawing/2014/main" id="{284B9AC8-3864-43A6-A3C6-28049290836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369" name="AutoShape 12">
          <a:extLst>
            <a:ext uri="{FF2B5EF4-FFF2-40B4-BE49-F238E27FC236}">
              <a16:creationId xmlns:a16="http://schemas.microsoft.com/office/drawing/2014/main" id="{60CC218C-7F66-424E-9BA2-6778C56445E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370" name="AutoShape 12">
          <a:extLst>
            <a:ext uri="{FF2B5EF4-FFF2-40B4-BE49-F238E27FC236}">
              <a16:creationId xmlns:a16="http://schemas.microsoft.com/office/drawing/2014/main" id="{78F3923D-057D-4A0E-9050-C2F4AAE3302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371" name="AutoShape 12">
          <a:extLst>
            <a:ext uri="{FF2B5EF4-FFF2-40B4-BE49-F238E27FC236}">
              <a16:creationId xmlns:a16="http://schemas.microsoft.com/office/drawing/2014/main" id="{2D4A0596-E7DA-4E3E-A88F-A2473AF61D5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372" name="AutoShape 12">
          <a:extLst>
            <a:ext uri="{FF2B5EF4-FFF2-40B4-BE49-F238E27FC236}">
              <a16:creationId xmlns:a16="http://schemas.microsoft.com/office/drawing/2014/main" id="{3B3FBB10-D7C7-423B-9D81-B368C171F43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373" name="AutoShape 12">
          <a:extLst>
            <a:ext uri="{FF2B5EF4-FFF2-40B4-BE49-F238E27FC236}">
              <a16:creationId xmlns:a16="http://schemas.microsoft.com/office/drawing/2014/main" id="{570B114C-8CB5-4970-9AFA-63E31ADE942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374" name="AutoShape 12">
          <a:extLst>
            <a:ext uri="{FF2B5EF4-FFF2-40B4-BE49-F238E27FC236}">
              <a16:creationId xmlns:a16="http://schemas.microsoft.com/office/drawing/2014/main" id="{EF8957BA-5C80-4AB5-8AC7-AA86CB6363E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375" name="AutoShape 12">
          <a:extLst>
            <a:ext uri="{FF2B5EF4-FFF2-40B4-BE49-F238E27FC236}">
              <a16:creationId xmlns:a16="http://schemas.microsoft.com/office/drawing/2014/main" id="{940C590E-F608-41B5-BCC2-45172117FD9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376" name="AutoShape 12">
          <a:extLst>
            <a:ext uri="{FF2B5EF4-FFF2-40B4-BE49-F238E27FC236}">
              <a16:creationId xmlns:a16="http://schemas.microsoft.com/office/drawing/2014/main" id="{858FF706-3B2F-40CB-AE0E-F19980A2E75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377" name="AutoShape 12">
          <a:extLst>
            <a:ext uri="{FF2B5EF4-FFF2-40B4-BE49-F238E27FC236}">
              <a16:creationId xmlns:a16="http://schemas.microsoft.com/office/drawing/2014/main" id="{BF41D5C4-9253-4DF0-99D3-78F9A05C651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378" name="AutoShape 12">
          <a:extLst>
            <a:ext uri="{FF2B5EF4-FFF2-40B4-BE49-F238E27FC236}">
              <a16:creationId xmlns:a16="http://schemas.microsoft.com/office/drawing/2014/main" id="{593FF83E-1850-467D-AC17-35A6DA8AF76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379" name="AutoShape 12">
          <a:extLst>
            <a:ext uri="{FF2B5EF4-FFF2-40B4-BE49-F238E27FC236}">
              <a16:creationId xmlns:a16="http://schemas.microsoft.com/office/drawing/2014/main" id="{DA654995-A4BB-4546-ADB6-C7E8D9EE4E5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380" name="AutoShape 12">
          <a:extLst>
            <a:ext uri="{FF2B5EF4-FFF2-40B4-BE49-F238E27FC236}">
              <a16:creationId xmlns:a16="http://schemas.microsoft.com/office/drawing/2014/main" id="{8BCA41FA-CD12-417B-85B7-16184F6AB6A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381" name="AutoShape 12">
          <a:extLst>
            <a:ext uri="{FF2B5EF4-FFF2-40B4-BE49-F238E27FC236}">
              <a16:creationId xmlns:a16="http://schemas.microsoft.com/office/drawing/2014/main" id="{449B2F33-5AD8-4E04-8BDA-6A80414A67F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382" name="AutoShape 12">
          <a:extLst>
            <a:ext uri="{FF2B5EF4-FFF2-40B4-BE49-F238E27FC236}">
              <a16:creationId xmlns:a16="http://schemas.microsoft.com/office/drawing/2014/main" id="{8555B1E3-04D9-49E7-A2D5-E82A01E0E26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383" name="AutoShape 12">
          <a:extLst>
            <a:ext uri="{FF2B5EF4-FFF2-40B4-BE49-F238E27FC236}">
              <a16:creationId xmlns:a16="http://schemas.microsoft.com/office/drawing/2014/main" id="{1C9F3D43-7231-4188-A3B4-334478CA0D7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384" name="AutoShape 12">
          <a:extLst>
            <a:ext uri="{FF2B5EF4-FFF2-40B4-BE49-F238E27FC236}">
              <a16:creationId xmlns:a16="http://schemas.microsoft.com/office/drawing/2014/main" id="{2B7D4BFD-FC45-4CD3-9C2A-834B34C9D7E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385" name="AutoShape 12">
          <a:extLst>
            <a:ext uri="{FF2B5EF4-FFF2-40B4-BE49-F238E27FC236}">
              <a16:creationId xmlns:a16="http://schemas.microsoft.com/office/drawing/2014/main" id="{F4854569-7B96-424C-B174-A6A3A24FC72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386" name="AutoShape 12">
          <a:extLst>
            <a:ext uri="{FF2B5EF4-FFF2-40B4-BE49-F238E27FC236}">
              <a16:creationId xmlns:a16="http://schemas.microsoft.com/office/drawing/2014/main" id="{38A335E4-6828-4B4A-BD93-215F3A59DB3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387" name="AutoShape 12">
          <a:extLst>
            <a:ext uri="{FF2B5EF4-FFF2-40B4-BE49-F238E27FC236}">
              <a16:creationId xmlns:a16="http://schemas.microsoft.com/office/drawing/2014/main" id="{FDB72D05-FEF0-446E-926D-DAC22EA29CD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388" name="AutoShape 12">
          <a:extLst>
            <a:ext uri="{FF2B5EF4-FFF2-40B4-BE49-F238E27FC236}">
              <a16:creationId xmlns:a16="http://schemas.microsoft.com/office/drawing/2014/main" id="{EA02F790-EA4D-433E-8747-D16D7F5F635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389" name="AutoShape 12">
          <a:extLst>
            <a:ext uri="{FF2B5EF4-FFF2-40B4-BE49-F238E27FC236}">
              <a16:creationId xmlns:a16="http://schemas.microsoft.com/office/drawing/2014/main" id="{BE9559B2-C3A2-4791-B9E3-A8B3F1574C7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390" name="AutoShape 12">
          <a:extLst>
            <a:ext uri="{FF2B5EF4-FFF2-40B4-BE49-F238E27FC236}">
              <a16:creationId xmlns:a16="http://schemas.microsoft.com/office/drawing/2014/main" id="{DAC6912E-37C1-4C09-9101-C34E46E5336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391" name="AutoShape 12">
          <a:extLst>
            <a:ext uri="{FF2B5EF4-FFF2-40B4-BE49-F238E27FC236}">
              <a16:creationId xmlns:a16="http://schemas.microsoft.com/office/drawing/2014/main" id="{42AAE3F5-87F8-4FF7-A742-7488DBAF6A7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392" name="AutoShape 12">
          <a:extLst>
            <a:ext uri="{FF2B5EF4-FFF2-40B4-BE49-F238E27FC236}">
              <a16:creationId xmlns:a16="http://schemas.microsoft.com/office/drawing/2014/main" id="{58D9CC78-50DD-4383-98EF-32FE239D983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393" name="AutoShape 12">
          <a:extLst>
            <a:ext uri="{FF2B5EF4-FFF2-40B4-BE49-F238E27FC236}">
              <a16:creationId xmlns:a16="http://schemas.microsoft.com/office/drawing/2014/main" id="{BF75CD71-A184-4495-BC78-178BB6DE5C3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394" name="AutoShape 12">
          <a:extLst>
            <a:ext uri="{FF2B5EF4-FFF2-40B4-BE49-F238E27FC236}">
              <a16:creationId xmlns:a16="http://schemas.microsoft.com/office/drawing/2014/main" id="{4279F341-5A38-43B0-AD18-767F0CDF551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395" name="AutoShape 12">
          <a:extLst>
            <a:ext uri="{FF2B5EF4-FFF2-40B4-BE49-F238E27FC236}">
              <a16:creationId xmlns:a16="http://schemas.microsoft.com/office/drawing/2014/main" id="{23F09CA4-B602-49C9-B36C-1D53FB686C5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396" name="AutoShape 12">
          <a:extLst>
            <a:ext uri="{FF2B5EF4-FFF2-40B4-BE49-F238E27FC236}">
              <a16:creationId xmlns:a16="http://schemas.microsoft.com/office/drawing/2014/main" id="{F14CA98B-51BF-406B-918D-D0ED0D203DE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397" name="AutoShape 12">
          <a:extLst>
            <a:ext uri="{FF2B5EF4-FFF2-40B4-BE49-F238E27FC236}">
              <a16:creationId xmlns:a16="http://schemas.microsoft.com/office/drawing/2014/main" id="{1E56E206-223D-4A26-9EDA-7F98C665625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398" name="AutoShape 12">
          <a:extLst>
            <a:ext uri="{FF2B5EF4-FFF2-40B4-BE49-F238E27FC236}">
              <a16:creationId xmlns:a16="http://schemas.microsoft.com/office/drawing/2014/main" id="{0D15A450-5079-485F-92CB-9D7AAC8E446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399" name="AutoShape 12">
          <a:extLst>
            <a:ext uri="{FF2B5EF4-FFF2-40B4-BE49-F238E27FC236}">
              <a16:creationId xmlns:a16="http://schemas.microsoft.com/office/drawing/2014/main" id="{24B54F44-FAF5-4BC2-8A89-3EBDC641F6E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400" name="AutoShape 12">
          <a:extLst>
            <a:ext uri="{FF2B5EF4-FFF2-40B4-BE49-F238E27FC236}">
              <a16:creationId xmlns:a16="http://schemas.microsoft.com/office/drawing/2014/main" id="{956CA0CE-0344-4C94-8220-B15BC258635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401" name="AutoShape 12">
          <a:extLst>
            <a:ext uri="{FF2B5EF4-FFF2-40B4-BE49-F238E27FC236}">
              <a16:creationId xmlns:a16="http://schemas.microsoft.com/office/drawing/2014/main" id="{902FC593-6028-4207-897B-5C7D41BA805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402" name="AutoShape 12">
          <a:extLst>
            <a:ext uri="{FF2B5EF4-FFF2-40B4-BE49-F238E27FC236}">
              <a16:creationId xmlns:a16="http://schemas.microsoft.com/office/drawing/2014/main" id="{E4813DAC-ED88-4107-AFCD-34894E0DCCD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403" name="AutoShape 12">
          <a:extLst>
            <a:ext uri="{FF2B5EF4-FFF2-40B4-BE49-F238E27FC236}">
              <a16:creationId xmlns:a16="http://schemas.microsoft.com/office/drawing/2014/main" id="{ACC6D1F7-F0A0-4227-8536-EBB7D65D9BC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404" name="AutoShape 12">
          <a:extLst>
            <a:ext uri="{FF2B5EF4-FFF2-40B4-BE49-F238E27FC236}">
              <a16:creationId xmlns:a16="http://schemas.microsoft.com/office/drawing/2014/main" id="{6489472C-B3BD-4E52-B1F0-7F7FE47447D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405" name="AutoShape 12">
          <a:extLst>
            <a:ext uri="{FF2B5EF4-FFF2-40B4-BE49-F238E27FC236}">
              <a16:creationId xmlns:a16="http://schemas.microsoft.com/office/drawing/2014/main" id="{1884B712-9DFA-429C-8028-5204C609534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406" name="AutoShape 12">
          <a:extLst>
            <a:ext uri="{FF2B5EF4-FFF2-40B4-BE49-F238E27FC236}">
              <a16:creationId xmlns:a16="http://schemas.microsoft.com/office/drawing/2014/main" id="{7EE60002-3B97-4E4D-A8D7-F61D0EC4AA6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407" name="AutoShape 12">
          <a:extLst>
            <a:ext uri="{FF2B5EF4-FFF2-40B4-BE49-F238E27FC236}">
              <a16:creationId xmlns:a16="http://schemas.microsoft.com/office/drawing/2014/main" id="{D831BAD2-0743-42BC-8A5C-2C8B81E6280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408" name="AutoShape 12">
          <a:extLst>
            <a:ext uri="{FF2B5EF4-FFF2-40B4-BE49-F238E27FC236}">
              <a16:creationId xmlns:a16="http://schemas.microsoft.com/office/drawing/2014/main" id="{F1F99401-FEAB-4CCE-B1D5-8A24C604772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409" name="AutoShape 12">
          <a:extLst>
            <a:ext uri="{FF2B5EF4-FFF2-40B4-BE49-F238E27FC236}">
              <a16:creationId xmlns:a16="http://schemas.microsoft.com/office/drawing/2014/main" id="{63842FAB-A913-4F6A-A6A0-D8FE1043BDC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410" name="AutoShape 12">
          <a:extLst>
            <a:ext uri="{FF2B5EF4-FFF2-40B4-BE49-F238E27FC236}">
              <a16:creationId xmlns:a16="http://schemas.microsoft.com/office/drawing/2014/main" id="{43A03419-5AB3-4C7F-AFBF-26963D53632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411" name="AutoShape 12">
          <a:extLst>
            <a:ext uri="{FF2B5EF4-FFF2-40B4-BE49-F238E27FC236}">
              <a16:creationId xmlns:a16="http://schemas.microsoft.com/office/drawing/2014/main" id="{15D4014F-890B-493B-A258-DB49456237B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412" name="AutoShape 12">
          <a:extLst>
            <a:ext uri="{FF2B5EF4-FFF2-40B4-BE49-F238E27FC236}">
              <a16:creationId xmlns:a16="http://schemas.microsoft.com/office/drawing/2014/main" id="{625CD253-17C9-4E10-9620-6D4AA0082A1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413" name="AutoShape 12">
          <a:extLst>
            <a:ext uri="{FF2B5EF4-FFF2-40B4-BE49-F238E27FC236}">
              <a16:creationId xmlns:a16="http://schemas.microsoft.com/office/drawing/2014/main" id="{6819831F-AB9D-40D0-B2AE-D58EF90F00D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414" name="AutoShape 12">
          <a:extLst>
            <a:ext uri="{FF2B5EF4-FFF2-40B4-BE49-F238E27FC236}">
              <a16:creationId xmlns:a16="http://schemas.microsoft.com/office/drawing/2014/main" id="{F0177B63-8B34-4184-8995-0D18A9065B2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415" name="AutoShape 12">
          <a:extLst>
            <a:ext uri="{FF2B5EF4-FFF2-40B4-BE49-F238E27FC236}">
              <a16:creationId xmlns:a16="http://schemas.microsoft.com/office/drawing/2014/main" id="{DAE736FC-09E6-42D6-AFCB-AD7DF158237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416" name="AutoShape 12">
          <a:extLst>
            <a:ext uri="{FF2B5EF4-FFF2-40B4-BE49-F238E27FC236}">
              <a16:creationId xmlns:a16="http://schemas.microsoft.com/office/drawing/2014/main" id="{A0C73484-B2B2-4C67-92F4-8903D024D6E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417" name="AutoShape 12">
          <a:extLst>
            <a:ext uri="{FF2B5EF4-FFF2-40B4-BE49-F238E27FC236}">
              <a16:creationId xmlns:a16="http://schemas.microsoft.com/office/drawing/2014/main" id="{FC68C2CA-9D2B-439B-95FF-4232241B7E2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418" name="AutoShape 12">
          <a:extLst>
            <a:ext uri="{FF2B5EF4-FFF2-40B4-BE49-F238E27FC236}">
              <a16:creationId xmlns:a16="http://schemas.microsoft.com/office/drawing/2014/main" id="{30AFB925-00EA-413D-99D7-0496704B548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419" name="AutoShape 12">
          <a:extLst>
            <a:ext uri="{FF2B5EF4-FFF2-40B4-BE49-F238E27FC236}">
              <a16:creationId xmlns:a16="http://schemas.microsoft.com/office/drawing/2014/main" id="{F16C134E-CB0F-4261-99BB-AEFA5889E39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420" name="AutoShape 12">
          <a:extLst>
            <a:ext uri="{FF2B5EF4-FFF2-40B4-BE49-F238E27FC236}">
              <a16:creationId xmlns:a16="http://schemas.microsoft.com/office/drawing/2014/main" id="{B5A74655-753B-4A08-A0C9-82A43C4965C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421" name="AutoShape 12">
          <a:extLst>
            <a:ext uri="{FF2B5EF4-FFF2-40B4-BE49-F238E27FC236}">
              <a16:creationId xmlns:a16="http://schemas.microsoft.com/office/drawing/2014/main" id="{440383FD-8827-4E97-B8D4-F7D690C4E9F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422" name="AutoShape 12">
          <a:extLst>
            <a:ext uri="{FF2B5EF4-FFF2-40B4-BE49-F238E27FC236}">
              <a16:creationId xmlns:a16="http://schemas.microsoft.com/office/drawing/2014/main" id="{5D306756-1C66-4654-8DF3-89C35D99B57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423" name="AutoShape 12">
          <a:extLst>
            <a:ext uri="{FF2B5EF4-FFF2-40B4-BE49-F238E27FC236}">
              <a16:creationId xmlns:a16="http://schemas.microsoft.com/office/drawing/2014/main" id="{6AA55223-F8CA-4D4F-9E24-9FA18D1F496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424" name="AutoShape 12">
          <a:extLst>
            <a:ext uri="{FF2B5EF4-FFF2-40B4-BE49-F238E27FC236}">
              <a16:creationId xmlns:a16="http://schemas.microsoft.com/office/drawing/2014/main" id="{C268412F-056C-4688-B52E-6A84C46DD21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425" name="AutoShape 12">
          <a:extLst>
            <a:ext uri="{FF2B5EF4-FFF2-40B4-BE49-F238E27FC236}">
              <a16:creationId xmlns:a16="http://schemas.microsoft.com/office/drawing/2014/main" id="{2977D182-4C33-4ABB-856B-E3F1586AC8F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426" name="AutoShape 12">
          <a:extLst>
            <a:ext uri="{FF2B5EF4-FFF2-40B4-BE49-F238E27FC236}">
              <a16:creationId xmlns:a16="http://schemas.microsoft.com/office/drawing/2014/main" id="{BB3462C6-9F9A-466A-BF0F-4BC35078456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427" name="AutoShape 12">
          <a:extLst>
            <a:ext uri="{FF2B5EF4-FFF2-40B4-BE49-F238E27FC236}">
              <a16:creationId xmlns:a16="http://schemas.microsoft.com/office/drawing/2014/main" id="{F27BC511-B13D-45B1-AA86-77FEBC1A295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428" name="AutoShape 12">
          <a:extLst>
            <a:ext uri="{FF2B5EF4-FFF2-40B4-BE49-F238E27FC236}">
              <a16:creationId xmlns:a16="http://schemas.microsoft.com/office/drawing/2014/main" id="{2BB0ACBE-FE4B-4CF3-84CF-9A28BB69CF5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429" name="AutoShape 12">
          <a:extLst>
            <a:ext uri="{FF2B5EF4-FFF2-40B4-BE49-F238E27FC236}">
              <a16:creationId xmlns:a16="http://schemas.microsoft.com/office/drawing/2014/main" id="{E559FBCB-BCB6-444B-A539-7680A4744C5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430" name="AutoShape 12">
          <a:extLst>
            <a:ext uri="{FF2B5EF4-FFF2-40B4-BE49-F238E27FC236}">
              <a16:creationId xmlns:a16="http://schemas.microsoft.com/office/drawing/2014/main" id="{30BD1338-3FE5-47A1-8C96-8A8C121C36D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431" name="AutoShape 12">
          <a:extLst>
            <a:ext uri="{FF2B5EF4-FFF2-40B4-BE49-F238E27FC236}">
              <a16:creationId xmlns:a16="http://schemas.microsoft.com/office/drawing/2014/main" id="{1A54FD1B-68B9-4F99-AC06-C5A19A76B90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432" name="AutoShape 12">
          <a:extLst>
            <a:ext uri="{FF2B5EF4-FFF2-40B4-BE49-F238E27FC236}">
              <a16:creationId xmlns:a16="http://schemas.microsoft.com/office/drawing/2014/main" id="{DB965D53-7343-4289-BE83-50265EE080B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433" name="AutoShape 12">
          <a:extLst>
            <a:ext uri="{FF2B5EF4-FFF2-40B4-BE49-F238E27FC236}">
              <a16:creationId xmlns:a16="http://schemas.microsoft.com/office/drawing/2014/main" id="{4E9FE590-9929-4F62-BFFD-5C22BDDF5FC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434" name="AutoShape 12">
          <a:extLst>
            <a:ext uri="{FF2B5EF4-FFF2-40B4-BE49-F238E27FC236}">
              <a16:creationId xmlns:a16="http://schemas.microsoft.com/office/drawing/2014/main" id="{BA54BF2A-73BC-4FAD-BB3F-BEDABFED8B1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435" name="AutoShape 12">
          <a:extLst>
            <a:ext uri="{FF2B5EF4-FFF2-40B4-BE49-F238E27FC236}">
              <a16:creationId xmlns:a16="http://schemas.microsoft.com/office/drawing/2014/main" id="{99CBA948-AB76-4EA1-A72D-E0D77A6D883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436" name="AutoShape 12">
          <a:extLst>
            <a:ext uri="{FF2B5EF4-FFF2-40B4-BE49-F238E27FC236}">
              <a16:creationId xmlns:a16="http://schemas.microsoft.com/office/drawing/2014/main" id="{9750FDCF-1B21-4C0C-81B6-6D896C71021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437" name="AutoShape 12">
          <a:extLst>
            <a:ext uri="{FF2B5EF4-FFF2-40B4-BE49-F238E27FC236}">
              <a16:creationId xmlns:a16="http://schemas.microsoft.com/office/drawing/2014/main" id="{BF931CA9-7CD0-449D-AA2C-B165470BC64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438" name="AutoShape 12">
          <a:extLst>
            <a:ext uri="{FF2B5EF4-FFF2-40B4-BE49-F238E27FC236}">
              <a16:creationId xmlns:a16="http://schemas.microsoft.com/office/drawing/2014/main" id="{C8559BD3-09C5-41D4-A6E7-5EF8A01249D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439" name="AutoShape 12">
          <a:extLst>
            <a:ext uri="{FF2B5EF4-FFF2-40B4-BE49-F238E27FC236}">
              <a16:creationId xmlns:a16="http://schemas.microsoft.com/office/drawing/2014/main" id="{D58A8843-43AF-4D6E-82F0-62F4BEE51DE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440" name="AutoShape 12">
          <a:extLst>
            <a:ext uri="{FF2B5EF4-FFF2-40B4-BE49-F238E27FC236}">
              <a16:creationId xmlns:a16="http://schemas.microsoft.com/office/drawing/2014/main" id="{FBA11D9E-4181-4941-9B92-063FA0AF911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441" name="AutoShape 12">
          <a:extLst>
            <a:ext uri="{FF2B5EF4-FFF2-40B4-BE49-F238E27FC236}">
              <a16:creationId xmlns:a16="http://schemas.microsoft.com/office/drawing/2014/main" id="{13061B1B-265A-4098-810B-27F41B5C0CA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442" name="AutoShape 12">
          <a:extLst>
            <a:ext uri="{FF2B5EF4-FFF2-40B4-BE49-F238E27FC236}">
              <a16:creationId xmlns:a16="http://schemas.microsoft.com/office/drawing/2014/main" id="{A50603CB-BEA3-46ED-BB1B-6CB2A3F6D33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443" name="AutoShape 12">
          <a:extLst>
            <a:ext uri="{FF2B5EF4-FFF2-40B4-BE49-F238E27FC236}">
              <a16:creationId xmlns:a16="http://schemas.microsoft.com/office/drawing/2014/main" id="{A96D13F6-1DD7-4F7B-917E-F31C611174A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444" name="AutoShape 12">
          <a:extLst>
            <a:ext uri="{FF2B5EF4-FFF2-40B4-BE49-F238E27FC236}">
              <a16:creationId xmlns:a16="http://schemas.microsoft.com/office/drawing/2014/main" id="{1F17AE01-663E-4C03-BFDA-E55382DF742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445" name="AutoShape 12">
          <a:extLst>
            <a:ext uri="{FF2B5EF4-FFF2-40B4-BE49-F238E27FC236}">
              <a16:creationId xmlns:a16="http://schemas.microsoft.com/office/drawing/2014/main" id="{7A36288B-5527-45FD-81DC-607DC296ABA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446" name="AutoShape 12">
          <a:extLst>
            <a:ext uri="{FF2B5EF4-FFF2-40B4-BE49-F238E27FC236}">
              <a16:creationId xmlns:a16="http://schemas.microsoft.com/office/drawing/2014/main" id="{0145C6CD-D3DA-4DDB-BA08-1DC0650BD78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447" name="AutoShape 12">
          <a:extLst>
            <a:ext uri="{FF2B5EF4-FFF2-40B4-BE49-F238E27FC236}">
              <a16:creationId xmlns:a16="http://schemas.microsoft.com/office/drawing/2014/main" id="{314BDCB2-C980-4C33-800A-905AC15AE12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448" name="AutoShape 12">
          <a:extLst>
            <a:ext uri="{FF2B5EF4-FFF2-40B4-BE49-F238E27FC236}">
              <a16:creationId xmlns:a16="http://schemas.microsoft.com/office/drawing/2014/main" id="{F7B1BCBC-4A3F-4F6D-85C6-8619FC537F6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449" name="AutoShape 12">
          <a:extLst>
            <a:ext uri="{FF2B5EF4-FFF2-40B4-BE49-F238E27FC236}">
              <a16:creationId xmlns:a16="http://schemas.microsoft.com/office/drawing/2014/main" id="{9839BD29-1DBD-4A8E-90F2-607470BD24F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450" name="AutoShape 12">
          <a:extLst>
            <a:ext uri="{FF2B5EF4-FFF2-40B4-BE49-F238E27FC236}">
              <a16:creationId xmlns:a16="http://schemas.microsoft.com/office/drawing/2014/main" id="{A8D32111-BD13-43D6-A758-ED622FFB4D8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451" name="AutoShape 12">
          <a:extLst>
            <a:ext uri="{FF2B5EF4-FFF2-40B4-BE49-F238E27FC236}">
              <a16:creationId xmlns:a16="http://schemas.microsoft.com/office/drawing/2014/main" id="{0DA4A99B-9302-4651-9C21-3297CD506E4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452" name="AutoShape 12">
          <a:extLst>
            <a:ext uri="{FF2B5EF4-FFF2-40B4-BE49-F238E27FC236}">
              <a16:creationId xmlns:a16="http://schemas.microsoft.com/office/drawing/2014/main" id="{4A139D97-FDE7-42E3-90B0-2A39C45EFBB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453" name="AutoShape 12">
          <a:extLst>
            <a:ext uri="{FF2B5EF4-FFF2-40B4-BE49-F238E27FC236}">
              <a16:creationId xmlns:a16="http://schemas.microsoft.com/office/drawing/2014/main" id="{6174BE58-84C6-45F1-8F2B-BED017DF9A4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454" name="AutoShape 12">
          <a:extLst>
            <a:ext uri="{FF2B5EF4-FFF2-40B4-BE49-F238E27FC236}">
              <a16:creationId xmlns:a16="http://schemas.microsoft.com/office/drawing/2014/main" id="{D45F0186-C828-42D3-867D-242451EDD23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455" name="AutoShape 12">
          <a:extLst>
            <a:ext uri="{FF2B5EF4-FFF2-40B4-BE49-F238E27FC236}">
              <a16:creationId xmlns:a16="http://schemas.microsoft.com/office/drawing/2014/main" id="{6AC83E16-A4CC-4882-B188-67240665835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456" name="AutoShape 12">
          <a:extLst>
            <a:ext uri="{FF2B5EF4-FFF2-40B4-BE49-F238E27FC236}">
              <a16:creationId xmlns:a16="http://schemas.microsoft.com/office/drawing/2014/main" id="{EFD1448F-D014-4DE0-8CBD-AD0A536DDF7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457" name="AutoShape 12">
          <a:extLst>
            <a:ext uri="{FF2B5EF4-FFF2-40B4-BE49-F238E27FC236}">
              <a16:creationId xmlns:a16="http://schemas.microsoft.com/office/drawing/2014/main" id="{396A0FDD-94B9-4465-A370-ED6C30A1DB0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458" name="AutoShape 12">
          <a:extLst>
            <a:ext uri="{FF2B5EF4-FFF2-40B4-BE49-F238E27FC236}">
              <a16:creationId xmlns:a16="http://schemas.microsoft.com/office/drawing/2014/main" id="{43760FC4-5BE9-4334-87C3-0784D285CAD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459" name="AutoShape 12">
          <a:extLst>
            <a:ext uri="{FF2B5EF4-FFF2-40B4-BE49-F238E27FC236}">
              <a16:creationId xmlns:a16="http://schemas.microsoft.com/office/drawing/2014/main" id="{25975F5A-78F9-4824-84C2-F6D26648CBD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460" name="AutoShape 12">
          <a:extLst>
            <a:ext uri="{FF2B5EF4-FFF2-40B4-BE49-F238E27FC236}">
              <a16:creationId xmlns:a16="http://schemas.microsoft.com/office/drawing/2014/main" id="{029EDD74-136C-4D7D-A508-C35ED9DE823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461" name="AutoShape 12">
          <a:extLst>
            <a:ext uri="{FF2B5EF4-FFF2-40B4-BE49-F238E27FC236}">
              <a16:creationId xmlns:a16="http://schemas.microsoft.com/office/drawing/2014/main" id="{7C934A39-94A2-4177-A1E0-A40B9572D8B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462" name="AutoShape 12">
          <a:extLst>
            <a:ext uri="{FF2B5EF4-FFF2-40B4-BE49-F238E27FC236}">
              <a16:creationId xmlns:a16="http://schemas.microsoft.com/office/drawing/2014/main" id="{29FA7DE5-24B9-4C5E-9867-43DDD4A9B60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463" name="AutoShape 12">
          <a:extLst>
            <a:ext uri="{FF2B5EF4-FFF2-40B4-BE49-F238E27FC236}">
              <a16:creationId xmlns:a16="http://schemas.microsoft.com/office/drawing/2014/main" id="{DEF6C513-838E-47FF-B667-503F97BBB9B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464" name="AutoShape 12">
          <a:extLst>
            <a:ext uri="{FF2B5EF4-FFF2-40B4-BE49-F238E27FC236}">
              <a16:creationId xmlns:a16="http://schemas.microsoft.com/office/drawing/2014/main" id="{A3B383D9-A75F-4E90-8F56-9A9A457F12A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465" name="AutoShape 12">
          <a:extLst>
            <a:ext uri="{FF2B5EF4-FFF2-40B4-BE49-F238E27FC236}">
              <a16:creationId xmlns:a16="http://schemas.microsoft.com/office/drawing/2014/main" id="{D956ED71-7E73-4B34-B1F9-E0C1551CC45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466" name="AutoShape 12">
          <a:extLst>
            <a:ext uri="{FF2B5EF4-FFF2-40B4-BE49-F238E27FC236}">
              <a16:creationId xmlns:a16="http://schemas.microsoft.com/office/drawing/2014/main" id="{224B5102-57AA-4748-AE35-C5F7A6C622C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467" name="AutoShape 12">
          <a:extLst>
            <a:ext uri="{FF2B5EF4-FFF2-40B4-BE49-F238E27FC236}">
              <a16:creationId xmlns:a16="http://schemas.microsoft.com/office/drawing/2014/main" id="{43020DD5-4BFF-4054-8A15-E871BE4DB7B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468" name="AutoShape 12">
          <a:extLst>
            <a:ext uri="{FF2B5EF4-FFF2-40B4-BE49-F238E27FC236}">
              <a16:creationId xmlns:a16="http://schemas.microsoft.com/office/drawing/2014/main" id="{BCA0C611-0CB0-461B-AA2A-646ED8D0DAA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469" name="AutoShape 12">
          <a:extLst>
            <a:ext uri="{FF2B5EF4-FFF2-40B4-BE49-F238E27FC236}">
              <a16:creationId xmlns:a16="http://schemas.microsoft.com/office/drawing/2014/main" id="{2F6E9A31-0301-4583-8954-F667D48D5B0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470" name="AutoShape 12">
          <a:extLst>
            <a:ext uri="{FF2B5EF4-FFF2-40B4-BE49-F238E27FC236}">
              <a16:creationId xmlns:a16="http://schemas.microsoft.com/office/drawing/2014/main" id="{4A16CD2F-F390-4B4C-A784-4DEEF1AB987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471" name="AutoShape 12">
          <a:extLst>
            <a:ext uri="{FF2B5EF4-FFF2-40B4-BE49-F238E27FC236}">
              <a16:creationId xmlns:a16="http://schemas.microsoft.com/office/drawing/2014/main" id="{9808FB5D-CA82-43D4-AA8B-9D601229D90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472" name="AutoShape 12">
          <a:extLst>
            <a:ext uri="{FF2B5EF4-FFF2-40B4-BE49-F238E27FC236}">
              <a16:creationId xmlns:a16="http://schemas.microsoft.com/office/drawing/2014/main" id="{9ABA9452-39A8-40F5-922B-202FE821112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473" name="AutoShape 12">
          <a:extLst>
            <a:ext uri="{FF2B5EF4-FFF2-40B4-BE49-F238E27FC236}">
              <a16:creationId xmlns:a16="http://schemas.microsoft.com/office/drawing/2014/main" id="{E53047FB-E6BE-41E6-B5E5-B68CBB268B4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474" name="AutoShape 12">
          <a:extLst>
            <a:ext uri="{FF2B5EF4-FFF2-40B4-BE49-F238E27FC236}">
              <a16:creationId xmlns:a16="http://schemas.microsoft.com/office/drawing/2014/main" id="{B9D375B6-C53A-4BD6-B053-3CB933F7CCB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475" name="AutoShape 12">
          <a:extLst>
            <a:ext uri="{FF2B5EF4-FFF2-40B4-BE49-F238E27FC236}">
              <a16:creationId xmlns:a16="http://schemas.microsoft.com/office/drawing/2014/main" id="{C6FE735F-51C9-4AE0-9F07-4ACED38A147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476" name="AutoShape 12">
          <a:extLst>
            <a:ext uri="{FF2B5EF4-FFF2-40B4-BE49-F238E27FC236}">
              <a16:creationId xmlns:a16="http://schemas.microsoft.com/office/drawing/2014/main" id="{879C9607-921E-4DE4-8961-3992EC48A1C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477" name="AutoShape 12">
          <a:extLst>
            <a:ext uri="{FF2B5EF4-FFF2-40B4-BE49-F238E27FC236}">
              <a16:creationId xmlns:a16="http://schemas.microsoft.com/office/drawing/2014/main" id="{A9D73FBB-03BD-42C1-846E-B268714D14C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478" name="AutoShape 12">
          <a:extLst>
            <a:ext uri="{FF2B5EF4-FFF2-40B4-BE49-F238E27FC236}">
              <a16:creationId xmlns:a16="http://schemas.microsoft.com/office/drawing/2014/main" id="{A118D019-74EF-4F05-ACC6-102A5D5B1D3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479" name="AutoShape 12">
          <a:extLst>
            <a:ext uri="{FF2B5EF4-FFF2-40B4-BE49-F238E27FC236}">
              <a16:creationId xmlns:a16="http://schemas.microsoft.com/office/drawing/2014/main" id="{3274494C-98E3-4A64-8DBB-56896E1F035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480" name="AutoShape 12">
          <a:extLst>
            <a:ext uri="{FF2B5EF4-FFF2-40B4-BE49-F238E27FC236}">
              <a16:creationId xmlns:a16="http://schemas.microsoft.com/office/drawing/2014/main" id="{E3C2A7C5-5BA1-4D78-AB10-C7A7659EF49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481" name="AutoShape 12">
          <a:extLst>
            <a:ext uri="{FF2B5EF4-FFF2-40B4-BE49-F238E27FC236}">
              <a16:creationId xmlns:a16="http://schemas.microsoft.com/office/drawing/2014/main" id="{7B57E222-CB7D-49BA-8912-D500232A3AC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482" name="AutoShape 12">
          <a:extLst>
            <a:ext uri="{FF2B5EF4-FFF2-40B4-BE49-F238E27FC236}">
              <a16:creationId xmlns:a16="http://schemas.microsoft.com/office/drawing/2014/main" id="{E376806E-7A84-4E35-A5BF-A647E6C6D1E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483" name="AutoShape 12">
          <a:extLst>
            <a:ext uri="{FF2B5EF4-FFF2-40B4-BE49-F238E27FC236}">
              <a16:creationId xmlns:a16="http://schemas.microsoft.com/office/drawing/2014/main" id="{6FA9AAEC-D635-45BA-BF4C-C424E4A2B7F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484" name="AutoShape 12">
          <a:extLst>
            <a:ext uri="{FF2B5EF4-FFF2-40B4-BE49-F238E27FC236}">
              <a16:creationId xmlns:a16="http://schemas.microsoft.com/office/drawing/2014/main" id="{934499C0-51EA-464A-B09E-A3DAD6F76C5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485" name="AutoShape 12">
          <a:extLst>
            <a:ext uri="{FF2B5EF4-FFF2-40B4-BE49-F238E27FC236}">
              <a16:creationId xmlns:a16="http://schemas.microsoft.com/office/drawing/2014/main" id="{14FCEEE6-00ED-43EA-A8F8-E3D69BB2513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486" name="AutoShape 12">
          <a:extLst>
            <a:ext uri="{FF2B5EF4-FFF2-40B4-BE49-F238E27FC236}">
              <a16:creationId xmlns:a16="http://schemas.microsoft.com/office/drawing/2014/main" id="{13D78F53-9E53-4D63-9980-62351ADCAC4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487" name="AutoShape 12">
          <a:extLst>
            <a:ext uri="{FF2B5EF4-FFF2-40B4-BE49-F238E27FC236}">
              <a16:creationId xmlns:a16="http://schemas.microsoft.com/office/drawing/2014/main" id="{B8A25D19-1662-4716-A65C-33F668AF4D8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488" name="AutoShape 12">
          <a:extLst>
            <a:ext uri="{FF2B5EF4-FFF2-40B4-BE49-F238E27FC236}">
              <a16:creationId xmlns:a16="http://schemas.microsoft.com/office/drawing/2014/main" id="{B63379B6-666E-4589-9C60-1132D26C518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489" name="AutoShape 12">
          <a:extLst>
            <a:ext uri="{FF2B5EF4-FFF2-40B4-BE49-F238E27FC236}">
              <a16:creationId xmlns:a16="http://schemas.microsoft.com/office/drawing/2014/main" id="{D9D11D19-D850-4626-B9D8-01EC4F60FA9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490" name="AutoShape 12">
          <a:extLst>
            <a:ext uri="{FF2B5EF4-FFF2-40B4-BE49-F238E27FC236}">
              <a16:creationId xmlns:a16="http://schemas.microsoft.com/office/drawing/2014/main" id="{FA02DAB4-4C4B-4607-9E81-B4F33E43D95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491" name="AutoShape 12">
          <a:extLst>
            <a:ext uri="{FF2B5EF4-FFF2-40B4-BE49-F238E27FC236}">
              <a16:creationId xmlns:a16="http://schemas.microsoft.com/office/drawing/2014/main" id="{A6BAE194-1010-49AD-BBE8-D947A0C13D2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492" name="AutoShape 12">
          <a:extLst>
            <a:ext uri="{FF2B5EF4-FFF2-40B4-BE49-F238E27FC236}">
              <a16:creationId xmlns:a16="http://schemas.microsoft.com/office/drawing/2014/main" id="{EB9B18CA-BFCF-4944-B2F0-217672841E5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493" name="AutoShape 12">
          <a:extLst>
            <a:ext uri="{FF2B5EF4-FFF2-40B4-BE49-F238E27FC236}">
              <a16:creationId xmlns:a16="http://schemas.microsoft.com/office/drawing/2014/main" id="{559DD838-6FD5-499C-8385-E0E99F963C6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494" name="AutoShape 12">
          <a:extLst>
            <a:ext uri="{FF2B5EF4-FFF2-40B4-BE49-F238E27FC236}">
              <a16:creationId xmlns:a16="http://schemas.microsoft.com/office/drawing/2014/main" id="{6E6CB6C9-2710-4218-955F-13BF96CBD82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495" name="AutoShape 12">
          <a:extLst>
            <a:ext uri="{FF2B5EF4-FFF2-40B4-BE49-F238E27FC236}">
              <a16:creationId xmlns:a16="http://schemas.microsoft.com/office/drawing/2014/main" id="{597F488A-1254-4089-BD22-C51EAFFC3ED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496" name="AutoShape 12">
          <a:extLst>
            <a:ext uri="{FF2B5EF4-FFF2-40B4-BE49-F238E27FC236}">
              <a16:creationId xmlns:a16="http://schemas.microsoft.com/office/drawing/2014/main" id="{BE9FE6FD-8665-4341-B2C6-5D1233F6299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497" name="AutoShape 12">
          <a:extLst>
            <a:ext uri="{FF2B5EF4-FFF2-40B4-BE49-F238E27FC236}">
              <a16:creationId xmlns:a16="http://schemas.microsoft.com/office/drawing/2014/main" id="{E671BD5D-4642-4347-824B-0615275044B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498" name="AutoShape 12">
          <a:extLst>
            <a:ext uri="{FF2B5EF4-FFF2-40B4-BE49-F238E27FC236}">
              <a16:creationId xmlns:a16="http://schemas.microsoft.com/office/drawing/2014/main" id="{E0E3696C-A8E1-4E49-A719-BAD30B33525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499" name="AutoShape 12">
          <a:extLst>
            <a:ext uri="{FF2B5EF4-FFF2-40B4-BE49-F238E27FC236}">
              <a16:creationId xmlns:a16="http://schemas.microsoft.com/office/drawing/2014/main" id="{705C8B88-2DD0-49FC-999D-177CC996BDD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500" name="AutoShape 12">
          <a:extLst>
            <a:ext uri="{FF2B5EF4-FFF2-40B4-BE49-F238E27FC236}">
              <a16:creationId xmlns:a16="http://schemas.microsoft.com/office/drawing/2014/main" id="{CCF4CAD2-4746-4502-A162-CF37C742348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501" name="AutoShape 12">
          <a:extLst>
            <a:ext uri="{FF2B5EF4-FFF2-40B4-BE49-F238E27FC236}">
              <a16:creationId xmlns:a16="http://schemas.microsoft.com/office/drawing/2014/main" id="{D0F25B58-A310-4D9B-B7F4-12C9847126F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502" name="AutoShape 12">
          <a:extLst>
            <a:ext uri="{FF2B5EF4-FFF2-40B4-BE49-F238E27FC236}">
              <a16:creationId xmlns:a16="http://schemas.microsoft.com/office/drawing/2014/main" id="{A94F95E7-90B7-44F8-A610-F5A7B1455B4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503" name="AutoShape 12">
          <a:extLst>
            <a:ext uri="{FF2B5EF4-FFF2-40B4-BE49-F238E27FC236}">
              <a16:creationId xmlns:a16="http://schemas.microsoft.com/office/drawing/2014/main" id="{44945FA5-9382-4D8E-8D59-1EAD84BEDCE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504" name="AutoShape 12">
          <a:extLst>
            <a:ext uri="{FF2B5EF4-FFF2-40B4-BE49-F238E27FC236}">
              <a16:creationId xmlns:a16="http://schemas.microsoft.com/office/drawing/2014/main" id="{C17DEC5E-CEAB-4EDB-8218-260D339A760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505" name="AutoShape 12">
          <a:extLst>
            <a:ext uri="{FF2B5EF4-FFF2-40B4-BE49-F238E27FC236}">
              <a16:creationId xmlns:a16="http://schemas.microsoft.com/office/drawing/2014/main" id="{2D4CA405-02A1-4CB2-98CE-FEDBAE0AA7D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506" name="AutoShape 12">
          <a:extLst>
            <a:ext uri="{FF2B5EF4-FFF2-40B4-BE49-F238E27FC236}">
              <a16:creationId xmlns:a16="http://schemas.microsoft.com/office/drawing/2014/main" id="{67A5B258-3F62-4D6E-B226-98ED2490463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507" name="AutoShape 12">
          <a:extLst>
            <a:ext uri="{FF2B5EF4-FFF2-40B4-BE49-F238E27FC236}">
              <a16:creationId xmlns:a16="http://schemas.microsoft.com/office/drawing/2014/main" id="{B44F3D7C-2D0C-408E-A194-96E53BEFC4C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508" name="AutoShape 12">
          <a:extLst>
            <a:ext uri="{FF2B5EF4-FFF2-40B4-BE49-F238E27FC236}">
              <a16:creationId xmlns:a16="http://schemas.microsoft.com/office/drawing/2014/main" id="{D2A130CD-2BEC-41AC-84AC-314CFA8BFAB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509" name="AutoShape 12">
          <a:extLst>
            <a:ext uri="{FF2B5EF4-FFF2-40B4-BE49-F238E27FC236}">
              <a16:creationId xmlns:a16="http://schemas.microsoft.com/office/drawing/2014/main" id="{94346800-1349-4ED6-A2BA-8129AB8BC10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510" name="AutoShape 12">
          <a:extLst>
            <a:ext uri="{FF2B5EF4-FFF2-40B4-BE49-F238E27FC236}">
              <a16:creationId xmlns:a16="http://schemas.microsoft.com/office/drawing/2014/main" id="{C473BDEC-65B2-4C1C-8187-41D1F41EA7D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511" name="AutoShape 12">
          <a:extLst>
            <a:ext uri="{FF2B5EF4-FFF2-40B4-BE49-F238E27FC236}">
              <a16:creationId xmlns:a16="http://schemas.microsoft.com/office/drawing/2014/main" id="{DAAF483E-F4D3-414A-9344-81BB693B94B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512" name="AutoShape 12">
          <a:extLst>
            <a:ext uri="{FF2B5EF4-FFF2-40B4-BE49-F238E27FC236}">
              <a16:creationId xmlns:a16="http://schemas.microsoft.com/office/drawing/2014/main" id="{289DCDB1-7769-4904-A64B-5D1E6DB8043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513" name="AutoShape 12">
          <a:extLst>
            <a:ext uri="{FF2B5EF4-FFF2-40B4-BE49-F238E27FC236}">
              <a16:creationId xmlns:a16="http://schemas.microsoft.com/office/drawing/2014/main" id="{8912FC56-A941-4D88-B638-98204E99CAE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514" name="AutoShape 12">
          <a:extLst>
            <a:ext uri="{FF2B5EF4-FFF2-40B4-BE49-F238E27FC236}">
              <a16:creationId xmlns:a16="http://schemas.microsoft.com/office/drawing/2014/main" id="{9CE4D272-BAB3-4E47-8109-8C6C63FD595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515" name="AutoShape 12">
          <a:extLst>
            <a:ext uri="{FF2B5EF4-FFF2-40B4-BE49-F238E27FC236}">
              <a16:creationId xmlns:a16="http://schemas.microsoft.com/office/drawing/2014/main" id="{0C5093D0-1301-420C-BADB-50A218DAE8B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516" name="AutoShape 12">
          <a:extLst>
            <a:ext uri="{FF2B5EF4-FFF2-40B4-BE49-F238E27FC236}">
              <a16:creationId xmlns:a16="http://schemas.microsoft.com/office/drawing/2014/main" id="{90B1A713-ABD1-4B78-A1B1-CCDB9C683A2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517" name="AutoShape 12">
          <a:extLst>
            <a:ext uri="{FF2B5EF4-FFF2-40B4-BE49-F238E27FC236}">
              <a16:creationId xmlns:a16="http://schemas.microsoft.com/office/drawing/2014/main" id="{B04118A0-E60D-451D-B75D-16316FF219C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518" name="AutoShape 12">
          <a:extLst>
            <a:ext uri="{FF2B5EF4-FFF2-40B4-BE49-F238E27FC236}">
              <a16:creationId xmlns:a16="http://schemas.microsoft.com/office/drawing/2014/main" id="{7C1633BA-DA91-4719-B28C-A633F568686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519" name="AutoShape 12">
          <a:extLst>
            <a:ext uri="{FF2B5EF4-FFF2-40B4-BE49-F238E27FC236}">
              <a16:creationId xmlns:a16="http://schemas.microsoft.com/office/drawing/2014/main" id="{7A55F790-CA22-434E-8B8C-F4F23DD95B7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520" name="AutoShape 12">
          <a:extLst>
            <a:ext uri="{FF2B5EF4-FFF2-40B4-BE49-F238E27FC236}">
              <a16:creationId xmlns:a16="http://schemas.microsoft.com/office/drawing/2014/main" id="{4E18D89E-98A7-48B4-84C3-6275948D9A4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521" name="AutoShape 12">
          <a:extLst>
            <a:ext uri="{FF2B5EF4-FFF2-40B4-BE49-F238E27FC236}">
              <a16:creationId xmlns:a16="http://schemas.microsoft.com/office/drawing/2014/main" id="{FC3B8DE5-C15D-4686-9F26-90737689768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522" name="AutoShape 12">
          <a:extLst>
            <a:ext uri="{FF2B5EF4-FFF2-40B4-BE49-F238E27FC236}">
              <a16:creationId xmlns:a16="http://schemas.microsoft.com/office/drawing/2014/main" id="{1C0E1FCF-414B-4E25-B2C7-458E73E3DC5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523" name="AutoShape 12">
          <a:extLst>
            <a:ext uri="{FF2B5EF4-FFF2-40B4-BE49-F238E27FC236}">
              <a16:creationId xmlns:a16="http://schemas.microsoft.com/office/drawing/2014/main" id="{76C51B2D-C289-4864-9538-81089AAF21B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524" name="AutoShape 12">
          <a:extLst>
            <a:ext uri="{FF2B5EF4-FFF2-40B4-BE49-F238E27FC236}">
              <a16:creationId xmlns:a16="http://schemas.microsoft.com/office/drawing/2014/main" id="{2FBD30FA-FA88-4AB9-8F20-A190F901310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525" name="AutoShape 12">
          <a:extLst>
            <a:ext uri="{FF2B5EF4-FFF2-40B4-BE49-F238E27FC236}">
              <a16:creationId xmlns:a16="http://schemas.microsoft.com/office/drawing/2014/main" id="{20C9DDA7-BF77-40EB-B726-7650AE1C738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526" name="AutoShape 12">
          <a:extLst>
            <a:ext uri="{FF2B5EF4-FFF2-40B4-BE49-F238E27FC236}">
              <a16:creationId xmlns:a16="http://schemas.microsoft.com/office/drawing/2014/main" id="{1F00A5B4-E161-427A-8D68-8101D3A1D55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527" name="AutoShape 12">
          <a:extLst>
            <a:ext uri="{FF2B5EF4-FFF2-40B4-BE49-F238E27FC236}">
              <a16:creationId xmlns:a16="http://schemas.microsoft.com/office/drawing/2014/main" id="{EA7F2DC0-A340-4A28-B90F-5F88F71B8FD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528" name="AutoShape 12">
          <a:extLst>
            <a:ext uri="{FF2B5EF4-FFF2-40B4-BE49-F238E27FC236}">
              <a16:creationId xmlns:a16="http://schemas.microsoft.com/office/drawing/2014/main" id="{0D45E301-78A5-46EC-B50A-8FAD9442231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529" name="AutoShape 12">
          <a:extLst>
            <a:ext uri="{FF2B5EF4-FFF2-40B4-BE49-F238E27FC236}">
              <a16:creationId xmlns:a16="http://schemas.microsoft.com/office/drawing/2014/main" id="{3CF4751E-0A74-46F8-844F-3ED2CC20381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530" name="AutoShape 12">
          <a:extLst>
            <a:ext uri="{FF2B5EF4-FFF2-40B4-BE49-F238E27FC236}">
              <a16:creationId xmlns:a16="http://schemas.microsoft.com/office/drawing/2014/main" id="{DD2FE7E0-DCB9-430A-B9FD-FC256D404DE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531" name="AutoShape 12">
          <a:extLst>
            <a:ext uri="{FF2B5EF4-FFF2-40B4-BE49-F238E27FC236}">
              <a16:creationId xmlns:a16="http://schemas.microsoft.com/office/drawing/2014/main" id="{5A9F2F83-2407-4320-A066-9A20395079A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532" name="AutoShape 12">
          <a:extLst>
            <a:ext uri="{FF2B5EF4-FFF2-40B4-BE49-F238E27FC236}">
              <a16:creationId xmlns:a16="http://schemas.microsoft.com/office/drawing/2014/main" id="{11A2F793-7CF3-40C1-AC7B-B76133C2742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533" name="AutoShape 12">
          <a:extLst>
            <a:ext uri="{FF2B5EF4-FFF2-40B4-BE49-F238E27FC236}">
              <a16:creationId xmlns:a16="http://schemas.microsoft.com/office/drawing/2014/main" id="{6A5106FB-BC02-43B2-9D00-A005B3D53C2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534" name="AutoShape 12">
          <a:extLst>
            <a:ext uri="{FF2B5EF4-FFF2-40B4-BE49-F238E27FC236}">
              <a16:creationId xmlns:a16="http://schemas.microsoft.com/office/drawing/2014/main" id="{6BC90164-A6CE-4BDB-9F18-88E98D7A2C1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535" name="AutoShape 12">
          <a:extLst>
            <a:ext uri="{FF2B5EF4-FFF2-40B4-BE49-F238E27FC236}">
              <a16:creationId xmlns:a16="http://schemas.microsoft.com/office/drawing/2014/main" id="{1F6E00DD-9F07-43EB-9045-9F10F86DAC9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536" name="AutoShape 12">
          <a:extLst>
            <a:ext uri="{FF2B5EF4-FFF2-40B4-BE49-F238E27FC236}">
              <a16:creationId xmlns:a16="http://schemas.microsoft.com/office/drawing/2014/main" id="{31118981-2547-4990-9123-2A3F48EB64D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537" name="AutoShape 12">
          <a:extLst>
            <a:ext uri="{FF2B5EF4-FFF2-40B4-BE49-F238E27FC236}">
              <a16:creationId xmlns:a16="http://schemas.microsoft.com/office/drawing/2014/main" id="{9E3D063D-F9FE-48CB-9252-EE12B7CC88A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538" name="AutoShape 12">
          <a:extLst>
            <a:ext uri="{FF2B5EF4-FFF2-40B4-BE49-F238E27FC236}">
              <a16:creationId xmlns:a16="http://schemas.microsoft.com/office/drawing/2014/main" id="{1B6A1B3E-B28F-4D2F-B4C0-18039DFE58B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539" name="AutoShape 12">
          <a:extLst>
            <a:ext uri="{FF2B5EF4-FFF2-40B4-BE49-F238E27FC236}">
              <a16:creationId xmlns:a16="http://schemas.microsoft.com/office/drawing/2014/main" id="{9C722197-B6D2-4D2F-9D1D-291B09E612A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540" name="AutoShape 12">
          <a:extLst>
            <a:ext uri="{FF2B5EF4-FFF2-40B4-BE49-F238E27FC236}">
              <a16:creationId xmlns:a16="http://schemas.microsoft.com/office/drawing/2014/main" id="{5CA411EF-4460-40B2-BDF4-81C317177C4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541" name="AutoShape 12">
          <a:extLst>
            <a:ext uri="{FF2B5EF4-FFF2-40B4-BE49-F238E27FC236}">
              <a16:creationId xmlns:a16="http://schemas.microsoft.com/office/drawing/2014/main" id="{E65C45F1-04E0-4B0D-A823-07C3B6E36D6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542" name="AutoShape 12">
          <a:extLst>
            <a:ext uri="{FF2B5EF4-FFF2-40B4-BE49-F238E27FC236}">
              <a16:creationId xmlns:a16="http://schemas.microsoft.com/office/drawing/2014/main" id="{6CBCDF50-253E-46AB-A1FD-6FCDB8385D8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543" name="AutoShape 12">
          <a:extLst>
            <a:ext uri="{FF2B5EF4-FFF2-40B4-BE49-F238E27FC236}">
              <a16:creationId xmlns:a16="http://schemas.microsoft.com/office/drawing/2014/main" id="{79701AB2-4D09-44A4-8E4B-63456193AD9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544" name="AutoShape 12">
          <a:extLst>
            <a:ext uri="{FF2B5EF4-FFF2-40B4-BE49-F238E27FC236}">
              <a16:creationId xmlns:a16="http://schemas.microsoft.com/office/drawing/2014/main" id="{57F61F27-865E-4D99-99CD-4EAB8B2B2C2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545" name="AutoShape 12">
          <a:extLst>
            <a:ext uri="{FF2B5EF4-FFF2-40B4-BE49-F238E27FC236}">
              <a16:creationId xmlns:a16="http://schemas.microsoft.com/office/drawing/2014/main" id="{333E9BF8-7D44-496C-850D-859C9F61347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546" name="AutoShape 12">
          <a:extLst>
            <a:ext uri="{FF2B5EF4-FFF2-40B4-BE49-F238E27FC236}">
              <a16:creationId xmlns:a16="http://schemas.microsoft.com/office/drawing/2014/main" id="{18A208C5-AF0E-45DB-8BDF-45604FEBD4D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547" name="AutoShape 12">
          <a:extLst>
            <a:ext uri="{FF2B5EF4-FFF2-40B4-BE49-F238E27FC236}">
              <a16:creationId xmlns:a16="http://schemas.microsoft.com/office/drawing/2014/main" id="{2BE2063E-88EE-4CAE-A450-0E60BC75EE0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548" name="AutoShape 12">
          <a:extLst>
            <a:ext uri="{FF2B5EF4-FFF2-40B4-BE49-F238E27FC236}">
              <a16:creationId xmlns:a16="http://schemas.microsoft.com/office/drawing/2014/main" id="{8DC42E65-3867-468D-92E5-C145E828F10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549" name="AutoShape 12">
          <a:extLst>
            <a:ext uri="{FF2B5EF4-FFF2-40B4-BE49-F238E27FC236}">
              <a16:creationId xmlns:a16="http://schemas.microsoft.com/office/drawing/2014/main" id="{A611A333-3E48-406F-B9BA-1548C39CC3D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550" name="AutoShape 12">
          <a:extLst>
            <a:ext uri="{FF2B5EF4-FFF2-40B4-BE49-F238E27FC236}">
              <a16:creationId xmlns:a16="http://schemas.microsoft.com/office/drawing/2014/main" id="{99E48450-D4EB-40C2-842C-B875000E393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551" name="AutoShape 12">
          <a:extLst>
            <a:ext uri="{FF2B5EF4-FFF2-40B4-BE49-F238E27FC236}">
              <a16:creationId xmlns:a16="http://schemas.microsoft.com/office/drawing/2014/main" id="{A9FEC970-0BD6-4085-8AAE-7682BAE289F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552" name="AutoShape 12">
          <a:extLst>
            <a:ext uri="{FF2B5EF4-FFF2-40B4-BE49-F238E27FC236}">
              <a16:creationId xmlns:a16="http://schemas.microsoft.com/office/drawing/2014/main" id="{DDE8FC67-E676-417A-B300-C49C511F080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553" name="AutoShape 12">
          <a:extLst>
            <a:ext uri="{FF2B5EF4-FFF2-40B4-BE49-F238E27FC236}">
              <a16:creationId xmlns:a16="http://schemas.microsoft.com/office/drawing/2014/main" id="{47BFADDC-4173-4452-943B-E6BF484705E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554" name="AutoShape 12">
          <a:extLst>
            <a:ext uri="{FF2B5EF4-FFF2-40B4-BE49-F238E27FC236}">
              <a16:creationId xmlns:a16="http://schemas.microsoft.com/office/drawing/2014/main" id="{162C9723-01FD-4D56-92F9-537C53E0BD0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555" name="AutoShape 12">
          <a:extLst>
            <a:ext uri="{FF2B5EF4-FFF2-40B4-BE49-F238E27FC236}">
              <a16:creationId xmlns:a16="http://schemas.microsoft.com/office/drawing/2014/main" id="{C0C9DFF3-40E0-4E3F-BCE4-B2576B2F519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556" name="AutoShape 12">
          <a:extLst>
            <a:ext uri="{FF2B5EF4-FFF2-40B4-BE49-F238E27FC236}">
              <a16:creationId xmlns:a16="http://schemas.microsoft.com/office/drawing/2014/main" id="{C0B5A821-18EE-4065-A2F7-DD447C4B625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557" name="AutoShape 12">
          <a:extLst>
            <a:ext uri="{FF2B5EF4-FFF2-40B4-BE49-F238E27FC236}">
              <a16:creationId xmlns:a16="http://schemas.microsoft.com/office/drawing/2014/main" id="{A68B2A1E-DA1C-4732-A415-A1641AC0B5B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558" name="AutoShape 12">
          <a:extLst>
            <a:ext uri="{FF2B5EF4-FFF2-40B4-BE49-F238E27FC236}">
              <a16:creationId xmlns:a16="http://schemas.microsoft.com/office/drawing/2014/main" id="{5239306F-1924-4A49-B3A2-4945FC28661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559" name="AutoShape 12">
          <a:extLst>
            <a:ext uri="{FF2B5EF4-FFF2-40B4-BE49-F238E27FC236}">
              <a16:creationId xmlns:a16="http://schemas.microsoft.com/office/drawing/2014/main" id="{5780FC4C-A42F-4F70-8DAC-500C74CF7CD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560" name="AutoShape 12">
          <a:extLst>
            <a:ext uri="{FF2B5EF4-FFF2-40B4-BE49-F238E27FC236}">
              <a16:creationId xmlns:a16="http://schemas.microsoft.com/office/drawing/2014/main" id="{402E681B-F2C5-4AEA-A391-7165A819EA5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561" name="AutoShape 12">
          <a:extLst>
            <a:ext uri="{FF2B5EF4-FFF2-40B4-BE49-F238E27FC236}">
              <a16:creationId xmlns:a16="http://schemas.microsoft.com/office/drawing/2014/main" id="{25674C75-B1E5-4211-B25E-D053C5B0950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562" name="AutoShape 12">
          <a:extLst>
            <a:ext uri="{FF2B5EF4-FFF2-40B4-BE49-F238E27FC236}">
              <a16:creationId xmlns:a16="http://schemas.microsoft.com/office/drawing/2014/main" id="{9F0CAE15-EE85-4E58-A09A-68582B86A0C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563" name="AutoShape 12">
          <a:extLst>
            <a:ext uri="{FF2B5EF4-FFF2-40B4-BE49-F238E27FC236}">
              <a16:creationId xmlns:a16="http://schemas.microsoft.com/office/drawing/2014/main" id="{47F61C16-BD8A-47DE-8D25-1B5346E7361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564" name="AutoShape 12">
          <a:extLst>
            <a:ext uri="{FF2B5EF4-FFF2-40B4-BE49-F238E27FC236}">
              <a16:creationId xmlns:a16="http://schemas.microsoft.com/office/drawing/2014/main" id="{F00A8730-0A6A-4BFE-9992-7B9F3DAC7C7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565" name="AutoShape 12">
          <a:extLst>
            <a:ext uri="{FF2B5EF4-FFF2-40B4-BE49-F238E27FC236}">
              <a16:creationId xmlns:a16="http://schemas.microsoft.com/office/drawing/2014/main" id="{121F3674-EF0F-4A4A-9035-23BFA0ADCC5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566" name="AutoShape 12">
          <a:extLst>
            <a:ext uri="{FF2B5EF4-FFF2-40B4-BE49-F238E27FC236}">
              <a16:creationId xmlns:a16="http://schemas.microsoft.com/office/drawing/2014/main" id="{95761F97-90DE-48CF-9962-7E5D42DDA72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567" name="AutoShape 12">
          <a:extLst>
            <a:ext uri="{FF2B5EF4-FFF2-40B4-BE49-F238E27FC236}">
              <a16:creationId xmlns:a16="http://schemas.microsoft.com/office/drawing/2014/main" id="{6A5E032E-A543-4998-9993-BF1F3A355CD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568" name="AutoShape 12">
          <a:extLst>
            <a:ext uri="{FF2B5EF4-FFF2-40B4-BE49-F238E27FC236}">
              <a16:creationId xmlns:a16="http://schemas.microsoft.com/office/drawing/2014/main" id="{0E5CC644-4931-49CE-B654-0616A3FA02B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569" name="AutoShape 12">
          <a:extLst>
            <a:ext uri="{FF2B5EF4-FFF2-40B4-BE49-F238E27FC236}">
              <a16:creationId xmlns:a16="http://schemas.microsoft.com/office/drawing/2014/main" id="{04094133-8B11-45C0-BA1C-86E23255366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570" name="AutoShape 12">
          <a:extLst>
            <a:ext uri="{FF2B5EF4-FFF2-40B4-BE49-F238E27FC236}">
              <a16:creationId xmlns:a16="http://schemas.microsoft.com/office/drawing/2014/main" id="{CE7B8D43-E0EC-4B08-9C25-3EFAACF49F5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911</xdr:row>
      <xdr:rowOff>0</xdr:rowOff>
    </xdr:from>
    <xdr:ext cx="304800" cy="304094"/>
    <xdr:sp macro="" textlink="">
      <xdr:nvSpPr>
        <xdr:cNvPr id="8571" name="AutoShape 12">
          <a:extLst>
            <a:ext uri="{FF2B5EF4-FFF2-40B4-BE49-F238E27FC236}">
              <a16:creationId xmlns:a16="http://schemas.microsoft.com/office/drawing/2014/main" id="{15BBE997-4549-4DA4-8338-E25B17ECB7C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572" name="AutoShape 12">
          <a:extLst>
            <a:ext uri="{FF2B5EF4-FFF2-40B4-BE49-F238E27FC236}">
              <a16:creationId xmlns:a16="http://schemas.microsoft.com/office/drawing/2014/main" id="{2BFC8DF4-0F05-43D5-A78A-FD355E71484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573" name="AutoShape 12">
          <a:extLst>
            <a:ext uri="{FF2B5EF4-FFF2-40B4-BE49-F238E27FC236}">
              <a16:creationId xmlns:a16="http://schemas.microsoft.com/office/drawing/2014/main" id="{8F256213-5291-4C80-866C-9E73084FC3A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574" name="AutoShape 12">
          <a:extLst>
            <a:ext uri="{FF2B5EF4-FFF2-40B4-BE49-F238E27FC236}">
              <a16:creationId xmlns:a16="http://schemas.microsoft.com/office/drawing/2014/main" id="{3FEDE936-A271-4397-A3D9-B2478B19036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575" name="AutoShape 12">
          <a:extLst>
            <a:ext uri="{FF2B5EF4-FFF2-40B4-BE49-F238E27FC236}">
              <a16:creationId xmlns:a16="http://schemas.microsoft.com/office/drawing/2014/main" id="{C8EA15B8-2B3E-4CA4-AF1D-C8B9640EF08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576" name="AutoShape 12">
          <a:extLst>
            <a:ext uri="{FF2B5EF4-FFF2-40B4-BE49-F238E27FC236}">
              <a16:creationId xmlns:a16="http://schemas.microsoft.com/office/drawing/2014/main" id="{F109061A-C0DD-481C-974B-9E55CF01D59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577" name="AutoShape 12">
          <a:extLst>
            <a:ext uri="{FF2B5EF4-FFF2-40B4-BE49-F238E27FC236}">
              <a16:creationId xmlns:a16="http://schemas.microsoft.com/office/drawing/2014/main" id="{AE28B29E-14C2-440F-8611-1A484C78CC0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578" name="AutoShape 12">
          <a:extLst>
            <a:ext uri="{FF2B5EF4-FFF2-40B4-BE49-F238E27FC236}">
              <a16:creationId xmlns:a16="http://schemas.microsoft.com/office/drawing/2014/main" id="{B56F57F0-1248-4F97-9E30-2CEA44E9EAB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579" name="AutoShape 12">
          <a:extLst>
            <a:ext uri="{FF2B5EF4-FFF2-40B4-BE49-F238E27FC236}">
              <a16:creationId xmlns:a16="http://schemas.microsoft.com/office/drawing/2014/main" id="{C3AA8AB1-FB0C-49FD-BA41-94BE706243C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580" name="AutoShape 12">
          <a:extLst>
            <a:ext uri="{FF2B5EF4-FFF2-40B4-BE49-F238E27FC236}">
              <a16:creationId xmlns:a16="http://schemas.microsoft.com/office/drawing/2014/main" id="{0924EB93-CF41-49BF-9420-0808F1A5585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581" name="AutoShape 12">
          <a:extLst>
            <a:ext uri="{FF2B5EF4-FFF2-40B4-BE49-F238E27FC236}">
              <a16:creationId xmlns:a16="http://schemas.microsoft.com/office/drawing/2014/main" id="{0742FB02-DA28-4B00-BF88-27D273AA291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582" name="AutoShape 12">
          <a:extLst>
            <a:ext uri="{FF2B5EF4-FFF2-40B4-BE49-F238E27FC236}">
              <a16:creationId xmlns:a16="http://schemas.microsoft.com/office/drawing/2014/main" id="{933B358B-3921-4D4E-B766-2D1488B7326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583" name="AutoShape 12">
          <a:extLst>
            <a:ext uri="{FF2B5EF4-FFF2-40B4-BE49-F238E27FC236}">
              <a16:creationId xmlns:a16="http://schemas.microsoft.com/office/drawing/2014/main" id="{06B35EBC-F0B9-40AB-9029-ED7E2C476C6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584" name="AutoShape 12">
          <a:extLst>
            <a:ext uri="{FF2B5EF4-FFF2-40B4-BE49-F238E27FC236}">
              <a16:creationId xmlns:a16="http://schemas.microsoft.com/office/drawing/2014/main" id="{907C1E7A-CA1D-4D56-B4BE-C6FFC096507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585" name="AutoShape 12">
          <a:extLst>
            <a:ext uri="{FF2B5EF4-FFF2-40B4-BE49-F238E27FC236}">
              <a16:creationId xmlns:a16="http://schemas.microsoft.com/office/drawing/2014/main" id="{19BA9FEA-90A9-43E3-B00F-897B028BF3E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586" name="AutoShape 12">
          <a:extLst>
            <a:ext uri="{FF2B5EF4-FFF2-40B4-BE49-F238E27FC236}">
              <a16:creationId xmlns:a16="http://schemas.microsoft.com/office/drawing/2014/main" id="{9D2ABF9F-7560-4911-A541-19C4315C7E8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587" name="AutoShape 12">
          <a:extLst>
            <a:ext uri="{FF2B5EF4-FFF2-40B4-BE49-F238E27FC236}">
              <a16:creationId xmlns:a16="http://schemas.microsoft.com/office/drawing/2014/main" id="{4F966BF9-FE49-448F-9DC9-F1590B0C153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588" name="AutoShape 12">
          <a:extLst>
            <a:ext uri="{FF2B5EF4-FFF2-40B4-BE49-F238E27FC236}">
              <a16:creationId xmlns:a16="http://schemas.microsoft.com/office/drawing/2014/main" id="{FDBD2385-7753-4379-8A71-95C521D43E2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589" name="AutoShape 12">
          <a:extLst>
            <a:ext uri="{FF2B5EF4-FFF2-40B4-BE49-F238E27FC236}">
              <a16:creationId xmlns:a16="http://schemas.microsoft.com/office/drawing/2014/main" id="{5A43A2C7-1ABA-4BC6-985D-3106BCE98D8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590" name="AutoShape 12">
          <a:extLst>
            <a:ext uri="{FF2B5EF4-FFF2-40B4-BE49-F238E27FC236}">
              <a16:creationId xmlns:a16="http://schemas.microsoft.com/office/drawing/2014/main" id="{EE445B07-E5B8-45C5-A0EC-279B9E00FA2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591" name="AutoShape 12">
          <a:extLst>
            <a:ext uri="{FF2B5EF4-FFF2-40B4-BE49-F238E27FC236}">
              <a16:creationId xmlns:a16="http://schemas.microsoft.com/office/drawing/2014/main" id="{3CA94408-D60B-43D1-869C-70174EB69B6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592" name="AutoShape 12">
          <a:extLst>
            <a:ext uri="{FF2B5EF4-FFF2-40B4-BE49-F238E27FC236}">
              <a16:creationId xmlns:a16="http://schemas.microsoft.com/office/drawing/2014/main" id="{122AF645-9670-42FD-8AA3-FFC5130AF97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593" name="AutoShape 12">
          <a:extLst>
            <a:ext uri="{FF2B5EF4-FFF2-40B4-BE49-F238E27FC236}">
              <a16:creationId xmlns:a16="http://schemas.microsoft.com/office/drawing/2014/main" id="{6E58CDA2-D7BD-42E2-9369-BB42FB8CFAA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594" name="AutoShape 12">
          <a:extLst>
            <a:ext uri="{FF2B5EF4-FFF2-40B4-BE49-F238E27FC236}">
              <a16:creationId xmlns:a16="http://schemas.microsoft.com/office/drawing/2014/main" id="{18D84144-DA6A-4501-9982-29EC5A9189D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595" name="AutoShape 12">
          <a:extLst>
            <a:ext uri="{FF2B5EF4-FFF2-40B4-BE49-F238E27FC236}">
              <a16:creationId xmlns:a16="http://schemas.microsoft.com/office/drawing/2014/main" id="{5D817E2A-F111-4F81-861D-9AB40963ED9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596" name="AutoShape 12">
          <a:extLst>
            <a:ext uri="{FF2B5EF4-FFF2-40B4-BE49-F238E27FC236}">
              <a16:creationId xmlns:a16="http://schemas.microsoft.com/office/drawing/2014/main" id="{9E15E253-06E2-4864-AAC8-35DD4891202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597" name="AutoShape 12">
          <a:extLst>
            <a:ext uri="{FF2B5EF4-FFF2-40B4-BE49-F238E27FC236}">
              <a16:creationId xmlns:a16="http://schemas.microsoft.com/office/drawing/2014/main" id="{7DBDC76D-791A-41FF-A4B2-3956F8455F2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598" name="AutoShape 12">
          <a:extLst>
            <a:ext uri="{FF2B5EF4-FFF2-40B4-BE49-F238E27FC236}">
              <a16:creationId xmlns:a16="http://schemas.microsoft.com/office/drawing/2014/main" id="{A651EAA3-BA76-49A2-8720-BC3122EA3E2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599" name="AutoShape 12">
          <a:extLst>
            <a:ext uri="{FF2B5EF4-FFF2-40B4-BE49-F238E27FC236}">
              <a16:creationId xmlns:a16="http://schemas.microsoft.com/office/drawing/2014/main" id="{96045C2D-631A-4548-9546-AADA991FA6B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600" name="AutoShape 12">
          <a:extLst>
            <a:ext uri="{FF2B5EF4-FFF2-40B4-BE49-F238E27FC236}">
              <a16:creationId xmlns:a16="http://schemas.microsoft.com/office/drawing/2014/main" id="{B5DFCA13-0B43-47A5-84CE-7FA48B2A19F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601" name="AutoShape 12">
          <a:extLst>
            <a:ext uri="{FF2B5EF4-FFF2-40B4-BE49-F238E27FC236}">
              <a16:creationId xmlns:a16="http://schemas.microsoft.com/office/drawing/2014/main" id="{27862297-A989-405D-AAF7-ED704C94C95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602" name="AutoShape 12">
          <a:extLst>
            <a:ext uri="{FF2B5EF4-FFF2-40B4-BE49-F238E27FC236}">
              <a16:creationId xmlns:a16="http://schemas.microsoft.com/office/drawing/2014/main" id="{5C978A9F-999F-4CBE-93C2-A836568DF98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603" name="AutoShape 12">
          <a:extLst>
            <a:ext uri="{FF2B5EF4-FFF2-40B4-BE49-F238E27FC236}">
              <a16:creationId xmlns:a16="http://schemas.microsoft.com/office/drawing/2014/main" id="{DD3892DB-59C0-4E56-B451-F2B90A4A507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604" name="AutoShape 12">
          <a:extLst>
            <a:ext uri="{FF2B5EF4-FFF2-40B4-BE49-F238E27FC236}">
              <a16:creationId xmlns:a16="http://schemas.microsoft.com/office/drawing/2014/main" id="{ABAB4B15-7A42-46F3-B377-0591B317941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605" name="AutoShape 12">
          <a:extLst>
            <a:ext uri="{FF2B5EF4-FFF2-40B4-BE49-F238E27FC236}">
              <a16:creationId xmlns:a16="http://schemas.microsoft.com/office/drawing/2014/main" id="{F824862A-6705-4069-93BC-ACB6F90C2ED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606" name="AutoShape 12">
          <a:extLst>
            <a:ext uri="{FF2B5EF4-FFF2-40B4-BE49-F238E27FC236}">
              <a16:creationId xmlns:a16="http://schemas.microsoft.com/office/drawing/2014/main" id="{F9D59235-E149-455E-9A45-0108F3C541E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607" name="AutoShape 12">
          <a:extLst>
            <a:ext uri="{FF2B5EF4-FFF2-40B4-BE49-F238E27FC236}">
              <a16:creationId xmlns:a16="http://schemas.microsoft.com/office/drawing/2014/main" id="{1907BDFE-120F-4888-8BB2-BA264C80594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608" name="AutoShape 12">
          <a:extLst>
            <a:ext uri="{FF2B5EF4-FFF2-40B4-BE49-F238E27FC236}">
              <a16:creationId xmlns:a16="http://schemas.microsoft.com/office/drawing/2014/main" id="{9B1195E7-B25A-4BB1-BBF5-C046293B31B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609" name="AutoShape 12">
          <a:extLst>
            <a:ext uri="{FF2B5EF4-FFF2-40B4-BE49-F238E27FC236}">
              <a16:creationId xmlns:a16="http://schemas.microsoft.com/office/drawing/2014/main" id="{CEE06B40-DB5C-4E86-AE31-8034103FAFC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610" name="AutoShape 12">
          <a:extLst>
            <a:ext uri="{FF2B5EF4-FFF2-40B4-BE49-F238E27FC236}">
              <a16:creationId xmlns:a16="http://schemas.microsoft.com/office/drawing/2014/main" id="{A5868E0A-66EE-47CB-80A4-C42BF92B396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611" name="AutoShape 12">
          <a:extLst>
            <a:ext uri="{FF2B5EF4-FFF2-40B4-BE49-F238E27FC236}">
              <a16:creationId xmlns:a16="http://schemas.microsoft.com/office/drawing/2014/main" id="{431DB1F6-D751-4BA1-AA33-8A91E9583C9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612" name="AutoShape 12">
          <a:extLst>
            <a:ext uri="{FF2B5EF4-FFF2-40B4-BE49-F238E27FC236}">
              <a16:creationId xmlns:a16="http://schemas.microsoft.com/office/drawing/2014/main" id="{90937B02-C5E0-4A83-B7E4-70452FAF038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613" name="AutoShape 12">
          <a:extLst>
            <a:ext uri="{FF2B5EF4-FFF2-40B4-BE49-F238E27FC236}">
              <a16:creationId xmlns:a16="http://schemas.microsoft.com/office/drawing/2014/main" id="{82CC06D0-8329-40E9-9EA1-F724279D755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614" name="AutoShape 12">
          <a:extLst>
            <a:ext uri="{FF2B5EF4-FFF2-40B4-BE49-F238E27FC236}">
              <a16:creationId xmlns:a16="http://schemas.microsoft.com/office/drawing/2014/main" id="{AFA9A51D-17AC-4576-87D2-D07B8B4B2CE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615" name="AutoShape 12">
          <a:extLst>
            <a:ext uri="{FF2B5EF4-FFF2-40B4-BE49-F238E27FC236}">
              <a16:creationId xmlns:a16="http://schemas.microsoft.com/office/drawing/2014/main" id="{A73A612B-E926-4AD2-9275-59E80E5FF4A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616" name="AutoShape 12">
          <a:extLst>
            <a:ext uri="{FF2B5EF4-FFF2-40B4-BE49-F238E27FC236}">
              <a16:creationId xmlns:a16="http://schemas.microsoft.com/office/drawing/2014/main" id="{1C9467B2-83EA-4485-8600-C7E89834B64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617" name="AutoShape 12">
          <a:extLst>
            <a:ext uri="{FF2B5EF4-FFF2-40B4-BE49-F238E27FC236}">
              <a16:creationId xmlns:a16="http://schemas.microsoft.com/office/drawing/2014/main" id="{17CEFF61-7969-4966-8946-8D290165867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618" name="AutoShape 12">
          <a:extLst>
            <a:ext uri="{FF2B5EF4-FFF2-40B4-BE49-F238E27FC236}">
              <a16:creationId xmlns:a16="http://schemas.microsoft.com/office/drawing/2014/main" id="{6697C487-C5C1-4D05-98FE-BC92E263D81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619" name="AutoShape 12">
          <a:extLst>
            <a:ext uri="{FF2B5EF4-FFF2-40B4-BE49-F238E27FC236}">
              <a16:creationId xmlns:a16="http://schemas.microsoft.com/office/drawing/2014/main" id="{31068707-4BE8-4AEF-97FB-E138EF665F3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620" name="AutoShape 12">
          <a:extLst>
            <a:ext uri="{FF2B5EF4-FFF2-40B4-BE49-F238E27FC236}">
              <a16:creationId xmlns:a16="http://schemas.microsoft.com/office/drawing/2014/main" id="{CEA0C8B6-7A8C-44FC-A91C-BAB0B3755C4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621" name="AutoShape 12">
          <a:extLst>
            <a:ext uri="{FF2B5EF4-FFF2-40B4-BE49-F238E27FC236}">
              <a16:creationId xmlns:a16="http://schemas.microsoft.com/office/drawing/2014/main" id="{89F02981-60E5-4A24-9C06-A11064D02C0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622" name="AutoShape 12">
          <a:extLst>
            <a:ext uri="{FF2B5EF4-FFF2-40B4-BE49-F238E27FC236}">
              <a16:creationId xmlns:a16="http://schemas.microsoft.com/office/drawing/2014/main" id="{7BD8457B-9A82-4D9A-8630-28E5A5CEB3C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623" name="AutoShape 12">
          <a:extLst>
            <a:ext uri="{FF2B5EF4-FFF2-40B4-BE49-F238E27FC236}">
              <a16:creationId xmlns:a16="http://schemas.microsoft.com/office/drawing/2014/main" id="{723BC0EC-95D6-4B33-8284-A297A3D9E98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624" name="AutoShape 12">
          <a:extLst>
            <a:ext uri="{FF2B5EF4-FFF2-40B4-BE49-F238E27FC236}">
              <a16:creationId xmlns:a16="http://schemas.microsoft.com/office/drawing/2014/main" id="{7032470A-4208-4738-9341-82FCA7B4365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625" name="AutoShape 12">
          <a:extLst>
            <a:ext uri="{FF2B5EF4-FFF2-40B4-BE49-F238E27FC236}">
              <a16:creationId xmlns:a16="http://schemas.microsoft.com/office/drawing/2014/main" id="{9C72334A-F546-4DAB-8B6B-0FC7B794524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626" name="AutoShape 12">
          <a:extLst>
            <a:ext uri="{FF2B5EF4-FFF2-40B4-BE49-F238E27FC236}">
              <a16:creationId xmlns:a16="http://schemas.microsoft.com/office/drawing/2014/main" id="{2AC88F36-76D5-4D74-A9D3-FF1F043F897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627" name="AutoShape 12">
          <a:extLst>
            <a:ext uri="{FF2B5EF4-FFF2-40B4-BE49-F238E27FC236}">
              <a16:creationId xmlns:a16="http://schemas.microsoft.com/office/drawing/2014/main" id="{6BDB53E1-94B7-4EB9-883D-0070C288942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628" name="AutoShape 12">
          <a:extLst>
            <a:ext uri="{FF2B5EF4-FFF2-40B4-BE49-F238E27FC236}">
              <a16:creationId xmlns:a16="http://schemas.microsoft.com/office/drawing/2014/main" id="{D238F6E5-060A-4708-B7FD-9DFA2C95ED3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629" name="AutoShape 12">
          <a:extLst>
            <a:ext uri="{FF2B5EF4-FFF2-40B4-BE49-F238E27FC236}">
              <a16:creationId xmlns:a16="http://schemas.microsoft.com/office/drawing/2014/main" id="{2329FC66-A5B2-45EE-837C-21524ACD3D3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630" name="AutoShape 12">
          <a:extLst>
            <a:ext uri="{FF2B5EF4-FFF2-40B4-BE49-F238E27FC236}">
              <a16:creationId xmlns:a16="http://schemas.microsoft.com/office/drawing/2014/main" id="{CCA095F4-AEB0-4EF4-8CB7-EF8CB8AB77F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631" name="AutoShape 12">
          <a:extLst>
            <a:ext uri="{FF2B5EF4-FFF2-40B4-BE49-F238E27FC236}">
              <a16:creationId xmlns:a16="http://schemas.microsoft.com/office/drawing/2014/main" id="{10C1DC6C-CBBD-403C-B212-A1A01E70C42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632" name="AutoShape 12">
          <a:extLst>
            <a:ext uri="{FF2B5EF4-FFF2-40B4-BE49-F238E27FC236}">
              <a16:creationId xmlns:a16="http://schemas.microsoft.com/office/drawing/2014/main" id="{B20D1885-B471-438E-A2D9-EC44A6D20DE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633" name="AutoShape 12">
          <a:extLst>
            <a:ext uri="{FF2B5EF4-FFF2-40B4-BE49-F238E27FC236}">
              <a16:creationId xmlns:a16="http://schemas.microsoft.com/office/drawing/2014/main" id="{9F646259-7319-484E-8F5B-E8F548507D0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634" name="AutoShape 12">
          <a:extLst>
            <a:ext uri="{FF2B5EF4-FFF2-40B4-BE49-F238E27FC236}">
              <a16:creationId xmlns:a16="http://schemas.microsoft.com/office/drawing/2014/main" id="{D4A00BCC-C94F-4230-9D14-A7F1B45B9D9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635" name="AutoShape 12">
          <a:extLst>
            <a:ext uri="{FF2B5EF4-FFF2-40B4-BE49-F238E27FC236}">
              <a16:creationId xmlns:a16="http://schemas.microsoft.com/office/drawing/2014/main" id="{06747FB4-3525-4AE8-89B4-7EC429CCB30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636" name="AutoShape 12">
          <a:extLst>
            <a:ext uri="{FF2B5EF4-FFF2-40B4-BE49-F238E27FC236}">
              <a16:creationId xmlns:a16="http://schemas.microsoft.com/office/drawing/2014/main" id="{9DCD8FB2-C815-4AC7-B49E-82F0B0FD150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637" name="AutoShape 12">
          <a:extLst>
            <a:ext uri="{FF2B5EF4-FFF2-40B4-BE49-F238E27FC236}">
              <a16:creationId xmlns:a16="http://schemas.microsoft.com/office/drawing/2014/main" id="{681379D1-B97F-4947-9618-36B60C396A5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638" name="AutoShape 12">
          <a:extLst>
            <a:ext uri="{FF2B5EF4-FFF2-40B4-BE49-F238E27FC236}">
              <a16:creationId xmlns:a16="http://schemas.microsoft.com/office/drawing/2014/main" id="{DD1FE44C-7DCE-4783-9D78-54624CCBF56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639" name="AutoShape 12">
          <a:extLst>
            <a:ext uri="{FF2B5EF4-FFF2-40B4-BE49-F238E27FC236}">
              <a16:creationId xmlns:a16="http://schemas.microsoft.com/office/drawing/2014/main" id="{3EB70547-5389-471B-89FD-1A599674EA4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640" name="AutoShape 12">
          <a:extLst>
            <a:ext uri="{FF2B5EF4-FFF2-40B4-BE49-F238E27FC236}">
              <a16:creationId xmlns:a16="http://schemas.microsoft.com/office/drawing/2014/main" id="{762D336D-2B71-4120-A1F3-3F34A847D20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641" name="AutoShape 12">
          <a:extLst>
            <a:ext uri="{FF2B5EF4-FFF2-40B4-BE49-F238E27FC236}">
              <a16:creationId xmlns:a16="http://schemas.microsoft.com/office/drawing/2014/main" id="{424031DB-6CD3-4F30-A4F4-F8610C1621F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642" name="AutoShape 12">
          <a:extLst>
            <a:ext uri="{FF2B5EF4-FFF2-40B4-BE49-F238E27FC236}">
              <a16:creationId xmlns:a16="http://schemas.microsoft.com/office/drawing/2014/main" id="{105837D2-59B7-46F2-98DD-9C95F31F90F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643" name="AutoShape 12">
          <a:extLst>
            <a:ext uri="{FF2B5EF4-FFF2-40B4-BE49-F238E27FC236}">
              <a16:creationId xmlns:a16="http://schemas.microsoft.com/office/drawing/2014/main" id="{56495598-26B3-45CC-AD68-B5C770EBE74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644" name="AutoShape 12">
          <a:extLst>
            <a:ext uri="{FF2B5EF4-FFF2-40B4-BE49-F238E27FC236}">
              <a16:creationId xmlns:a16="http://schemas.microsoft.com/office/drawing/2014/main" id="{9DB17B6E-DD35-4F9D-BBEF-DCD76B30CAF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645" name="AutoShape 12">
          <a:extLst>
            <a:ext uri="{FF2B5EF4-FFF2-40B4-BE49-F238E27FC236}">
              <a16:creationId xmlns:a16="http://schemas.microsoft.com/office/drawing/2014/main" id="{E139A3C0-5663-422C-80FE-9F239C6EBE7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646" name="AutoShape 12">
          <a:extLst>
            <a:ext uri="{FF2B5EF4-FFF2-40B4-BE49-F238E27FC236}">
              <a16:creationId xmlns:a16="http://schemas.microsoft.com/office/drawing/2014/main" id="{7CE1C71E-7AF9-45D0-AB06-A4121F44A58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647" name="AutoShape 12">
          <a:extLst>
            <a:ext uri="{FF2B5EF4-FFF2-40B4-BE49-F238E27FC236}">
              <a16:creationId xmlns:a16="http://schemas.microsoft.com/office/drawing/2014/main" id="{FB97F58A-2D12-4847-85AA-0BA769347E7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648" name="AutoShape 12">
          <a:extLst>
            <a:ext uri="{FF2B5EF4-FFF2-40B4-BE49-F238E27FC236}">
              <a16:creationId xmlns:a16="http://schemas.microsoft.com/office/drawing/2014/main" id="{761B3FF4-D291-420B-9455-4B01993ED4F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649" name="AutoShape 12">
          <a:extLst>
            <a:ext uri="{FF2B5EF4-FFF2-40B4-BE49-F238E27FC236}">
              <a16:creationId xmlns:a16="http://schemas.microsoft.com/office/drawing/2014/main" id="{C3CF78D6-FE9E-4A1B-8D8A-9599A602F69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650" name="AutoShape 12">
          <a:extLst>
            <a:ext uri="{FF2B5EF4-FFF2-40B4-BE49-F238E27FC236}">
              <a16:creationId xmlns:a16="http://schemas.microsoft.com/office/drawing/2014/main" id="{A35DAAC0-9AF9-4DB3-BEAF-B83FA7CC004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651" name="AutoShape 12">
          <a:extLst>
            <a:ext uri="{FF2B5EF4-FFF2-40B4-BE49-F238E27FC236}">
              <a16:creationId xmlns:a16="http://schemas.microsoft.com/office/drawing/2014/main" id="{8C7C151E-763B-4685-AFDA-6DB024D1D76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652" name="AutoShape 12">
          <a:extLst>
            <a:ext uri="{FF2B5EF4-FFF2-40B4-BE49-F238E27FC236}">
              <a16:creationId xmlns:a16="http://schemas.microsoft.com/office/drawing/2014/main" id="{571267A9-0CD4-44CC-B80B-CE36B7267BB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653" name="AutoShape 12">
          <a:extLst>
            <a:ext uri="{FF2B5EF4-FFF2-40B4-BE49-F238E27FC236}">
              <a16:creationId xmlns:a16="http://schemas.microsoft.com/office/drawing/2014/main" id="{EEE593AA-976B-442B-926A-6A51BF25C79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654" name="AutoShape 12">
          <a:extLst>
            <a:ext uri="{FF2B5EF4-FFF2-40B4-BE49-F238E27FC236}">
              <a16:creationId xmlns:a16="http://schemas.microsoft.com/office/drawing/2014/main" id="{8BAD11B8-F433-47DB-B6E2-14AACC87548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655" name="AutoShape 12">
          <a:extLst>
            <a:ext uri="{FF2B5EF4-FFF2-40B4-BE49-F238E27FC236}">
              <a16:creationId xmlns:a16="http://schemas.microsoft.com/office/drawing/2014/main" id="{60CAC32E-F225-4B00-87B7-331728DE5B2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656" name="AutoShape 12">
          <a:extLst>
            <a:ext uri="{FF2B5EF4-FFF2-40B4-BE49-F238E27FC236}">
              <a16:creationId xmlns:a16="http://schemas.microsoft.com/office/drawing/2014/main" id="{70C4B285-685A-4636-8CD1-8A207B76F7A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657" name="AutoShape 12">
          <a:extLst>
            <a:ext uri="{FF2B5EF4-FFF2-40B4-BE49-F238E27FC236}">
              <a16:creationId xmlns:a16="http://schemas.microsoft.com/office/drawing/2014/main" id="{E3F851D1-8ED4-4787-A10E-E8BE388A7E4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658" name="AutoShape 12">
          <a:extLst>
            <a:ext uri="{FF2B5EF4-FFF2-40B4-BE49-F238E27FC236}">
              <a16:creationId xmlns:a16="http://schemas.microsoft.com/office/drawing/2014/main" id="{AA206872-8AE1-44BC-939A-86536D87250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659" name="AutoShape 12">
          <a:extLst>
            <a:ext uri="{FF2B5EF4-FFF2-40B4-BE49-F238E27FC236}">
              <a16:creationId xmlns:a16="http://schemas.microsoft.com/office/drawing/2014/main" id="{F27E6BE6-064D-49B9-B211-5CA6B4AADD2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660" name="AutoShape 12">
          <a:extLst>
            <a:ext uri="{FF2B5EF4-FFF2-40B4-BE49-F238E27FC236}">
              <a16:creationId xmlns:a16="http://schemas.microsoft.com/office/drawing/2014/main" id="{E54FBD06-BB5F-4EF4-BA36-FC87A704143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661" name="AutoShape 12">
          <a:extLst>
            <a:ext uri="{FF2B5EF4-FFF2-40B4-BE49-F238E27FC236}">
              <a16:creationId xmlns:a16="http://schemas.microsoft.com/office/drawing/2014/main" id="{AC4F96EA-DEF2-4F81-87EE-3EFFC865854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662" name="AutoShape 12">
          <a:extLst>
            <a:ext uri="{FF2B5EF4-FFF2-40B4-BE49-F238E27FC236}">
              <a16:creationId xmlns:a16="http://schemas.microsoft.com/office/drawing/2014/main" id="{D40740EF-D8D1-452A-8C36-8B9F8876E48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663" name="AutoShape 12">
          <a:extLst>
            <a:ext uri="{FF2B5EF4-FFF2-40B4-BE49-F238E27FC236}">
              <a16:creationId xmlns:a16="http://schemas.microsoft.com/office/drawing/2014/main" id="{C05BD149-95EE-4346-9E9C-4C0461F45BA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664" name="AutoShape 12">
          <a:extLst>
            <a:ext uri="{FF2B5EF4-FFF2-40B4-BE49-F238E27FC236}">
              <a16:creationId xmlns:a16="http://schemas.microsoft.com/office/drawing/2014/main" id="{57F27F3F-4E0F-4EAE-9DB5-8FDA90B8B8E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665" name="AutoShape 12">
          <a:extLst>
            <a:ext uri="{FF2B5EF4-FFF2-40B4-BE49-F238E27FC236}">
              <a16:creationId xmlns:a16="http://schemas.microsoft.com/office/drawing/2014/main" id="{D4EC1A7F-0A1E-43F4-82D5-1A7EE240914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666" name="AutoShape 12">
          <a:extLst>
            <a:ext uri="{FF2B5EF4-FFF2-40B4-BE49-F238E27FC236}">
              <a16:creationId xmlns:a16="http://schemas.microsoft.com/office/drawing/2014/main" id="{6C503882-2D73-48A1-85EF-FDC3D3B1C77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667" name="AutoShape 12">
          <a:extLst>
            <a:ext uri="{FF2B5EF4-FFF2-40B4-BE49-F238E27FC236}">
              <a16:creationId xmlns:a16="http://schemas.microsoft.com/office/drawing/2014/main" id="{4B317BF3-686B-44F6-8704-28BA7E0DCB4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668" name="AutoShape 12">
          <a:extLst>
            <a:ext uri="{FF2B5EF4-FFF2-40B4-BE49-F238E27FC236}">
              <a16:creationId xmlns:a16="http://schemas.microsoft.com/office/drawing/2014/main" id="{0003025B-D44B-44DF-9045-788832ECAA1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669" name="AutoShape 12">
          <a:extLst>
            <a:ext uri="{FF2B5EF4-FFF2-40B4-BE49-F238E27FC236}">
              <a16:creationId xmlns:a16="http://schemas.microsoft.com/office/drawing/2014/main" id="{5536F434-6247-4B23-9CC0-0C29BC419AA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670" name="AutoShape 12">
          <a:extLst>
            <a:ext uri="{FF2B5EF4-FFF2-40B4-BE49-F238E27FC236}">
              <a16:creationId xmlns:a16="http://schemas.microsoft.com/office/drawing/2014/main" id="{174ADB66-54D2-4AF2-AB2B-03E7235DC2A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671" name="AutoShape 12">
          <a:extLst>
            <a:ext uri="{FF2B5EF4-FFF2-40B4-BE49-F238E27FC236}">
              <a16:creationId xmlns:a16="http://schemas.microsoft.com/office/drawing/2014/main" id="{65145905-C3F5-4F78-9D49-B72CC8007DA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672" name="AutoShape 12">
          <a:extLst>
            <a:ext uri="{FF2B5EF4-FFF2-40B4-BE49-F238E27FC236}">
              <a16:creationId xmlns:a16="http://schemas.microsoft.com/office/drawing/2014/main" id="{437D7E6F-E6E6-4B6E-AAEB-06B240CDC75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673" name="AutoShape 12">
          <a:extLst>
            <a:ext uri="{FF2B5EF4-FFF2-40B4-BE49-F238E27FC236}">
              <a16:creationId xmlns:a16="http://schemas.microsoft.com/office/drawing/2014/main" id="{0E9701E8-4003-4C8A-82EA-40A572253F3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674" name="AutoShape 12">
          <a:extLst>
            <a:ext uri="{FF2B5EF4-FFF2-40B4-BE49-F238E27FC236}">
              <a16:creationId xmlns:a16="http://schemas.microsoft.com/office/drawing/2014/main" id="{3E656C7E-D0F1-4FF8-9170-50B104A1E79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675" name="AutoShape 12">
          <a:extLst>
            <a:ext uri="{FF2B5EF4-FFF2-40B4-BE49-F238E27FC236}">
              <a16:creationId xmlns:a16="http://schemas.microsoft.com/office/drawing/2014/main" id="{10FDFC42-26A6-404B-B1AC-C618825C714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676" name="AutoShape 12">
          <a:extLst>
            <a:ext uri="{FF2B5EF4-FFF2-40B4-BE49-F238E27FC236}">
              <a16:creationId xmlns:a16="http://schemas.microsoft.com/office/drawing/2014/main" id="{7F23F692-5AA0-4162-A8ED-B875446F25B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677" name="AutoShape 12">
          <a:extLst>
            <a:ext uri="{FF2B5EF4-FFF2-40B4-BE49-F238E27FC236}">
              <a16:creationId xmlns:a16="http://schemas.microsoft.com/office/drawing/2014/main" id="{4C969852-7596-41CD-8F36-A480D1ADF2E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678" name="AutoShape 12">
          <a:extLst>
            <a:ext uri="{FF2B5EF4-FFF2-40B4-BE49-F238E27FC236}">
              <a16:creationId xmlns:a16="http://schemas.microsoft.com/office/drawing/2014/main" id="{4958D18A-DAFA-4EA7-8363-B227F414555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679" name="AutoShape 12">
          <a:extLst>
            <a:ext uri="{FF2B5EF4-FFF2-40B4-BE49-F238E27FC236}">
              <a16:creationId xmlns:a16="http://schemas.microsoft.com/office/drawing/2014/main" id="{58C791F8-BE38-46C3-B032-10010F2CD8B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680" name="AutoShape 12">
          <a:extLst>
            <a:ext uri="{FF2B5EF4-FFF2-40B4-BE49-F238E27FC236}">
              <a16:creationId xmlns:a16="http://schemas.microsoft.com/office/drawing/2014/main" id="{9D4C7690-64A2-4B38-BE42-3D8FBCE402E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681" name="AutoShape 12">
          <a:extLst>
            <a:ext uri="{FF2B5EF4-FFF2-40B4-BE49-F238E27FC236}">
              <a16:creationId xmlns:a16="http://schemas.microsoft.com/office/drawing/2014/main" id="{689CBEB9-8ECE-4A5C-85D4-79B58261B74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682" name="AutoShape 12">
          <a:extLst>
            <a:ext uri="{FF2B5EF4-FFF2-40B4-BE49-F238E27FC236}">
              <a16:creationId xmlns:a16="http://schemas.microsoft.com/office/drawing/2014/main" id="{5EB77166-C8BD-43A1-99D9-AC4135D2440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683" name="AutoShape 12">
          <a:extLst>
            <a:ext uri="{FF2B5EF4-FFF2-40B4-BE49-F238E27FC236}">
              <a16:creationId xmlns:a16="http://schemas.microsoft.com/office/drawing/2014/main" id="{ACB518EB-8A18-4D35-AB6D-C66338B297D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684" name="AutoShape 12">
          <a:extLst>
            <a:ext uri="{FF2B5EF4-FFF2-40B4-BE49-F238E27FC236}">
              <a16:creationId xmlns:a16="http://schemas.microsoft.com/office/drawing/2014/main" id="{8DAC11BD-5CFA-4542-844C-3C87438FBE8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685" name="AutoShape 12">
          <a:extLst>
            <a:ext uri="{FF2B5EF4-FFF2-40B4-BE49-F238E27FC236}">
              <a16:creationId xmlns:a16="http://schemas.microsoft.com/office/drawing/2014/main" id="{B567E1F2-9327-4929-A980-D84AE929A00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686" name="AutoShape 12">
          <a:extLst>
            <a:ext uri="{FF2B5EF4-FFF2-40B4-BE49-F238E27FC236}">
              <a16:creationId xmlns:a16="http://schemas.microsoft.com/office/drawing/2014/main" id="{ACC664B8-CF87-413C-95FC-8C8F6A20C5E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687" name="AutoShape 12">
          <a:extLst>
            <a:ext uri="{FF2B5EF4-FFF2-40B4-BE49-F238E27FC236}">
              <a16:creationId xmlns:a16="http://schemas.microsoft.com/office/drawing/2014/main" id="{4457BF0B-A97A-4BBC-82D1-1B18912CC0B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688" name="AutoShape 12">
          <a:extLst>
            <a:ext uri="{FF2B5EF4-FFF2-40B4-BE49-F238E27FC236}">
              <a16:creationId xmlns:a16="http://schemas.microsoft.com/office/drawing/2014/main" id="{37F150F1-97C2-4CCA-B555-6B4E7294102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689" name="AutoShape 12">
          <a:extLst>
            <a:ext uri="{FF2B5EF4-FFF2-40B4-BE49-F238E27FC236}">
              <a16:creationId xmlns:a16="http://schemas.microsoft.com/office/drawing/2014/main" id="{85FE2EAB-7704-4BD8-8310-143F6308EC2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690" name="AutoShape 12">
          <a:extLst>
            <a:ext uri="{FF2B5EF4-FFF2-40B4-BE49-F238E27FC236}">
              <a16:creationId xmlns:a16="http://schemas.microsoft.com/office/drawing/2014/main" id="{A4792D18-EACE-49C3-84C4-2AAE69F1B5D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691" name="AutoShape 12">
          <a:extLst>
            <a:ext uri="{FF2B5EF4-FFF2-40B4-BE49-F238E27FC236}">
              <a16:creationId xmlns:a16="http://schemas.microsoft.com/office/drawing/2014/main" id="{F033ED5E-CE5C-445A-A95C-149CBB0E35C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692" name="AutoShape 12">
          <a:extLst>
            <a:ext uri="{FF2B5EF4-FFF2-40B4-BE49-F238E27FC236}">
              <a16:creationId xmlns:a16="http://schemas.microsoft.com/office/drawing/2014/main" id="{E9302501-12B9-45E1-8D6E-9CBB3069011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693" name="AutoShape 12">
          <a:extLst>
            <a:ext uri="{FF2B5EF4-FFF2-40B4-BE49-F238E27FC236}">
              <a16:creationId xmlns:a16="http://schemas.microsoft.com/office/drawing/2014/main" id="{A1202D30-EC9A-43F8-BBBD-6AFE681667C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694" name="AutoShape 12">
          <a:extLst>
            <a:ext uri="{FF2B5EF4-FFF2-40B4-BE49-F238E27FC236}">
              <a16:creationId xmlns:a16="http://schemas.microsoft.com/office/drawing/2014/main" id="{90C7B444-08E9-4863-BE42-35F22F5172E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695" name="AutoShape 12">
          <a:extLst>
            <a:ext uri="{FF2B5EF4-FFF2-40B4-BE49-F238E27FC236}">
              <a16:creationId xmlns:a16="http://schemas.microsoft.com/office/drawing/2014/main" id="{CF24AA97-FD87-4CD6-BDCA-BAAD4C62B09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696" name="AutoShape 12">
          <a:extLst>
            <a:ext uri="{FF2B5EF4-FFF2-40B4-BE49-F238E27FC236}">
              <a16:creationId xmlns:a16="http://schemas.microsoft.com/office/drawing/2014/main" id="{4299463D-D244-4897-BCC3-5434C7CC103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697" name="AutoShape 12">
          <a:extLst>
            <a:ext uri="{FF2B5EF4-FFF2-40B4-BE49-F238E27FC236}">
              <a16:creationId xmlns:a16="http://schemas.microsoft.com/office/drawing/2014/main" id="{430384EA-5DB6-4A79-994C-955645C9338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698" name="AutoShape 12">
          <a:extLst>
            <a:ext uri="{FF2B5EF4-FFF2-40B4-BE49-F238E27FC236}">
              <a16:creationId xmlns:a16="http://schemas.microsoft.com/office/drawing/2014/main" id="{A970200C-2CDE-4EC6-B726-B690C41DA25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699" name="AutoShape 12">
          <a:extLst>
            <a:ext uri="{FF2B5EF4-FFF2-40B4-BE49-F238E27FC236}">
              <a16:creationId xmlns:a16="http://schemas.microsoft.com/office/drawing/2014/main" id="{C2455D2F-A3CE-4F66-A76D-70760FA429D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700" name="AutoShape 12">
          <a:extLst>
            <a:ext uri="{FF2B5EF4-FFF2-40B4-BE49-F238E27FC236}">
              <a16:creationId xmlns:a16="http://schemas.microsoft.com/office/drawing/2014/main" id="{42B08294-BD2C-4263-A5F6-F2CDEBD612B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701" name="AutoShape 12">
          <a:extLst>
            <a:ext uri="{FF2B5EF4-FFF2-40B4-BE49-F238E27FC236}">
              <a16:creationId xmlns:a16="http://schemas.microsoft.com/office/drawing/2014/main" id="{E6324D89-BD2A-4DD3-B43D-B83014367C3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702" name="AutoShape 12">
          <a:extLst>
            <a:ext uri="{FF2B5EF4-FFF2-40B4-BE49-F238E27FC236}">
              <a16:creationId xmlns:a16="http://schemas.microsoft.com/office/drawing/2014/main" id="{6FC7725B-A5C6-4CAC-95DA-3E67A53A76D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703" name="AutoShape 12">
          <a:extLst>
            <a:ext uri="{FF2B5EF4-FFF2-40B4-BE49-F238E27FC236}">
              <a16:creationId xmlns:a16="http://schemas.microsoft.com/office/drawing/2014/main" id="{99C69A78-F9BF-4C3F-AF4B-070BF4835D5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704" name="AutoShape 12">
          <a:extLst>
            <a:ext uri="{FF2B5EF4-FFF2-40B4-BE49-F238E27FC236}">
              <a16:creationId xmlns:a16="http://schemas.microsoft.com/office/drawing/2014/main" id="{322E56AD-C057-466C-BD4F-4B9094DBA57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705" name="AutoShape 12">
          <a:extLst>
            <a:ext uri="{FF2B5EF4-FFF2-40B4-BE49-F238E27FC236}">
              <a16:creationId xmlns:a16="http://schemas.microsoft.com/office/drawing/2014/main" id="{D7613D1E-C7D9-4384-8170-226964A4A46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706" name="AutoShape 12">
          <a:extLst>
            <a:ext uri="{FF2B5EF4-FFF2-40B4-BE49-F238E27FC236}">
              <a16:creationId xmlns:a16="http://schemas.microsoft.com/office/drawing/2014/main" id="{A4967861-CA76-4598-82C5-7918A99A5DC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707" name="AutoShape 12">
          <a:extLst>
            <a:ext uri="{FF2B5EF4-FFF2-40B4-BE49-F238E27FC236}">
              <a16:creationId xmlns:a16="http://schemas.microsoft.com/office/drawing/2014/main" id="{6525B4A5-2C9A-4CA7-8596-541B8346C95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708" name="AutoShape 12">
          <a:extLst>
            <a:ext uri="{FF2B5EF4-FFF2-40B4-BE49-F238E27FC236}">
              <a16:creationId xmlns:a16="http://schemas.microsoft.com/office/drawing/2014/main" id="{2AA0622A-ADFD-4BBF-A12D-806DA5CA38B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709" name="AutoShape 12">
          <a:extLst>
            <a:ext uri="{FF2B5EF4-FFF2-40B4-BE49-F238E27FC236}">
              <a16:creationId xmlns:a16="http://schemas.microsoft.com/office/drawing/2014/main" id="{E4DE8F0D-3BF3-4C12-9ECE-CDDE761D8E1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710" name="AutoShape 12">
          <a:extLst>
            <a:ext uri="{FF2B5EF4-FFF2-40B4-BE49-F238E27FC236}">
              <a16:creationId xmlns:a16="http://schemas.microsoft.com/office/drawing/2014/main" id="{4B8A9476-8855-42D9-B7E7-54C04808872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711" name="AutoShape 12">
          <a:extLst>
            <a:ext uri="{FF2B5EF4-FFF2-40B4-BE49-F238E27FC236}">
              <a16:creationId xmlns:a16="http://schemas.microsoft.com/office/drawing/2014/main" id="{2CEFF6AD-E6D2-494A-98D2-34922FDDFF4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712" name="AutoShape 12">
          <a:extLst>
            <a:ext uri="{FF2B5EF4-FFF2-40B4-BE49-F238E27FC236}">
              <a16:creationId xmlns:a16="http://schemas.microsoft.com/office/drawing/2014/main" id="{2014F705-8545-469A-B6F2-B662FFACF73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713" name="AutoShape 12">
          <a:extLst>
            <a:ext uri="{FF2B5EF4-FFF2-40B4-BE49-F238E27FC236}">
              <a16:creationId xmlns:a16="http://schemas.microsoft.com/office/drawing/2014/main" id="{B8F56EDA-76AA-4351-A430-5EBC82FD324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714" name="AutoShape 12">
          <a:extLst>
            <a:ext uri="{FF2B5EF4-FFF2-40B4-BE49-F238E27FC236}">
              <a16:creationId xmlns:a16="http://schemas.microsoft.com/office/drawing/2014/main" id="{719E462A-A434-462A-807C-585A33CF31D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715" name="AutoShape 12">
          <a:extLst>
            <a:ext uri="{FF2B5EF4-FFF2-40B4-BE49-F238E27FC236}">
              <a16:creationId xmlns:a16="http://schemas.microsoft.com/office/drawing/2014/main" id="{7D9C088D-487C-4BE0-B2DC-F38FD1DB1A7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716" name="AutoShape 12">
          <a:extLst>
            <a:ext uri="{FF2B5EF4-FFF2-40B4-BE49-F238E27FC236}">
              <a16:creationId xmlns:a16="http://schemas.microsoft.com/office/drawing/2014/main" id="{26C2FA38-6874-4833-A18D-C31DD65F484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717" name="AutoShape 12">
          <a:extLst>
            <a:ext uri="{FF2B5EF4-FFF2-40B4-BE49-F238E27FC236}">
              <a16:creationId xmlns:a16="http://schemas.microsoft.com/office/drawing/2014/main" id="{3E4AAA66-20A4-4080-B26A-92721F12F2D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718" name="AutoShape 12">
          <a:extLst>
            <a:ext uri="{FF2B5EF4-FFF2-40B4-BE49-F238E27FC236}">
              <a16:creationId xmlns:a16="http://schemas.microsoft.com/office/drawing/2014/main" id="{D5C9FAA9-B08A-4BAD-A296-F21E1386D31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719" name="AutoShape 12">
          <a:extLst>
            <a:ext uri="{FF2B5EF4-FFF2-40B4-BE49-F238E27FC236}">
              <a16:creationId xmlns:a16="http://schemas.microsoft.com/office/drawing/2014/main" id="{8F61D7FF-C932-4486-829D-F2FDCB62F99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720" name="AutoShape 12">
          <a:extLst>
            <a:ext uri="{FF2B5EF4-FFF2-40B4-BE49-F238E27FC236}">
              <a16:creationId xmlns:a16="http://schemas.microsoft.com/office/drawing/2014/main" id="{46BB48E8-19CF-4761-B238-FF1D89A6CFE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721" name="AutoShape 12">
          <a:extLst>
            <a:ext uri="{FF2B5EF4-FFF2-40B4-BE49-F238E27FC236}">
              <a16:creationId xmlns:a16="http://schemas.microsoft.com/office/drawing/2014/main" id="{AF712605-7916-4DC3-9643-28711777166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722" name="AutoShape 12">
          <a:extLst>
            <a:ext uri="{FF2B5EF4-FFF2-40B4-BE49-F238E27FC236}">
              <a16:creationId xmlns:a16="http://schemas.microsoft.com/office/drawing/2014/main" id="{95501130-16CA-445D-BDCE-0042ED4DA24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723" name="AutoShape 12">
          <a:extLst>
            <a:ext uri="{FF2B5EF4-FFF2-40B4-BE49-F238E27FC236}">
              <a16:creationId xmlns:a16="http://schemas.microsoft.com/office/drawing/2014/main" id="{DF6C6EFF-ABF5-49FC-8BB3-5C929D1DDF3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724" name="AutoShape 12">
          <a:extLst>
            <a:ext uri="{FF2B5EF4-FFF2-40B4-BE49-F238E27FC236}">
              <a16:creationId xmlns:a16="http://schemas.microsoft.com/office/drawing/2014/main" id="{98E9238A-0B29-46D9-91A1-8050F426AFD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725" name="AutoShape 12">
          <a:extLst>
            <a:ext uri="{FF2B5EF4-FFF2-40B4-BE49-F238E27FC236}">
              <a16:creationId xmlns:a16="http://schemas.microsoft.com/office/drawing/2014/main" id="{5DD151AB-9A1E-402E-AA99-09121FBEEB6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726" name="AutoShape 12">
          <a:extLst>
            <a:ext uri="{FF2B5EF4-FFF2-40B4-BE49-F238E27FC236}">
              <a16:creationId xmlns:a16="http://schemas.microsoft.com/office/drawing/2014/main" id="{3884C8D1-520B-4A8B-9147-43A73279B92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727" name="AutoShape 12">
          <a:extLst>
            <a:ext uri="{FF2B5EF4-FFF2-40B4-BE49-F238E27FC236}">
              <a16:creationId xmlns:a16="http://schemas.microsoft.com/office/drawing/2014/main" id="{6D14714E-9E9A-4FE4-B8F6-DAD91BA13D4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728" name="AutoShape 12">
          <a:extLst>
            <a:ext uri="{FF2B5EF4-FFF2-40B4-BE49-F238E27FC236}">
              <a16:creationId xmlns:a16="http://schemas.microsoft.com/office/drawing/2014/main" id="{BD907255-7B80-418C-8806-5914B9DED80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729" name="AutoShape 12">
          <a:extLst>
            <a:ext uri="{FF2B5EF4-FFF2-40B4-BE49-F238E27FC236}">
              <a16:creationId xmlns:a16="http://schemas.microsoft.com/office/drawing/2014/main" id="{932EC749-2098-464C-8843-8D2ED9B0E08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730" name="AutoShape 12">
          <a:extLst>
            <a:ext uri="{FF2B5EF4-FFF2-40B4-BE49-F238E27FC236}">
              <a16:creationId xmlns:a16="http://schemas.microsoft.com/office/drawing/2014/main" id="{39E334BD-01C3-414B-B1A8-9F9E18F68CA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731" name="AutoShape 12">
          <a:extLst>
            <a:ext uri="{FF2B5EF4-FFF2-40B4-BE49-F238E27FC236}">
              <a16:creationId xmlns:a16="http://schemas.microsoft.com/office/drawing/2014/main" id="{E849D4C3-F353-4125-B712-E156E7157D6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732" name="AutoShape 12">
          <a:extLst>
            <a:ext uri="{FF2B5EF4-FFF2-40B4-BE49-F238E27FC236}">
              <a16:creationId xmlns:a16="http://schemas.microsoft.com/office/drawing/2014/main" id="{DF27F9A6-F80C-4C1B-8841-7D9DD102A20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733" name="AutoShape 12">
          <a:extLst>
            <a:ext uri="{FF2B5EF4-FFF2-40B4-BE49-F238E27FC236}">
              <a16:creationId xmlns:a16="http://schemas.microsoft.com/office/drawing/2014/main" id="{F56AC942-7147-4438-B35B-07B71C130C7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734" name="AutoShape 12">
          <a:extLst>
            <a:ext uri="{FF2B5EF4-FFF2-40B4-BE49-F238E27FC236}">
              <a16:creationId xmlns:a16="http://schemas.microsoft.com/office/drawing/2014/main" id="{FC7765D1-13FD-4F7B-8E0D-52C4B54215A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735" name="AutoShape 12">
          <a:extLst>
            <a:ext uri="{FF2B5EF4-FFF2-40B4-BE49-F238E27FC236}">
              <a16:creationId xmlns:a16="http://schemas.microsoft.com/office/drawing/2014/main" id="{F29E0FD9-C1C4-474A-8F44-D71CCBF622F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736" name="AutoShape 12">
          <a:extLst>
            <a:ext uri="{FF2B5EF4-FFF2-40B4-BE49-F238E27FC236}">
              <a16:creationId xmlns:a16="http://schemas.microsoft.com/office/drawing/2014/main" id="{77A595CA-6903-45D7-B2E8-2BC04D7195C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737" name="AutoShape 12">
          <a:extLst>
            <a:ext uri="{FF2B5EF4-FFF2-40B4-BE49-F238E27FC236}">
              <a16:creationId xmlns:a16="http://schemas.microsoft.com/office/drawing/2014/main" id="{329D1036-0C51-4D44-AF86-D83F7CF2B12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738" name="AutoShape 12">
          <a:extLst>
            <a:ext uri="{FF2B5EF4-FFF2-40B4-BE49-F238E27FC236}">
              <a16:creationId xmlns:a16="http://schemas.microsoft.com/office/drawing/2014/main" id="{EC54DB6F-BFF7-4A61-8AED-437FC5BCA8E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739" name="AutoShape 12">
          <a:extLst>
            <a:ext uri="{FF2B5EF4-FFF2-40B4-BE49-F238E27FC236}">
              <a16:creationId xmlns:a16="http://schemas.microsoft.com/office/drawing/2014/main" id="{B831E9DB-2FD3-480F-AB4C-6B1104DA33F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740" name="AutoShape 12">
          <a:extLst>
            <a:ext uri="{FF2B5EF4-FFF2-40B4-BE49-F238E27FC236}">
              <a16:creationId xmlns:a16="http://schemas.microsoft.com/office/drawing/2014/main" id="{2F107F8F-4BE9-4BEF-9DA3-8DFA3C08AD9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741" name="AutoShape 12">
          <a:extLst>
            <a:ext uri="{FF2B5EF4-FFF2-40B4-BE49-F238E27FC236}">
              <a16:creationId xmlns:a16="http://schemas.microsoft.com/office/drawing/2014/main" id="{4A3A9FF9-18E0-4C24-91FB-380BA9E3410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742" name="AutoShape 12">
          <a:extLst>
            <a:ext uri="{FF2B5EF4-FFF2-40B4-BE49-F238E27FC236}">
              <a16:creationId xmlns:a16="http://schemas.microsoft.com/office/drawing/2014/main" id="{4C95C2B4-CA46-49E9-8399-BAEA63BF739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743" name="AutoShape 12">
          <a:extLst>
            <a:ext uri="{FF2B5EF4-FFF2-40B4-BE49-F238E27FC236}">
              <a16:creationId xmlns:a16="http://schemas.microsoft.com/office/drawing/2014/main" id="{C4A6977B-DBFE-4D0C-BD05-9A066EFB227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744" name="AutoShape 12">
          <a:extLst>
            <a:ext uri="{FF2B5EF4-FFF2-40B4-BE49-F238E27FC236}">
              <a16:creationId xmlns:a16="http://schemas.microsoft.com/office/drawing/2014/main" id="{98E8A38B-B73F-4A51-8969-0A6295F7328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745" name="AutoShape 12">
          <a:extLst>
            <a:ext uri="{FF2B5EF4-FFF2-40B4-BE49-F238E27FC236}">
              <a16:creationId xmlns:a16="http://schemas.microsoft.com/office/drawing/2014/main" id="{8011046C-77A8-4B12-8936-7280A25D9A1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746" name="AutoShape 12">
          <a:extLst>
            <a:ext uri="{FF2B5EF4-FFF2-40B4-BE49-F238E27FC236}">
              <a16:creationId xmlns:a16="http://schemas.microsoft.com/office/drawing/2014/main" id="{99F702AA-B3C5-4A5D-BA71-4326B04148C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747" name="AutoShape 12">
          <a:extLst>
            <a:ext uri="{FF2B5EF4-FFF2-40B4-BE49-F238E27FC236}">
              <a16:creationId xmlns:a16="http://schemas.microsoft.com/office/drawing/2014/main" id="{0957F4B3-4AA3-41AE-9375-7D26EF3ED9B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748" name="AutoShape 12">
          <a:extLst>
            <a:ext uri="{FF2B5EF4-FFF2-40B4-BE49-F238E27FC236}">
              <a16:creationId xmlns:a16="http://schemas.microsoft.com/office/drawing/2014/main" id="{9464CFF5-9EC0-4798-964C-C6F79DEEA6D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749" name="AutoShape 12">
          <a:extLst>
            <a:ext uri="{FF2B5EF4-FFF2-40B4-BE49-F238E27FC236}">
              <a16:creationId xmlns:a16="http://schemas.microsoft.com/office/drawing/2014/main" id="{55E7A8C4-DA72-4F57-921D-4BB0D7493A1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750" name="AutoShape 12">
          <a:extLst>
            <a:ext uri="{FF2B5EF4-FFF2-40B4-BE49-F238E27FC236}">
              <a16:creationId xmlns:a16="http://schemas.microsoft.com/office/drawing/2014/main" id="{A1AE8E38-2DDB-498D-8972-AACEE61A96A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751" name="AutoShape 12">
          <a:extLst>
            <a:ext uri="{FF2B5EF4-FFF2-40B4-BE49-F238E27FC236}">
              <a16:creationId xmlns:a16="http://schemas.microsoft.com/office/drawing/2014/main" id="{D8E13F42-884A-42FA-80B1-B20A25061D1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752" name="AutoShape 12">
          <a:extLst>
            <a:ext uri="{FF2B5EF4-FFF2-40B4-BE49-F238E27FC236}">
              <a16:creationId xmlns:a16="http://schemas.microsoft.com/office/drawing/2014/main" id="{C88FA0B6-331E-48C4-A3A4-95DCE792D49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753" name="AutoShape 12">
          <a:extLst>
            <a:ext uri="{FF2B5EF4-FFF2-40B4-BE49-F238E27FC236}">
              <a16:creationId xmlns:a16="http://schemas.microsoft.com/office/drawing/2014/main" id="{310A314C-951B-4936-818A-EB52F6D9FC6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754" name="AutoShape 12">
          <a:extLst>
            <a:ext uri="{FF2B5EF4-FFF2-40B4-BE49-F238E27FC236}">
              <a16:creationId xmlns:a16="http://schemas.microsoft.com/office/drawing/2014/main" id="{BA2F0622-C34B-419B-8213-6B6AA172D4B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755" name="AutoShape 12">
          <a:extLst>
            <a:ext uri="{FF2B5EF4-FFF2-40B4-BE49-F238E27FC236}">
              <a16:creationId xmlns:a16="http://schemas.microsoft.com/office/drawing/2014/main" id="{C2F3A9B9-B39D-433E-9EBA-BEBF24DC9C3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756" name="AutoShape 12">
          <a:extLst>
            <a:ext uri="{FF2B5EF4-FFF2-40B4-BE49-F238E27FC236}">
              <a16:creationId xmlns:a16="http://schemas.microsoft.com/office/drawing/2014/main" id="{A52A3BCD-AB84-4618-8A6D-E3873D0D833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757" name="AutoShape 12">
          <a:extLst>
            <a:ext uri="{FF2B5EF4-FFF2-40B4-BE49-F238E27FC236}">
              <a16:creationId xmlns:a16="http://schemas.microsoft.com/office/drawing/2014/main" id="{5C1676AC-AE3B-4CBA-8D5A-0DE8745ADE5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758" name="AutoShape 12">
          <a:extLst>
            <a:ext uri="{FF2B5EF4-FFF2-40B4-BE49-F238E27FC236}">
              <a16:creationId xmlns:a16="http://schemas.microsoft.com/office/drawing/2014/main" id="{E8E1A4DE-83F3-4522-8567-2AB62FAB110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759" name="AutoShape 12">
          <a:extLst>
            <a:ext uri="{FF2B5EF4-FFF2-40B4-BE49-F238E27FC236}">
              <a16:creationId xmlns:a16="http://schemas.microsoft.com/office/drawing/2014/main" id="{C809C4DF-1066-4A32-8AAF-F3EC1A0C2BC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760" name="AutoShape 12">
          <a:extLst>
            <a:ext uri="{FF2B5EF4-FFF2-40B4-BE49-F238E27FC236}">
              <a16:creationId xmlns:a16="http://schemas.microsoft.com/office/drawing/2014/main" id="{786CD8B5-C945-49C8-9626-5ECB47EA86B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761" name="AutoShape 12">
          <a:extLst>
            <a:ext uri="{FF2B5EF4-FFF2-40B4-BE49-F238E27FC236}">
              <a16:creationId xmlns:a16="http://schemas.microsoft.com/office/drawing/2014/main" id="{2EE63544-4735-4E72-BC0A-03049B2F7E6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762" name="AutoShape 12">
          <a:extLst>
            <a:ext uri="{FF2B5EF4-FFF2-40B4-BE49-F238E27FC236}">
              <a16:creationId xmlns:a16="http://schemas.microsoft.com/office/drawing/2014/main" id="{F24B42FE-CE3C-46A7-8C2C-D464BC3CF03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763" name="AutoShape 12">
          <a:extLst>
            <a:ext uri="{FF2B5EF4-FFF2-40B4-BE49-F238E27FC236}">
              <a16:creationId xmlns:a16="http://schemas.microsoft.com/office/drawing/2014/main" id="{A32A0EED-A792-4BD4-BD6D-E2D02215E69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764" name="AutoShape 12">
          <a:extLst>
            <a:ext uri="{FF2B5EF4-FFF2-40B4-BE49-F238E27FC236}">
              <a16:creationId xmlns:a16="http://schemas.microsoft.com/office/drawing/2014/main" id="{77D5CE71-0B31-4A0E-B48E-CAC29D6B4E1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765" name="AutoShape 12">
          <a:extLst>
            <a:ext uri="{FF2B5EF4-FFF2-40B4-BE49-F238E27FC236}">
              <a16:creationId xmlns:a16="http://schemas.microsoft.com/office/drawing/2014/main" id="{6DAC3923-40F4-4C0A-90DA-20074CA4770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766" name="AutoShape 12">
          <a:extLst>
            <a:ext uri="{FF2B5EF4-FFF2-40B4-BE49-F238E27FC236}">
              <a16:creationId xmlns:a16="http://schemas.microsoft.com/office/drawing/2014/main" id="{CD76F5F4-9D4E-45AF-8BF3-2FB2F16E672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767" name="AutoShape 12">
          <a:extLst>
            <a:ext uri="{FF2B5EF4-FFF2-40B4-BE49-F238E27FC236}">
              <a16:creationId xmlns:a16="http://schemas.microsoft.com/office/drawing/2014/main" id="{3B49F067-C251-4F4D-A25B-27265CA8F17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768" name="AutoShape 12">
          <a:extLst>
            <a:ext uri="{FF2B5EF4-FFF2-40B4-BE49-F238E27FC236}">
              <a16:creationId xmlns:a16="http://schemas.microsoft.com/office/drawing/2014/main" id="{6E8E0965-28F8-42C4-B52F-3CF813851E2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769" name="AutoShape 12">
          <a:extLst>
            <a:ext uri="{FF2B5EF4-FFF2-40B4-BE49-F238E27FC236}">
              <a16:creationId xmlns:a16="http://schemas.microsoft.com/office/drawing/2014/main" id="{0E0774E1-191A-46C1-9A73-DF778A39FAD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770" name="AutoShape 12">
          <a:extLst>
            <a:ext uri="{FF2B5EF4-FFF2-40B4-BE49-F238E27FC236}">
              <a16:creationId xmlns:a16="http://schemas.microsoft.com/office/drawing/2014/main" id="{C81E6AE6-EED0-4839-AE03-F040DFDAD93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771" name="AutoShape 12">
          <a:extLst>
            <a:ext uri="{FF2B5EF4-FFF2-40B4-BE49-F238E27FC236}">
              <a16:creationId xmlns:a16="http://schemas.microsoft.com/office/drawing/2014/main" id="{991AE236-C0C9-47E4-8361-B3C29EF850C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772" name="AutoShape 12">
          <a:extLst>
            <a:ext uri="{FF2B5EF4-FFF2-40B4-BE49-F238E27FC236}">
              <a16:creationId xmlns:a16="http://schemas.microsoft.com/office/drawing/2014/main" id="{2948CEF8-7F8A-4914-95F4-7671A2B331C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773" name="AutoShape 12">
          <a:extLst>
            <a:ext uri="{FF2B5EF4-FFF2-40B4-BE49-F238E27FC236}">
              <a16:creationId xmlns:a16="http://schemas.microsoft.com/office/drawing/2014/main" id="{CCD6A904-8A88-4C16-941B-3B79DBC53ED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774" name="AutoShape 12">
          <a:extLst>
            <a:ext uri="{FF2B5EF4-FFF2-40B4-BE49-F238E27FC236}">
              <a16:creationId xmlns:a16="http://schemas.microsoft.com/office/drawing/2014/main" id="{7F583AEC-90A5-4A55-AE85-35A218E5BA8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775" name="AutoShape 12">
          <a:extLst>
            <a:ext uri="{FF2B5EF4-FFF2-40B4-BE49-F238E27FC236}">
              <a16:creationId xmlns:a16="http://schemas.microsoft.com/office/drawing/2014/main" id="{FDAA3A1A-A4AE-40BF-9700-27B6DE3C134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776" name="AutoShape 12">
          <a:extLst>
            <a:ext uri="{FF2B5EF4-FFF2-40B4-BE49-F238E27FC236}">
              <a16:creationId xmlns:a16="http://schemas.microsoft.com/office/drawing/2014/main" id="{72AC2724-A4B0-4AA9-81BC-54E3C6DEC7C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777" name="AutoShape 12">
          <a:extLst>
            <a:ext uri="{FF2B5EF4-FFF2-40B4-BE49-F238E27FC236}">
              <a16:creationId xmlns:a16="http://schemas.microsoft.com/office/drawing/2014/main" id="{8B26CB50-8E04-4622-9C09-C28C0E07C63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778" name="AutoShape 12">
          <a:extLst>
            <a:ext uri="{FF2B5EF4-FFF2-40B4-BE49-F238E27FC236}">
              <a16:creationId xmlns:a16="http://schemas.microsoft.com/office/drawing/2014/main" id="{C97CAF5D-CCBB-4E6C-8599-33BFA2E23E2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779" name="AutoShape 12">
          <a:extLst>
            <a:ext uri="{FF2B5EF4-FFF2-40B4-BE49-F238E27FC236}">
              <a16:creationId xmlns:a16="http://schemas.microsoft.com/office/drawing/2014/main" id="{AEE8B483-7BDE-4762-B42B-6A3D7F78D4A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780" name="AutoShape 12">
          <a:extLst>
            <a:ext uri="{FF2B5EF4-FFF2-40B4-BE49-F238E27FC236}">
              <a16:creationId xmlns:a16="http://schemas.microsoft.com/office/drawing/2014/main" id="{8A8F7AFC-9BCF-4B48-A7F3-7B45C07F078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781" name="AutoShape 12">
          <a:extLst>
            <a:ext uri="{FF2B5EF4-FFF2-40B4-BE49-F238E27FC236}">
              <a16:creationId xmlns:a16="http://schemas.microsoft.com/office/drawing/2014/main" id="{E380D580-EFB6-4CA6-BED3-9CCCD755C32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782" name="AutoShape 12">
          <a:extLst>
            <a:ext uri="{FF2B5EF4-FFF2-40B4-BE49-F238E27FC236}">
              <a16:creationId xmlns:a16="http://schemas.microsoft.com/office/drawing/2014/main" id="{ACE949AE-5892-4204-A798-73CBD2B7C26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783" name="AutoShape 12">
          <a:extLst>
            <a:ext uri="{FF2B5EF4-FFF2-40B4-BE49-F238E27FC236}">
              <a16:creationId xmlns:a16="http://schemas.microsoft.com/office/drawing/2014/main" id="{AF50B19A-CD4A-43DF-8BE2-B7D92A7E71F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784" name="AutoShape 12">
          <a:extLst>
            <a:ext uri="{FF2B5EF4-FFF2-40B4-BE49-F238E27FC236}">
              <a16:creationId xmlns:a16="http://schemas.microsoft.com/office/drawing/2014/main" id="{47A16AE3-3AA8-4913-97FD-9C9706C3866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785" name="AutoShape 12">
          <a:extLst>
            <a:ext uri="{FF2B5EF4-FFF2-40B4-BE49-F238E27FC236}">
              <a16:creationId xmlns:a16="http://schemas.microsoft.com/office/drawing/2014/main" id="{B63CC5EE-D866-458F-A2BD-69A33639E2E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786" name="AutoShape 12">
          <a:extLst>
            <a:ext uri="{FF2B5EF4-FFF2-40B4-BE49-F238E27FC236}">
              <a16:creationId xmlns:a16="http://schemas.microsoft.com/office/drawing/2014/main" id="{F21DF97E-EC6A-41BF-AD18-FCBC91E1550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787" name="AutoShape 12">
          <a:extLst>
            <a:ext uri="{FF2B5EF4-FFF2-40B4-BE49-F238E27FC236}">
              <a16:creationId xmlns:a16="http://schemas.microsoft.com/office/drawing/2014/main" id="{C9CC2B01-DA8C-46A8-A169-C5DB7426324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788" name="AutoShape 12">
          <a:extLst>
            <a:ext uri="{FF2B5EF4-FFF2-40B4-BE49-F238E27FC236}">
              <a16:creationId xmlns:a16="http://schemas.microsoft.com/office/drawing/2014/main" id="{873C64D4-B627-4E66-851F-971D3850D14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789" name="AutoShape 12">
          <a:extLst>
            <a:ext uri="{FF2B5EF4-FFF2-40B4-BE49-F238E27FC236}">
              <a16:creationId xmlns:a16="http://schemas.microsoft.com/office/drawing/2014/main" id="{E5D64BAA-A47F-40BD-BE82-C233245D171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790" name="AutoShape 12">
          <a:extLst>
            <a:ext uri="{FF2B5EF4-FFF2-40B4-BE49-F238E27FC236}">
              <a16:creationId xmlns:a16="http://schemas.microsoft.com/office/drawing/2014/main" id="{8D71BC9C-F1D7-4FDD-9592-AD981AE68A9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791" name="AutoShape 12">
          <a:extLst>
            <a:ext uri="{FF2B5EF4-FFF2-40B4-BE49-F238E27FC236}">
              <a16:creationId xmlns:a16="http://schemas.microsoft.com/office/drawing/2014/main" id="{1FF231B2-ADCD-4AFC-AD48-5F153CEBB94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792" name="AutoShape 12">
          <a:extLst>
            <a:ext uri="{FF2B5EF4-FFF2-40B4-BE49-F238E27FC236}">
              <a16:creationId xmlns:a16="http://schemas.microsoft.com/office/drawing/2014/main" id="{540737D0-A5A1-4B93-8A73-3EFF5159BB5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793" name="AutoShape 12">
          <a:extLst>
            <a:ext uri="{FF2B5EF4-FFF2-40B4-BE49-F238E27FC236}">
              <a16:creationId xmlns:a16="http://schemas.microsoft.com/office/drawing/2014/main" id="{42440A56-1CC3-4093-8D89-20B99F1C85E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794" name="AutoShape 12">
          <a:extLst>
            <a:ext uri="{FF2B5EF4-FFF2-40B4-BE49-F238E27FC236}">
              <a16:creationId xmlns:a16="http://schemas.microsoft.com/office/drawing/2014/main" id="{31C4A40F-CAAC-44FB-9164-F5BCBDEB852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795" name="AutoShape 12">
          <a:extLst>
            <a:ext uri="{FF2B5EF4-FFF2-40B4-BE49-F238E27FC236}">
              <a16:creationId xmlns:a16="http://schemas.microsoft.com/office/drawing/2014/main" id="{19565E9F-B62D-4B70-A61E-26B364EE03E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796" name="AutoShape 12">
          <a:extLst>
            <a:ext uri="{FF2B5EF4-FFF2-40B4-BE49-F238E27FC236}">
              <a16:creationId xmlns:a16="http://schemas.microsoft.com/office/drawing/2014/main" id="{285229B0-3950-4277-A8AD-6E2E4A638D2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797" name="AutoShape 12">
          <a:extLst>
            <a:ext uri="{FF2B5EF4-FFF2-40B4-BE49-F238E27FC236}">
              <a16:creationId xmlns:a16="http://schemas.microsoft.com/office/drawing/2014/main" id="{0163580A-4DEF-49E5-B30D-B70A7E6A7BA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798" name="AutoShape 12">
          <a:extLst>
            <a:ext uri="{FF2B5EF4-FFF2-40B4-BE49-F238E27FC236}">
              <a16:creationId xmlns:a16="http://schemas.microsoft.com/office/drawing/2014/main" id="{8488678F-F051-4169-BCC9-A8A9F5D0699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799" name="AutoShape 12">
          <a:extLst>
            <a:ext uri="{FF2B5EF4-FFF2-40B4-BE49-F238E27FC236}">
              <a16:creationId xmlns:a16="http://schemas.microsoft.com/office/drawing/2014/main" id="{2BC14730-8347-4BBB-9567-A38C3B391E9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800" name="AutoShape 12">
          <a:extLst>
            <a:ext uri="{FF2B5EF4-FFF2-40B4-BE49-F238E27FC236}">
              <a16:creationId xmlns:a16="http://schemas.microsoft.com/office/drawing/2014/main" id="{87FE76A1-8C1A-4645-B13D-EFD8092BB1C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801" name="AutoShape 12">
          <a:extLst>
            <a:ext uri="{FF2B5EF4-FFF2-40B4-BE49-F238E27FC236}">
              <a16:creationId xmlns:a16="http://schemas.microsoft.com/office/drawing/2014/main" id="{D0A45225-BE07-4E68-A18D-28CB33D9A0F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802" name="AutoShape 12">
          <a:extLst>
            <a:ext uri="{FF2B5EF4-FFF2-40B4-BE49-F238E27FC236}">
              <a16:creationId xmlns:a16="http://schemas.microsoft.com/office/drawing/2014/main" id="{BC88811E-25EC-4933-A586-FBC99D69821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803" name="AutoShape 12">
          <a:extLst>
            <a:ext uri="{FF2B5EF4-FFF2-40B4-BE49-F238E27FC236}">
              <a16:creationId xmlns:a16="http://schemas.microsoft.com/office/drawing/2014/main" id="{72CFC617-742C-4C51-BA1C-959F5D5F5A4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804" name="AutoShape 12">
          <a:extLst>
            <a:ext uri="{FF2B5EF4-FFF2-40B4-BE49-F238E27FC236}">
              <a16:creationId xmlns:a16="http://schemas.microsoft.com/office/drawing/2014/main" id="{B0FEB224-AAC1-49F6-9B69-7A03F42DFC4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805" name="AutoShape 12">
          <a:extLst>
            <a:ext uri="{FF2B5EF4-FFF2-40B4-BE49-F238E27FC236}">
              <a16:creationId xmlns:a16="http://schemas.microsoft.com/office/drawing/2014/main" id="{BB2B28F4-46C4-4526-A8D5-B9923B478FB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806" name="AutoShape 12">
          <a:extLst>
            <a:ext uri="{FF2B5EF4-FFF2-40B4-BE49-F238E27FC236}">
              <a16:creationId xmlns:a16="http://schemas.microsoft.com/office/drawing/2014/main" id="{6320AC72-683E-406D-8F99-13CF8578899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807" name="AutoShape 12">
          <a:extLst>
            <a:ext uri="{FF2B5EF4-FFF2-40B4-BE49-F238E27FC236}">
              <a16:creationId xmlns:a16="http://schemas.microsoft.com/office/drawing/2014/main" id="{88793D59-1F33-402E-9C50-F92D1FCB76F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808" name="AutoShape 12">
          <a:extLst>
            <a:ext uri="{FF2B5EF4-FFF2-40B4-BE49-F238E27FC236}">
              <a16:creationId xmlns:a16="http://schemas.microsoft.com/office/drawing/2014/main" id="{C94839C7-DAF0-4E81-98C3-804D035A9A8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809" name="AutoShape 12">
          <a:extLst>
            <a:ext uri="{FF2B5EF4-FFF2-40B4-BE49-F238E27FC236}">
              <a16:creationId xmlns:a16="http://schemas.microsoft.com/office/drawing/2014/main" id="{0065190A-6A4B-4491-BF9F-F261CACFFD6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810" name="AutoShape 12">
          <a:extLst>
            <a:ext uri="{FF2B5EF4-FFF2-40B4-BE49-F238E27FC236}">
              <a16:creationId xmlns:a16="http://schemas.microsoft.com/office/drawing/2014/main" id="{19393DD0-6401-44EA-99F7-17D67CEDAC1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811" name="AutoShape 12">
          <a:extLst>
            <a:ext uri="{FF2B5EF4-FFF2-40B4-BE49-F238E27FC236}">
              <a16:creationId xmlns:a16="http://schemas.microsoft.com/office/drawing/2014/main" id="{EAC490E8-76A0-4F99-B95B-554CDD27C10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812" name="AutoShape 12">
          <a:extLst>
            <a:ext uri="{FF2B5EF4-FFF2-40B4-BE49-F238E27FC236}">
              <a16:creationId xmlns:a16="http://schemas.microsoft.com/office/drawing/2014/main" id="{B3E8DF9C-B0B8-4781-B19A-9ED478F3980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813" name="AutoShape 12">
          <a:extLst>
            <a:ext uri="{FF2B5EF4-FFF2-40B4-BE49-F238E27FC236}">
              <a16:creationId xmlns:a16="http://schemas.microsoft.com/office/drawing/2014/main" id="{01147202-FA52-412D-B201-68C8CB3B4E4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814" name="AutoShape 12">
          <a:extLst>
            <a:ext uri="{FF2B5EF4-FFF2-40B4-BE49-F238E27FC236}">
              <a16:creationId xmlns:a16="http://schemas.microsoft.com/office/drawing/2014/main" id="{8332FE4B-98F2-44BE-B1BA-9C5D1EA1C14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815" name="AutoShape 12">
          <a:extLst>
            <a:ext uri="{FF2B5EF4-FFF2-40B4-BE49-F238E27FC236}">
              <a16:creationId xmlns:a16="http://schemas.microsoft.com/office/drawing/2014/main" id="{300161B4-0862-4ACF-BD09-E43F9649BD1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816" name="AutoShape 12">
          <a:extLst>
            <a:ext uri="{FF2B5EF4-FFF2-40B4-BE49-F238E27FC236}">
              <a16:creationId xmlns:a16="http://schemas.microsoft.com/office/drawing/2014/main" id="{B3C58406-2667-454E-B4DE-936D539EA20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817" name="AutoShape 12">
          <a:extLst>
            <a:ext uri="{FF2B5EF4-FFF2-40B4-BE49-F238E27FC236}">
              <a16:creationId xmlns:a16="http://schemas.microsoft.com/office/drawing/2014/main" id="{27BA5184-699E-4F3E-A5F6-8466767D1A0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818" name="AutoShape 12">
          <a:extLst>
            <a:ext uri="{FF2B5EF4-FFF2-40B4-BE49-F238E27FC236}">
              <a16:creationId xmlns:a16="http://schemas.microsoft.com/office/drawing/2014/main" id="{B1538F39-588A-4E14-B05E-017D970EC41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819" name="AutoShape 12">
          <a:extLst>
            <a:ext uri="{FF2B5EF4-FFF2-40B4-BE49-F238E27FC236}">
              <a16:creationId xmlns:a16="http://schemas.microsoft.com/office/drawing/2014/main" id="{3ADAD27D-1A23-4054-8516-33E5DFFD890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820" name="AutoShape 12">
          <a:extLst>
            <a:ext uri="{FF2B5EF4-FFF2-40B4-BE49-F238E27FC236}">
              <a16:creationId xmlns:a16="http://schemas.microsoft.com/office/drawing/2014/main" id="{5869C0BA-F366-4D15-BE0E-34FD2872926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821" name="AutoShape 12">
          <a:extLst>
            <a:ext uri="{FF2B5EF4-FFF2-40B4-BE49-F238E27FC236}">
              <a16:creationId xmlns:a16="http://schemas.microsoft.com/office/drawing/2014/main" id="{C45D8D15-888F-4B04-8064-DB85138530C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822" name="AutoShape 12">
          <a:extLst>
            <a:ext uri="{FF2B5EF4-FFF2-40B4-BE49-F238E27FC236}">
              <a16:creationId xmlns:a16="http://schemas.microsoft.com/office/drawing/2014/main" id="{497F0C8A-870E-4FBB-A9A6-801EDA34D48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823" name="AutoShape 12">
          <a:extLst>
            <a:ext uri="{FF2B5EF4-FFF2-40B4-BE49-F238E27FC236}">
              <a16:creationId xmlns:a16="http://schemas.microsoft.com/office/drawing/2014/main" id="{6F70BFC7-58D5-4D9F-A17A-F5AC8D1DE9C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824" name="AutoShape 12">
          <a:extLst>
            <a:ext uri="{FF2B5EF4-FFF2-40B4-BE49-F238E27FC236}">
              <a16:creationId xmlns:a16="http://schemas.microsoft.com/office/drawing/2014/main" id="{284F03D7-A51B-4FCA-9EB6-5398E1DB8B0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825" name="AutoShape 12">
          <a:extLst>
            <a:ext uri="{FF2B5EF4-FFF2-40B4-BE49-F238E27FC236}">
              <a16:creationId xmlns:a16="http://schemas.microsoft.com/office/drawing/2014/main" id="{80FA6EA8-F768-438C-85A6-4C9B53F1945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826" name="AutoShape 12">
          <a:extLst>
            <a:ext uri="{FF2B5EF4-FFF2-40B4-BE49-F238E27FC236}">
              <a16:creationId xmlns:a16="http://schemas.microsoft.com/office/drawing/2014/main" id="{58657175-1199-41AA-B744-4FADFBF4520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827" name="AutoShape 12">
          <a:extLst>
            <a:ext uri="{FF2B5EF4-FFF2-40B4-BE49-F238E27FC236}">
              <a16:creationId xmlns:a16="http://schemas.microsoft.com/office/drawing/2014/main" id="{7CCF2ECF-C9A1-4CC2-89B9-65E23D5DFC5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828" name="AutoShape 12">
          <a:extLst>
            <a:ext uri="{FF2B5EF4-FFF2-40B4-BE49-F238E27FC236}">
              <a16:creationId xmlns:a16="http://schemas.microsoft.com/office/drawing/2014/main" id="{14A92304-D69A-4C07-BF0A-13E23D3045C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829" name="AutoShape 12">
          <a:extLst>
            <a:ext uri="{FF2B5EF4-FFF2-40B4-BE49-F238E27FC236}">
              <a16:creationId xmlns:a16="http://schemas.microsoft.com/office/drawing/2014/main" id="{6EC8ED9D-150C-437E-87D3-7D7F1AB2530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830" name="AutoShape 12">
          <a:extLst>
            <a:ext uri="{FF2B5EF4-FFF2-40B4-BE49-F238E27FC236}">
              <a16:creationId xmlns:a16="http://schemas.microsoft.com/office/drawing/2014/main" id="{1E70C359-F344-4909-8D47-1B7F8A65FF0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831" name="AutoShape 12">
          <a:extLst>
            <a:ext uri="{FF2B5EF4-FFF2-40B4-BE49-F238E27FC236}">
              <a16:creationId xmlns:a16="http://schemas.microsoft.com/office/drawing/2014/main" id="{8717447B-F67E-42D4-8E62-4BD3F6F4069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832" name="AutoShape 12">
          <a:extLst>
            <a:ext uri="{FF2B5EF4-FFF2-40B4-BE49-F238E27FC236}">
              <a16:creationId xmlns:a16="http://schemas.microsoft.com/office/drawing/2014/main" id="{5207767A-4A10-4A35-82C7-CFD871234C6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833" name="AutoShape 12">
          <a:extLst>
            <a:ext uri="{FF2B5EF4-FFF2-40B4-BE49-F238E27FC236}">
              <a16:creationId xmlns:a16="http://schemas.microsoft.com/office/drawing/2014/main" id="{6DBBF42B-4751-4CE9-B9FC-9365A39242F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834" name="AutoShape 12">
          <a:extLst>
            <a:ext uri="{FF2B5EF4-FFF2-40B4-BE49-F238E27FC236}">
              <a16:creationId xmlns:a16="http://schemas.microsoft.com/office/drawing/2014/main" id="{53720722-2346-48A3-A713-A698347C3BA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835" name="AutoShape 12">
          <a:extLst>
            <a:ext uri="{FF2B5EF4-FFF2-40B4-BE49-F238E27FC236}">
              <a16:creationId xmlns:a16="http://schemas.microsoft.com/office/drawing/2014/main" id="{D1EFE50B-CD9A-4FC0-9061-BCBB61D7149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836" name="AutoShape 12">
          <a:extLst>
            <a:ext uri="{FF2B5EF4-FFF2-40B4-BE49-F238E27FC236}">
              <a16:creationId xmlns:a16="http://schemas.microsoft.com/office/drawing/2014/main" id="{B65120AD-716C-4A9A-B6B1-50B7FF92893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837" name="AutoShape 12">
          <a:extLst>
            <a:ext uri="{FF2B5EF4-FFF2-40B4-BE49-F238E27FC236}">
              <a16:creationId xmlns:a16="http://schemas.microsoft.com/office/drawing/2014/main" id="{CE4E5F4A-C8FD-42E7-B8D3-CBAA24204B0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838" name="AutoShape 12">
          <a:extLst>
            <a:ext uri="{FF2B5EF4-FFF2-40B4-BE49-F238E27FC236}">
              <a16:creationId xmlns:a16="http://schemas.microsoft.com/office/drawing/2014/main" id="{D02134B3-FAEF-435A-BA54-A90ECC45E8A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839" name="AutoShape 12">
          <a:extLst>
            <a:ext uri="{FF2B5EF4-FFF2-40B4-BE49-F238E27FC236}">
              <a16:creationId xmlns:a16="http://schemas.microsoft.com/office/drawing/2014/main" id="{78E4D3BD-8339-4F9A-A759-6EBBA709FD8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840" name="AutoShape 12">
          <a:extLst>
            <a:ext uri="{FF2B5EF4-FFF2-40B4-BE49-F238E27FC236}">
              <a16:creationId xmlns:a16="http://schemas.microsoft.com/office/drawing/2014/main" id="{8FA98A5A-B49A-4E7C-A04E-843A8BD9242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841" name="AutoShape 12">
          <a:extLst>
            <a:ext uri="{FF2B5EF4-FFF2-40B4-BE49-F238E27FC236}">
              <a16:creationId xmlns:a16="http://schemas.microsoft.com/office/drawing/2014/main" id="{1B95EE34-FE9F-431A-8A73-60444E71680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842" name="AutoShape 12">
          <a:extLst>
            <a:ext uri="{FF2B5EF4-FFF2-40B4-BE49-F238E27FC236}">
              <a16:creationId xmlns:a16="http://schemas.microsoft.com/office/drawing/2014/main" id="{AF9FA7A9-0F94-42F0-86AC-4A46E363C63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843" name="AutoShape 12">
          <a:extLst>
            <a:ext uri="{FF2B5EF4-FFF2-40B4-BE49-F238E27FC236}">
              <a16:creationId xmlns:a16="http://schemas.microsoft.com/office/drawing/2014/main" id="{A49A8483-6B3E-4A31-AD3D-B5CA30E4096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844" name="AutoShape 12">
          <a:extLst>
            <a:ext uri="{FF2B5EF4-FFF2-40B4-BE49-F238E27FC236}">
              <a16:creationId xmlns:a16="http://schemas.microsoft.com/office/drawing/2014/main" id="{C0C8715B-1DA3-42D8-A870-7811D7E85E1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845" name="AutoShape 12">
          <a:extLst>
            <a:ext uri="{FF2B5EF4-FFF2-40B4-BE49-F238E27FC236}">
              <a16:creationId xmlns:a16="http://schemas.microsoft.com/office/drawing/2014/main" id="{665BED89-96A4-439D-84E9-B66E62731E8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846" name="AutoShape 12">
          <a:extLst>
            <a:ext uri="{FF2B5EF4-FFF2-40B4-BE49-F238E27FC236}">
              <a16:creationId xmlns:a16="http://schemas.microsoft.com/office/drawing/2014/main" id="{B89FFFAA-7C05-47A6-B67F-A739839CC36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847" name="AutoShape 12">
          <a:extLst>
            <a:ext uri="{FF2B5EF4-FFF2-40B4-BE49-F238E27FC236}">
              <a16:creationId xmlns:a16="http://schemas.microsoft.com/office/drawing/2014/main" id="{43436354-3C34-450F-9E52-C42BD5267B4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848" name="AutoShape 12">
          <a:extLst>
            <a:ext uri="{FF2B5EF4-FFF2-40B4-BE49-F238E27FC236}">
              <a16:creationId xmlns:a16="http://schemas.microsoft.com/office/drawing/2014/main" id="{B2A3FF53-DF77-496E-8D81-A2931831782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849" name="AutoShape 12">
          <a:extLst>
            <a:ext uri="{FF2B5EF4-FFF2-40B4-BE49-F238E27FC236}">
              <a16:creationId xmlns:a16="http://schemas.microsoft.com/office/drawing/2014/main" id="{169EF805-28A3-4E07-9AFB-DC1552C0068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850" name="AutoShape 12">
          <a:extLst>
            <a:ext uri="{FF2B5EF4-FFF2-40B4-BE49-F238E27FC236}">
              <a16:creationId xmlns:a16="http://schemas.microsoft.com/office/drawing/2014/main" id="{8A4238A7-1B1B-42CA-849C-75EAA74DB69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851" name="AutoShape 12">
          <a:extLst>
            <a:ext uri="{FF2B5EF4-FFF2-40B4-BE49-F238E27FC236}">
              <a16:creationId xmlns:a16="http://schemas.microsoft.com/office/drawing/2014/main" id="{A91CD298-9DCD-4020-9205-6DE35D1494A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852" name="AutoShape 12">
          <a:extLst>
            <a:ext uri="{FF2B5EF4-FFF2-40B4-BE49-F238E27FC236}">
              <a16:creationId xmlns:a16="http://schemas.microsoft.com/office/drawing/2014/main" id="{9EBAC2B8-A53F-47D3-A85C-B535869A727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853" name="AutoShape 12">
          <a:extLst>
            <a:ext uri="{FF2B5EF4-FFF2-40B4-BE49-F238E27FC236}">
              <a16:creationId xmlns:a16="http://schemas.microsoft.com/office/drawing/2014/main" id="{81FF8F0D-B56D-482B-8590-AD6DC066DF4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854" name="AutoShape 12">
          <a:extLst>
            <a:ext uri="{FF2B5EF4-FFF2-40B4-BE49-F238E27FC236}">
              <a16:creationId xmlns:a16="http://schemas.microsoft.com/office/drawing/2014/main" id="{C24A56F5-275A-4791-9992-6FE4A8E84A8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855" name="AutoShape 12">
          <a:extLst>
            <a:ext uri="{FF2B5EF4-FFF2-40B4-BE49-F238E27FC236}">
              <a16:creationId xmlns:a16="http://schemas.microsoft.com/office/drawing/2014/main" id="{F0743573-9D03-4FFB-A199-9C8462A1632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856" name="AutoShape 12">
          <a:extLst>
            <a:ext uri="{FF2B5EF4-FFF2-40B4-BE49-F238E27FC236}">
              <a16:creationId xmlns:a16="http://schemas.microsoft.com/office/drawing/2014/main" id="{760C4611-4577-42B0-AB3C-5AC1524086E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857" name="AutoShape 12">
          <a:extLst>
            <a:ext uri="{FF2B5EF4-FFF2-40B4-BE49-F238E27FC236}">
              <a16:creationId xmlns:a16="http://schemas.microsoft.com/office/drawing/2014/main" id="{6F2E289F-6A3D-4164-98C8-211D8BF0251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948</xdr:row>
      <xdr:rowOff>0</xdr:rowOff>
    </xdr:from>
    <xdr:ext cx="304800" cy="304094"/>
    <xdr:sp macro="" textlink="">
      <xdr:nvSpPr>
        <xdr:cNvPr id="8858" name="AutoShape 12">
          <a:extLst>
            <a:ext uri="{FF2B5EF4-FFF2-40B4-BE49-F238E27FC236}">
              <a16:creationId xmlns:a16="http://schemas.microsoft.com/office/drawing/2014/main" id="{F25E660B-C67E-4793-A129-3F6820A8037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8859" name="AutoShape 12">
          <a:extLst>
            <a:ext uri="{FF2B5EF4-FFF2-40B4-BE49-F238E27FC236}">
              <a16:creationId xmlns:a16="http://schemas.microsoft.com/office/drawing/2014/main" id="{102D24C0-6960-4A24-B44B-BE45CEB35AC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8860" name="AutoShape 12">
          <a:extLst>
            <a:ext uri="{FF2B5EF4-FFF2-40B4-BE49-F238E27FC236}">
              <a16:creationId xmlns:a16="http://schemas.microsoft.com/office/drawing/2014/main" id="{F6D76B00-CE47-4AE4-BC6B-247155ED680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8861" name="AutoShape 12">
          <a:extLst>
            <a:ext uri="{FF2B5EF4-FFF2-40B4-BE49-F238E27FC236}">
              <a16:creationId xmlns:a16="http://schemas.microsoft.com/office/drawing/2014/main" id="{10F46BFC-AF22-413B-927E-A1C9CCBAB9A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8862" name="AutoShape 12">
          <a:extLst>
            <a:ext uri="{FF2B5EF4-FFF2-40B4-BE49-F238E27FC236}">
              <a16:creationId xmlns:a16="http://schemas.microsoft.com/office/drawing/2014/main" id="{6E4DDE95-33AD-44DF-ADAD-0F8C930E06F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8863" name="AutoShape 12">
          <a:extLst>
            <a:ext uri="{FF2B5EF4-FFF2-40B4-BE49-F238E27FC236}">
              <a16:creationId xmlns:a16="http://schemas.microsoft.com/office/drawing/2014/main" id="{4678CAFE-79A0-46AC-BA61-EC139D9A0FB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8864" name="AutoShape 12">
          <a:extLst>
            <a:ext uri="{FF2B5EF4-FFF2-40B4-BE49-F238E27FC236}">
              <a16:creationId xmlns:a16="http://schemas.microsoft.com/office/drawing/2014/main" id="{3BAD8FF4-DC5A-4F07-AC6C-0137DFC9271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8865" name="AutoShape 12">
          <a:extLst>
            <a:ext uri="{FF2B5EF4-FFF2-40B4-BE49-F238E27FC236}">
              <a16:creationId xmlns:a16="http://schemas.microsoft.com/office/drawing/2014/main" id="{99D02626-1CEB-497B-A033-DE554A881C0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8866" name="AutoShape 12">
          <a:extLst>
            <a:ext uri="{FF2B5EF4-FFF2-40B4-BE49-F238E27FC236}">
              <a16:creationId xmlns:a16="http://schemas.microsoft.com/office/drawing/2014/main" id="{EF63C087-F0BD-4F51-92A2-E14DB205FB8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8867" name="AutoShape 12">
          <a:extLst>
            <a:ext uri="{FF2B5EF4-FFF2-40B4-BE49-F238E27FC236}">
              <a16:creationId xmlns:a16="http://schemas.microsoft.com/office/drawing/2014/main" id="{C108158F-D164-4508-B694-CC00F6C7E20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8868" name="AutoShape 12">
          <a:extLst>
            <a:ext uri="{FF2B5EF4-FFF2-40B4-BE49-F238E27FC236}">
              <a16:creationId xmlns:a16="http://schemas.microsoft.com/office/drawing/2014/main" id="{CE71BCC9-47D0-47B2-B011-5781DBD2463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8869" name="AutoShape 12">
          <a:extLst>
            <a:ext uri="{FF2B5EF4-FFF2-40B4-BE49-F238E27FC236}">
              <a16:creationId xmlns:a16="http://schemas.microsoft.com/office/drawing/2014/main" id="{9D71B3E9-FAC6-493D-A812-B1E8851A018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8870" name="AutoShape 12">
          <a:extLst>
            <a:ext uri="{FF2B5EF4-FFF2-40B4-BE49-F238E27FC236}">
              <a16:creationId xmlns:a16="http://schemas.microsoft.com/office/drawing/2014/main" id="{1065EC9A-44AC-4382-A604-456C13B400E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8871" name="AutoShape 12">
          <a:extLst>
            <a:ext uri="{FF2B5EF4-FFF2-40B4-BE49-F238E27FC236}">
              <a16:creationId xmlns:a16="http://schemas.microsoft.com/office/drawing/2014/main" id="{ED85DC43-A6E3-4984-8CEA-D11C86CFA16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8872" name="AutoShape 12">
          <a:extLst>
            <a:ext uri="{FF2B5EF4-FFF2-40B4-BE49-F238E27FC236}">
              <a16:creationId xmlns:a16="http://schemas.microsoft.com/office/drawing/2014/main" id="{EC0A7E90-0F80-4A7E-9E7F-32EE6FCAFA8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8873" name="AutoShape 12">
          <a:extLst>
            <a:ext uri="{FF2B5EF4-FFF2-40B4-BE49-F238E27FC236}">
              <a16:creationId xmlns:a16="http://schemas.microsoft.com/office/drawing/2014/main" id="{B09F6A7B-F46C-4470-8685-1E27A61A5B0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8874" name="AutoShape 12">
          <a:extLst>
            <a:ext uri="{FF2B5EF4-FFF2-40B4-BE49-F238E27FC236}">
              <a16:creationId xmlns:a16="http://schemas.microsoft.com/office/drawing/2014/main" id="{C57A0905-3AE0-45F5-AADD-D6D112C4CCA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8875" name="AutoShape 12">
          <a:extLst>
            <a:ext uri="{FF2B5EF4-FFF2-40B4-BE49-F238E27FC236}">
              <a16:creationId xmlns:a16="http://schemas.microsoft.com/office/drawing/2014/main" id="{A8A8C800-5A7A-437E-BC9C-B04696D651E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8876" name="AutoShape 12">
          <a:extLst>
            <a:ext uri="{FF2B5EF4-FFF2-40B4-BE49-F238E27FC236}">
              <a16:creationId xmlns:a16="http://schemas.microsoft.com/office/drawing/2014/main" id="{02BE0C71-223A-4EE1-8348-489A8DD479E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8877" name="AutoShape 12">
          <a:extLst>
            <a:ext uri="{FF2B5EF4-FFF2-40B4-BE49-F238E27FC236}">
              <a16:creationId xmlns:a16="http://schemas.microsoft.com/office/drawing/2014/main" id="{97C65544-15E3-4907-BD85-5CB11C9F6EA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8878" name="AutoShape 12">
          <a:extLst>
            <a:ext uri="{FF2B5EF4-FFF2-40B4-BE49-F238E27FC236}">
              <a16:creationId xmlns:a16="http://schemas.microsoft.com/office/drawing/2014/main" id="{7FFDDFD3-BA7F-45E7-BCB8-46C4DABB312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8879" name="AutoShape 12">
          <a:extLst>
            <a:ext uri="{FF2B5EF4-FFF2-40B4-BE49-F238E27FC236}">
              <a16:creationId xmlns:a16="http://schemas.microsoft.com/office/drawing/2014/main" id="{A78BFB8E-B0E7-4CE3-B7F2-2C4B2859DF1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8880" name="AutoShape 12">
          <a:extLst>
            <a:ext uri="{FF2B5EF4-FFF2-40B4-BE49-F238E27FC236}">
              <a16:creationId xmlns:a16="http://schemas.microsoft.com/office/drawing/2014/main" id="{F475D20B-B512-4D72-A6A4-D89D4AE6F44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8881" name="AutoShape 12">
          <a:extLst>
            <a:ext uri="{FF2B5EF4-FFF2-40B4-BE49-F238E27FC236}">
              <a16:creationId xmlns:a16="http://schemas.microsoft.com/office/drawing/2014/main" id="{50DB37C5-048E-4DBF-A0B4-99F880CEE9B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8882" name="AutoShape 12">
          <a:extLst>
            <a:ext uri="{FF2B5EF4-FFF2-40B4-BE49-F238E27FC236}">
              <a16:creationId xmlns:a16="http://schemas.microsoft.com/office/drawing/2014/main" id="{FFF48B6D-5D13-45D8-8306-5C12B1D0E84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8883" name="AutoShape 12">
          <a:extLst>
            <a:ext uri="{FF2B5EF4-FFF2-40B4-BE49-F238E27FC236}">
              <a16:creationId xmlns:a16="http://schemas.microsoft.com/office/drawing/2014/main" id="{163BBCE3-3A5A-48C0-B646-801D24B4C6A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8884" name="AutoShape 12">
          <a:extLst>
            <a:ext uri="{FF2B5EF4-FFF2-40B4-BE49-F238E27FC236}">
              <a16:creationId xmlns:a16="http://schemas.microsoft.com/office/drawing/2014/main" id="{E9ABDA25-B1D2-4C9F-909F-19D83BA19DD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8885" name="AutoShape 12">
          <a:extLst>
            <a:ext uri="{FF2B5EF4-FFF2-40B4-BE49-F238E27FC236}">
              <a16:creationId xmlns:a16="http://schemas.microsoft.com/office/drawing/2014/main" id="{6E334201-3C85-424B-BAAE-45174A96E76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8886" name="AutoShape 12">
          <a:extLst>
            <a:ext uri="{FF2B5EF4-FFF2-40B4-BE49-F238E27FC236}">
              <a16:creationId xmlns:a16="http://schemas.microsoft.com/office/drawing/2014/main" id="{6B1B8C1D-B3D1-409F-90C5-4F2E7C33F29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8887" name="AutoShape 12">
          <a:extLst>
            <a:ext uri="{FF2B5EF4-FFF2-40B4-BE49-F238E27FC236}">
              <a16:creationId xmlns:a16="http://schemas.microsoft.com/office/drawing/2014/main" id="{52D64409-6D7C-47F4-AC03-972C965F094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8888" name="AutoShape 12">
          <a:extLst>
            <a:ext uri="{FF2B5EF4-FFF2-40B4-BE49-F238E27FC236}">
              <a16:creationId xmlns:a16="http://schemas.microsoft.com/office/drawing/2014/main" id="{8BD0ADF9-42E1-4808-85C6-E81007DDEE2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8889" name="AutoShape 12">
          <a:extLst>
            <a:ext uri="{FF2B5EF4-FFF2-40B4-BE49-F238E27FC236}">
              <a16:creationId xmlns:a16="http://schemas.microsoft.com/office/drawing/2014/main" id="{1E52E316-64DB-468B-925E-67957715AA5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8890" name="AutoShape 12">
          <a:extLst>
            <a:ext uri="{FF2B5EF4-FFF2-40B4-BE49-F238E27FC236}">
              <a16:creationId xmlns:a16="http://schemas.microsoft.com/office/drawing/2014/main" id="{CBEF5AF3-3765-4A09-8505-40E69B3BDB4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8891" name="AutoShape 12">
          <a:extLst>
            <a:ext uri="{FF2B5EF4-FFF2-40B4-BE49-F238E27FC236}">
              <a16:creationId xmlns:a16="http://schemas.microsoft.com/office/drawing/2014/main" id="{72E67049-FE76-417C-B784-D802EF07469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8892" name="AutoShape 12">
          <a:extLst>
            <a:ext uri="{FF2B5EF4-FFF2-40B4-BE49-F238E27FC236}">
              <a16:creationId xmlns:a16="http://schemas.microsoft.com/office/drawing/2014/main" id="{179C1456-C6E5-42CB-A09F-5EBD17A44A2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8893" name="AutoShape 12">
          <a:extLst>
            <a:ext uri="{FF2B5EF4-FFF2-40B4-BE49-F238E27FC236}">
              <a16:creationId xmlns:a16="http://schemas.microsoft.com/office/drawing/2014/main" id="{F73AF59B-772B-49EB-905F-48FD8B20A8B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8894" name="AutoShape 12">
          <a:extLst>
            <a:ext uri="{FF2B5EF4-FFF2-40B4-BE49-F238E27FC236}">
              <a16:creationId xmlns:a16="http://schemas.microsoft.com/office/drawing/2014/main" id="{B0B13F6C-8979-4448-9A0A-8A8C80EFD1D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8895" name="AutoShape 12">
          <a:extLst>
            <a:ext uri="{FF2B5EF4-FFF2-40B4-BE49-F238E27FC236}">
              <a16:creationId xmlns:a16="http://schemas.microsoft.com/office/drawing/2014/main" id="{9ED3C965-7FB2-4E6C-89F8-AAF8A444F41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8896" name="AutoShape 12">
          <a:extLst>
            <a:ext uri="{FF2B5EF4-FFF2-40B4-BE49-F238E27FC236}">
              <a16:creationId xmlns:a16="http://schemas.microsoft.com/office/drawing/2014/main" id="{28E1BDD8-A05C-4E23-9FE8-001878D0AE4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8897" name="AutoShape 12">
          <a:extLst>
            <a:ext uri="{FF2B5EF4-FFF2-40B4-BE49-F238E27FC236}">
              <a16:creationId xmlns:a16="http://schemas.microsoft.com/office/drawing/2014/main" id="{AF2B8D35-0C01-4279-8A70-A0B88E66045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8898" name="AutoShape 12">
          <a:extLst>
            <a:ext uri="{FF2B5EF4-FFF2-40B4-BE49-F238E27FC236}">
              <a16:creationId xmlns:a16="http://schemas.microsoft.com/office/drawing/2014/main" id="{E7996918-4775-4BB4-831A-08C23AB1C53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8899" name="AutoShape 12">
          <a:extLst>
            <a:ext uri="{FF2B5EF4-FFF2-40B4-BE49-F238E27FC236}">
              <a16:creationId xmlns:a16="http://schemas.microsoft.com/office/drawing/2014/main" id="{44DCE569-98D5-44FC-821F-07CEAC29272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8900" name="AutoShape 12">
          <a:extLst>
            <a:ext uri="{FF2B5EF4-FFF2-40B4-BE49-F238E27FC236}">
              <a16:creationId xmlns:a16="http://schemas.microsoft.com/office/drawing/2014/main" id="{63CDBDF1-9A71-403C-BB62-1B9A6906B9E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8901" name="AutoShape 12">
          <a:extLst>
            <a:ext uri="{FF2B5EF4-FFF2-40B4-BE49-F238E27FC236}">
              <a16:creationId xmlns:a16="http://schemas.microsoft.com/office/drawing/2014/main" id="{CF6B3AAA-FA50-4B60-98B4-0D98DE03DCB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8902" name="AutoShape 12">
          <a:extLst>
            <a:ext uri="{FF2B5EF4-FFF2-40B4-BE49-F238E27FC236}">
              <a16:creationId xmlns:a16="http://schemas.microsoft.com/office/drawing/2014/main" id="{CD50A3A8-6F8D-4212-B036-102256D0A50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8903" name="AutoShape 12">
          <a:extLst>
            <a:ext uri="{FF2B5EF4-FFF2-40B4-BE49-F238E27FC236}">
              <a16:creationId xmlns:a16="http://schemas.microsoft.com/office/drawing/2014/main" id="{8F3E89A1-4FC9-4777-9844-A53C6554908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8904" name="AutoShape 12">
          <a:extLst>
            <a:ext uri="{FF2B5EF4-FFF2-40B4-BE49-F238E27FC236}">
              <a16:creationId xmlns:a16="http://schemas.microsoft.com/office/drawing/2014/main" id="{9C1CF977-75A1-40B3-A73E-9C1807083EA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8905" name="AutoShape 12">
          <a:extLst>
            <a:ext uri="{FF2B5EF4-FFF2-40B4-BE49-F238E27FC236}">
              <a16:creationId xmlns:a16="http://schemas.microsoft.com/office/drawing/2014/main" id="{C9DBF08C-1F88-46A1-BA92-43BF6463746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8906" name="AutoShape 12">
          <a:extLst>
            <a:ext uri="{FF2B5EF4-FFF2-40B4-BE49-F238E27FC236}">
              <a16:creationId xmlns:a16="http://schemas.microsoft.com/office/drawing/2014/main" id="{9AA58489-B11B-4CAF-8694-7CFA797125A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8907" name="AutoShape 12">
          <a:extLst>
            <a:ext uri="{FF2B5EF4-FFF2-40B4-BE49-F238E27FC236}">
              <a16:creationId xmlns:a16="http://schemas.microsoft.com/office/drawing/2014/main" id="{365A92A7-EF53-491A-9BD2-8F5D1664FDC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8908" name="AutoShape 12">
          <a:extLst>
            <a:ext uri="{FF2B5EF4-FFF2-40B4-BE49-F238E27FC236}">
              <a16:creationId xmlns:a16="http://schemas.microsoft.com/office/drawing/2014/main" id="{D7AC2D07-8AA1-41DC-A0CB-1213E1FF6CD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8909" name="AutoShape 12">
          <a:extLst>
            <a:ext uri="{FF2B5EF4-FFF2-40B4-BE49-F238E27FC236}">
              <a16:creationId xmlns:a16="http://schemas.microsoft.com/office/drawing/2014/main" id="{231EBBE3-9462-4CC2-BABD-B6769BC5DBF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8910" name="AutoShape 12">
          <a:extLst>
            <a:ext uri="{FF2B5EF4-FFF2-40B4-BE49-F238E27FC236}">
              <a16:creationId xmlns:a16="http://schemas.microsoft.com/office/drawing/2014/main" id="{72343AFE-6B7E-4144-9A7E-4FE940909ED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8911" name="AutoShape 12">
          <a:extLst>
            <a:ext uri="{FF2B5EF4-FFF2-40B4-BE49-F238E27FC236}">
              <a16:creationId xmlns:a16="http://schemas.microsoft.com/office/drawing/2014/main" id="{45DD69E6-BFF2-4731-8808-6CEB6349E94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8912" name="AutoShape 12">
          <a:extLst>
            <a:ext uri="{FF2B5EF4-FFF2-40B4-BE49-F238E27FC236}">
              <a16:creationId xmlns:a16="http://schemas.microsoft.com/office/drawing/2014/main" id="{23F2E8A8-BF6D-4A2B-8513-13C89F9F1C4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8913" name="AutoShape 12">
          <a:extLst>
            <a:ext uri="{FF2B5EF4-FFF2-40B4-BE49-F238E27FC236}">
              <a16:creationId xmlns:a16="http://schemas.microsoft.com/office/drawing/2014/main" id="{47C157A4-DEFB-43AF-9F0C-C561D9254B1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8914" name="AutoShape 12">
          <a:extLst>
            <a:ext uri="{FF2B5EF4-FFF2-40B4-BE49-F238E27FC236}">
              <a16:creationId xmlns:a16="http://schemas.microsoft.com/office/drawing/2014/main" id="{79FAC5D2-5F70-4830-9383-21C06F8AC4E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8915" name="AutoShape 12">
          <a:extLst>
            <a:ext uri="{FF2B5EF4-FFF2-40B4-BE49-F238E27FC236}">
              <a16:creationId xmlns:a16="http://schemas.microsoft.com/office/drawing/2014/main" id="{EE41943B-1723-4D02-98D7-C64D2015750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8916" name="AutoShape 12">
          <a:extLst>
            <a:ext uri="{FF2B5EF4-FFF2-40B4-BE49-F238E27FC236}">
              <a16:creationId xmlns:a16="http://schemas.microsoft.com/office/drawing/2014/main" id="{E4B1F55C-E275-4F98-B762-24C2B713EAD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8917" name="AutoShape 12">
          <a:extLst>
            <a:ext uri="{FF2B5EF4-FFF2-40B4-BE49-F238E27FC236}">
              <a16:creationId xmlns:a16="http://schemas.microsoft.com/office/drawing/2014/main" id="{6E4ADE14-0C69-4616-871D-179232B317A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8918" name="AutoShape 12">
          <a:extLst>
            <a:ext uri="{FF2B5EF4-FFF2-40B4-BE49-F238E27FC236}">
              <a16:creationId xmlns:a16="http://schemas.microsoft.com/office/drawing/2014/main" id="{ABFDA304-F5AB-4D07-96EC-E38B4C5B12D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8919" name="AutoShape 12">
          <a:extLst>
            <a:ext uri="{FF2B5EF4-FFF2-40B4-BE49-F238E27FC236}">
              <a16:creationId xmlns:a16="http://schemas.microsoft.com/office/drawing/2014/main" id="{60E40E5E-2837-48BA-AB2B-F2029A6CC6D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8920" name="AutoShape 12">
          <a:extLst>
            <a:ext uri="{FF2B5EF4-FFF2-40B4-BE49-F238E27FC236}">
              <a16:creationId xmlns:a16="http://schemas.microsoft.com/office/drawing/2014/main" id="{FD676789-273E-425C-8FF6-BD766DDB827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8921" name="AutoShape 12">
          <a:extLst>
            <a:ext uri="{FF2B5EF4-FFF2-40B4-BE49-F238E27FC236}">
              <a16:creationId xmlns:a16="http://schemas.microsoft.com/office/drawing/2014/main" id="{63602275-20F2-4858-9773-AC0953028AE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8922" name="AutoShape 12">
          <a:extLst>
            <a:ext uri="{FF2B5EF4-FFF2-40B4-BE49-F238E27FC236}">
              <a16:creationId xmlns:a16="http://schemas.microsoft.com/office/drawing/2014/main" id="{5579306C-1FEA-4CA2-B609-66FF0601BB7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8923" name="AutoShape 12">
          <a:extLst>
            <a:ext uri="{FF2B5EF4-FFF2-40B4-BE49-F238E27FC236}">
              <a16:creationId xmlns:a16="http://schemas.microsoft.com/office/drawing/2014/main" id="{C93F7C42-7288-46A8-A829-72E07BD8134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8924" name="AutoShape 12">
          <a:extLst>
            <a:ext uri="{FF2B5EF4-FFF2-40B4-BE49-F238E27FC236}">
              <a16:creationId xmlns:a16="http://schemas.microsoft.com/office/drawing/2014/main" id="{93272C3D-6CC9-49BF-B8B0-AD48BE6255B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8925" name="AutoShape 12">
          <a:extLst>
            <a:ext uri="{FF2B5EF4-FFF2-40B4-BE49-F238E27FC236}">
              <a16:creationId xmlns:a16="http://schemas.microsoft.com/office/drawing/2014/main" id="{11CA1CD7-FD64-43C9-8C4B-90AD4F7FD48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8926" name="AutoShape 12">
          <a:extLst>
            <a:ext uri="{FF2B5EF4-FFF2-40B4-BE49-F238E27FC236}">
              <a16:creationId xmlns:a16="http://schemas.microsoft.com/office/drawing/2014/main" id="{40968DDF-EF75-423A-BF73-F49C43CBA0A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8927" name="AutoShape 12">
          <a:extLst>
            <a:ext uri="{FF2B5EF4-FFF2-40B4-BE49-F238E27FC236}">
              <a16:creationId xmlns:a16="http://schemas.microsoft.com/office/drawing/2014/main" id="{45B7B963-D200-4BE8-86D0-21CB603E6F7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8928" name="AutoShape 12">
          <a:extLst>
            <a:ext uri="{FF2B5EF4-FFF2-40B4-BE49-F238E27FC236}">
              <a16:creationId xmlns:a16="http://schemas.microsoft.com/office/drawing/2014/main" id="{91A0529F-E889-4396-893B-F1B91B1D1B0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8929" name="AutoShape 12">
          <a:extLst>
            <a:ext uri="{FF2B5EF4-FFF2-40B4-BE49-F238E27FC236}">
              <a16:creationId xmlns:a16="http://schemas.microsoft.com/office/drawing/2014/main" id="{48331FC4-3742-48BC-9C32-3CDC92B537C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8930" name="AutoShape 12">
          <a:extLst>
            <a:ext uri="{FF2B5EF4-FFF2-40B4-BE49-F238E27FC236}">
              <a16:creationId xmlns:a16="http://schemas.microsoft.com/office/drawing/2014/main" id="{6469FD5F-EEAF-4C39-8089-AEB6615139A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8931" name="AutoShape 12">
          <a:extLst>
            <a:ext uri="{FF2B5EF4-FFF2-40B4-BE49-F238E27FC236}">
              <a16:creationId xmlns:a16="http://schemas.microsoft.com/office/drawing/2014/main" id="{0DCAA235-A663-4C26-86E7-B9637F39BFA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8932" name="AutoShape 12">
          <a:extLst>
            <a:ext uri="{FF2B5EF4-FFF2-40B4-BE49-F238E27FC236}">
              <a16:creationId xmlns:a16="http://schemas.microsoft.com/office/drawing/2014/main" id="{F335C184-7803-431F-8042-416EAD2D944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8933" name="AutoShape 12">
          <a:extLst>
            <a:ext uri="{FF2B5EF4-FFF2-40B4-BE49-F238E27FC236}">
              <a16:creationId xmlns:a16="http://schemas.microsoft.com/office/drawing/2014/main" id="{78A59B87-ED57-4070-9EAF-DFAEEB7912B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8934" name="AutoShape 12">
          <a:extLst>
            <a:ext uri="{FF2B5EF4-FFF2-40B4-BE49-F238E27FC236}">
              <a16:creationId xmlns:a16="http://schemas.microsoft.com/office/drawing/2014/main" id="{E26FE484-7048-4670-AC79-DF922BCE9B6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8935" name="AutoShape 12">
          <a:extLst>
            <a:ext uri="{FF2B5EF4-FFF2-40B4-BE49-F238E27FC236}">
              <a16:creationId xmlns:a16="http://schemas.microsoft.com/office/drawing/2014/main" id="{DFD21B44-5824-4CCB-A24F-2C337F45DEC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8936" name="AutoShape 12">
          <a:extLst>
            <a:ext uri="{FF2B5EF4-FFF2-40B4-BE49-F238E27FC236}">
              <a16:creationId xmlns:a16="http://schemas.microsoft.com/office/drawing/2014/main" id="{CEE0E2A6-A6FD-4729-8987-9081AD6583F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8937" name="AutoShape 12">
          <a:extLst>
            <a:ext uri="{FF2B5EF4-FFF2-40B4-BE49-F238E27FC236}">
              <a16:creationId xmlns:a16="http://schemas.microsoft.com/office/drawing/2014/main" id="{96453AED-9333-410A-8121-EC4119AFA79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8938" name="AutoShape 12">
          <a:extLst>
            <a:ext uri="{FF2B5EF4-FFF2-40B4-BE49-F238E27FC236}">
              <a16:creationId xmlns:a16="http://schemas.microsoft.com/office/drawing/2014/main" id="{06D18597-BD0F-46F6-8C63-840E9087F2B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8939" name="AutoShape 12">
          <a:extLst>
            <a:ext uri="{FF2B5EF4-FFF2-40B4-BE49-F238E27FC236}">
              <a16:creationId xmlns:a16="http://schemas.microsoft.com/office/drawing/2014/main" id="{244A02E5-28CA-4E7B-B86E-92ED0803DD9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8940" name="AutoShape 12">
          <a:extLst>
            <a:ext uri="{FF2B5EF4-FFF2-40B4-BE49-F238E27FC236}">
              <a16:creationId xmlns:a16="http://schemas.microsoft.com/office/drawing/2014/main" id="{992C018A-B7B3-4C5D-9CE0-AEEB3D8B2BA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8941" name="AutoShape 12">
          <a:extLst>
            <a:ext uri="{FF2B5EF4-FFF2-40B4-BE49-F238E27FC236}">
              <a16:creationId xmlns:a16="http://schemas.microsoft.com/office/drawing/2014/main" id="{091FD25E-F985-45AD-855A-784CC202E85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8942" name="AutoShape 12">
          <a:extLst>
            <a:ext uri="{FF2B5EF4-FFF2-40B4-BE49-F238E27FC236}">
              <a16:creationId xmlns:a16="http://schemas.microsoft.com/office/drawing/2014/main" id="{4818EB10-10B4-4B07-B0EB-A700C13323A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8943" name="AutoShape 12">
          <a:extLst>
            <a:ext uri="{FF2B5EF4-FFF2-40B4-BE49-F238E27FC236}">
              <a16:creationId xmlns:a16="http://schemas.microsoft.com/office/drawing/2014/main" id="{B45F185C-7DB3-4AA9-8AF1-C6DF00A303D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8944" name="AutoShape 12">
          <a:extLst>
            <a:ext uri="{FF2B5EF4-FFF2-40B4-BE49-F238E27FC236}">
              <a16:creationId xmlns:a16="http://schemas.microsoft.com/office/drawing/2014/main" id="{97DF0E05-AA4F-4578-998F-0B7A8B06A45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8945" name="AutoShape 12">
          <a:extLst>
            <a:ext uri="{FF2B5EF4-FFF2-40B4-BE49-F238E27FC236}">
              <a16:creationId xmlns:a16="http://schemas.microsoft.com/office/drawing/2014/main" id="{FEF07ADB-6710-44A1-AE9E-3123578FD19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8946" name="AutoShape 12">
          <a:extLst>
            <a:ext uri="{FF2B5EF4-FFF2-40B4-BE49-F238E27FC236}">
              <a16:creationId xmlns:a16="http://schemas.microsoft.com/office/drawing/2014/main" id="{EE884CA5-9F01-42CF-B0F9-40F5736A02A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8947" name="AutoShape 12">
          <a:extLst>
            <a:ext uri="{FF2B5EF4-FFF2-40B4-BE49-F238E27FC236}">
              <a16:creationId xmlns:a16="http://schemas.microsoft.com/office/drawing/2014/main" id="{E9F9AFF9-84AE-41D0-8AC3-CD06263B1BB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8948" name="AutoShape 12">
          <a:extLst>
            <a:ext uri="{FF2B5EF4-FFF2-40B4-BE49-F238E27FC236}">
              <a16:creationId xmlns:a16="http://schemas.microsoft.com/office/drawing/2014/main" id="{948CBED1-8E4A-4B98-A7F4-368EA47B538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8949" name="AutoShape 12">
          <a:extLst>
            <a:ext uri="{FF2B5EF4-FFF2-40B4-BE49-F238E27FC236}">
              <a16:creationId xmlns:a16="http://schemas.microsoft.com/office/drawing/2014/main" id="{E50C682D-F0E5-41B8-86D4-0EDDF9A54F9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8950" name="AutoShape 12">
          <a:extLst>
            <a:ext uri="{FF2B5EF4-FFF2-40B4-BE49-F238E27FC236}">
              <a16:creationId xmlns:a16="http://schemas.microsoft.com/office/drawing/2014/main" id="{CC8E09EC-A2F9-41ED-B5CA-0468A0879EE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8951" name="AutoShape 12">
          <a:extLst>
            <a:ext uri="{FF2B5EF4-FFF2-40B4-BE49-F238E27FC236}">
              <a16:creationId xmlns:a16="http://schemas.microsoft.com/office/drawing/2014/main" id="{87259E04-F12B-45FE-9A54-A72FC191490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8952" name="AutoShape 12">
          <a:extLst>
            <a:ext uri="{FF2B5EF4-FFF2-40B4-BE49-F238E27FC236}">
              <a16:creationId xmlns:a16="http://schemas.microsoft.com/office/drawing/2014/main" id="{FF002C82-3046-4715-B2B1-75A00F58EEE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8953" name="AutoShape 12">
          <a:extLst>
            <a:ext uri="{FF2B5EF4-FFF2-40B4-BE49-F238E27FC236}">
              <a16:creationId xmlns:a16="http://schemas.microsoft.com/office/drawing/2014/main" id="{26C9DCFA-9E65-4024-89B5-0AFCDBF8C69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8954" name="AutoShape 12">
          <a:extLst>
            <a:ext uri="{FF2B5EF4-FFF2-40B4-BE49-F238E27FC236}">
              <a16:creationId xmlns:a16="http://schemas.microsoft.com/office/drawing/2014/main" id="{C24B85D6-3CF2-4890-994C-27F66604289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8955" name="AutoShape 12">
          <a:extLst>
            <a:ext uri="{FF2B5EF4-FFF2-40B4-BE49-F238E27FC236}">
              <a16:creationId xmlns:a16="http://schemas.microsoft.com/office/drawing/2014/main" id="{3D991928-0010-4261-A542-7A9BF037ABE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8956" name="AutoShape 12">
          <a:extLst>
            <a:ext uri="{FF2B5EF4-FFF2-40B4-BE49-F238E27FC236}">
              <a16:creationId xmlns:a16="http://schemas.microsoft.com/office/drawing/2014/main" id="{2DA8188D-981D-48BD-BFBE-7B5458329DC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8957" name="AutoShape 12">
          <a:extLst>
            <a:ext uri="{FF2B5EF4-FFF2-40B4-BE49-F238E27FC236}">
              <a16:creationId xmlns:a16="http://schemas.microsoft.com/office/drawing/2014/main" id="{D31B3C97-5839-4D9E-B7AF-4989299191E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8958" name="AutoShape 12">
          <a:extLst>
            <a:ext uri="{FF2B5EF4-FFF2-40B4-BE49-F238E27FC236}">
              <a16:creationId xmlns:a16="http://schemas.microsoft.com/office/drawing/2014/main" id="{EFFB6122-2405-41F1-AB00-398EB2C7C6C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8959" name="AutoShape 12">
          <a:extLst>
            <a:ext uri="{FF2B5EF4-FFF2-40B4-BE49-F238E27FC236}">
              <a16:creationId xmlns:a16="http://schemas.microsoft.com/office/drawing/2014/main" id="{8C9E08B2-8027-4F7F-869A-C1B316A5192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8960" name="AutoShape 12">
          <a:extLst>
            <a:ext uri="{FF2B5EF4-FFF2-40B4-BE49-F238E27FC236}">
              <a16:creationId xmlns:a16="http://schemas.microsoft.com/office/drawing/2014/main" id="{6B41A30D-4183-40AE-A983-F8BBE5C1B5B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8961" name="AutoShape 12">
          <a:extLst>
            <a:ext uri="{FF2B5EF4-FFF2-40B4-BE49-F238E27FC236}">
              <a16:creationId xmlns:a16="http://schemas.microsoft.com/office/drawing/2014/main" id="{8AA655F5-37F2-47BF-94E8-48523EDA7DE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8962" name="AutoShape 12">
          <a:extLst>
            <a:ext uri="{FF2B5EF4-FFF2-40B4-BE49-F238E27FC236}">
              <a16:creationId xmlns:a16="http://schemas.microsoft.com/office/drawing/2014/main" id="{9A3F88E9-A1D8-4BF5-A5CF-2B33272C3D5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8963" name="AutoShape 12">
          <a:extLst>
            <a:ext uri="{FF2B5EF4-FFF2-40B4-BE49-F238E27FC236}">
              <a16:creationId xmlns:a16="http://schemas.microsoft.com/office/drawing/2014/main" id="{465670C6-9608-4E87-9B5E-5286E7322B4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8964" name="AutoShape 12">
          <a:extLst>
            <a:ext uri="{FF2B5EF4-FFF2-40B4-BE49-F238E27FC236}">
              <a16:creationId xmlns:a16="http://schemas.microsoft.com/office/drawing/2014/main" id="{88F50EA8-E1BE-40A4-851B-A877DE034DF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8965" name="AutoShape 12">
          <a:extLst>
            <a:ext uri="{FF2B5EF4-FFF2-40B4-BE49-F238E27FC236}">
              <a16:creationId xmlns:a16="http://schemas.microsoft.com/office/drawing/2014/main" id="{28E16701-417A-44F7-8CD9-7C255B7A073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8966" name="AutoShape 12">
          <a:extLst>
            <a:ext uri="{FF2B5EF4-FFF2-40B4-BE49-F238E27FC236}">
              <a16:creationId xmlns:a16="http://schemas.microsoft.com/office/drawing/2014/main" id="{E8DB0B37-C285-4D72-ADF9-46D79408400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8967" name="AutoShape 12">
          <a:extLst>
            <a:ext uri="{FF2B5EF4-FFF2-40B4-BE49-F238E27FC236}">
              <a16:creationId xmlns:a16="http://schemas.microsoft.com/office/drawing/2014/main" id="{3866C7E5-D427-47C4-BB6C-90F4422A35D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8968" name="AutoShape 12">
          <a:extLst>
            <a:ext uri="{FF2B5EF4-FFF2-40B4-BE49-F238E27FC236}">
              <a16:creationId xmlns:a16="http://schemas.microsoft.com/office/drawing/2014/main" id="{0E0D4A71-1E34-4FC1-A920-EFFC3FC226C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8969" name="AutoShape 12">
          <a:extLst>
            <a:ext uri="{FF2B5EF4-FFF2-40B4-BE49-F238E27FC236}">
              <a16:creationId xmlns:a16="http://schemas.microsoft.com/office/drawing/2014/main" id="{243BF0DD-C390-498B-8906-D6D8731BDE3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8970" name="AutoShape 12">
          <a:extLst>
            <a:ext uri="{FF2B5EF4-FFF2-40B4-BE49-F238E27FC236}">
              <a16:creationId xmlns:a16="http://schemas.microsoft.com/office/drawing/2014/main" id="{A8E39AFF-D5E3-447D-B9BB-183DA433881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8971" name="AutoShape 12">
          <a:extLst>
            <a:ext uri="{FF2B5EF4-FFF2-40B4-BE49-F238E27FC236}">
              <a16:creationId xmlns:a16="http://schemas.microsoft.com/office/drawing/2014/main" id="{7113F420-8F21-4315-8BEB-A4FCF3A22E3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8972" name="AutoShape 12">
          <a:extLst>
            <a:ext uri="{FF2B5EF4-FFF2-40B4-BE49-F238E27FC236}">
              <a16:creationId xmlns:a16="http://schemas.microsoft.com/office/drawing/2014/main" id="{5812AB61-92AB-4A50-BBC4-506544CA297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8973" name="AutoShape 12">
          <a:extLst>
            <a:ext uri="{FF2B5EF4-FFF2-40B4-BE49-F238E27FC236}">
              <a16:creationId xmlns:a16="http://schemas.microsoft.com/office/drawing/2014/main" id="{EA8052FF-D4A9-4F3A-984A-090EC75E253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8974" name="AutoShape 12">
          <a:extLst>
            <a:ext uri="{FF2B5EF4-FFF2-40B4-BE49-F238E27FC236}">
              <a16:creationId xmlns:a16="http://schemas.microsoft.com/office/drawing/2014/main" id="{6293AD1E-BEC1-4776-A3E1-248E37510C3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8975" name="AutoShape 12">
          <a:extLst>
            <a:ext uri="{FF2B5EF4-FFF2-40B4-BE49-F238E27FC236}">
              <a16:creationId xmlns:a16="http://schemas.microsoft.com/office/drawing/2014/main" id="{76A2C09A-8A62-42F0-9EF4-8E4628ACCF7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8976" name="AutoShape 12">
          <a:extLst>
            <a:ext uri="{FF2B5EF4-FFF2-40B4-BE49-F238E27FC236}">
              <a16:creationId xmlns:a16="http://schemas.microsoft.com/office/drawing/2014/main" id="{C49BFC7E-EC3C-4708-8BAD-80DC844F8D3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8977" name="AutoShape 12">
          <a:extLst>
            <a:ext uri="{FF2B5EF4-FFF2-40B4-BE49-F238E27FC236}">
              <a16:creationId xmlns:a16="http://schemas.microsoft.com/office/drawing/2014/main" id="{9DF4F9A8-4E62-4DB7-A503-F467A7996DD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8978" name="AutoShape 12">
          <a:extLst>
            <a:ext uri="{FF2B5EF4-FFF2-40B4-BE49-F238E27FC236}">
              <a16:creationId xmlns:a16="http://schemas.microsoft.com/office/drawing/2014/main" id="{B97BC1B1-B42E-484E-AEF4-44252792E15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8979" name="AutoShape 12">
          <a:extLst>
            <a:ext uri="{FF2B5EF4-FFF2-40B4-BE49-F238E27FC236}">
              <a16:creationId xmlns:a16="http://schemas.microsoft.com/office/drawing/2014/main" id="{281052B5-218E-4D55-A1C0-F4F59C8CA86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8980" name="AutoShape 12">
          <a:extLst>
            <a:ext uri="{FF2B5EF4-FFF2-40B4-BE49-F238E27FC236}">
              <a16:creationId xmlns:a16="http://schemas.microsoft.com/office/drawing/2014/main" id="{2F7E81AC-41CF-495F-851A-AE271BA5087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8981" name="AutoShape 12">
          <a:extLst>
            <a:ext uri="{FF2B5EF4-FFF2-40B4-BE49-F238E27FC236}">
              <a16:creationId xmlns:a16="http://schemas.microsoft.com/office/drawing/2014/main" id="{90476E1A-DEE5-4C43-AFD6-C83543C64D3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8982" name="AutoShape 12">
          <a:extLst>
            <a:ext uri="{FF2B5EF4-FFF2-40B4-BE49-F238E27FC236}">
              <a16:creationId xmlns:a16="http://schemas.microsoft.com/office/drawing/2014/main" id="{F1888297-3836-436B-B003-7330FF986EE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8983" name="AutoShape 12">
          <a:extLst>
            <a:ext uri="{FF2B5EF4-FFF2-40B4-BE49-F238E27FC236}">
              <a16:creationId xmlns:a16="http://schemas.microsoft.com/office/drawing/2014/main" id="{37194EFC-9198-49D2-9E6A-C4B4531A0FA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8984" name="AutoShape 12">
          <a:extLst>
            <a:ext uri="{FF2B5EF4-FFF2-40B4-BE49-F238E27FC236}">
              <a16:creationId xmlns:a16="http://schemas.microsoft.com/office/drawing/2014/main" id="{0F996524-4A91-4AC5-8509-F5FC8CD6D64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8985" name="AutoShape 12">
          <a:extLst>
            <a:ext uri="{FF2B5EF4-FFF2-40B4-BE49-F238E27FC236}">
              <a16:creationId xmlns:a16="http://schemas.microsoft.com/office/drawing/2014/main" id="{002293F4-D7C7-4E79-8414-3724B97061D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8986" name="AutoShape 12">
          <a:extLst>
            <a:ext uri="{FF2B5EF4-FFF2-40B4-BE49-F238E27FC236}">
              <a16:creationId xmlns:a16="http://schemas.microsoft.com/office/drawing/2014/main" id="{76452066-B711-4CB2-9503-65835FEADE8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8987" name="AutoShape 12">
          <a:extLst>
            <a:ext uri="{FF2B5EF4-FFF2-40B4-BE49-F238E27FC236}">
              <a16:creationId xmlns:a16="http://schemas.microsoft.com/office/drawing/2014/main" id="{964905F0-8F88-4C98-8E44-606E2CFBD4F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8988" name="AutoShape 12">
          <a:extLst>
            <a:ext uri="{FF2B5EF4-FFF2-40B4-BE49-F238E27FC236}">
              <a16:creationId xmlns:a16="http://schemas.microsoft.com/office/drawing/2014/main" id="{997DA966-64F7-41F4-A63F-42F2B025FAF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8989" name="AutoShape 12">
          <a:extLst>
            <a:ext uri="{FF2B5EF4-FFF2-40B4-BE49-F238E27FC236}">
              <a16:creationId xmlns:a16="http://schemas.microsoft.com/office/drawing/2014/main" id="{1B87D0C1-E96A-486F-95BB-DEA7B2D81B7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8990" name="AutoShape 12">
          <a:extLst>
            <a:ext uri="{FF2B5EF4-FFF2-40B4-BE49-F238E27FC236}">
              <a16:creationId xmlns:a16="http://schemas.microsoft.com/office/drawing/2014/main" id="{EF2C6CB7-D87B-4C8F-95EE-4375782D542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8991" name="AutoShape 12">
          <a:extLst>
            <a:ext uri="{FF2B5EF4-FFF2-40B4-BE49-F238E27FC236}">
              <a16:creationId xmlns:a16="http://schemas.microsoft.com/office/drawing/2014/main" id="{FFBE7443-9271-43E9-9634-2FBCC1C50EB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8992" name="AutoShape 12">
          <a:extLst>
            <a:ext uri="{FF2B5EF4-FFF2-40B4-BE49-F238E27FC236}">
              <a16:creationId xmlns:a16="http://schemas.microsoft.com/office/drawing/2014/main" id="{5483241F-3DA7-450C-BC66-4AA72530F3E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8993" name="AutoShape 12">
          <a:extLst>
            <a:ext uri="{FF2B5EF4-FFF2-40B4-BE49-F238E27FC236}">
              <a16:creationId xmlns:a16="http://schemas.microsoft.com/office/drawing/2014/main" id="{A69C6412-E99F-488C-AFD3-4E5F8C82079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8994" name="AutoShape 12">
          <a:extLst>
            <a:ext uri="{FF2B5EF4-FFF2-40B4-BE49-F238E27FC236}">
              <a16:creationId xmlns:a16="http://schemas.microsoft.com/office/drawing/2014/main" id="{5CBECD14-CFC0-48A3-93D3-6B2892002A3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8995" name="AutoShape 12">
          <a:extLst>
            <a:ext uri="{FF2B5EF4-FFF2-40B4-BE49-F238E27FC236}">
              <a16:creationId xmlns:a16="http://schemas.microsoft.com/office/drawing/2014/main" id="{4B787229-B1CC-4512-861F-4AAA99FC06D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8996" name="AutoShape 12">
          <a:extLst>
            <a:ext uri="{FF2B5EF4-FFF2-40B4-BE49-F238E27FC236}">
              <a16:creationId xmlns:a16="http://schemas.microsoft.com/office/drawing/2014/main" id="{FD8ECFF9-72B4-481E-A5F8-C9110CC9960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8997" name="AutoShape 12">
          <a:extLst>
            <a:ext uri="{FF2B5EF4-FFF2-40B4-BE49-F238E27FC236}">
              <a16:creationId xmlns:a16="http://schemas.microsoft.com/office/drawing/2014/main" id="{F2012D10-6A85-4A96-98EF-72639B1ED3A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8998" name="AutoShape 12">
          <a:extLst>
            <a:ext uri="{FF2B5EF4-FFF2-40B4-BE49-F238E27FC236}">
              <a16:creationId xmlns:a16="http://schemas.microsoft.com/office/drawing/2014/main" id="{BA634FCF-EF5E-40F0-8F67-A52F12C474A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8999" name="AutoShape 12">
          <a:extLst>
            <a:ext uri="{FF2B5EF4-FFF2-40B4-BE49-F238E27FC236}">
              <a16:creationId xmlns:a16="http://schemas.microsoft.com/office/drawing/2014/main" id="{E9C004BE-00D8-4D14-8527-58B9B9D6B88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9000" name="AutoShape 12">
          <a:extLst>
            <a:ext uri="{FF2B5EF4-FFF2-40B4-BE49-F238E27FC236}">
              <a16:creationId xmlns:a16="http://schemas.microsoft.com/office/drawing/2014/main" id="{C04454C0-9754-49F8-8127-57D37606CC5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9001" name="AutoShape 12">
          <a:extLst>
            <a:ext uri="{FF2B5EF4-FFF2-40B4-BE49-F238E27FC236}">
              <a16:creationId xmlns:a16="http://schemas.microsoft.com/office/drawing/2014/main" id="{62D49B99-5FD1-4DA4-B6E6-6EA44382ED6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9002" name="AutoShape 12">
          <a:extLst>
            <a:ext uri="{FF2B5EF4-FFF2-40B4-BE49-F238E27FC236}">
              <a16:creationId xmlns:a16="http://schemas.microsoft.com/office/drawing/2014/main" id="{D2ACE57E-5960-4472-A451-CF42E15F84E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9003" name="AutoShape 12">
          <a:extLst>
            <a:ext uri="{FF2B5EF4-FFF2-40B4-BE49-F238E27FC236}">
              <a16:creationId xmlns:a16="http://schemas.microsoft.com/office/drawing/2014/main" id="{3BEE7D79-FD93-4884-B403-36D6B74531F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9004" name="AutoShape 12">
          <a:extLst>
            <a:ext uri="{FF2B5EF4-FFF2-40B4-BE49-F238E27FC236}">
              <a16:creationId xmlns:a16="http://schemas.microsoft.com/office/drawing/2014/main" id="{509FC593-22E7-4C7E-B9EC-2ED48F5AA57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9005" name="AutoShape 12">
          <a:extLst>
            <a:ext uri="{FF2B5EF4-FFF2-40B4-BE49-F238E27FC236}">
              <a16:creationId xmlns:a16="http://schemas.microsoft.com/office/drawing/2014/main" id="{B19F86EB-BAD2-4BBD-83B7-ED20DB0989F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9006" name="AutoShape 12">
          <a:extLst>
            <a:ext uri="{FF2B5EF4-FFF2-40B4-BE49-F238E27FC236}">
              <a16:creationId xmlns:a16="http://schemas.microsoft.com/office/drawing/2014/main" id="{5EFD9A8B-F21D-46EF-AEF9-5C45B6E57B1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9007" name="AutoShape 12">
          <a:extLst>
            <a:ext uri="{FF2B5EF4-FFF2-40B4-BE49-F238E27FC236}">
              <a16:creationId xmlns:a16="http://schemas.microsoft.com/office/drawing/2014/main" id="{48445D5B-FABF-4C04-B825-7419ED9B3D7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9008" name="AutoShape 12">
          <a:extLst>
            <a:ext uri="{FF2B5EF4-FFF2-40B4-BE49-F238E27FC236}">
              <a16:creationId xmlns:a16="http://schemas.microsoft.com/office/drawing/2014/main" id="{A2FEAAC9-3058-4062-92E0-55476573F96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9009" name="AutoShape 12">
          <a:extLst>
            <a:ext uri="{FF2B5EF4-FFF2-40B4-BE49-F238E27FC236}">
              <a16:creationId xmlns:a16="http://schemas.microsoft.com/office/drawing/2014/main" id="{044D7C3F-F12B-4B38-B6C4-42BE0B2B407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9010" name="AutoShape 12">
          <a:extLst>
            <a:ext uri="{FF2B5EF4-FFF2-40B4-BE49-F238E27FC236}">
              <a16:creationId xmlns:a16="http://schemas.microsoft.com/office/drawing/2014/main" id="{7886B1EE-2AA7-463D-8F7F-36A535A51B0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9011" name="AutoShape 12">
          <a:extLst>
            <a:ext uri="{FF2B5EF4-FFF2-40B4-BE49-F238E27FC236}">
              <a16:creationId xmlns:a16="http://schemas.microsoft.com/office/drawing/2014/main" id="{6D5F7D69-CDDC-4ABF-A904-096FDF97D9D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9012" name="AutoShape 12">
          <a:extLst>
            <a:ext uri="{FF2B5EF4-FFF2-40B4-BE49-F238E27FC236}">
              <a16:creationId xmlns:a16="http://schemas.microsoft.com/office/drawing/2014/main" id="{2B16CE95-404E-4285-A1DB-5B847D99B5E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9013" name="AutoShape 12">
          <a:extLst>
            <a:ext uri="{FF2B5EF4-FFF2-40B4-BE49-F238E27FC236}">
              <a16:creationId xmlns:a16="http://schemas.microsoft.com/office/drawing/2014/main" id="{67C69FEA-413D-4CC4-9D20-6968948D3F6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9014" name="AutoShape 12">
          <a:extLst>
            <a:ext uri="{FF2B5EF4-FFF2-40B4-BE49-F238E27FC236}">
              <a16:creationId xmlns:a16="http://schemas.microsoft.com/office/drawing/2014/main" id="{8BCFCB5F-F7B3-4B83-8431-F2CA42519AB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9015" name="AutoShape 12">
          <a:extLst>
            <a:ext uri="{FF2B5EF4-FFF2-40B4-BE49-F238E27FC236}">
              <a16:creationId xmlns:a16="http://schemas.microsoft.com/office/drawing/2014/main" id="{958E2310-60A9-4FA3-B976-A5700632B45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9016" name="AutoShape 12">
          <a:extLst>
            <a:ext uri="{FF2B5EF4-FFF2-40B4-BE49-F238E27FC236}">
              <a16:creationId xmlns:a16="http://schemas.microsoft.com/office/drawing/2014/main" id="{F6AABD96-D2F4-4E8B-A834-A47983BDFC9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9017" name="AutoShape 12">
          <a:extLst>
            <a:ext uri="{FF2B5EF4-FFF2-40B4-BE49-F238E27FC236}">
              <a16:creationId xmlns:a16="http://schemas.microsoft.com/office/drawing/2014/main" id="{07D2F62A-17CA-4ACE-873A-42A590C3496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9018" name="AutoShape 12">
          <a:extLst>
            <a:ext uri="{FF2B5EF4-FFF2-40B4-BE49-F238E27FC236}">
              <a16:creationId xmlns:a16="http://schemas.microsoft.com/office/drawing/2014/main" id="{97275C0F-B68E-4C04-8AD3-A5BB5F25ADB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9019" name="AutoShape 12">
          <a:extLst>
            <a:ext uri="{FF2B5EF4-FFF2-40B4-BE49-F238E27FC236}">
              <a16:creationId xmlns:a16="http://schemas.microsoft.com/office/drawing/2014/main" id="{EF545596-5882-43D7-BAA8-0333A3A73F0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9020" name="AutoShape 12">
          <a:extLst>
            <a:ext uri="{FF2B5EF4-FFF2-40B4-BE49-F238E27FC236}">
              <a16:creationId xmlns:a16="http://schemas.microsoft.com/office/drawing/2014/main" id="{C152B878-E516-46C0-AA59-6B80A389633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9021" name="AutoShape 12">
          <a:extLst>
            <a:ext uri="{FF2B5EF4-FFF2-40B4-BE49-F238E27FC236}">
              <a16:creationId xmlns:a16="http://schemas.microsoft.com/office/drawing/2014/main" id="{CF49D83D-924E-4CA2-BFB9-2E2813D9BF1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9022" name="AutoShape 12">
          <a:extLst>
            <a:ext uri="{FF2B5EF4-FFF2-40B4-BE49-F238E27FC236}">
              <a16:creationId xmlns:a16="http://schemas.microsoft.com/office/drawing/2014/main" id="{062B7FFF-062D-4456-A1DF-73EE0035242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9023" name="AutoShape 12">
          <a:extLst>
            <a:ext uri="{FF2B5EF4-FFF2-40B4-BE49-F238E27FC236}">
              <a16:creationId xmlns:a16="http://schemas.microsoft.com/office/drawing/2014/main" id="{C3D6158A-583F-4AC4-B187-925D9FF0848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9024" name="AutoShape 12">
          <a:extLst>
            <a:ext uri="{FF2B5EF4-FFF2-40B4-BE49-F238E27FC236}">
              <a16:creationId xmlns:a16="http://schemas.microsoft.com/office/drawing/2014/main" id="{CE48D7BE-12B3-496B-BBFE-F76ECA53DB3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9025" name="AutoShape 12">
          <a:extLst>
            <a:ext uri="{FF2B5EF4-FFF2-40B4-BE49-F238E27FC236}">
              <a16:creationId xmlns:a16="http://schemas.microsoft.com/office/drawing/2014/main" id="{F6C1A9EF-D2C4-4967-A4F4-6D39D72C645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9026" name="AutoShape 12">
          <a:extLst>
            <a:ext uri="{FF2B5EF4-FFF2-40B4-BE49-F238E27FC236}">
              <a16:creationId xmlns:a16="http://schemas.microsoft.com/office/drawing/2014/main" id="{EFEDD784-4ED4-48E2-80C6-B92A7201EDC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9027" name="AutoShape 12">
          <a:extLst>
            <a:ext uri="{FF2B5EF4-FFF2-40B4-BE49-F238E27FC236}">
              <a16:creationId xmlns:a16="http://schemas.microsoft.com/office/drawing/2014/main" id="{62111900-9935-4302-9810-273360EED65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9028" name="AutoShape 12">
          <a:extLst>
            <a:ext uri="{FF2B5EF4-FFF2-40B4-BE49-F238E27FC236}">
              <a16:creationId xmlns:a16="http://schemas.microsoft.com/office/drawing/2014/main" id="{E75361DA-BAB2-4C4F-8468-0E842EB9B13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9029" name="AutoShape 12">
          <a:extLst>
            <a:ext uri="{FF2B5EF4-FFF2-40B4-BE49-F238E27FC236}">
              <a16:creationId xmlns:a16="http://schemas.microsoft.com/office/drawing/2014/main" id="{282A9006-11BF-4F1F-8710-1AEEC7F5217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9030" name="AutoShape 12">
          <a:extLst>
            <a:ext uri="{FF2B5EF4-FFF2-40B4-BE49-F238E27FC236}">
              <a16:creationId xmlns:a16="http://schemas.microsoft.com/office/drawing/2014/main" id="{2BCEB11D-96B6-4190-B4C8-5E887457914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9031" name="AutoShape 12">
          <a:extLst>
            <a:ext uri="{FF2B5EF4-FFF2-40B4-BE49-F238E27FC236}">
              <a16:creationId xmlns:a16="http://schemas.microsoft.com/office/drawing/2014/main" id="{1F6D4183-A205-4204-9B26-BE94991ABB6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9032" name="AutoShape 12">
          <a:extLst>
            <a:ext uri="{FF2B5EF4-FFF2-40B4-BE49-F238E27FC236}">
              <a16:creationId xmlns:a16="http://schemas.microsoft.com/office/drawing/2014/main" id="{8F7531A0-D35E-49B8-BCB7-187EA57B09E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9033" name="AutoShape 12">
          <a:extLst>
            <a:ext uri="{FF2B5EF4-FFF2-40B4-BE49-F238E27FC236}">
              <a16:creationId xmlns:a16="http://schemas.microsoft.com/office/drawing/2014/main" id="{9F9DB311-995D-4214-851C-29AE61E8758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9034" name="AutoShape 12">
          <a:extLst>
            <a:ext uri="{FF2B5EF4-FFF2-40B4-BE49-F238E27FC236}">
              <a16:creationId xmlns:a16="http://schemas.microsoft.com/office/drawing/2014/main" id="{B23EC62C-C3E9-4402-A412-95E28819674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9035" name="AutoShape 12">
          <a:extLst>
            <a:ext uri="{FF2B5EF4-FFF2-40B4-BE49-F238E27FC236}">
              <a16:creationId xmlns:a16="http://schemas.microsoft.com/office/drawing/2014/main" id="{45965D6C-7B09-4AA2-BD05-1D11056C289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9036" name="AutoShape 12">
          <a:extLst>
            <a:ext uri="{FF2B5EF4-FFF2-40B4-BE49-F238E27FC236}">
              <a16:creationId xmlns:a16="http://schemas.microsoft.com/office/drawing/2014/main" id="{67C4329C-02BA-475C-BD30-FA6D58DF633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9037" name="AutoShape 12">
          <a:extLst>
            <a:ext uri="{FF2B5EF4-FFF2-40B4-BE49-F238E27FC236}">
              <a16:creationId xmlns:a16="http://schemas.microsoft.com/office/drawing/2014/main" id="{7D37BA93-2896-4299-97B2-9457334EA51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9038" name="AutoShape 12">
          <a:extLst>
            <a:ext uri="{FF2B5EF4-FFF2-40B4-BE49-F238E27FC236}">
              <a16:creationId xmlns:a16="http://schemas.microsoft.com/office/drawing/2014/main" id="{02BFBEC8-8689-4A5F-99D2-073F84F6918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9039" name="AutoShape 12">
          <a:extLst>
            <a:ext uri="{FF2B5EF4-FFF2-40B4-BE49-F238E27FC236}">
              <a16:creationId xmlns:a16="http://schemas.microsoft.com/office/drawing/2014/main" id="{48394AFC-B1C9-4913-911E-3408BCCBA59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9040" name="AutoShape 12">
          <a:extLst>
            <a:ext uri="{FF2B5EF4-FFF2-40B4-BE49-F238E27FC236}">
              <a16:creationId xmlns:a16="http://schemas.microsoft.com/office/drawing/2014/main" id="{E274B29B-3925-49F5-932D-67A0D746D40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9041" name="AutoShape 12">
          <a:extLst>
            <a:ext uri="{FF2B5EF4-FFF2-40B4-BE49-F238E27FC236}">
              <a16:creationId xmlns:a16="http://schemas.microsoft.com/office/drawing/2014/main" id="{2AD33E0C-F61F-4DAD-ABFF-98D8D8FD766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9042" name="AutoShape 12">
          <a:extLst>
            <a:ext uri="{FF2B5EF4-FFF2-40B4-BE49-F238E27FC236}">
              <a16:creationId xmlns:a16="http://schemas.microsoft.com/office/drawing/2014/main" id="{4D340EED-517E-4BB9-A0C0-018689192EE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9043" name="AutoShape 12">
          <a:extLst>
            <a:ext uri="{FF2B5EF4-FFF2-40B4-BE49-F238E27FC236}">
              <a16:creationId xmlns:a16="http://schemas.microsoft.com/office/drawing/2014/main" id="{24AC3AFD-B964-4F68-B4F4-4872138D859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9044" name="AutoShape 12">
          <a:extLst>
            <a:ext uri="{FF2B5EF4-FFF2-40B4-BE49-F238E27FC236}">
              <a16:creationId xmlns:a16="http://schemas.microsoft.com/office/drawing/2014/main" id="{46AB5F8C-4551-4DB8-BAF1-1CAC0D8E08F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9045" name="AutoShape 12">
          <a:extLst>
            <a:ext uri="{FF2B5EF4-FFF2-40B4-BE49-F238E27FC236}">
              <a16:creationId xmlns:a16="http://schemas.microsoft.com/office/drawing/2014/main" id="{BA437827-D39D-41E4-9954-4816B97E0FC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9046" name="AutoShape 12">
          <a:extLst>
            <a:ext uri="{FF2B5EF4-FFF2-40B4-BE49-F238E27FC236}">
              <a16:creationId xmlns:a16="http://schemas.microsoft.com/office/drawing/2014/main" id="{EE99F27E-658E-48BF-B71E-FA2E56E57CC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9047" name="AutoShape 12">
          <a:extLst>
            <a:ext uri="{FF2B5EF4-FFF2-40B4-BE49-F238E27FC236}">
              <a16:creationId xmlns:a16="http://schemas.microsoft.com/office/drawing/2014/main" id="{C645104E-47AF-421C-974A-E8EE9F7CD8A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9048" name="AutoShape 12">
          <a:extLst>
            <a:ext uri="{FF2B5EF4-FFF2-40B4-BE49-F238E27FC236}">
              <a16:creationId xmlns:a16="http://schemas.microsoft.com/office/drawing/2014/main" id="{BA42A1BA-43BD-4C40-9718-F59983705A5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9049" name="AutoShape 12">
          <a:extLst>
            <a:ext uri="{FF2B5EF4-FFF2-40B4-BE49-F238E27FC236}">
              <a16:creationId xmlns:a16="http://schemas.microsoft.com/office/drawing/2014/main" id="{6889A776-B5C8-47B3-B514-A7DCF05244A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9050" name="AutoShape 12">
          <a:extLst>
            <a:ext uri="{FF2B5EF4-FFF2-40B4-BE49-F238E27FC236}">
              <a16:creationId xmlns:a16="http://schemas.microsoft.com/office/drawing/2014/main" id="{9999C66B-1631-4054-A4D2-314AD32C815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9051" name="AutoShape 12">
          <a:extLst>
            <a:ext uri="{FF2B5EF4-FFF2-40B4-BE49-F238E27FC236}">
              <a16:creationId xmlns:a16="http://schemas.microsoft.com/office/drawing/2014/main" id="{87137D10-3186-48EF-97AD-CEB5B34CB3C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9052" name="AutoShape 12">
          <a:extLst>
            <a:ext uri="{FF2B5EF4-FFF2-40B4-BE49-F238E27FC236}">
              <a16:creationId xmlns:a16="http://schemas.microsoft.com/office/drawing/2014/main" id="{6F730D33-C6DC-4248-9555-78CD0CE0C74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9053" name="AutoShape 12">
          <a:extLst>
            <a:ext uri="{FF2B5EF4-FFF2-40B4-BE49-F238E27FC236}">
              <a16:creationId xmlns:a16="http://schemas.microsoft.com/office/drawing/2014/main" id="{BDAAFA69-4911-429E-8F23-2454C722F74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9054" name="AutoShape 12">
          <a:extLst>
            <a:ext uri="{FF2B5EF4-FFF2-40B4-BE49-F238E27FC236}">
              <a16:creationId xmlns:a16="http://schemas.microsoft.com/office/drawing/2014/main" id="{892873C8-A171-460A-8C7E-1004CA8C830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9055" name="AutoShape 12">
          <a:extLst>
            <a:ext uri="{FF2B5EF4-FFF2-40B4-BE49-F238E27FC236}">
              <a16:creationId xmlns:a16="http://schemas.microsoft.com/office/drawing/2014/main" id="{EF22C520-9587-4B2E-8B5F-4C71DCBAA5F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9056" name="AutoShape 12">
          <a:extLst>
            <a:ext uri="{FF2B5EF4-FFF2-40B4-BE49-F238E27FC236}">
              <a16:creationId xmlns:a16="http://schemas.microsoft.com/office/drawing/2014/main" id="{52297963-4390-4ABB-95F7-0E926A24049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9057" name="AutoShape 12">
          <a:extLst>
            <a:ext uri="{FF2B5EF4-FFF2-40B4-BE49-F238E27FC236}">
              <a16:creationId xmlns:a16="http://schemas.microsoft.com/office/drawing/2014/main" id="{D3ABCAD8-CD30-48A3-A12E-8FC5D7FC622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9058" name="AutoShape 12">
          <a:extLst>
            <a:ext uri="{FF2B5EF4-FFF2-40B4-BE49-F238E27FC236}">
              <a16:creationId xmlns:a16="http://schemas.microsoft.com/office/drawing/2014/main" id="{B8A9D69B-1316-43A3-9A8D-F9EC2BF9DBC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9059" name="AutoShape 12">
          <a:extLst>
            <a:ext uri="{FF2B5EF4-FFF2-40B4-BE49-F238E27FC236}">
              <a16:creationId xmlns:a16="http://schemas.microsoft.com/office/drawing/2014/main" id="{34A0C7A7-A833-4582-91EF-B46C819C60C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9060" name="AutoShape 12">
          <a:extLst>
            <a:ext uri="{FF2B5EF4-FFF2-40B4-BE49-F238E27FC236}">
              <a16:creationId xmlns:a16="http://schemas.microsoft.com/office/drawing/2014/main" id="{6868DFCB-7E77-4174-9364-961B00B4AAC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9061" name="AutoShape 12">
          <a:extLst>
            <a:ext uri="{FF2B5EF4-FFF2-40B4-BE49-F238E27FC236}">
              <a16:creationId xmlns:a16="http://schemas.microsoft.com/office/drawing/2014/main" id="{C61258A9-DBC0-43AD-B9EC-C729E029F8C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9062" name="AutoShape 12">
          <a:extLst>
            <a:ext uri="{FF2B5EF4-FFF2-40B4-BE49-F238E27FC236}">
              <a16:creationId xmlns:a16="http://schemas.microsoft.com/office/drawing/2014/main" id="{A550DE3C-6C89-486B-9D85-91D976520A1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9063" name="AutoShape 12">
          <a:extLst>
            <a:ext uri="{FF2B5EF4-FFF2-40B4-BE49-F238E27FC236}">
              <a16:creationId xmlns:a16="http://schemas.microsoft.com/office/drawing/2014/main" id="{2BB780A0-33C3-4DCC-BE79-AF2647490CC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9064" name="AutoShape 12">
          <a:extLst>
            <a:ext uri="{FF2B5EF4-FFF2-40B4-BE49-F238E27FC236}">
              <a16:creationId xmlns:a16="http://schemas.microsoft.com/office/drawing/2014/main" id="{84A7159D-954E-4613-8A5B-F241047CC88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9065" name="AutoShape 12">
          <a:extLst>
            <a:ext uri="{FF2B5EF4-FFF2-40B4-BE49-F238E27FC236}">
              <a16:creationId xmlns:a16="http://schemas.microsoft.com/office/drawing/2014/main" id="{4C93690F-F187-4CC8-8E18-17DB8A002DF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9066" name="AutoShape 12">
          <a:extLst>
            <a:ext uri="{FF2B5EF4-FFF2-40B4-BE49-F238E27FC236}">
              <a16:creationId xmlns:a16="http://schemas.microsoft.com/office/drawing/2014/main" id="{24E541F7-27D1-4E39-A922-0CA3937BDD0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9067" name="AutoShape 12">
          <a:extLst>
            <a:ext uri="{FF2B5EF4-FFF2-40B4-BE49-F238E27FC236}">
              <a16:creationId xmlns:a16="http://schemas.microsoft.com/office/drawing/2014/main" id="{A0170EAB-6420-4BED-98BC-CA32406A5B1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9068" name="AutoShape 12">
          <a:extLst>
            <a:ext uri="{FF2B5EF4-FFF2-40B4-BE49-F238E27FC236}">
              <a16:creationId xmlns:a16="http://schemas.microsoft.com/office/drawing/2014/main" id="{F279ED4A-A8FE-4B10-BF53-623619247C4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9069" name="AutoShape 12">
          <a:extLst>
            <a:ext uri="{FF2B5EF4-FFF2-40B4-BE49-F238E27FC236}">
              <a16:creationId xmlns:a16="http://schemas.microsoft.com/office/drawing/2014/main" id="{68D6FD0F-4D0C-46E6-A256-1E250B06CF1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9070" name="AutoShape 12">
          <a:extLst>
            <a:ext uri="{FF2B5EF4-FFF2-40B4-BE49-F238E27FC236}">
              <a16:creationId xmlns:a16="http://schemas.microsoft.com/office/drawing/2014/main" id="{7FD83FFA-B6ED-4A2C-BD68-7645CB62D99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9071" name="AutoShape 12">
          <a:extLst>
            <a:ext uri="{FF2B5EF4-FFF2-40B4-BE49-F238E27FC236}">
              <a16:creationId xmlns:a16="http://schemas.microsoft.com/office/drawing/2014/main" id="{58867277-CBAD-403F-B872-259BD0EA84D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9072" name="AutoShape 12">
          <a:extLst>
            <a:ext uri="{FF2B5EF4-FFF2-40B4-BE49-F238E27FC236}">
              <a16:creationId xmlns:a16="http://schemas.microsoft.com/office/drawing/2014/main" id="{5BF391BC-ECC6-4E9E-84E7-3C151377CB5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9073" name="AutoShape 12">
          <a:extLst>
            <a:ext uri="{FF2B5EF4-FFF2-40B4-BE49-F238E27FC236}">
              <a16:creationId xmlns:a16="http://schemas.microsoft.com/office/drawing/2014/main" id="{BEF7DCC2-F87E-4AB8-B729-6D3C16F35F8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9074" name="AutoShape 12">
          <a:extLst>
            <a:ext uri="{FF2B5EF4-FFF2-40B4-BE49-F238E27FC236}">
              <a16:creationId xmlns:a16="http://schemas.microsoft.com/office/drawing/2014/main" id="{41CE2E6C-A140-4960-A0C0-E2040ABA5FA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9075" name="AutoShape 12">
          <a:extLst>
            <a:ext uri="{FF2B5EF4-FFF2-40B4-BE49-F238E27FC236}">
              <a16:creationId xmlns:a16="http://schemas.microsoft.com/office/drawing/2014/main" id="{5555E10C-6BA1-420F-9DF8-76AD106D368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9076" name="AutoShape 12">
          <a:extLst>
            <a:ext uri="{FF2B5EF4-FFF2-40B4-BE49-F238E27FC236}">
              <a16:creationId xmlns:a16="http://schemas.microsoft.com/office/drawing/2014/main" id="{DBD632C4-F761-4DDF-981E-3882A950761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9077" name="AutoShape 12">
          <a:extLst>
            <a:ext uri="{FF2B5EF4-FFF2-40B4-BE49-F238E27FC236}">
              <a16:creationId xmlns:a16="http://schemas.microsoft.com/office/drawing/2014/main" id="{E22F1E24-1E2F-4136-8A4A-0BE58D05A15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9078" name="AutoShape 12">
          <a:extLst>
            <a:ext uri="{FF2B5EF4-FFF2-40B4-BE49-F238E27FC236}">
              <a16:creationId xmlns:a16="http://schemas.microsoft.com/office/drawing/2014/main" id="{1323F487-D0FF-4A62-84B7-92EB03DFA1E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9079" name="AutoShape 12">
          <a:extLst>
            <a:ext uri="{FF2B5EF4-FFF2-40B4-BE49-F238E27FC236}">
              <a16:creationId xmlns:a16="http://schemas.microsoft.com/office/drawing/2014/main" id="{644D6077-8283-4818-B862-E68F1B07106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9080" name="AutoShape 12">
          <a:extLst>
            <a:ext uri="{FF2B5EF4-FFF2-40B4-BE49-F238E27FC236}">
              <a16:creationId xmlns:a16="http://schemas.microsoft.com/office/drawing/2014/main" id="{79DA0637-3B29-4744-8B81-9B9DBD1D090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9081" name="AutoShape 12">
          <a:extLst>
            <a:ext uri="{FF2B5EF4-FFF2-40B4-BE49-F238E27FC236}">
              <a16:creationId xmlns:a16="http://schemas.microsoft.com/office/drawing/2014/main" id="{12D90798-9B08-45E3-A4D7-86F5CB126F3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9082" name="AutoShape 12">
          <a:extLst>
            <a:ext uri="{FF2B5EF4-FFF2-40B4-BE49-F238E27FC236}">
              <a16:creationId xmlns:a16="http://schemas.microsoft.com/office/drawing/2014/main" id="{72056899-F6D5-4776-BA0F-EA751A236FD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9083" name="AutoShape 12">
          <a:extLst>
            <a:ext uri="{FF2B5EF4-FFF2-40B4-BE49-F238E27FC236}">
              <a16:creationId xmlns:a16="http://schemas.microsoft.com/office/drawing/2014/main" id="{B1785486-C2FF-4CE3-BD2F-5AA904558D9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9084" name="AutoShape 12">
          <a:extLst>
            <a:ext uri="{FF2B5EF4-FFF2-40B4-BE49-F238E27FC236}">
              <a16:creationId xmlns:a16="http://schemas.microsoft.com/office/drawing/2014/main" id="{B5147D4E-14F8-44F1-82FF-53C6BCE1C2D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9085" name="AutoShape 12">
          <a:extLst>
            <a:ext uri="{FF2B5EF4-FFF2-40B4-BE49-F238E27FC236}">
              <a16:creationId xmlns:a16="http://schemas.microsoft.com/office/drawing/2014/main" id="{875F6051-1155-4CF6-AC59-44EE80A3468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9086" name="AutoShape 12">
          <a:extLst>
            <a:ext uri="{FF2B5EF4-FFF2-40B4-BE49-F238E27FC236}">
              <a16:creationId xmlns:a16="http://schemas.microsoft.com/office/drawing/2014/main" id="{77F77CD0-ECA1-472A-9767-DC74B210A5D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9087" name="AutoShape 12">
          <a:extLst>
            <a:ext uri="{FF2B5EF4-FFF2-40B4-BE49-F238E27FC236}">
              <a16:creationId xmlns:a16="http://schemas.microsoft.com/office/drawing/2014/main" id="{E29F3600-1807-4B13-A717-327D33C51E7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9088" name="AutoShape 12">
          <a:extLst>
            <a:ext uri="{FF2B5EF4-FFF2-40B4-BE49-F238E27FC236}">
              <a16:creationId xmlns:a16="http://schemas.microsoft.com/office/drawing/2014/main" id="{051B3867-6BED-4D5A-8BE0-CF70B58E818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9089" name="AutoShape 12">
          <a:extLst>
            <a:ext uri="{FF2B5EF4-FFF2-40B4-BE49-F238E27FC236}">
              <a16:creationId xmlns:a16="http://schemas.microsoft.com/office/drawing/2014/main" id="{B26F1C4C-B075-47B4-88B3-CBADDB1C6C9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9090" name="AutoShape 12">
          <a:extLst>
            <a:ext uri="{FF2B5EF4-FFF2-40B4-BE49-F238E27FC236}">
              <a16:creationId xmlns:a16="http://schemas.microsoft.com/office/drawing/2014/main" id="{0F001552-A295-4FD3-8C75-6D008689A60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9091" name="AutoShape 12">
          <a:extLst>
            <a:ext uri="{FF2B5EF4-FFF2-40B4-BE49-F238E27FC236}">
              <a16:creationId xmlns:a16="http://schemas.microsoft.com/office/drawing/2014/main" id="{BA07EDEE-A62F-413F-88C6-385B541F496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9092" name="AutoShape 12">
          <a:extLst>
            <a:ext uri="{FF2B5EF4-FFF2-40B4-BE49-F238E27FC236}">
              <a16:creationId xmlns:a16="http://schemas.microsoft.com/office/drawing/2014/main" id="{25928C6A-A927-4469-9D63-19AD1AA6990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9093" name="AutoShape 12">
          <a:extLst>
            <a:ext uri="{FF2B5EF4-FFF2-40B4-BE49-F238E27FC236}">
              <a16:creationId xmlns:a16="http://schemas.microsoft.com/office/drawing/2014/main" id="{2C87FB35-001E-4A16-94B6-67462F0C189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9094" name="AutoShape 12">
          <a:extLst>
            <a:ext uri="{FF2B5EF4-FFF2-40B4-BE49-F238E27FC236}">
              <a16:creationId xmlns:a16="http://schemas.microsoft.com/office/drawing/2014/main" id="{37FA4D79-7719-4570-8759-C466B3A5FFA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9095" name="AutoShape 12">
          <a:extLst>
            <a:ext uri="{FF2B5EF4-FFF2-40B4-BE49-F238E27FC236}">
              <a16:creationId xmlns:a16="http://schemas.microsoft.com/office/drawing/2014/main" id="{19A0B37B-72DF-4FA1-A58D-7FA0512CC70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9096" name="AutoShape 12">
          <a:extLst>
            <a:ext uri="{FF2B5EF4-FFF2-40B4-BE49-F238E27FC236}">
              <a16:creationId xmlns:a16="http://schemas.microsoft.com/office/drawing/2014/main" id="{149630B1-1F95-4000-AA8F-C85A0C71D11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9097" name="AutoShape 12">
          <a:extLst>
            <a:ext uri="{FF2B5EF4-FFF2-40B4-BE49-F238E27FC236}">
              <a16:creationId xmlns:a16="http://schemas.microsoft.com/office/drawing/2014/main" id="{975CAC08-6E4E-4301-87FA-CA0F4D3DCB4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9098" name="AutoShape 12">
          <a:extLst>
            <a:ext uri="{FF2B5EF4-FFF2-40B4-BE49-F238E27FC236}">
              <a16:creationId xmlns:a16="http://schemas.microsoft.com/office/drawing/2014/main" id="{513B05F4-F957-49A4-8918-779D6C64977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9099" name="AutoShape 12">
          <a:extLst>
            <a:ext uri="{FF2B5EF4-FFF2-40B4-BE49-F238E27FC236}">
              <a16:creationId xmlns:a16="http://schemas.microsoft.com/office/drawing/2014/main" id="{76B22829-506E-45DC-B234-6F8FFDF093F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9100" name="AutoShape 12">
          <a:extLst>
            <a:ext uri="{FF2B5EF4-FFF2-40B4-BE49-F238E27FC236}">
              <a16:creationId xmlns:a16="http://schemas.microsoft.com/office/drawing/2014/main" id="{8E65D4C8-6BD7-49D3-8930-DC126A07936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9101" name="AutoShape 12">
          <a:extLst>
            <a:ext uri="{FF2B5EF4-FFF2-40B4-BE49-F238E27FC236}">
              <a16:creationId xmlns:a16="http://schemas.microsoft.com/office/drawing/2014/main" id="{656237DC-B812-453D-895E-B8A4BF1276C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9102" name="AutoShape 12">
          <a:extLst>
            <a:ext uri="{FF2B5EF4-FFF2-40B4-BE49-F238E27FC236}">
              <a16:creationId xmlns:a16="http://schemas.microsoft.com/office/drawing/2014/main" id="{CD4B0330-A324-4CFB-8880-4210776DE71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9103" name="AutoShape 12">
          <a:extLst>
            <a:ext uri="{FF2B5EF4-FFF2-40B4-BE49-F238E27FC236}">
              <a16:creationId xmlns:a16="http://schemas.microsoft.com/office/drawing/2014/main" id="{0B01CB08-3CD2-4E8F-B737-0FD19657107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9104" name="AutoShape 12">
          <a:extLst>
            <a:ext uri="{FF2B5EF4-FFF2-40B4-BE49-F238E27FC236}">
              <a16:creationId xmlns:a16="http://schemas.microsoft.com/office/drawing/2014/main" id="{12BB52B2-2B8E-4C2D-AEDF-ECBCAE8F1EE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9105" name="AutoShape 12">
          <a:extLst>
            <a:ext uri="{FF2B5EF4-FFF2-40B4-BE49-F238E27FC236}">
              <a16:creationId xmlns:a16="http://schemas.microsoft.com/office/drawing/2014/main" id="{F0AF19D8-9AE8-476C-8667-4C2242EDDE3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9106" name="AutoShape 12">
          <a:extLst>
            <a:ext uri="{FF2B5EF4-FFF2-40B4-BE49-F238E27FC236}">
              <a16:creationId xmlns:a16="http://schemas.microsoft.com/office/drawing/2014/main" id="{48E81C16-2142-494B-99B8-E08869D45C9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9107" name="AutoShape 12">
          <a:extLst>
            <a:ext uri="{FF2B5EF4-FFF2-40B4-BE49-F238E27FC236}">
              <a16:creationId xmlns:a16="http://schemas.microsoft.com/office/drawing/2014/main" id="{D54E9C6E-C0EA-4CE9-9402-40F2F9EB5A8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9108" name="AutoShape 12">
          <a:extLst>
            <a:ext uri="{FF2B5EF4-FFF2-40B4-BE49-F238E27FC236}">
              <a16:creationId xmlns:a16="http://schemas.microsoft.com/office/drawing/2014/main" id="{176C475F-FD5B-45E3-8357-71BF5E2E845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9109" name="AutoShape 12">
          <a:extLst>
            <a:ext uri="{FF2B5EF4-FFF2-40B4-BE49-F238E27FC236}">
              <a16:creationId xmlns:a16="http://schemas.microsoft.com/office/drawing/2014/main" id="{C9C6858D-CC50-41FC-8AC0-3138F4D94BE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9110" name="AutoShape 12">
          <a:extLst>
            <a:ext uri="{FF2B5EF4-FFF2-40B4-BE49-F238E27FC236}">
              <a16:creationId xmlns:a16="http://schemas.microsoft.com/office/drawing/2014/main" id="{85166012-C95B-432F-8BED-DBD41AA67D9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9111" name="AutoShape 12">
          <a:extLst>
            <a:ext uri="{FF2B5EF4-FFF2-40B4-BE49-F238E27FC236}">
              <a16:creationId xmlns:a16="http://schemas.microsoft.com/office/drawing/2014/main" id="{38A5006C-1385-4479-AC2A-2621772B771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9112" name="AutoShape 12">
          <a:extLst>
            <a:ext uri="{FF2B5EF4-FFF2-40B4-BE49-F238E27FC236}">
              <a16:creationId xmlns:a16="http://schemas.microsoft.com/office/drawing/2014/main" id="{AEDFB124-D221-4C2A-BFAC-1C8B190576A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9113" name="AutoShape 12">
          <a:extLst>
            <a:ext uri="{FF2B5EF4-FFF2-40B4-BE49-F238E27FC236}">
              <a16:creationId xmlns:a16="http://schemas.microsoft.com/office/drawing/2014/main" id="{8A6B175C-C65A-4AE3-A22E-B4A56AA34B9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9114" name="AutoShape 12">
          <a:extLst>
            <a:ext uri="{FF2B5EF4-FFF2-40B4-BE49-F238E27FC236}">
              <a16:creationId xmlns:a16="http://schemas.microsoft.com/office/drawing/2014/main" id="{7983FFD5-55C9-434B-B04B-32B273AC07A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9115" name="AutoShape 12">
          <a:extLst>
            <a:ext uri="{FF2B5EF4-FFF2-40B4-BE49-F238E27FC236}">
              <a16:creationId xmlns:a16="http://schemas.microsoft.com/office/drawing/2014/main" id="{84E3659C-D8A9-44DD-A0E8-2CDD75A95A0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9116" name="AutoShape 12">
          <a:extLst>
            <a:ext uri="{FF2B5EF4-FFF2-40B4-BE49-F238E27FC236}">
              <a16:creationId xmlns:a16="http://schemas.microsoft.com/office/drawing/2014/main" id="{DB2C326C-2B6C-4AFF-A2DA-8EF89DDBA49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9117" name="AutoShape 12">
          <a:extLst>
            <a:ext uri="{FF2B5EF4-FFF2-40B4-BE49-F238E27FC236}">
              <a16:creationId xmlns:a16="http://schemas.microsoft.com/office/drawing/2014/main" id="{655C2B9D-7E6C-461F-A124-E446DA19CF4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9118" name="AutoShape 12">
          <a:extLst>
            <a:ext uri="{FF2B5EF4-FFF2-40B4-BE49-F238E27FC236}">
              <a16:creationId xmlns:a16="http://schemas.microsoft.com/office/drawing/2014/main" id="{53300F2C-AABE-47FD-9C87-2543790E11D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9119" name="AutoShape 12">
          <a:extLst>
            <a:ext uri="{FF2B5EF4-FFF2-40B4-BE49-F238E27FC236}">
              <a16:creationId xmlns:a16="http://schemas.microsoft.com/office/drawing/2014/main" id="{2B8C19F8-247D-4472-9F62-8FD4C2C9465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9120" name="AutoShape 12">
          <a:extLst>
            <a:ext uri="{FF2B5EF4-FFF2-40B4-BE49-F238E27FC236}">
              <a16:creationId xmlns:a16="http://schemas.microsoft.com/office/drawing/2014/main" id="{54555F4A-E6A7-485B-AE71-D8F89417F4C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9121" name="AutoShape 12">
          <a:extLst>
            <a:ext uri="{FF2B5EF4-FFF2-40B4-BE49-F238E27FC236}">
              <a16:creationId xmlns:a16="http://schemas.microsoft.com/office/drawing/2014/main" id="{468C5596-7179-4E63-B741-0A4BA1B561E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9122" name="AutoShape 12">
          <a:extLst>
            <a:ext uri="{FF2B5EF4-FFF2-40B4-BE49-F238E27FC236}">
              <a16:creationId xmlns:a16="http://schemas.microsoft.com/office/drawing/2014/main" id="{1E771281-693B-470C-B732-5AAC79B8982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9123" name="AutoShape 12">
          <a:extLst>
            <a:ext uri="{FF2B5EF4-FFF2-40B4-BE49-F238E27FC236}">
              <a16:creationId xmlns:a16="http://schemas.microsoft.com/office/drawing/2014/main" id="{8E23993C-3621-4F01-BC69-EDFAB2D4A0B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9124" name="AutoShape 12">
          <a:extLst>
            <a:ext uri="{FF2B5EF4-FFF2-40B4-BE49-F238E27FC236}">
              <a16:creationId xmlns:a16="http://schemas.microsoft.com/office/drawing/2014/main" id="{A832A643-F27C-4329-A608-8C2997824C7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9125" name="AutoShape 12">
          <a:extLst>
            <a:ext uri="{FF2B5EF4-FFF2-40B4-BE49-F238E27FC236}">
              <a16:creationId xmlns:a16="http://schemas.microsoft.com/office/drawing/2014/main" id="{DA7B78F6-E7C4-4D3E-A6BC-5B307A8F7A3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9126" name="AutoShape 12">
          <a:extLst>
            <a:ext uri="{FF2B5EF4-FFF2-40B4-BE49-F238E27FC236}">
              <a16:creationId xmlns:a16="http://schemas.microsoft.com/office/drawing/2014/main" id="{7484D523-980C-4675-951A-94CA406B0E6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9127" name="AutoShape 12">
          <a:extLst>
            <a:ext uri="{FF2B5EF4-FFF2-40B4-BE49-F238E27FC236}">
              <a16:creationId xmlns:a16="http://schemas.microsoft.com/office/drawing/2014/main" id="{4A5F8A9B-19D4-4E59-AF78-815CBC5DAE5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9128" name="AutoShape 12">
          <a:extLst>
            <a:ext uri="{FF2B5EF4-FFF2-40B4-BE49-F238E27FC236}">
              <a16:creationId xmlns:a16="http://schemas.microsoft.com/office/drawing/2014/main" id="{3EED75FA-BF24-46DE-ACBB-83A019E3874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9129" name="AutoShape 12">
          <a:extLst>
            <a:ext uri="{FF2B5EF4-FFF2-40B4-BE49-F238E27FC236}">
              <a16:creationId xmlns:a16="http://schemas.microsoft.com/office/drawing/2014/main" id="{62AF9F47-E049-4D46-99FD-46B2EBD50F4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9130" name="AutoShape 12">
          <a:extLst>
            <a:ext uri="{FF2B5EF4-FFF2-40B4-BE49-F238E27FC236}">
              <a16:creationId xmlns:a16="http://schemas.microsoft.com/office/drawing/2014/main" id="{51637EB2-C2F1-45D8-9059-DE2BA58DC7E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9131" name="AutoShape 12">
          <a:extLst>
            <a:ext uri="{FF2B5EF4-FFF2-40B4-BE49-F238E27FC236}">
              <a16:creationId xmlns:a16="http://schemas.microsoft.com/office/drawing/2014/main" id="{71D32E1B-6C42-41C3-A988-B889087B615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9132" name="AutoShape 12">
          <a:extLst>
            <a:ext uri="{FF2B5EF4-FFF2-40B4-BE49-F238E27FC236}">
              <a16:creationId xmlns:a16="http://schemas.microsoft.com/office/drawing/2014/main" id="{AE63ABD6-6A0A-4695-B7EA-33369890087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9133" name="AutoShape 12">
          <a:extLst>
            <a:ext uri="{FF2B5EF4-FFF2-40B4-BE49-F238E27FC236}">
              <a16:creationId xmlns:a16="http://schemas.microsoft.com/office/drawing/2014/main" id="{CB7CA7A8-04B5-4D3F-93D3-2632417FD04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9134" name="AutoShape 12">
          <a:extLst>
            <a:ext uri="{FF2B5EF4-FFF2-40B4-BE49-F238E27FC236}">
              <a16:creationId xmlns:a16="http://schemas.microsoft.com/office/drawing/2014/main" id="{C5288E25-069B-4601-8563-54092638B76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9135" name="AutoShape 12">
          <a:extLst>
            <a:ext uri="{FF2B5EF4-FFF2-40B4-BE49-F238E27FC236}">
              <a16:creationId xmlns:a16="http://schemas.microsoft.com/office/drawing/2014/main" id="{FDD702FA-80AC-4690-9F10-69D4C773C57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9136" name="AutoShape 12">
          <a:extLst>
            <a:ext uri="{FF2B5EF4-FFF2-40B4-BE49-F238E27FC236}">
              <a16:creationId xmlns:a16="http://schemas.microsoft.com/office/drawing/2014/main" id="{523CA505-5497-4BAC-AA63-92E89A5DCD4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9137" name="AutoShape 12">
          <a:extLst>
            <a:ext uri="{FF2B5EF4-FFF2-40B4-BE49-F238E27FC236}">
              <a16:creationId xmlns:a16="http://schemas.microsoft.com/office/drawing/2014/main" id="{07D59B28-BE52-431C-B094-585192758CC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9138" name="AutoShape 12">
          <a:extLst>
            <a:ext uri="{FF2B5EF4-FFF2-40B4-BE49-F238E27FC236}">
              <a16:creationId xmlns:a16="http://schemas.microsoft.com/office/drawing/2014/main" id="{388CEA50-31D4-4594-B680-A5AD7FE363A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9139" name="AutoShape 12">
          <a:extLst>
            <a:ext uri="{FF2B5EF4-FFF2-40B4-BE49-F238E27FC236}">
              <a16:creationId xmlns:a16="http://schemas.microsoft.com/office/drawing/2014/main" id="{02BC4006-3F24-4573-B2F9-18F1F050E10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9140" name="AutoShape 12">
          <a:extLst>
            <a:ext uri="{FF2B5EF4-FFF2-40B4-BE49-F238E27FC236}">
              <a16:creationId xmlns:a16="http://schemas.microsoft.com/office/drawing/2014/main" id="{053B9C20-484D-4B27-AAED-F5082069C46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9141" name="AutoShape 12">
          <a:extLst>
            <a:ext uri="{FF2B5EF4-FFF2-40B4-BE49-F238E27FC236}">
              <a16:creationId xmlns:a16="http://schemas.microsoft.com/office/drawing/2014/main" id="{48831B56-E70F-407B-A4DC-40DD5C7F364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9142" name="AutoShape 12">
          <a:extLst>
            <a:ext uri="{FF2B5EF4-FFF2-40B4-BE49-F238E27FC236}">
              <a16:creationId xmlns:a16="http://schemas.microsoft.com/office/drawing/2014/main" id="{C2F87585-6191-413C-8D1B-95A4F449556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9143" name="AutoShape 12">
          <a:extLst>
            <a:ext uri="{FF2B5EF4-FFF2-40B4-BE49-F238E27FC236}">
              <a16:creationId xmlns:a16="http://schemas.microsoft.com/office/drawing/2014/main" id="{F4C61557-3FF3-4C8C-BB2D-CC2C654864B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9144" name="AutoShape 12">
          <a:extLst>
            <a:ext uri="{FF2B5EF4-FFF2-40B4-BE49-F238E27FC236}">
              <a16:creationId xmlns:a16="http://schemas.microsoft.com/office/drawing/2014/main" id="{A7CAAA85-C271-47AB-B2E4-6A02F289C56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965</xdr:row>
      <xdr:rowOff>0</xdr:rowOff>
    </xdr:from>
    <xdr:ext cx="304800" cy="304094"/>
    <xdr:sp macro="" textlink="">
      <xdr:nvSpPr>
        <xdr:cNvPr id="9145" name="AutoShape 12">
          <a:extLst>
            <a:ext uri="{FF2B5EF4-FFF2-40B4-BE49-F238E27FC236}">
              <a16:creationId xmlns:a16="http://schemas.microsoft.com/office/drawing/2014/main" id="{EBC6154B-249C-43E2-BCB3-DE2C9637D87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146" name="AutoShape 12">
          <a:extLst>
            <a:ext uri="{FF2B5EF4-FFF2-40B4-BE49-F238E27FC236}">
              <a16:creationId xmlns:a16="http://schemas.microsoft.com/office/drawing/2014/main" id="{1BC1DC45-73DD-4C69-B03F-B8D324D54C0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147" name="AutoShape 12">
          <a:extLst>
            <a:ext uri="{FF2B5EF4-FFF2-40B4-BE49-F238E27FC236}">
              <a16:creationId xmlns:a16="http://schemas.microsoft.com/office/drawing/2014/main" id="{D204C598-73DE-4912-96C7-D7ADB6B64DA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148" name="AutoShape 12">
          <a:extLst>
            <a:ext uri="{FF2B5EF4-FFF2-40B4-BE49-F238E27FC236}">
              <a16:creationId xmlns:a16="http://schemas.microsoft.com/office/drawing/2014/main" id="{9F3C72F4-6D97-4999-A15E-F2F765CB8D3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149" name="AutoShape 12">
          <a:extLst>
            <a:ext uri="{FF2B5EF4-FFF2-40B4-BE49-F238E27FC236}">
              <a16:creationId xmlns:a16="http://schemas.microsoft.com/office/drawing/2014/main" id="{81CA8F97-948F-4341-9222-E28D8999EC0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150" name="AutoShape 12">
          <a:extLst>
            <a:ext uri="{FF2B5EF4-FFF2-40B4-BE49-F238E27FC236}">
              <a16:creationId xmlns:a16="http://schemas.microsoft.com/office/drawing/2014/main" id="{86D5B788-46B0-471B-B50F-33493BE50CB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151" name="AutoShape 12">
          <a:extLst>
            <a:ext uri="{FF2B5EF4-FFF2-40B4-BE49-F238E27FC236}">
              <a16:creationId xmlns:a16="http://schemas.microsoft.com/office/drawing/2014/main" id="{BDC8353F-B1D5-4B7C-B9D3-23FA218158E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152" name="AutoShape 12">
          <a:extLst>
            <a:ext uri="{FF2B5EF4-FFF2-40B4-BE49-F238E27FC236}">
              <a16:creationId xmlns:a16="http://schemas.microsoft.com/office/drawing/2014/main" id="{DA282872-23F7-44AC-8E5F-659A8FE8121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153" name="AutoShape 12">
          <a:extLst>
            <a:ext uri="{FF2B5EF4-FFF2-40B4-BE49-F238E27FC236}">
              <a16:creationId xmlns:a16="http://schemas.microsoft.com/office/drawing/2014/main" id="{2057F676-AF0B-49F6-BB5B-22413BA882F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154" name="AutoShape 12">
          <a:extLst>
            <a:ext uri="{FF2B5EF4-FFF2-40B4-BE49-F238E27FC236}">
              <a16:creationId xmlns:a16="http://schemas.microsoft.com/office/drawing/2014/main" id="{DD6F56F9-25B1-46BD-8955-FEE4702D1AE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155" name="AutoShape 12">
          <a:extLst>
            <a:ext uri="{FF2B5EF4-FFF2-40B4-BE49-F238E27FC236}">
              <a16:creationId xmlns:a16="http://schemas.microsoft.com/office/drawing/2014/main" id="{CD8A8EB9-9836-4928-A5A1-983EEB02251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156" name="AutoShape 12">
          <a:extLst>
            <a:ext uri="{FF2B5EF4-FFF2-40B4-BE49-F238E27FC236}">
              <a16:creationId xmlns:a16="http://schemas.microsoft.com/office/drawing/2014/main" id="{BACC261F-E36C-4284-A4E4-47044688FD3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157" name="AutoShape 12">
          <a:extLst>
            <a:ext uri="{FF2B5EF4-FFF2-40B4-BE49-F238E27FC236}">
              <a16:creationId xmlns:a16="http://schemas.microsoft.com/office/drawing/2014/main" id="{51B99C09-3CFC-491C-ACA9-AB882E14A6E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158" name="AutoShape 12">
          <a:extLst>
            <a:ext uri="{FF2B5EF4-FFF2-40B4-BE49-F238E27FC236}">
              <a16:creationId xmlns:a16="http://schemas.microsoft.com/office/drawing/2014/main" id="{2756AE31-282F-4D3D-85FC-1053AE9AFF7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159" name="AutoShape 12">
          <a:extLst>
            <a:ext uri="{FF2B5EF4-FFF2-40B4-BE49-F238E27FC236}">
              <a16:creationId xmlns:a16="http://schemas.microsoft.com/office/drawing/2014/main" id="{102DD9E1-A563-4C92-9200-6DAF4636034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160" name="AutoShape 12">
          <a:extLst>
            <a:ext uri="{FF2B5EF4-FFF2-40B4-BE49-F238E27FC236}">
              <a16:creationId xmlns:a16="http://schemas.microsoft.com/office/drawing/2014/main" id="{AB10C3DF-5BEA-4928-8857-FD6E118A843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161" name="AutoShape 12">
          <a:extLst>
            <a:ext uri="{FF2B5EF4-FFF2-40B4-BE49-F238E27FC236}">
              <a16:creationId xmlns:a16="http://schemas.microsoft.com/office/drawing/2014/main" id="{10ACD2C4-2066-4DF0-BB61-80D8FB69839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162" name="AutoShape 12">
          <a:extLst>
            <a:ext uri="{FF2B5EF4-FFF2-40B4-BE49-F238E27FC236}">
              <a16:creationId xmlns:a16="http://schemas.microsoft.com/office/drawing/2014/main" id="{D7B78B85-45FC-4A85-92B8-D778918703C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163" name="AutoShape 12">
          <a:extLst>
            <a:ext uri="{FF2B5EF4-FFF2-40B4-BE49-F238E27FC236}">
              <a16:creationId xmlns:a16="http://schemas.microsoft.com/office/drawing/2014/main" id="{1B817E97-189A-46EC-AAD3-04D9E9D0F2A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164" name="AutoShape 12">
          <a:extLst>
            <a:ext uri="{FF2B5EF4-FFF2-40B4-BE49-F238E27FC236}">
              <a16:creationId xmlns:a16="http://schemas.microsoft.com/office/drawing/2014/main" id="{8CA3426B-5B9D-4D4A-BF0D-A6A78C8F604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165" name="AutoShape 12">
          <a:extLst>
            <a:ext uri="{FF2B5EF4-FFF2-40B4-BE49-F238E27FC236}">
              <a16:creationId xmlns:a16="http://schemas.microsoft.com/office/drawing/2014/main" id="{151AF12B-09CB-4978-A31B-2ECB2973384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166" name="AutoShape 12">
          <a:extLst>
            <a:ext uri="{FF2B5EF4-FFF2-40B4-BE49-F238E27FC236}">
              <a16:creationId xmlns:a16="http://schemas.microsoft.com/office/drawing/2014/main" id="{3CA37A6E-CD05-4065-A716-9920E5F455C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167" name="AutoShape 12">
          <a:extLst>
            <a:ext uri="{FF2B5EF4-FFF2-40B4-BE49-F238E27FC236}">
              <a16:creationId xmlns:a16="http://schemas.microsoft.com/office/drawing/2014/main" id="{94DE62BB-6026-48D3-AD9F-CB866FF8C01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168" name="AutoShape 12">
          <a:extLst>
            <a:ext uri="{FF2B5EF4-FFF2-40B4-BE49-F238E27FC236}">
              <a16:creationId xmlns:a16="http://schemas.microsoft.com/office/drawing/2014/main" id="{EAA2A694-46E0-40AB-9E27-ECA93B9D272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169" name="AutoShape 12">
          <a:extLst>
            <a:ext uri="{FF2B5EF4-FFF2-40B4-BE49-F238E27FC236}">
              <a16:creationId xmlns:a16="http://schemas.microsoft.com/office/drawing/2014/main" id="{71955F8A-9933-46DF-B764-C69803CF481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170" name="AutoShape 12">
          <a:extLst>
            <a:ext uri="{FF2B5EF4-FFF2-40B4-BE49-F238E27FC236}">
              <a16:creationId xmlns:a16="http://schemas.microsoft.com/office/drawing/2014/main" id="{092B51A3-26FE-491C-9F39-8FFE7AA63FA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171" name="AutoShape 12">
          <a:extLst>
            <a:ext uri="{FF2B5EF4-FFF2-40B4-BE49-F238E27FC236}">
              <a16:creationId xmlns:a16="http://schemas.microsoft.com/office/drawing/2014/main" id="{B16B129A-04BE-460A-A10C-71AC1ADBDD9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172" name="AutoShape 12">
          <a:extLst>
            <a:ext uri="{FF2B5EF4-FFF2-40B4-BE49-F238E27FC236}">
              <a16:creationId xmlns:a16="http://schemas.microsoft.com/office/drawing/2014/main" id="{F7EAFAC6-FB6F-40E5-A68B-C6CC9CC4804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173" name="AutoShape 12">
          <a:extLst>
            <a:ext uri="{FF2B5EF4-FFF2-40B4-BE49-F238E27FC236}">
              <a16:creationId xmlns:a16="http://schemas.microsoft.com/office/drawing/2014/main" id="{EA1ED296-29DA-45C6-8EB7-F61FC6C0AC5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174" name="AutoShape 12">
          <a:extLst>
            <a:ext uri="{FF2B5EF4-FFF2-40B4-BE49-F238E27FC236}">
              <a16:creationId xmlns:a16="http://schemas.microsoft.com/office/drawing/2014/main" id="{C4C0DD35-F368-48CE-B15E-DB445A56826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175" name="AutoShape 12">
          <a:extLst>
            <a:ext uri="{FF2B5EF4-FFF2-40B4-BE49-F238E27FC236}">
              <a16:creationId xmlns:a16="http://schemas.microsoft.com/office/drawing/2014/main" id="{305B1338-B428-4F34-BDD0-04D1E5DB42E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176" name="AutoShape 12">
          <a:extLst>
            <a:ext uri="{FF2B5EF4-FFF2-40B4-BE49-F238E27FC236}">
              <a16:creationId xmlns:a16="http://schemas.microsoft.com/office/drawing/2014/main" id="{E011C536-15D0-4798-BCD2-6D316C8DDC7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177" name="AutoShape 12">
          <a:extLst>
            <a:ext uri="{FF2B5EF4-FFF2-40B4-BE49-F238E27FC236}">
              <a16:creationId xmlns:a16="http://schemas.microsoft.com/office/drawing/2014/main" id="{4B9AFCB4-71C9-4299-90E1-02DD67AD40B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178" name="AutoShape 12">
          <a:extLst>
            <a:ext uri="{FF2B5EF4-FFF2-40B4-BE49-F238E27FC236}">
              <a16:creationId xmlns:a16="http://schemas.microsoft.com/office/drawing/2014/main" id="{CF444F1F-E6C8-4DB6-8D3F-1B2018F24A8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179" name="AutoShape 12">
          <a:extLst>
            <a:ext uri="{FF2B5EF4-FFF2-40B4-BE49-F238E27FC236}">
              <a16:creationId xmlns:a16="http://schemas.microsoft.com/office/drawing/2014/main" id="{69A0C2BA-0FB5-40CD-A5B0-103C3EA4300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180" name="AutoShape 12">
          <a:extLst>
            <a:ext uri="{FF2B5EF4-FFF2-40B4-BE49-F238E27FC236}">
              <a16:creationId xmlns:a16="http://schemas.microsoft.com/office/drawing/2014/main" id="{850B3F4D-4629-4643-BBC6-537069DA15B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181" name="AutoShape 12">
          <a:extLst>
            <a:ext uri="{FF2B5EF4-FFF2-40B4-BE49-F238E27FC236}">
              <a16:creationId xmlns:a16="http://schemas.microsoft.com/office/drawing/2014/main" id="{B217D394-904B-4AA6-B033-7999B7C1DB4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182" name="AutoShape 12">
          <a:extLst>
            <a:ext uri="{FF2B5EF4-FFF2-40B4-BE49-F238E27FC236}">
              <a16:creationId xmlns:a16="http://schemas.microsoft.com/office/drawing/2014/main" id="{DEAFF897-CF8D-4C5B-B1E2-28A4A3F5E67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183" name="AutoShape 12">
          <a:extLst>
            <a:ext uri="{FF2B5EF4-FFF2-40B4-BE49-F238E27FC236}">
              <a16:creationId xmlns:a16="http://schemas.microsoft.com/office/drawing/2014/main" id="{CFA31B42-49B2-47A1-9FFA-467564959BC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184" name="AutoShape 12">
          <a:extLst>
            <a:ext uri="{FF2B5EF4-FFF2-40B4-BE49-F238E27FC236}">
              <a16:creationId xmlns:a16="http://schemas.microsoft.com/office/drawing/2014/main" id="{48CD565F-F4DA-4341-9DEC-88A04A1ABF4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185" name="AutoShape 12">
          <a:extLst>
            <a:ext uri="{FF2B5EF4-FFF2-40B4-BE49-F238E27FC236}">
              <a16:creationId xmlns:a16="http://schemas.microsoft.com/office/drawing/2014/main" id="{9E165620-7079-4AA3-B3D7-24D41050111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186" name="AutoShape 12">
          <a:extLst>
            <a:ext uri="{FF2B5EF4-FFF2-40B4-BE49-F238E27FC236}">
              <a16:creationId xmlns:a16="http://schemas.microsoft.com/office/drawing/2014/main" id="{CCF07BFC-6BE1-4EA5-96B6-C1005343466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187" name="AutoShape 12">
          <a:extLst>
            <a:ext uri="{FF2B5EF4-FFF2-40B4-BE49-F238E27FC236}">
              <a16:creationId xmlns:a16="http://schemas.microsoft.com/office/drawing/2014/main" id="{5735E1D4-3876-492E-A05B-23FE8117226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188" name="AutoShape 12">
          <a:extLst>
            <a:ext uri="{FF2B5EF4-FFF2-40B4-BE49-F238E27FC236}">
              <a16:creationId xmlns:a16="http://schemas.microsoft.com/office/drawing/2014/main" id="{663216CA-5792-4B86-8AB5-00B922B5533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189" name="AutoShape 12">
          <a:extLst>
            <a:ext uri="{FF2B5EF4-FFF2-40B4-BE49-F238E27FC236}">
              <a16:creationId xmlns:a16="http://schemas.microsoft.com/office/drawing/2014/main" id="{3570DC5D-FE30-4498-9260-DEAC3AACA81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190" name="AutoShape 12">
          <a:extLst>
            <a:ext uri="{FF2B5EF4-FFF2-40B4-BE49-F238E27FC236}">
              <a16:creationId xmlns:a16="http://schemas.microsoft.com/office/drawing/2014/main" id="{79459D16-FAE5-4299-BD9F-45F2F459C5E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191" name="AutoShape 12">
          <a:extLst>
            <a:ext uri="{FF2B5EF4-FFF2-40B4-BE49-F238E27FC236}">
              <a16:creationId xmlns:a16="http://schemas.microsoft.com/office/drawing/2014/main" id="{8E4AEFC0-9A71-4AD5-A35D-573EFD81ED5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192" name="AutoShape 12">
          <a:extLst>
            <a:ext uri="{FF2B5EF4-FFF2-40B4-BE49-F238E27FC236}">
              <a16:creationId xmlns:a16="http://schemas.microsoft.com/office/drawing/2014/main" id="{429F5CCF-5C0D-434A-8C03-5CB23188CEA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193" name="AutoShape 12">
          <a:extLst>
            <a:ext uri="{FF2B5EF4-FFF2-40B4-BE49-F238E27FC236}">
              <a16:creationId xmlns:a16="http://schemas.microsoft.com/office/drawing/2014/main" id="{CADB82F7-B584-4D4A-9771-1B7F490C60C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194" name="AutoShape 12">
          <a:extLst>
            <a:ext uri="{FF2B5EF4-FFF2-40B4-BE49-F238E27FC236}">
              <a16:creationId xmlns:a16="http://schemas.microsoft.com/office/drawing/2014/main" id="{DA36BF4A-8A59-4F9C-A801-C8C34AE5F89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195" name="AutoShape 12">
          <a:extLst>
            <a:ext uri="{FF2B5EF4-FFF2-40B4-BE49-F238E27FC236}">
              <a16:creationId xmlns:a16="http://schemas.microsoft.com/office/drawing/2014/main" id="{19B58F9E-DEA9-44C4-B058-B9F5EDA1A02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196" name="AutoShape 12">
          <a:extLst>
            <a:ext uri="{FF2B5EF4-FFF2-40B4-BE49-F238E27FC236}">
              <a16:creationId xmlns:a16="http://schemas.microsoft.com/office/drawing/2014/main" id="{8A3635DC-BCE9-4F77-8E6F-35ACB1C5E4E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197" name="AutoShape 12">
          <a:extLst>
            <a:ext uri="{FF2B5EF4-FFF2-40B4-BE49-F238E27FC236}">
              <a16:creationId xmlns:a16="http://schemas.microsoft.com/office/drawing/2014/main" id="{1A82448A-C721-4858-89AF-FEC3792505B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198" name="AutoShape 12">
          <a:extLst>
            <a:ext uri="{FF2B5EF4-FFF2-40B4-BE49-F238E27FC236}">
              <a16:creationId xmlns:a16="http://schemas.microsoft.com/office/drawing/2014/main" id="{F497F0A3-DC9B-4C49-AFF5-94F32A634C7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199" name="AutoShape 12">
          <a:extLst>
            <a:ext uri="{FF2B5EF4-FFF2-40B4-BE49-F238E27FC236}">
              <a16:creationId xmlns:a16="http://schemas.microsoft.com/office/drawing/2014/main" id="{7E9C677A-EECA-45F1-95BA-8E4E327B8BB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200" name="AutoShape 12">
          <a:extLst>
            <a:ext uri="{FF2B5EF4-FFF2-40B4-BE49-F238E27FC236}">
              <a16:creationId xmlns:a16="http://schemas.microsoft.com/office/drawing/2014/main" id="{509561FB-99CE-4C4E-9657-51812ACA81D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201" name="AutoShape 12">
          <a:extLst>
            <a:ext uri="{FF2B5EF4-FFF2-40B4-BE49-F238E27FC236}">
              <a16:creationId xmlns:a16="http://schemas.microsoft.com/office/drawing/2014/main" id="{F68FFEA5-2F6A-4697-BFBE-C03D01E5F34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202" name="AutoShape 12">
          <a:extLst>
            <a:ext uri="{FF2B5EF4-FFF2-40B4-BE49-F238E27FC236}">
              <a16:creationId xmlns:a16="http://schemas.microsoft.com/office/drawing/2014/main" id="{36ED3B76-21DB-400A-9F79-616A4D70B88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203" name="AutoShape 12">
          <a:extLst>
            <a:ext uri="{FF2B5EF4-FFF2-40B4-BE49-F238E27FC236}">
              <a16:creationId xmlns:a16="http://schemas.microsoft.com/office/drawing/2014/main" id="{BAC3BD10-C958-4C5D-87DC-72F4EA177CE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204" name="AutoShape 12">
          <a:extLst>
            <a:ext uri="{FF2B5EF4-FFF2-40B4-BE49-F238E27FC236}">
              <a16:creationId xmlns:a16="http://schemas.microsoft.com/office/drawing/2014/main" id="{E0B8C0B4-A8A2-4C6D-891E-E3159E12773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205" name="AutoShape 12">
          <a:extLst>
            <a:ext uri="{FF2B5EF4-FFF2-40B4-BE49-F238E27FC236}">
              <a16:creationId xmlns:a16="http://schemas.microsoft.com/office/drawing/2014/main" id="{308A944F-9266-47C2-B74B-D89FE88242F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206" name="AutoShape 12">
          <a:extLst>
            <a:ext uri="{FF2B5EF4-FFF2-40B4-BE49-F238E27FC236}">
              <a16:creationId xmlns:a16="http://schemas.microsoft.com/office/drawing/2014/main" id="{1A0F6DCC-1ED2-4A8D-8280-9F104EC588D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207" name="AutoShape 12">
          <a:extLst>
            <a:ext uri="{FF2B5EF4-FFF2-40B4-BE49-F238E27FC236}">
              <a16:creationId xmlns:a16="http://schemas.microsoft.com/office/drawing/2014/main" id="{66B24219-BF66-4098-9D3F-01AB3B0A1AD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208" name="AutoShape 12">
          <a:extLst>
            <a:ext uri="{FF2B5EF4-FFF2-40B4-BE49-F238E27FC236}">
              <a16:creationId xmlns:a16="http://schemas.microsoft.com/office/drawing/2014/main" id="{C34C1E87-A207-4F0C-945B-9FAEEC63137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209" name="AutoShape 12">
          <a:extLst>
            <a:ext uri="{FF2B5EF4-FFF2-40B4-BE49-F238E27FC236}">
              <a16:creationId xmlns:a16="http://schemas.microsoft.com/office/drawing/2014/main" id="{DA371B9E-097B-4181-BD40-9445991EC93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210" name="AutoShape 12">
          <a:extLst>
            <a:ext uri="{FF2B5EF4-FFF2-40B4-BE49-F238E27FC236}">
              <a16:creationId xmlns:a16="http://schemas.microsoft.com/office/drawing/2014/main" id="{6FAE0D15-A4F7-440B-BB3B-91F56FC26E2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211" name="AutoShape 12">
          <a:extLst>
            <a:ext uri="{FF2B5EF4-FFF2-40B4-BE49-F238E27FC236}">
              <a16:creationId xmlns:a16="http://schemas.microsoft.com/office/drawing/2014/main" id="{6BB56023-12F5-4B56-83FF-E9D6AC50F61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212" name="AutoShape 12">
          <a:extLst>
            <a:ext uri="{FF2B5EF4-FFF2-40B4-BE49-F238E27FC236}">
              <a16:creationId xmlns:a16="http://schemas.microsoft.com/office/drawing/2014/main" id="{D3CB425D-CC3A-4518-AF74-1D260474C6B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213" name="AutoShape 12">
          <a:extLst>
            <a:ext uri="{FF2B5EF4-FFF2-40B4-BE49-F238E27FC236}">
              <a16:creationId xmlns:a16="http://schemas.microsoft.com/office/drawing/2014/main" id="{0D012205-CF63-4457-860D-5D5F0775FCF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214" name="AutoShape 12">
          <a:extLst>
            <a:ext uri="{FF2B5EF4-FFF2-40B4-BE49-F238E27FC236}">
              <a16:creationId xmlns:a16="http://schemas.microsoft.com/office/drawing/2014/main" id="{9D7DA908-AACB-4CC3-B8A3-B29B92761D2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215" name="AutoShape 12">
          <a:extLst>
            <a:ext uri="{FF2B5EF4-FFF2-40B4-BE49-F238E27FC236}">
              <a16:creationId xmlns:a16="http://schemas.microsoft.com/office/drawing/2014/main" id="{A54F5869-BE1E-411E-97FB-663AEBFF43E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216" name="AutoShape 12">
          <a:extLst>
            <a:ext uri="{FF2B5EF4-FFF2-40B4-BE49-F238E27FC236}">
              <a16:creationId xmlns:a16="http://schemas.microsoft.com/office/drawing/2014/main" id="{9DB8879B-F699-42B0-9490-470913CB3B4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217" name="AutoShape 12">
          <a:extLst>
            <a:ext uri="{FF2B5EF4-FFF2-40B4-BE49-F238E27FC236}">
              <a16:creationId xmlns:a16="http://schemas.microsoft.com/office/drawing/2014/main" id="{4F9A3C62-79BA-463C-82BA-A5D9A93DC17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218" name="AutoShape 12">
          <a:extLst>
            <a:ext uri="{FF2B5EF4-FFF2-40B4-BE49-F238E27FC236}">
              <a16:creationId xmlns:a16="http://schemas.microsoft.com/office/drawing/2014/main" id="{E85DDFA7-C8FD-4376-93EF-8821643F83B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219" name="AutoShape 12">
          <a:extLst>
            <a:ext uri="{FF2B5EF4-FFF2-40B4-BE49-F238E27FC236}">
              <a16:creationId xmlns:a16="http://schemas.microsoft.com/office/drawing/2014/main" id="{757EC4B7-7320-4DA2-8A23-8157A25AC60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220" name="AutoShape 12">
          <a:extLst>
            <a:ext uri="{FF2B5EF4-FFF2-40B4-BE49-F238E27FC236}">
              <a16:creationId xmlns:a16="http://schemas.microsoft.com/office/drawing/2014/main" id="{F36A747A-B2D2-4F48-AA6E-C69ED40AA38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221" name="AutoShape 12">
          <a:extLst>
            <a:ext uri="{FF2B5EF4-FFF2-40B4-BE49-F238E27FC236}">
              <a16:creationId xmlns:a16="http://schemas.microsoft.com/office/drawing/2014/main" id="{43DCF691-AEC3-4635-99B1-44415FE89BC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222" name="AutoShape 12">
          <a:extLst>
            <a:ext uri="{FF2B5EF4-FFF2-40B4-BE49-F238E27FC236}">
              <a16:creationId xmlns:a16="http://schemas.microsoft.com/office/drawing/2014/main" id="{F00E4328-ED7A-4327-8061-8BEA419FF99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223" name="AutoShape 12">
          <a:extLst>
            <a:ext uri="{FF2B5EF4-FFF2-40B4-BE49-F238E27FC236}">
              <a16:creationId xmlns:a16="http://schemas.microsoft.com/office/drawing/2014/main" id="{F85B9E9E-117D-4D78-89ED-69B5F5D89C9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224" name="AutoShape 12">
          <a:extLst>
            <a:ext uri="{FF2B5EF4-FFF2-40B4-BE49-F238E27FC236}">
              <a16:creationId xmlns:a16="http://schemas.microsoft.com/office/drawing/2014/main" id="{F8D0FAD4-1D84-4443-97FA-6F17B013F7A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225" name="AutoShape 12">
          <a:extLst>
            <a:ext uri="{FF2B5EF4-FFF2-40B4-BE49-F238E27FC236}">
              <a16:creationId xmlns:a16="http://schemas.microsoft.com/office/drawing/2014/main" id="{624656DE-3AC3-46E0-9A8D-6957D9FA6BE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226" name="AutoShape 12">
          <a:extLst>
            <a:ext uri="{FF2B5EF4-FFF2-40B4-BE49-F238E27FC236}">
              <a16:creationId xmlns:a16="http://schemas.microsoft.com/office/drawing/2014/main" id="{2DEE1C5C-4222-4B05-AB62-53F24EEFF86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227" name="AutoShape 12">
          <a:extLst>
            <a:ext uri="{FF2B5EF4-FFF2-40B4-BE49-F238E27FC236}">
              <a16:creationId xmlns:a16="http://schemas.microsoft.com/office/drawing/2014/main" id="{68DCA9BB-A276-4C8E-954E-505BF58F41D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228" name="AutoShape 12">
          <a:extLst>
            <a:ext uri="{FF2B5EF4-FFF2-40B4-BE49-F238E27FC236}">
              <a16:creationId xmlns:a16="http://schemas.microsoft.com/office/drawing/2014/main" id="{C47DA7AE-5199-44FF-B11F-682FB058BEF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229" name="AutoShape 12">
          <a:extLst>
            <a:ext uri="{FF2B5EF4-FFF2-40B4-BE49-F238E27FC236}">
              <a16:creationId xmlns:a16="http://schemas.microsoft.com/office/drawing/2014/main" id="{716C2044-9EB4-4868-B3D8-286A7821C5B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230" name="AutoShape 12">
          <a:extLst>
            <a:ext uri="{FF2B5EF4-FFF2-40B4-BE49-F238E27FC236}">
              <a16:creationId xmlns:a16="http://schemas.microsoft.com/office/drawing/2014/main" id="{A29222EA-1055-4E92-B280-EDCEB369C00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231" name="AutoShape 12">
          <a:extLst>
            <a:ext uri="{FF2B5EF4-FFF2-40B4-BE49-F238E27FC236}">
              <a16:creationId xmlns:a16="http://schemas.microsoft.com/office/drawing/2014/main" id="{2C8DFA19-1758-4307-895F-E491BFFE1B0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232" name="AutoShape 12">
          <a:extLst>
            <a:ext uri="{FF2B5EF4-FFF2-40B4-BE49-F238E27FC236}">
              <a16:creationId xmlns:a16="http://schemas.microsoft.com/office/drawing/2014/main" id="{0E291E35-9D67-4356-83D5-12EAD870EA6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233" name="AutoShape 12">
          <a:extLst>
            <a:ext uri="{FF2B5EF4-FFF2-40B4-BE49-F238E27FC236}">
              <a16:creationId xmlns:a16="http://schemas.microsoft.com/office/drawing/2014/main" id="{DA95F34B-93D4-4D8A-B26D-C790B0E09F5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234" name="AutoShape 12">
          <a:extLst>
            <a:ext uri="{FF2B5EF4-FFF2-40B4-BE49-F238E27FC236}">
              <a16:creationId xmlns:a16="http://schemas.microsoft.com/office/drawing/2014/main" id="{24D312C9-EFE7-40E7-8763-71FE8DDDC46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235" name="AutoShape 12">
          <a:extLst>
            <a:ext uri="{FF2B5EF4-FFF2-40B4-BE49-F238E27FC236}">
              <a16:creationId xmlns:a16="http://schemas.microsoft.com/office/drawing/2014/main" id="{C3683227-2065-41BF-B47A-F8AA0B0ED75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236" name="AutoShape 12">
          <a:extLst>
            <a:ext uri="{FF2B5EF4-FFF2-40B4-BE49-F238E27FC236}">
              <a16:creationId xmlns:a16="http://schemas.microsoft.com/office/drawing/2014/main" id="{9E82E58E-E4E9-4052-A117-2301FBEABB3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237" name="AutoShape 12">
          <a:extLst>
            <a:ext uri="{FF2B5EF4-FFF2-40B4-BE49-F238E27FC236}">
              <a16:creationId xmlns:a16="http://schemas.microsoft.com/office/drawing/2014/main" id="{E9410A77-7663-4022-8B14-F9C4330D8CC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238" name="AutoShape 12">
          <a:extLst>
            <a:ext uri="{FF2B5EF4-FFF2-40B4-BE49-F238E27FC236}">
              <a16:creationId xmlns:a16="http://schemas.microsoft.com/office/drawing/2014/main" id="{D42172A1-6EBF-4AA1-872C-721C2A344B6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239" name="AutoShape 12">
          <a:extLst>
            <a:ext uri="{FF2B5EF4-FFF2-40B4-BE49-F238E27FC236}">
              <a16:creationId xmlns:a16="http://schemas.microsoft.com/office/drawing/2014/main" id="{5EC000E7-3B0A-41C1-8AA4-A6F1D22D736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240" name="AutoShape 12">
          <a:extLst>
            <a:ext uri="{FF2B5EF4-FFF2-40B4-BE49-F238E27FC236}">
              <a16:creationId xmlns:a16="http://schemas.microsoft.com/office/drawing/2014/main" id="{94058AD2-405C-4F6F-9F68-201B4E5346D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241" name="AutoShape 12">
          <a:extLst>
            <a:ext uri="{FF2B5EF4-FFF2-40B4-BE49-F238E27FC236}">
              <a16:creationId xmlns:a16="http://schemas.microsoft.com/office/drawing/2014/main" id="{6A9BB077-7875-47B3-B8D2-543EE6CC134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242" name="AutoShape 12">
          <a:extLst>
            <a:ext uri="{FF2B5EF4-FFF2-40B4-BE49-F238E27FC236}">
              <a16:creationId xmlns:a16="http://schemas.microsoft.com/office/drawing/2014/main" id="{4E504380-41B2-42C4-8535-CC93B92E6AE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243" name="AutoShape 12">
          <a:extLst>
            <a:ext uri="{FF2B5EF4-FFF2-40B4-BE49-F238E27FC236}">
              <a16:creationId xmlns:a16="http://schemas.microsoft.com/office/drawing/2014/main" id="{E3B0E2FC-4846-4DD4-90B7-A5D79E74C15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244" name="AutoShape 12">
          <a:extLst>
            <a:ext uri="{FF2B5EF4-FFF2-40B4-BE49-F238E27FC236}">
              <a16:creationId xmlns:a16="http://schemas.microsoft.com/office/drawing/2014/main" id="{ABC77912-206A-4348-A6A1-33C5EEBD079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245" name="AutoShape 12">
          <a:extLst>
            <a:ext uri="{FF2B5EF4-FFF2-40B4-BE49-F238E27FC236}">
              <a16:creationId xmlns:a16="http://schemas.microsoft.com/office/drawing/2014/main" id="{E28C8F29-A5CE-4FC3-A9C2-4C92503CE34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246" name="AutoShape 12">
          <a:extLst>
            <a:ext uri="{FF2B5EF4-FFF2-40B4-BE49-F238E27FC236}">
              <a16:creationId xmlns:a16="http://schemas.microsoft.com/office/drawing/2014/main" id="{2DB98C55-AB88-4A6C-911B-5BDC33EC474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247" name="AutoShape 12">
          <a:extLst>
            <a:ext uri="{FF2B5EF4-FFF2-40B4-BE49-F238E27FC236}">
              <a16:creationId xmlns:a16="http://schemas.microsoft.com/office/drawing/2014/main" id="{2321CF17-8550-4E98-ACA5-8F82EA673A2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248" name="AutoShape 12">
          <a:extLst>
            <a:ext uri="{FF2B5EF4-FFF2-40B4-BE49-F238E27FC236}">
              <a16:creationId xmlns:a16="http://schemas.microsoft.com/office/drawing/2014/main" id="{7210CC3B-6B25-4ACD-A08A-0E149139319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249" name="AutoShape 12">
          <a:extLst>
            <a:ext uri="{FF2B5EF4-FFF2-40B4-BE49-F238E27FC236}">
              <a16:creationId xmlns:a16="http://schemas.microsoft.com/office/drawing/2014/main" id="{E6616FAF-6A60-415C-B1C6-30A5402DA0C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250" name="AutoShape 12">
          <a:extLst>
            <a:ext uri="{FF2B5EF4-FFF2-40B4-BE49-F238E27FC236}">
              <a16:creationId xmlns:a16="http://schemas.microsoft.com/office/drawing/2014/main" id="{7CD92964-6F11-4349-8033-A64B5D2C4A0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251" name="AutoShape 12">
          <a:extLst>
            <a:ext uri="{FF2B5EF4-FFF2-40B4-BE49-F238E27FC236}">
              <a16:creationId xmlns:a16="http://schemas.microsoft.com/office/drawing/2014/main" id="{48A001FA-6DB9-411E-B519-D2519F8A27F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252" name="AutoShape 12">
          <a:extLst>
            <a:ext uri="{FF2B5EF4-FFF2-40B4-BE49-F238E27FC236}">
              <a16:creationId xmlns:a16="http://schemas.microsoft.com/office/drawing/2014/main" id="{5FB0B0DE-F58C-4C16-A146-35D3DEF31AF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253" name="AutoShape 12">
          <a:extLst>
            <a:ext uri="{FF2B5EF4-FFF2-40B4-BE49-F238E27FC236}">
              <a16:creationId xmlns:a16="http://schemas.microsoft.com/office/drawing/2014/main" id="{9F8173D1-FA1A-4003-82D3-21110AE1BDD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254" name="AutoShape 12">
          <a:extLst>
            <a:ext uri="{FF2B5EF4-FFF2-40B4-BE49-F238E27FC236}">
              <a16:creationId xmlns:a16="http://schemas.microsoft.com/office/drawing/2014/main" id="{3A3FD7E1-3CB3-4104-9310-2D73C723793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255" name="AutoShape 12">
          <a:extLst>
            <a:ext uri="{FF2B5EF4-FFF2-40B4-BE49-F238E27FC236}">
              <a16:creationId xmlns:a16="http://schemas.microsoft.com/office/drawing/2014/main" id="{D1DAF469-B704-446D-BA10-B45B36A76EF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256" name="AutoShape 12">
          <a:extLst>
            <a:ext uri="{FF2B5EF4-FFF2-40B4-BE49-F238E27FC236}">
              <a16:creationId xmlns:a16="http://schemas.microsoft.com/office/drawing/2014/main" id="{1BC5308E-F325-4BEF-ADDA-113DD15A11D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257" name="AutoShape 12">
          <a:extLst>
            <a:ext uri="{FF2B5EF4-FFF2-40B4-BE49-F238E27FC236}">
              <a16:creationId xmlns:a16="http://schemas.microsoft.com/office/drawing/2014/main" id="{DF005FDB-256B-4474-ABD4-6F27DBA9A11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258" name="AutoShape 12">
          <a:extLst>
            <a:ext uri="{FF2B5EF4-FFF2-40B4-BE49-F238E27FC236}">
              <a16:creationId xmlns:a16="http://schemas.microsoft.com/office/drawing/2014/main" id="{C2EAB5A3-6449-4F0C-A59A-6E6022B006B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259" name="AutoShape 12">
          <a:extLst>
            <a:ext uri="{FF2B5EF4-FFF2-40B4-BE49-F238E27FC236}">
              <a16:creationId xmlns:a16="http://schemas.microsoft.com/office/drawing/2014/main" id="{B5FD0C5A-65BA-4E93-96BC-FA2EE5051D7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260" name="AutoShape 12">
          <a:extLst>
            <a:ext uri="{FF2B5EF4-FFF2-40B4-BE49-F238E27FC236}">
              <a16:creationId xmlns:a16="http://schemas.microsoft.com/office/drawing/2014/main" id="{AA134D67-0CC8-4262-8C0E-576AAD186E6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261" name="AutoShape 12">
          <a:extLst>
            <a:ext uri="{FF2B5EF4-FFF2-40B4-BE49-F238E27FC236}">
              <a16:creationId xmlns:a16="http://schemas.microsoft.com/office/drawing/2014/main" id="{6069172E-EC1A-4EDB-B3E3-6B69AD74721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262" name="AutoShape 12">
          <a:extLst>
            <a:ext uri="{FF2B5EF4-FFF2-40B4-BE49-F238E27FC236}">
              <a16:creationId xmlns:a16="http://schemas.microsoft.com/office/drawing/2014/main" id="{3C1E50C4-3135-4126-BDF8-46BC4B17908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263" name="AutoShape 12">
          <a:extLst>
            <a:ext uri="{FF2B5EF4-FFF2-40B4-BE49-F238E27FC236}">
              <a16:creationId xmlns:a16="http://schemas.microsoft.com/office/drawing/2014/main" id="{026133F4-C670-4638-8E65-DCD8A44B5F7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264" name="AutoShape 12">
          <a:extLst>
            <a:ext uri="{FF2B5EF4-FFF2-40B4-BE49-F238E27FC236}">
              <a16:creationId xmlns:a16="http://schemas.microsoft.com/office/drawing/2014/main" id="{BB2A7B8F-D5AA-4432-9BF1-DFDBD0F5A53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265" name="AutoShape 12">
          <a:extLst>
            <a:ext uri="{FF2B5EF4-FFF2-40B4-BE49-F238E27FC236}">
              <a16:creationId xmlns:a16="http://schemas.microsoft.com/office/drawing/2014/main" id="{6600C0E2-1322-4D04-A2A4-1ADC7CF8242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266" name="AutoShape 12">
          <a:extLst>
            <a:ext uri="{FF2B5EF4-FFF2-40B4-BE49-F238E27FC236}">
              <a16:creationId xmlns:a16="http://schemas.microsoft.com/office/drawing/2014/main" id="{62AB867E-BF0F-431B-93C3-846F538A66C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267" name="AutoShape 12">
          <a:extLst>
            <a:ext uri="{FF2B5EF4-FFF2-40B4-BE49-F238E27FC236}">
              <a16:creationId xmlns:a16="http://schemas.microsoft.com/office/drawing/2014/main" id="{65C80016-B5DF-438C-A779-92613D98584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268" name="AutoShape 12">
          <a:extLst>
            <a:ext uri="{FF2B5EF4-FFF2-40B4-BE49-F238E27FC236}">
              <a16:creationId xmlns:a16="http://schemas.microsoft.com/office/drawing/2014/main" id="{D6E9DD48-2920-4023-814A-3EF13C30376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269" name="AutoShape 12">
          <a:extLst>
            <a:ext uri="{FF2B5EF4-FFF2-40B4-BE49-F238E27FC236}">
              <a16:creationId xmlns:a16="http://schemas.microsoft.com/office/drawing/2014/main" id="{58987783-1637-4E08-B499-CB648177102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270" name="AutoShape 12">
          <a:extLst>
            <a:ext uri="{FF2B5EF4-FFF2-40B4-BE49-F238E27FC236}">
              <a16:creationId xmlns:a16="http://schemas.microsoft.com/office/drawing/2014/main" id="{67780E43-5441-4044-958F-10618C3521B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271" name="AutoShape 12">
          <a:extLst>
            <a:ext uri="{FF2B5EF4-FFF2-40B4-BE49-F238E27FC236}">
              <a16:creationId xmlns:a16="http://schemas.microsoft.com/office/drawing/2014/main" id="{C2BA4B11-12CA-4F31-A5C8-AEC3E8E1021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272" name="AutoShape 12">
          <a:extLst>
            <a:ext uri="{FF2B5EF4-FFF2-40B4-BE49-F238E27FC236}">
              <a16:creationId xmlns:a16="http://schemas.microsoft.com/office/drawing/2014/main" id="{CD82450A-3A3E-434E-A81E-CFB64448735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273" name="AutoShape 12">
          <a:extLst>
            <a:ext uri="{FF2B5EF4-FFF2-40B4-BE49-F238E27FC236}">
              <a16:creationId xmlns:a16="http://schemas.microsoft.com/office/drawing/2014/main" id="{6FB28A6D-6B71-429B-A23A-D51A8E54340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274" name="AutoShape 12">
          <a:extLst>
            <a:ext uri="{FF2B5EF4-FFF2-40B4-BE49-F238E27FC236}">
              <a16:creationId xmlns:a16="http://schemas.microsoft.com/office/drawing/2014/main" id="{046A9964-C73F-48FD-9333-E30941E2B0A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275" name="AutoShape 12">
          <a:extLst>
            <a:ext uri="{FF2B5EF4-FFF2-40B4-BE49-F238E27FC236}">
              <a16:creationId xmlns:a16="http://schemas.microsoft.com/office/drawing/2014/main" id="{98B22BF8-BC87-404F-A05D-05C3D350B0D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276" name="AutoShape 12">
          <a:extLst>
            <a:ext uri="{FF2B5EF4-FFF2-40B4-BE49-F238E27FC236}">
              <a16:creationId xmlns:a16="http://schemas.microsoft.com/office/drawing/2014/main" id="{12F193B9-2E95-4EA5-B39D-197A3E970DE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277" name="AutoShape 12">
          <a:extLst>
            <a:ext uri="{FF2B5EF4-FFF2-40B4-BE49-F238E27FC236}">
              <a16:creationId xmlns:a16="http://schemas.microsoft.com/office/drawing/2014/main" id="{35866C60-D83C-4F16-8B74-3C23702CA3C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278" name="AutoShape 12">
          <a:extLst>
            <a:ext uri="{FF2B5EF4-FFF2-40B4-BE49-F238E27FC236}">
              <a16:creationId xmlns:a16="http://schemas.microsoft.com/office/drawing/2014/main" id="{17EC9BED-1156-4334-B9BE-A9155119603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279" name="AutoShape 12">
          <a:extLst>
            <a:ext uri="{FF2B5EF4-FFF2-40B4-BE49-F238E27FC236}">
              <a16:creationId xmlns:a16="http://schemas.microsoft.com/office/drawing/2014/main" id="{1D68D6CF-217A-4E08-873E-D0978033BDE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280" name="AutoShape 12">
          <a:extLst>
            <a:ext uri="{FF2B5EF4-FFF2-40B4-BE49-F238E27FC236}">
              <a16:creationId xmlns:a16="http://schemas.microsoft.com/office/drawing/2014/main" id="{883A5444-8FF6-4FF3-91C1-C011751CC80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281" name="AutoShape 12">
          <a:extLst>
            <a:ext uri="{FF2B5EF4-FFF2-40B4-BE49-F238E27FC236}">
              <a16:creationId xmlns:a16="http://schemas.microsoft.com/office/drawing/2014/main" id="{AA22D5ED-D1C6-4E25-9174-54FA8CB56B8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282" name="AutoShape 12">
          <a:extLst>
            <a:ext uri="{FF2B5EF4-FFF2-40B4-BE49-F238E27FC236}">
              <a16:creationId xmlns:a16="http://schemas.microsoft.com/office/drawing/2014/main" id="{03136260-6190-4164-9211-2D97927B7EB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283" name="AutoShape 12">
          <a:extLst>
            <a:ext uri="{FF2B5EF4-FFF2-40B4-BE49-F238E27FC236}">
              <a16:creationId xmlns:a16="http://schemas.microsoft.com/office/drawing/2014/main" id="{62C5B25D-1EA5-4093-9E39-CFFC40A94BC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284" name="AutoShape 12">
          <a:extLst>
            <a:ext uri="{FF2B5EF4-FFF2-40B4-BE49-F238E27FC236}">
              <a16:creationId xmlns:a16="http://schemas.microsoft.com/office/drawing/2014/main" id="{9D4B3C00-DFE1-4D72-9670-818032769F1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285" name="AutoShape 12">
          <a:extLst>
            <a:ext uri="{FF2B5EF4-FFF2-40B4-BE49-F238E27FC236}">
              <a16:creationId xmlns:a16="http://schemas.microsoft.com/office/drawing/2014/main" id="{3144FDA4-580F-45EA-AD96-E8FEED817FC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286" name="AutoShape 12">
          <a:extLst>
            <a:ext uri="{FF2B5EF4-FFF2-40B4-BE49-F238E27FC236}">
              <a16:creationId xmlns:a16="http://schemas.microsoft.com/office/drawing/2014/main" id="{B191E5D7-F8B6-49FB-BD38-F4ECE3E8FE3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287" name="AutoShape 12">
          <a:extLst>
            <a:ext uri="{FF2B5EF4-FFF2-40B4-BE49-F238E27FC236}">
              <a16:creationId xmlns:a16="http://schemas.microsoft.com/office/drawing/2014/main" id="{887C3F4E-B561-4495-8075-5AE0F302EDB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288" name="AutoShape 12">
          <a:extLst>
            <a:ext uri="{FF2B5EF4-FFF2-40B4-BE49-F238E27FC236}">
              <a16:creationId xmlns:a16="http://schemas.microsoft.com/office/drawing/2014/main" id="{E926510E-1D64-445E-8CEB-2E094743AC7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289" name="AutoShape 12">
          <a:extLst>
            <a:ext uri="{FF2B5EF4-FFF2-40B4-BE49-F238E27FC236}">
              <a16:creationId xmlns:a16="http://schemas.microsoft.com/office/drawing/2014/main" id="{31F472AA-C273-4352-8A3E-F3E4A11A067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290" name="AutoShape 12">
          <a:extLst>
            <a:ext uri="{FF2B5EF4-FFF2-40B4-BE49-F238E27FC236}">
              <a16:creationId xmlns:a16="http://schemas.microsoft.com/office/drawing/2014/main" id="{500FF315-039D-4A55-9B87-F5AFAD3F2D1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291" name="AutoShape 12">
          <a:extLst>
            <a:ext uri="{FF2B5EF4-FFF2-40B4-BE49-F238E27FC236}">
              <a16:creationId xmlns:a16="http://schemas.microsoft.com/office/drawing/2014/main" id="{9BD0CB8A-B063-4656-B834-1D16F6F690F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292" name="AutoShape 12">
          <a:extLst>
            <a:ext uri="{FF2B5EF4-FFF2-40B4-BE49-F238E27FC236}">
              <a16:creationId xmlns:a16="http://schemas.microsoft.com/office/drawing/2014/main" id="{1D19A4DD-1B7F-42AE-8D29-04088816CF2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293" name="AutoShape 12">
          <a:extLst>
            <a:ext uri="{FF2B5EF4-FFF2-40B4-BE49-F238E27FC236}">
              <a16:creationId xmlns:a16="http://schemas.microsoft.com/office/drawing/2014/main" id="{6CBA894C-023B-4625-A6DC-07C2A7E252F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294" name="AutoShape 12">
          <a:extLst>
            <a:ext uri="{FF2B5EF4-FFF2-40B4-BE49-F238E27FC236}">
              <a16:creationId xmlns:a16="http://schemas.microsoft.com/office/drawing/2014/main" id="{A14042DD-4327-48F6-87D9-F64428EA200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295" name="AutoShape 12">
          <a:extLst>
            <a:ext uri="{FF2B5EF4-FFF2-40B4-BE49-F238E27FC236}">
              <a16:creationId xmlns:a16="http://schemas.microsoft.com/office/drawing/2014/main" id="{2F17DBB1-E16C-42FA-B44E-F33C1764382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296" name="AutoShape 12">
          <a:extLst>
            <a:ext uri="{FF2B5EF4-FFF2-40B4-BE49-F238E27FC236}">
              <a16:creationId xmlns:a16="http://schemas.microsoft.com/office/drawing/2014/main" id="{9B6DAE27-AD5A-496E-A931-D8D8933CE78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297" name="AutoShape 12">
          <a:extLst>
            <a:ext uri="{FF2B5EF4-FFF2-40B4-BE49-F238E27FC236}">
              <a16:creationId xmlns:a16="http://schemas.microsoft.com/office/drawing/2014/main" id="{16BB04F0-A7F6-490C-A35C-E307B3B3A27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298" name="AutoShape 12">
          <a:extLst>
            <a:ext uri="{FF2B5EF4-FFF2-40B4-BE49-F238E27FC236}">
              <a16:creationId xmlns:a16="http://schemas.microsoft.com/office/drawing/2014/main" id="{76012BB6-39BC-43C2-8AD7-18CFB54B35F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299" name="AutoShape 12">
          <a:extLst>
            <a:ext uri="{FF2B5EF4-FFF2-40B4-BE49-F238E27FC236}">
              <a16:creationId xmlns:a16="http://schemas.microsoft.com/office/drawing/2014/main" id="{89325021-9C4F-4B18-862E-4630A95B93F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300" name="AutoShape 12">
          <a:extLst>
            <a:ext uri="{FF2B5EF4-FFF2-40B4-BE49-F238E27FC236}">
              <a16:creationId xmlns:a16="http://schemas.microsoft.com/office/drawing/2014/main" id="{4495A720-7105-48BC-9984-1AA0719EE30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301" name="AutoShape 12">
          <a:extLst>
            <a:ext uri="{FF2B5EF4-FFF2-40B4-BE49-F238E27FC236}">
              <a16:creationId xmlns:a16="http://schemas.microsoft.com/office/drawing/2014/main" id="{32FF55F8-AA1F-4BE0-B97D-B376A23FC51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302" name="AutoShape 12">
          <a:extLst>
            <a:ext uri="{FF2B5EF4-FFF2-40B4-BE49-F238E27FC236}">
              <a16:creationId xmlns:a16="http://schemas.microsoft.com/office/drawing/2014/main" id="{08112CB1-E8DB-45E0-9734-EE91703D174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303" name="AutoShape 12">
          <a:extLst>
            <a:ext uri="{FF2B5EF4-FFF2-40B4-BE49-F238E27FC236}">
              <a16:creationId xmlns:a16="http://schemas.microsoft.com/office/drawing/2014/main" id="{EEF1ED5D-FF5D-4D94-BD53-27ADE675C9A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304" name="AutoShape 12">
          <a:extLst>
            <a:ext uri="{FF2B5EF4-FFF2-40B4-BE49-F238E27FC236}">
              <a16:creationId xmlns:a16="http://schemas.microsoft.com/office/drawing/2014/main" id="{7BA9B399-5E42-4DF1-8236-AB79E6129B1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305" name="AutoShape 12">
          <a:extLst>
            <a:ext uri="{FF2B5EF4-FFF2-40B4-BE49-F238E27FC236}">
              <a16:creationId xmlns:a16="http://schemas.microsoft.com/office/drawing/2014/main" id="{659C0B7B-E17C-4714-B3E2-BC11D051BF2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306" name="AutoShape 12">
          <a:extLst>
            <a:ext uri="{FF2B5EF4-FFF2-40B4-BE49-F238E27FC236}">
              <a16:creationId xmlns:a16="http://schemas.microsoft.com/office/drawing/2014/main" id="{92D694DC-7F17-4D94-98CF-A229E6F7BD0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307" name="AutoShape 12">
          <a:extLst>
            <a:ext uri="{FF2B5EF4-FFF2-40B4-BE49-F238E27FC236}">
              <a16:creationId xmlns:a16="http://schemas.microsoft.com/office/drawing/2014/main" id="{5EEC2E5E-F625-449E-ACAE-728A7C7B4DC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308" name="AutoShape 12">
          <a:extLst>
            <a:ext uri="{FF2B5EF4-FFF2-40B4-BE49-F238E27FC236}">
              <a16:creationId xmlns:a16="http://schemas.microsoft.com/office/drawing/2014/main" id="{0540E750-3712-466D-9DEB-B79B76963AF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309" name="AutoShape 12">
          <a:extLst>
            <a:ext uri="{FF2B5EF4-FFF2-40B4-BE49-F238E27FC236}">
              <a16:creationId xmlns:a16="http://schemas.microsoft.com/office/drawing/2014/main" id="{88EF21CC-4B2B-4511-B923-D1B68CCB447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310" name="AutoShape 12">
          <a:extLst>
            <a:ext uri="{FF2B5EF4-FFF2-40B4-BE49-F238E27FC236}">
              <a16:creationId xmlns:a16="http://schemas.microsoft.com/office/drawing/2014/main" id="{41509B6B-9085-4837-81D1-BDAE39EC12A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311" name="AutoShape 12">
          <a:extLst>
            <a:ext uri="{FF2B5EF4-FFF2-40B4-BE49-F238E27FC236}">
              <a16:creationId xmlns:a16="http://schemas.microsoft.com/office/drawing/2014/main" id="{51687604-03F1-450A-9F5A-7F0C12D9449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312" name="AutoShape 12">
          <a:extLst>
            <a:ext uri="{FF2B5EF4-FFF2-40B4-BE49-F238E27FC236}">
              <a16:creationId xmlns:a16="http://schemas.microsoft.com/office/drawing/2014/main" id="{9F928E4B-1253-441C-AAF0-8D7C6B45F2C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313" name="AutoShape 12">
          <a:extLst>
            <a:ext uri="{FF2B5EF4-FFF2-40B4-BE49-F238E27FC236}">
              <a16:creationId xmlns:a16="http://schemas.microsoft.com/office/drawing/2014/main" id="{FF7453B6-A40A-4CBA-9A71-02F002D367E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314" name="AutoShape 12">
          <a:extLst>
            <a:ext uri="{FF2B5EF4-FFF2-40B4-BE49-F238E27FC236}">
              <a16:creationId xmlns:a16="http://schemas.microsoft.com/office/drawing/2014/main" id="{55D23A11-C573-44D8-89A6-502EA458191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315" name="AutoShape 12">
          <a:extLst>
            <a:ext uri="{FF2B5EF4-FFF2-40B4-BE49-F238E27FC236}">
              <a16:creationId xmlns:a16="http://schemas.microsoft.com/office/drawing/2014/main" id="{2B91E5C6-73AC-464F-828E-0D8399CBDA8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316" name="AutoShape 12">
          <a:extLst>
            <a:ext uri="{FF2B5EF4-FFF2-40B4-BE49-F238E27FC236}">
              <a16:creationId xmlns:a16="http://schemas.microsoft.com/office/drawing/2014/main" id="{E49FA296-5AEC-43A5-A5D3-E9083F2681A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317" name="AutoShape 12">
          <a:extLst>
            <a:ext uri="{FF2B5EF4-FFF2-40B4-BE49-F238E27FC236}">
              <a16:creationId xmlns:a16="http://schemas.microsoft.com/office/drawing/2014/main" id="{32479890-A11A-4B70-9454-E2D6BD8448F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318" name="AutoShape 12">
          <a:extLst>
            <a:ext uri="{FF2B5EF4-FFF2-40B4-BE49-F238E27FC236}">
              <a16:creationId xmlns:a16="http://schemas.microsoft.com/office/drawing/2014/main" id="{1CDA5AF5-BB4A-4C9A-B487-53441DE733C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319" name="AutoShape 12">
          <a:extLst>
            <a:ext uri="{FF2B5EF4-FFF2-40B4-BE49-F238E27FC236}">
              <a16:creationId xmlns:a16="http://schemas.microsoft.com/office/drawing/2014/main" id="{F85E2E76-B725-4FF4-9714-91DC0FA6D47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320" name="AutoShape 12">
          <a:extLst>
            <a:ext uri="{FF2B5EF4-FFF2-40B4-BE49-F238E27FC236}">
              <a16:creationId xmlns:a16="http://schemas.microsoft.com/office/drawing/2014/main" id="{7DA91DC5-A22C-4937-AE8F-D758A1CFB11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321" name="AutoShape 12">
          <a:extLst>
            <a:ext uri="{FF2B5EF4-FFF2-40B4-BE49-F238E27FC236}">
              <a16:creationId xmlns:a16="http://schemas.microsoft.com/office/drawing/2014/main" id="{DEDC1BF7-D1E4-413A-BFFC-3E12E819729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322" name="AutoShape 12">
          <a:extLst>
            <a:ext uri="{FF2B5EF4-FFF2-40B4-BE49-F238E27FC236}">
              <a16:creationId xmlns:a16="http://schemas.microsoft.com/office/drawing/2014/main" id="{5AD84021-A008-4587-9F85-228A72B0324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323" name="AutoShape 12">
          <a:extLst>
            <a:ext uri="{FF2B5EF4-FFF2-40B4-BE49-F238E27FC236}">
              <a16:creationId xmlns:a16="http://schemas.microsoft.com/office/drawing/2014/main" id="{A8653B74-A974-41D4-9278-85DB22C46CC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324" name="AutoShape 12">
          <a:extLst>
            <a:ext uri="{FF2B5EF4-FFF2-40B4-BE49-F238E27FC236}">
              <a16:creationId xmlns:a16="http://schemas.microsoft.com/office/drawing/2014/main" id="{FA0F4FA0-C4C0-472B-A02E-32CED38EBD1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325" name="AutoShape 12">
          <a:extLst>
            <a:ext uri="{FF2B5EF4-FFF2-40B4-BE49-F238E27FC236}">
              <a16:creationId xmlns:a16="http://schemas.microsoft.com/office/drawing/2014/main" id="{63966C6C-330D-46C0-A3C1-9F330C97E07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326" name="AutoShape 12">
          <a:extLst>
            <a:ext uri="{FF2B5EF4-FFF2-40B4-BE49-F238E27FC236}">
              <a16:creationId xmlns:a16="http://schemas.microsoft.com/office/drawing/2014/main" id="{5034E2CD-2CA4-46E2-AD0A-6054593DF13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327" name="AutoShape 12">
          <a:extLst>
            <a:ext uri="{FF2B5EF4-FFF2-40B4-BE49-F238E27FC236}">
              <a16:creationId xmlns:a16="http://schemas.microsoft.com/office/drawing/2014/main" id="{CCBA619B-A2A7-4B5F-8D20-426B0F32520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328" name="AutoShape 12">
          <a:extLst>
            <a:ext uri="{FF2B5EF4-FFF2-40B4-BE49-F238E27FC236}">
              <a16:creationId xmlns:a16="http://schemas.microsoft.com/office/drawing/2014/main" id="{F826FA81-D750-4229-8259-3D6AB969EE3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329" name="AutoShape 12">
          <a:extLst>
            <a:ext uri="{FF2B5EF4-FFF2-40B4-BE49-F238E27FC236}">
              <a16:creationId xmlns:a16="http://schemas.microsoft.com/office/drawing/2014/main" id="{352CD9F7-7516-4E04-BC27-7D6964E9415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330" name="AutoShape 12">
          <a:extLst>
            <a:ext uri="{FF2B5EF4-FFF2-40B4-BE49-F238E27FC236}">
              <a16:creationId xmlns:a16="http://schemas.microsoft.com/office/drawing/2014/main" id="{7DA4D584-4C73-47E7-90E3-2F8EB177304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331" name="AutoShape 12">
          <a:extLst>
            <a:ext uri="{FF2B5EF4-FFF2-40B4-BE49-F238E27FC236}">
              <a16:creationId xmlns:a16="http://schemas.microsoft.com/office/drawing/2014/main" id="{7092292A-F2FA-40F9-8DA3-DB69C28E2DF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332" name="AutoShape 12">
          <a:extLst>
            <a:ext uri="{FF2B5EF4-FFF2-40B4-BE49-F238E27FC236}">
              <a16:creationId xmlns:a16="http://schemas.microsoft.com/office/drawing/2014/main" id="{197DAB25-ED93-47C3-90D4-5D1E1BC3542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333" name="AutoShape 12">
          <a:extLst>
            <a:ext uri="{FF2B5EF4-FFF2-40B4-BE49-F238E27FC236}">
              <a16:creationId xmlns:a16="http://schemas.microsoft.com/office/drawing/2014/main" id="{7A9DC452-0344-4664-859D-9EC1E61C89C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334" name="AutoShape 12">
          <a:extLst>
            <a:ext uri="{FF2B5EF4-FFF2-40B4-BE49-F238E27FC236}">
              <a16:creationId xmlns:a16="http://schemas.microsoft.com/office/drawing/2014/main" id="{3B29C96C-AEF1-4011-89E2-2770D749FD3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335" name="AutoShape 12">
          <a:extLst>
            <a:ext uri="{FF2B5EF4-FFF2-40B4-BE49-F238E27FC236}">
              <a16:creationId xmlns:a16="http://schemas.microsoft.com/office/drawing/2014/main" id="{8E733213-3EC5-4200-9D6A-1FB51BF0C34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336" name="AutoShape 12">
          <a:extLst>
            <a:ext uri="{FF2B5EF4-FFF2-40B4-BE49-F238E27FC236}">
              <a16:creationId xmlns:a16="http://schemas.microsoft.com/office/drawing/2014/main" id="{FF9E20E2-1F7F-48CE-AB89-B6C33EB0F6D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337" name="AutoShape 12">
          <a:extLst>
            <a:ext uri="{FF2B5EF4-FFF2-40B4-BE49-F238E27FC236}">
              <a16:creationId xmlns:a16="http://schemas.microsoft.com/office/drawing/2014/main" id="{9BE5D4F6-C290-418F-8F40-FF8F6767D01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338" name="AutoShape 12">
          <a:extLst>
            <a:ext uri="{FF2B5EF4-FFF2-40B4-BE49-F238E27FC236}">
              <a16:creationId xmlns:a16="http://schemas.microsoft.com/office/drawing/2014/main" id="{F0AB9C4E-E485-4DFE-90AC-D0F785D7F7F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339" name="AutoShape 12">
          <a:extLst>
            <a:ext uri="{FF2B5EF4-FFF2-40B4-BE49-F238E27FC236}">
              <a16:creationId xmlns:a16="http://schemas.microsoft.com/office/drawing/2014/main" id="{99749836-2676-4695-896F-80E43FEFC65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340" name="AutoShape 12">
          <a:extLst>
            <a:ext uri="{FF2B5EF4-FFF2-40B4-BE49-F238E27FC236}">
              <a16:creationId xmlns:a16="http://schemas.microsoft.com/office/drawing/2014/main" id="{49423C65-9C53-4644-9EDF-797E7700A92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341" name="AutoShape 12">
          <a:extLst>
            <a:ext uri="{FF2B5EF4-FFF2-40B4-BE49-F238E27FC236}">
              <a16:creationId xmlns:a16="http://schemas.microsoft.com/office/drawing/2014/main" id="{B7BFC34A-D717-419F-B394-3911F785277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342" name="AutoShape 12">
          <a:extLst>
            <a:ext uri="{FF2B5EF4-FFF2-40B4-BE49-F238E27FC236}">
              <a16:creationId xmlns:a16="http://schemas.microsoft.com/office/drawing/2014/main" id="{1D264889-95E6-4BFB-B719-8098B4A2C8D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343" name="AutoShape 12">
          <a:extLst>
            <a:ext uri="{FF2B5EF4-FFF2-40B4-BE49-F238E27FC236}">
              <a16:creationId xmlns:a16="http://schemas.microsoft.com/office/drawing/2014/main" id="{287FF607-7CDE-4386-A185-C24104AAEDD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344" name="AutoShape 12">
          <a:extLst>
            <a:ext uri="{FF2B5EF4-FFF2-40B4-BE49-F238E27FC236}">
              <a16:creationId xmlns:a16="http://schemas.microsoft.com/office/drawing/2014/main" id="{7421F776-48D9-48DE-B2B1-B74290011D5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345" name="AutoShape 12">
          <a:extLst>
            <a:ext uri="{FF2B5EF4-FFF2-40B4-BE49-F238E27FC236}">
              <a16:creationId xmlns:a16="http://schemas.microsoft.com/office/drawing/2014/main" id="{2A9D33D1-107F-4370-BF34-6583CED20A9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346" name="AutoShape 12">
          <a:extLst>
            <a:ext uri="{FF2B5EF4-FFF2-40B4-BE49-F238E27FC236}">
              <a16:creationId xmlns:a16="http://schemas.microsoft.com/office/drawing/2014/main" id="{7C4AD897-00D6-44E4-9AD7-E76800055F7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347" name="AutoShape 12">
          <a:extLst>
            <a:ext uri="{FF2B5EF4-FFF2-40B4-BE49-F238E27FC236}">
              <a16:creationId xmlns:a16="http://schemas.microsoft.com/office/drawing/2014/main" id="{389FFEFA-80E9-4A3C-B9D4-F9A87E7D866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348" name="AutoShape 12">
          <a:extLst>
            <a:ext uri="{FF2B5EF4-FFF2-40B4-BE49-F238E27FC236}">
              <a16:creationId xmlns:a16="http://schemas.microsoft.com/office/drawing/2014/main" id="{F0C7B9DD-15A2-42D2-8262-C90D83C905F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349" name="AutoShape 12">
          <a:extLst>
            <a:ext uri="{FF2B5EF4-FFF2-40B4-BE49-F238E27FC236}">
              <a16:creationId xmlns:a16="http://schemas.microsoft.com/office/drawing/2014/main" id="{4E7C004D-35C7-4D44-ADF2-FA63165A9AD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350" name="AutoShape 12">
          <a:extLst>
            <a:ext uri="{FF2B5EF4-FFF2-40B4-BE49-F238E27FC236}">
              <a16:creationId xmlns:a16="http://schemas.microsoft.com/office/drawing/2014/main" id="{A95DD290-C3C2-4E54-96AE-6CC3338F076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351" name="AutoShape 12">
          <a:extLst>
            <a:ext uri="{FF2B5EF4-FFF2-40B4-BE49-F238E27FC236}">
              <a16:creationId xmlns:a16="http://schemas.microsoft.com/office/drawing/2014/main" id="{C87763B1-53D9-4EC0-BE6A-41FD906D8D5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352" name="AutoShape 12">
          <a:extLst>
            <a:ext uri="{FF2B5EF4-FFF2-40B4-BE49-F238E27FC236}">
              <a16:creationId xmlns:a16="http://schemas.microsoft.com/office/drawing/2014/main" id="{2DA60788-5742-4B4C-B6A6-87962132BD4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353" name="AutoShape 12">
          <a:extLst>
            <a:ext uri="{FF2B5EF4-FFF2-40B4-BE49-F238E27FC236}">
              <a16:creationId xmlns:a16="http://schemas.microsoft.com/office/drawing/2014/main" id="{B0AC683C-3FCF-433D-89F8-364EA510171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354" name="AutoShape 12">
          <a:extLst>
            <a:ext uri="{FF2B5EF4-FFF2-40B4-BE49-F238E27FC236}">
              <a16:creationId xmlns:a16="http://schemas.microsoft.com/office/drawing/2014/main" id="{A2F38459-40ED-4F8F-A6F5-5B51BF884F1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355" name="AutoShape 12">
          <a:extLst>
            <a:ext uri="{FF2B5EF4-FFF2-40B4-BE49-F238E27FC236}">
              <a16:creationId xmlns:a16="http://schemas.microsoft.com/office/drawing/2014/main" id="{17F25636-A2E4-40CA-9F1D-89684E6D4F7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356" name="AutoShape 12">
          <a:extLst>
            <a:ext uri="{FF2B5EF4-FFF2-40B4-BE49-F238E27FC236}">
              <a16:creationId xmlns:a16="http://schemas.microsoft.com/office/drawing/2014/main" id="{91EAA661-EA86-4541-B469-0DCEFA92DD9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357" name="AutoShape 12">
          <a:extLst>
            <a:ext uri="{FF2B5EF4-FFF2-40B4-BE49-F238E27FC236}">
              <a16:creationId xmlns:a16="http://schemas.microsoft.com/office/drawing/2014/main" id="{9FE6E0A1-94E1-438B-9BEB-4CE7BBD7519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358" name="AutoShape 12">
          <a:extLst>
            <a:ext uri="{FF2B5EF4-FFF2-40B4-BE49-F238E27FC236}">
              <a16:creationId xmlns:a16="http://schemas.microsoft.com/office/drawing/2014/main" id="{203297E5-1F23-4115-85EA-C45D82F0AC3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359" name="AutoShape 12">
          <a:extLst>
            <a:ext uri="{FF2B5EF4-FFF2-40B4-BE49-F238E27FC236}">
              <a16:creationId xmlns:a16="http://schemas.microsoft.com/office/drawing/2014/main" id="{0FEAB307-816C-47E0-8132-D6730072907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360" name="AutoShape 12">
          <a:extLst>
            <a:ext uri="{FF2B5EF4-FFF2-40B4-BE49-F238E27FC236}">
              <a16:creationId xmlns:a16="http://schemas.microsoft.com/office/drawing/2014/main" id="{F3595DC1-63FE-4308-A59D-83FAFE1F3FB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361" name="AutoShape 12">
          <a:extLst>
            <a:ext uri="{FF2B5EF4-FFF2-40B4-BE49-F238E27FC236}">
              <a16:creationId xmlns:a16="http://schemas.microsoft.com/office/drawing/2014/main" id="{19190D05-40A6-4E4B-97BE-3C83BDC598F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362" name="AutoShape 12">
          <a:extLst>
            <a:ext uri="{FF2B5EF4-FFF2-40B4-BE49-F238E27FC236}">
              <a16:creationId xmlns:a16="http://schemas.microsoft.com/office/drawing/2014/main" id="{3E22B098-0D70-4BB5-AD29-E9B249D90F7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363" name="AutoShape 12">
          <a:extLst>
            <a:ext uri="{FF2B5EF4-FFF2-40B4-BE49-F238E27FC236}">
              <a16:creationId xmlns:a16="http://schemas.microsoft.com/office/drawing/2014/main" id="{19671447-044D-4293-A234-FC6CFDE7D4E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364" name="AutoShape 12">
          <a:extLst>
            <a:ext uri="{FF2B5EF4-FFF2-40B4-BE49-F238E27FC236}">
              <a16:creationId xmlns:a16="http://schemas.microsoft.com/office/drawing/2014/main" id="{E25B7125-A6B7-4231-BDCA-721B45C7833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365" name="AutoShape 12">
          <a:extLst>
            <a:ext uri="{FF2B5EF4-FFF2-40B4-BE49-F238E27FC236}">
              <a16:creationId xmlns:a16="http://schemas.microsoft.com/office/drawing/2014/main" id="{79E75B56-45DE-4CF5-9AF6-0537AC3ACC2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366" name="AutoShape 12">
          <a:extLst>
            <a:ext uri="{FF2B5EF4-FFF2-40B4-BE49-F238E27FC236}">
              <a16:creationId xmlns:a16="http://schemas.microsoft.com/office/drawing/2014/main" id="{7A97BCA6-CC85-47A2-8A32-449618329EA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367" name="AutoShape 12">
          <a:extLst>
            <a:ext uri="{FF2B5EF4-FFF2-40B4-BE49-F238E27FC236}">
              <a16:creationId xmlns:a16="http://schemas.microsoft.com/office/drawing/2014/main" id="{3281A046-F6AC-4F32-BCAC-2F33A917134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368" name="AutoShape 12">
          <a:extLst>
            <a:ext uri="{FF2B5EF4-FFF2-40B4-BE49-F238E27FC236}">
              <a16:creationId xmlns:a16="http://schemas.microsoft.com/office/drawing/2014/main" id="{66F70B63-FC56-4B0C-9A59-BCE50410C81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369" name="AutoShape 12">
          <a:extLst>
            <a:ext uri="{FF2B5EF4-FFF2-40B4-BE49-F238E27FC236}">
              <a16:creationId xmlns:a16="http://schemas.microsoft.com/office/drawing/2014/main" id="{ED44B59B-16F7-4EE5-85DC-3CCF1FDBB0A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370" name="AutoShape 12">
          <a:extLst>
            <a:ext uri="{FF2B5EF4-FFF2-40B4-BE49-F238E27FC236}">
              <a16:creationId xmlns:a16="http://schemas.microsoft.com/office/drawing/2014/main" id="{2736285B-18E7-445A-9FF1-512D864A38D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371" name="AutoShape 12">
          <a:extLst>
            <a:ext uri="{FF2B5EF4-FFF2-40B4-BE49-F238E27FC236}">
              <a16:creationId xmlns:a16="http://schemas.microsoft.com/office/drawing/2014/main" id="{8258355F-16D1-4C18-93FA-B6C7DB21085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372" name="AutoShape 12">
          <a:extLst>
            <a:ext uri="{FF2B5EF4-FFF2-40B4-BE49-F238E27FC236}">
              <a16:creationId xmlns:a16="http://schemas.microsoft.com/office/drawing/2014/main" id="{269150DB-ED55-4C71-A755-55B7FC72F2F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373" name="AutoShape 12">
          <a:extLst>
            <a:ext uri="{FF2B5EF4-FFF2-40B4-BE49-F238E27FC236}">
              <a16:creationId xmlns:a16="http://schemas.microsoft.com/office/drawing/2014/main" id="{74EB7AC3-E99D-467B-9672-739EC5FDC34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374" name="AutoShape 12">
          <a:extLst>
            <a:ext uri="{FF2B5EF4-FFF2-40B4-BE49-F238E27FC236}">
              <a16:creationId xmlns:a16="http://schemas.microsoft.com/office/drawing/2014/main" id="{C59AA6EC-E5C1-41BD-A297-3E44F1A731B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375" name="AutoShape 12">
          <a:extLst>
            <a:ext uri="{FF2B5EF4-FFF2-40B4-BE49-F238E27FC236}">
              <a16:creationId xmlns:a16="http://schemas.microsoft.com/office/drawing/2014/main" id="{039647E3-1DDF-4200-A48A-B56705061EA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376" name="AutoShape 12">
          <a:extLst>
            <a:ext uri="{FF2B5EF4-FFF2-40B4-BE49-F238E27FC236}">
              <a16:creationId xmlns:a16="http://schemas.microsoft.com/office/drawing/2014/main" id="{E7D90128-66C0-4C1E-8462-A869E0B36C5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377" name="AutoShape 12">
          <a:extLst>
            <a:ext uri="{FF2B5EF4-FFF2-40B4-BE49-F238E27FC236}">
              <a16:creationId xmlns:a16="http://schemas.microsoft.com/office/drawing/2014/main" id="{DC398F4D-BA93-4BD7-A79D-385641EA5B0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378" name="AutoShape 12">
          <a:extLst>
            <a:ext uri="{FF2B5EF4-FFF2-40B4-BE49-F238E27FC236}">
              <a16:creationId xmlns:a16="http://schemas.microsoft.com/office/drawing/2014/main" id="{F4A66100-6071-4D9D-8CA4-49F3AAA5728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379" name="AutoShape 12">
          <a:extLst>
            <a:ext uri="{FF2B5EF4-FFF2-40B4-BE49-F238E27FC236}">
              <a16:creationId xmlns:a16="http://schemas.microsoft.com/office/drawing/2014/main" id="{27D84A1F-54EE-4234-A926-1F447FBCBC0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380" name="AutoShape 12">
          <a:extLst>
            <a:ext uri="{FF2B5EF4-FFF2-40B4-BE49-F238E27FC236}">
              <a16:creationId xmlns:a16="http://schemas.microsoft.com/office/drawing/2014/main" id="{3F79CF0B-7948-456B-8A0F-A6EB6516A70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381" name="AutoShape 12">
          <a:extLst>
            <a:ext uri="{FF2B5EF4-FFF2-40B4-BE49-F238E27FC236}">
              <a16:creationId xmlns:a16="http://schemas.microsoft.com/office/drawing/2014/main" id="{397182DC-5A88-4919-BE9A-7D99D28751C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382" name="AutoShape 12">
          <a:extLst>
            <a:ext uri="{FF2B5EF4-FFF2-40B4-BE49-F238E27FC236}">
              <a16:creationId xmlns:a16="http://schemas.microsoft.com/office/drawing/2014/main" id="{2A0C50EA-B169-4EFE-BD52-8C4DAF7825A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383" name="AutoShape 12">
          <a:extLst>
            <a:ext uri="{FF2B5EF4-FFF2-40B4-BE49-F238E27FC236}">
              <a16:creationId xmlns:a16="http://schemas.microsoft.com/office/drawing/2014/main" id="{1F05CE8A-09BE-4407-BF9E-7D86F2EB55E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384" name="AutoShape 12">
          <a:extLst>
            <a:ext uri="{FF2B5EF4-FFF2-40B4-BE49-F238E27FC236}">
              <a16:creationId xmlns:a16="http://schemas.microsoft.com/office/drawing/2014/main" id="{30788398-2FAB-4A13-BB9C-1662386B99B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385" name="AutoShape 12">
          <a:extLst>
            <a:ext uri="{FF2B5EF4-FFF2-40B4-BE49-F238E27FC236}">
              <a16:creationId xmlns:a16="http://schemas.microsoft.com/office/drawing/2014/main" id="{2497BE35-9D9F-4CF1-9B07-A64E24DAB0E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386" name="AutoShape 12">
          <a:extLst>
            <a:ext uri="{FF2B5EF4-FFF2-40B4-BE49-F238E27FC236}">
              <a16:creationId xmlns:a16="http://schemas.microsoft.com/office/drawing/2014/main" id="{D1E65C11-38F1-4536-9DA3-38010C5B6A3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387" name="AutoShape 12">
          <a:extLst>
            <a:ext uri="{FF2B5EF4-FFF2-40B4-BE49-F238E27FC236}">
              <a16:creationId xmlns:a16="http://schemas.microsoft.com/office/drawing/2014/main" id="{C095E90B-E4B7-42C7-8468-4094D9B6B31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388" name="AutoShape 12">
          <a:extLst>
            <a:ext uri="{FF2B5EF4-FFF2-40B4-BE49-F238E27FC236}">
              <a16:creationId xmlns:a16="http://schemas.microsoft.com/office/drawing/2014/main" id="{775A28B6-8D0F-4E28-A151-CA4FFE3008B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389" name="AutoShape 12">
          <a:extLst>
            <a:ext uri="{FF2B5EF4-FFF2-40B4-BE49-F238E27FC236}">
              <a16:creationId xmlns:a16="http://schemas.microsoft.com/office/drawing/2014/main" id="{2AC46945-A1EE-4A85-99C5-2B4871EA236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390" name="AutoShape 12">
          <a:extLst>
            <a:ext uri="{FF2B5EF4-FFF2-40B4-BE49-F238E27FC236}">
              <a16:creationId xmlns:a16="http://schemas.microsoft.com/office/drawing/2014/main" id="{1876963D-D691-4127-8484-FEC9FB927F6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391" name="AutoShape 12">
          <a:extLst>
            <a:ext uri="{FF2B5EF4-FFF2-40B4-BE49-F238E27FC236}">
              <a16:creationId xmlns:a16="http://schemas.microsoft.com/office/drawing/2014/main" id="{BB5B8EB2-2526-4FF0-A9EF-564466A74B4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392" name="AutoShape 12">
          <a:extLst>
            <a:ext uri="{FF2B5EF4-FFF2-40B4-BE49-F238E27FC236}">
              <a16:creationId xmlns:a16="http://schemas.microsoft.com/office/drawing/2014/main" id="{3ACA440E-2B05-490B-9C29-EFD320D9B9E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393" name="AutoShape 12">
          <a:extLst>
            <a:ext uri="{FF2B5EF4-FFF2-40B4-BE49-F238E27FC236}">
              <a16:creationId xmlns:a16="http://schemas.microsoft.com/office/drawing/2014/main" id="{396474D6-EA7E-4859-9643-01E41B47247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394" name="AutoShape 12">
          <a:extLst>
            <a:ext uri="{FF2B5EF4-FFF2-40B4-BE49-F238E27FC236}">
              <a16:creationId xmlns:a16="http://schemas.microsoft.com/office/drawing/2014/main" id="{070EA00D-9D6B-4F3A-BF45-1319FE5E272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395" name="AutoShape 12">
          <a:extLst>
            <a:ext uri="{FF2B5EF4-FFF2-40B4-BE49-F238E27FC236}">
              <a16:creationId xmlns:a16="http://schemas.microsoft.com/office/drawing/2014/main" id="{632A8FBA-C995-4B58-9C28-6E7A8ABEB73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396" name="AutoShape 12">
          <a:extLst>
            <a:ext uri="{FF2B5EF4-FFF2-40B4-BE49-F238E27FC236}">
              <a16:creationId xmlns:a16="http://schemas.microsoft.com/office/drawing/2014/main" id="{D4A150F8-8B85-4332-A0A9-2BE7D15491C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397" name="AutoShape 12">
          <a:extLst>
            <a:ext uri="{FF2B5EF4-FFF2-40B4-BE49-F238E27FC236}">
              <a16:creationId xmlns:a16="http://schemas.microsoft.com/office/drawing/2014/main" id="{445A4263-CDB7-4182-BB36-EE56817FD10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398" name="AutoShape 12">
          <a:extLst>
            <a:ext uri="{FF2B5EF4-FFF2-40B4-BE49-F238E27FC236}">
              <a16:creationId xmlns:a16="http://schemas.microsoft.com/office/drawing/2014/main" id="{EA6C926B-9368-4DE6-8D12-7469D7E98D4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399" name="AutoShape 12">
          <a:extLst>
            <a:ext uri="{FF2B5EF4-FFF2-40B4-BE49-F238E27FC236}">
              <a16:creationId xmlns:a16="http://schemas.microsoft.com/office/drawing/2014/main" id="{1930539E-22DE-429E-9D03-5E8D229A96F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400" name="AutoShape 12">
          <a:extLst>
            <a:ext uri="{FF2B5EF4-FFF2-40B4-BE49-F238E27FC236}">
              <a16:creationId xmlns:a16="http://schemas.microsoft.com/office/drawing/2014/main" id="{BE7D5B41-42B5-4228-9100-4AF2A45B7EB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401" name="AutoShape 12">
          <a:extLst>
            <a:ext uri="{FF2B5EF4-FFF2-40B4-BE49-F238E27FC236}">
              <a16:creationId xmlns:a16="http://schemas.microsoft.com/office/drawing/2014/main" id="{9ADC2844-1110-4655-B858-BAB2287D733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402" name="AutoShape 12">
          <a:extLst>
            <a:ext uri="{FF2B5EF4-FFF2-40B4-BE49-F238E27FC236}">
              <a16:creationId xmlns:a16="http://schemas.microsoft.com/office/drawing/2014/main" id="{92B0041B-28F8-4C14-91B8-F23259EB926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403" name="AutoShape 12">
          <a:extLst>
            <a:ext uri="{FF2B5EF4-FFF2-40B4-BE49-F238E27FC236}">
              <a16:creationId xmlns:a16="http://schemas.microsoft.com/office/drawing/2014/main" id="{775D5B8A-76C7-463B-B5B9-6830B0BC420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404" name="AutoShape 12">
          <a:extLst>
            <a:ext uri="{FF2B5EF4-FFF2-40B4-BE49-F238E27FC236}">
              <a16:creationId xmlns:a16="http://schemas.microsoft.com/office/drawing/2014/main" id="{507B0CF4-2B4C-4A26-9488-5AB4B0A6EAC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405" name="AutoShape 12">
          <a:extLst>
            <a:ext uri="{FF2B5EF4-FFF2-40B4-BE49-F238E27FC236}">
              <a16:creationId xmlns:a16="http://schemas.microsoft.com/office/drawing/2014/main" id="{3F9A40FE-FE1C-4803-8BDE-1C3CFAE1CD3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406" name="AutoShape 12">
          <a:extLst>
            <a:ext uri="{FF2B5EF4-FFF2-40B4-BE49-F238E27FC236}">
              <a16:creationId xmlns:a16="http://schemas.microsoft.com/office/drawing/2014/main" id="{9F33CB53-333F-4B0D-B8E6-5B73A9C37AB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407" name="AutoShape 12">
          <a:extLst>
            <a:ext uri="{FF2B5EF4-FFF2-40B4-BE49-F238E27FC236}">
              <a16:creationId xmlns:a16="http://schemas.microsoft.com/office/drawing/2014/main" id="{E5AC6011-52FF-43BF-80A4-D8B2DA669C8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408" name="AutoShape 12">
          <a:extLst>
            <a:ext uri="{FF2B5EF4-FFF2-40B4-BE49-F238E27FC236}">
              <a16:creationId xmlns:a16="http://schemas.microsoft.com/office/drawing/2014/main" id="{B3048736-B7F0-4260-9737-FD337208B41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409" name="AutoShape 12">
          <a:extLst>
            <a:ext uri="{FF2B5EF4-FFF2-40B4-BE49-F238E27FC236}">
              <a16:creationId xmlns:a16="http://schemas.microsoft.com/office/drawing/2014/main" id="{7434E28F-35D5-42BD-998F-023C1BB3F90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410" name="AutoShape 12">
          <a:extLst>
            <a:ext uri="{FF2B5EF4-FFF2-40B4-BE49-F238E27FC236}">
              <a16:creationId xmlns:a16="http://schemas.microsoft.com/office/drawing/2014/main" id="{6A80EB3C-AFE0-4D4B-899B-9FD4B8FFC2E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411" name="AutoShape 12">
          <a:extLst>
            <a:ext uri="{FF2B5EF4-FFF2-40B4-BE49-F238E27FC236}">
              <a16:creationId xmlns:a16="http://schemas.microsoft.com/office/drawing/2014/main" id="{7E24A5B1-2790-49AF-9A30-F3761A12712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412" name="AutoShape 12">
          <a:extLst>
            <a:ext uri="{FF2B5EF4-FFF2-40B4-BE49-F238E27FC236}">
              <a16:creationId xmlns:a16="http://schemas.microsoft.com/office/drawing/2014/main" id="{C1EF0BAE-4AF9-4873-93F7-B023ECEE6FC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413" name="AutoShape 12">
          <a:extLst>
            <a:ext uri="{FF2B5EF4-FFF2-40B4-BE49-F238E27FC236}">
              <a16:creationId xmlns:a16="http://schemas.microsoft.com/office/drawing/2014/main" id="{B262F87B-4A74-4D46-97DD-D9BEFC2EF11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414" name="AutoShape 12">
          <a:extLst>
            <a:ext uri="{FF2B5EF4-FFF2-40B4-BE49-F238E27FC236}">
              <a16:creationId xmlns:a16="http://schemas.microsoft.com/office/drawing/2014/main" id="{91183ECD-4F3F-4F71-AFAE-CAAFEA3F883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415" name="AutoShape 12">
          <a:extLst>
            <a:ext uri="{FF2B5EF4-FFF2-40B4-BE49-F238E27FC236}">
              <a16:creationId xmlns:a16="http://schemas.microsoft.com/office/drawing/2014/main" id="{5FFCC8CF-1F84-462D-B4B1-596AFDF73ED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416" name="AutoShape 12">
          <a:extLst>
            <a:ext uri="{FF2B5EF4-FFF2-40B4-BE49-F238E27FC236}">
              <a16:creationId xmlns:a16="http://schemas.microsoft.com/office/drawing/2014/main" id="{C6C0A4A0-2D8E-4D75-A4CB-965E1EEB6C0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417" name="AutoShape 12">
          <a:extLst>
            <a:ext uri="{FF2B5EF4-FFF2-40B4-BE49-F238E27FC236}">
              <a16:creationId xmlns:a16="http://schemas.microsoft.com/office/drawing/2014/main" id="{BAD52049-9FF3-475D-8D9D-21B83EDEE71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418" name="AutoShape 12">
          <a:extLst>
            <a:ext uri="{FF2B5EF4-FFF2-40B4-BE49-F238E27FC236}">
              <a16:creationId xmlns:a16="http://schemas.microsoft.com/office/drawing/2014/main" id="{4541D360-2A9C-4B1C-8ADD-D084B5DB6B2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419" name="AutoShape 12">
          <a:extLst>
            <a:ext uri="{FF2B5EF4-FFF2-40B4-BE49-F238E27FC236}">
              <a16:creationId xmlns:a16="http://schemas.microsoft.com/office/drawing/2014/main" id="{965E754B-8537-4F02-BCB1-C7809A0061E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420" name="AutoShape 12">
          <a:extLst>
            <a:ext uri="{FF2B5EF4-FFF2-40B4-BE49-F238E27FC236}">
              <a16:creationId xmlns:a16="http://schemas.microsoft.com/office/drawing/2014/main" id="{1E11B9E1-FD2A-46C2-95DD-533E606DE17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421" name="AutoShape 12">
          <a:extLst>
            <a:ext uri="{FF2B5EF4-FFF2-40B4-BE49-F238E27FC236}">
              <a16:creationId xmlns:a16="http://schemas.microsoft.com/office/drawing/2014/main" id="{D9970B11-4C13-4883-810A-1C24E2D7231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422" name="AutoShape 12">
          <a:extLst>
            <a:ext uri="{FF2B5EF4-FFF2-40B4-BE49-F238E27FC236}">
              <a16:creationId xmlns:a16="http://schemas.microsoft.com/office/drawing/2014/main" id="{CCCFBADA-D79E-4FBE-AE54-3C36D583453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423" name="AutoShape 12">
          <a:extLst>
            <a:ext uri="{FF2B5EF4-FFF2-40B4-BE49-F238E27FC236}">
              <a16:creationId xmlns:a16="http://schemas.microsoft.com/office/drawing/2014/main" id="{4FA22095-9D82-4F7C-87C5-3FEA3255033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424" name="AutoShape 12">
          <a:extLst>
            <a:ext uri="{FF2B5EF4-FFF2-40B4-BE49-F238E27FC236}">
              <a16:creationId xmlns:a16="http://schemas.microsoft.com/office/drawing/2014/main" id="{291DF180-F757-406A-AF1B-3AE7C6C71BD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425" name="AutoShape 12">
          <a:extLst>
            <a:ext uri="{FF2B5EF4-FFF2-40B4-BE49-F238E27FC236}">
              <a16:creationId xmlns:a16="http://schemas.microsoft.com/office/drawing/2014/main" id="{A148791D-DD4A-4DE4-B528-72E7A68AAA4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426" name="AutoShape 12">
          <a:extLst>
            <a:ext uri="{FF2B5EF4-FFF2-40B4-BE49-F238E27FC236}">
              <a16:creationId xmlns:a16="http://schemas.microsoft.com/office/drawing/2014/main" id="{4FF380A4-1DC0-4077-A1B8-AB3BEB4C1CD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427" name="AutoShape 12">
          <a:extLst>
            <a:ext uri="{FF2B5EF4-FFF2-40B4-BE49-F238E27FC236}">
              <a16:creationId xmlns:a16="http://schemas.microsoft.com/office/drawing/2014/main" id="{FA24A8FF-0AAA-47FA-8155-EF6548C95EA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428" name="AutoShape 12">
          <a:extLst>
            <a:ext uri="{FF2B5EF4-FFF2-40B4-BE49-F238E27FC236}">
              <a16:creationId xmlns:a16="http://schemas.microsoft.com/office/drawing/2014/main" id="{BD02B7B6-BE4E-479A-974D-92F0D4E364F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429" name="AutoShape 12">
          <a:extLst>
            <a:ext uri="{FF2B5EF4-FFF2-40B4-BE49-F238E27FC236}">
              <a16:creationId xmlns:a16="http://schemas.microsoft.com/office/drawing/2014/main" id="{B4E173D2-634C-47AE-BB4E-20A1B1DEF81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430" name="AutoShape 12">
          <a:extLst>
            <a:ext uri="{FF2B5EF4-FFF2-40B4-BE49-F238E27FC236}">
              <a16:creationId xmlns:a16="http://schemas.microsoft.com/office/drawing/2014/main" id="{CC225B9A-F681-4E86-911B-5BEAEC8D8AB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431" name="AutoShape 12">
          <a:extLst>
            <a:ext uri="{FF2B5EF4-FFF2-40B4-BE49-F238E27FC236}">
              <a16:creationId xmlns:a16="http://schemas.microsoft.com/office/drawing/2014/main" id="{8FCD1F22-5FA3-405C-ACB4-1FFB62B4051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1012</xdr:row>
      <xdr:rowOff>0</xdr:rowOff>
    </xdr:from>
    <xdr:ext cx="304800" cy="304094"/>
    <xdr:sp macro="" textlink="">
      <xdr:nvSpPr>
        <xdr:cNvPr id="9432" name="AutoShape 12">
          <a:extLst>
            <a:ext uri="{FF2B5EF4-FFF2-40B4-BE49-F238E27FC236}">
              <a16:creationId xmlns:a16="http://schemas.microsoft.com/office/drawing/2014/main" id="{6CB4FC1C-F9C9-45C0-87FD-82CE9E2F641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433" name="AutoShape 12">
          <a:extLst>
            <a:ext uri="{FF2B5EF4-FFF2-40B4-BE49-F238E27FC236}">
              <a16:creationId xmlns:a16="http://schemas.microsoft.com/office/drawing/2014/main" id="{1B071BC1-F401-4608-A451-B7D1E86C245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434" name="AutoShape 12">
          <a:extLst>
            <a:ext uri="{FF2B5EF4-FFF2-40B4-BE49-F238E27FC236}">
              <a16:creationId xmlns:a16="http://schemas.microsoft.com/office/drawing/2014/main" id="{637EF96F-4D40-41AF-996D-C39DA7736F6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435" name="AutoShape 12">
          <a:extLst>
            <a:ext uri="{FF2B5EF4-FFF2-40B4-BE49-F238E27FC236}">
              <a16:creationId xmlns:a16="http://schemas.microsoft.com/office/drawing/2014/main" id="{D385FE5D-D501-40D0-B766-B63ACF98796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436" name="AutoShape 12">
          <a:extLst>
            <a:ext uri="{FF2B5EF4-FFF2-40B4-BE49-F238E27FC236}">
              <a16:creationId xmlns:a16="http://schemas.microsoft.com/office/drawing/2014/main" id="{7C540318-FDBC-45B7-AB08-3D2CD6419C0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437" name="AutoShape 12">
          <a:extLst>
            <a:ext uri="{FF2B5EF4-FFF2-40B4-BE49-F238E27FC236}">
              <a16:creationId xmlns:a16="http://schemas.microsoft.com/office/drawing/2014/main" id="{214063F9-0941-4B3B-95F5-B15B8078B8D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438" name="AutoShape 12">
          <a:extLst>
            <a:ext uri="{FF2B5EF4-FFF2-40B4-BE49-F238E27FC236}">
              <a16:creationId xmlns:a16="http://schemas.microsoft.com/office/drawing/2014/main" id="{32F8A78E-F9B6-4C5F-AB40-7915A75BD7F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439" name="AutoShape 12">
          <a:extLst>
            <a:ext uri="{FF2B5EF4-FFF2-40B4-BE49-F238E27FC236}">
              <a16:creationId xmlns:a16="http://schemas.microsoft.com/office/drawing/2014/main" id="{2F2D245F-CBD4-4A86-B938-39B0BF2869A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440" name="AutoShape 12">
          <a:extLst>
            <a:ext uri="{FF2B5EF4-FFF2-40B4-BE49-F238E27FC236}">
              <a16:creationId xmlns:a16="http://schemas.microsoft.com/office/drawing/2014/main" id="{57F33771-40A9-4C2E-9981-D0006E12ED1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441" name="AutoShape 12">
          <a:extLst>
            <a:ext uri="{FF2B5EF4-FFF2-40B4-BE49-F238E27FC236}">
              <a16:creationId xmlns:a16="http://schemas.microsoft.com/office/drawing/2014/main" id="{A4782936-4D06-4FD5-B60E-DBB6F0E32FB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442" name="AutoShape 12">
          <a:extLst>
            <a:ext uri="{FF2B5EF4-FFF2-40B4-BE49-F238E27FC236}">
              <a16:creationId xmlns:a16="http://schemas.microsoft.com/office/drawing/2014/main" id="{CC005F4C-CB23-46B7-82EE-13675F3CE61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443" name="AutoShape 12">
          <a:extLst>
            <a:ext uri="{FF2B5EF4-FFF2-40B4-BE49-F238E27FC236}">
              <a16:creationId xmlns:a16="http://schemas.microsoft.com/office/drawing/2014/main" id="{06C0DCF0-5075-4F53-A690-EA9F6D077D9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444" name="AutoShape 12">
          <a:extLst>
            <a:ext uri="{FF2B5EF4-FFF2-40B4-BE49-F238E27FC236}">
              <a16:creationId xmlns:a16="http://schemas.microsoft.com/office/drawing/2014/main" id="{962998F4-A51D-4FA6-858A-7072FA79857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445" name="AutoShape 12">
          <a:extLst>
            <a:ext uri="{FF2B5EF4-FFF2-40B4-BE49-F238E27FC236}">
              <a16:creationId xmlns:a16="http://schemas.microsoft.com/office/drawing/2014/main" id="{840659D5-ACF9-47C4-9843-B42639A4EA6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446" name="AutoShape 12">
          <a:extLst>
            <a:ext uri="{FF2B5EF4-FFF2-40B4-BE49-F238E27FC236}">
              <a16:creationId xmlns:a16="http://schemas.microsoft.com/office/drawing/2014/main" id="{DE90F0A1-18F7-4037-948A-D3CA66449B4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447" name="AutoShape 12">
          <a:extLst>
            <a:ext uri="{FF2B5EF4-FFF2-40B4-BE49-F238E27FC236}">
              <a16:creationId xmlns:a16="http://schemas.microsoft.com/office/drawing/2014/main" id="{CD73A31F-25DE-4068-A038-8E6134961C2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448" name="AutoShape 12">
          <a:extLst>
            <a:ext uri="{FF2B5EF4-FFF2-40B4-BE49-F238E27FC236}">
              <a16:creationId xmlns:a16="http://schemas.microsoft.com/office/drawing/2014/main" id="{027F5884-070F-494E-8DC0-D4B0BB1AF28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449" name="AutoShape 12">
          <a:extLst>
            <a:ext uri="{FF2B5EF4-FFF2-40B4-BE49-F238E27FC236}">
              <a16:creationId xmlns:a16="http://schemas.microsoft.com/office/drawing/2014/main" id="{9BBCA17D-274F-4BA5-B5D6-21F800AD1BA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450" name="AutoShape 12">
          <a:extLst>
            <a:ext uri="{FF2B5EF4-FFF2-40B4-BE49-F238E27FC236}">
              <a16:creationId xmlns:a16="http://schemas.microsoft.com/office/drawing/2014/main" id="{D1674EB6-BAB1-4689-8A80-BB5303DD14F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451" name="AutoShape 12">
          <a:extLst>
            <a:ext uri="{FF2B5EF4-FFF2-40B4-BE49-F238E27FC236}">
              <a16:creationId xmlns:a16="http://schemas.microsoft.com/office/drawing/2014/main" id="{5638E702-5B5F-41DE-BE40-32132C48581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452" name="AutoShape 12">
          <a:extLst>
            <a:ext uri="{FF2B5EF4-FFF2-40B4-BE49-F238E27FC236}">
              <a16:creationId xmlns:a16="http://schemas.microsoft.com/office/drawing/2014/main" id="{D76ED960-B645-4F6B-B740-D2D46EE4067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453" name="AutoShape 12">
          <a:extLst>
            <a:ext uri="{FF2B5EF4-FFF2-40B4-BE49-F238E27FC236}">
              <a16:creationId xmlns:a16="http://schemas.microsoft.com/office/drawing/2014/main" id="{10B89499-2930-4BCE-AD51-763588471E3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454" name="AutoShape 12">
          <a:extLst>
            <a:ext uri="{FF2B5EF4-FFF2-40B4-BE49-F238E27FC236}">
              <a16:creationId xmlns:a16="http://schemas.microsoft.com/office/drawing/2014/main" id="{ADD7B5D4-FB09-4ADF-BA03-E2C8BEAE1DD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455" name="AutoShape 12">
          <a:extLst>
            <a:ext uri="{FF2B5EF4-FFF2-40B4-BE49-F238E27FC236}">
              <a16:creationId xmlns:a16="http://schemas.microsoft.com/office/drawing/2014/main" id="{F4ED3EAF-E5B1-4FB0-827F-E9248681D2C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456" name="AutoShape 12">
          <a:extLst>
            <a:ext uri="{FF2B5EF4-FFF2-40B4-BE49-F238E27FC236}">
              <a16:creationId xmlns:a16="http://schemas.microsoft.com/office/drawing/2014/main" id="{8E877369-4485-4223-8D42-FD13A07928C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457" name="AutoShape 12">
          <a:extLst>
            <a:ext uri="{FF2B5EF4-FFF2-40B4-BE49-F238E27FC236}">
              <a16:creationId xmlns:a16="http://schemas.microsoft.com/office/drawing/2014/main" id="{1A3FC054-0964-4655-97EE-3A677E96FF6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458" name="AutoShape 12">
          <a:extLst>
            <a:ext uri="{FF2B5EF4-FFF2-40B4-BE49-F238E27FC236}">
              <a16:creationId xmlns:a16="http://schemas.microsoft.com/office/drawing/2014/main" id="{B105BA85-0579-4CAB-9E99-8EF9605B69B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459" name="AutoShape 12">
          <a:extLst>
            <a:ext uri="{FF2B5EF4-FFF2-40B4-BE49-F238E27FC236}">
              <a16:creationId xmlns:a16="http://schemas.microsoft.com/office/drawing/2014/main" id="{EDBD57EA-7C51-44A5-AD21-3914D7D3C10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460" name="AutoShape 12">
          <a:extLst>
            <a:ext uri="{FF2B5EF4-FFF2-40B4-BE49-F238E27FC236}">
              <a16:creationId xmlns:a16="http://schemas.microsoft.com/office/drawing/2014/main" id="{4B96D697-27E6-444E-A5F7-083813D14E4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461" name="AutoShape 12">
          <a:extLst>
            <a:ext uri="{FF2B5EF4-FFF2-40B4-BE49-F238E27FC236}">
              <a16:creationId xmlns:a16="http://schemas.microsoft.com/office/drawing/2014/main" id="{38E9AFF1-3FD5-40AD-9402-9110E90A295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462" name="AutoShape 12">
          <a:extLst>
            <a:ext uri="{FF2B5EF4-FFF2-40B4-BE49-F238E27FC236}">
              <a16:creationId xmlns:a16="http://schemas.microsoft.com/office/drawing/2014/main" id="{74E90DCC-1503-47EB-8DFA-576DA9F586A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463" name="AutoShape 12">
          <a:extLst>
            <a:ext uri="{FF2B5EF4-FFF2-40B4-BE49-F238E27FC236}">
              <a16:creationId xmlns:a16="http://schemas.microsoft.com/office/drawing/2014/main" id="{5621B3CD-C11D-4EDA-B31C-3A372A8539E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464" name="AutoShape 12">
          <a:extLst>
            <a:ext uri="{FF2B5EF4-FFF2-40B4-BE49-F238E27FC236}">
              <a16:creationId xmlns:a16="http://schemas.microsoft.com/office/drawing/2014/main" id="{3CFE45A9-8F52-4C8D-AF46-094B248BAF3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465" name="AutoShape 12">
          <a:extLst>
            <a:ext uri="{FF2B5EF4-FFF2-40B4-BE49-F238E27FC236}">
              <a16:creationId xmlns:a16="http://schemas.microsoft.com/office/drawing/2014/main" id="{1B0D4A35-0031-4D5C-9A19-C3417E993AF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466" name="AutoShape 12">
          <a:extLst>
            <a:ext uri="{FF2B5EF4-FFF2-40B4-BE49-F238E27FC236}">
              <a16:creationId xmlns:a16="http://schemas.microsoft.com/office/drawing/2014/main" id="{19FDC177-51B4-4281-9182-F09647266F4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467" name="AutoShape 12">
          <a:extLst>
            <a:ext uri="{FF2B5EF4-FFF2-40B4-BE49-F238E27FC236}">
              <a16:creationId xmlns:a16="http://schemas.microsoft.com/office/drawing/2014/main" id="{62047406-0D45-41C0-8D55-8241771867B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468" name="AutoShape 12">
          <a:extLst>
            <a:ext uri="{FF2B5EF4-FFF2-40B4-BE49-F238E27FC236}">
              <a16:creationId xmlns:a16="http://schemas.microsoft.com/office/drawing/2014/main" id="{BB1359A2-1E4C-48AC-A515-F5E02C89EE2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469" name="AutoShape 12">
          <a:extLst>
            <a:ext uri="{FF2B5EF4-FFF2-40B4-BE49-F238E27FC236}">
              <a16:creationId xmlns:a16="http://schemas.microsoft.com/office/drawing/2014/main" id="{191F440F-3D12-4D3E-8F10-50ADE8AB225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470" name="AutoShape 12">
          <a:extLst>
            <a:ext uri="{FF2B5EF4-FFF2-40B4-BE49-F238E27FC236}">
              <a16:creationId xmlns:a16="http://schemas.microsoft.com/office/drawing/2014/main" id="{1FA3800A-339A-4C41-9C70-60AC0546B45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471" name="AutoShape 12">
          <a:extLst>
            <a:ext uri="{FF2B5EF4-FFF2-40B4-BE49-F238E27FC236}">
              <a16:creationId xmlns:a16="http://schemas.microsoft.com/office/drawing/2014/main" id="{508024DB-1EE9-4E24-9100-522CCE05C18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472" name="AutoShape 12">
          <a:extLst>
            <a:ext uri="{FF2B5EF4-FFF2-40B4-BE49-F238E27FC236}">
              <a16:creationId xmlns:a16="http://schemas.microsoft.com/office/drawing/2014/main" id="{863F80FF-9A75-4C9A-B2F6-578A39FE79F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473" name="AutoShape 12">
          <a:extLst>
            <a:ext uri="{FF2B5EF4-FFF2-40B4-BE49-F238E27FC236}">
              <a16:creationId xmlns:a16="http://schemas.microsoft.com/office/drawing/2014/main" id="{AE26D003-39A5-4263-9328-37281F335C8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474" name="AutoShape 12">
          <a:extLst>
            <a:ext uri="{FF2B5EF4-FFF2-40B4-BE49-F238E27FC236}">
              <a16:creationId xmlns:a16="http://schemas.microsoft.com/office/drawing/2014/main" id="{C482813B-7437-448C-BD85-3F6A0D5CF13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475" name="AutoShape 12">
          <a:extLst>
            <a:ext uri="{FF2B5EF4-FFF2-40B4-BE49-F238E27FC236}">
              <a16:creationId xmlns:a16="http://schemas.microsoft.com/office/drawing/2014/main" id="{1C05EB69-B8B2-4E02-B895-C741B823FAC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476" name="AutoShape 12">
          <a:extLst>
            <a:ext uri="{FF2B5EF4-FFF2-40B4-BE49-F238E27FC236}">
              <a16:creationId xmlns:a16="http://schemas.microsoft.com/office/drawing/2014/main" id="{545FAC4A-3D31-4752-8E3E-99F01278277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477" name="AutoShape 12">
          <a:extLst>
            <a:ext uri="{FF2B5EF4-FFF2-40B4-BE49-F238E27FC236}">
              <a16:creationId xmlns:a16="http://schemas.microsoft.com/office/drawing/2014/main" id="{3A63FBE4-8088-4C2D-A32A-C7AAE8792BE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478" name="AutoShape 12">
          <a:extLst>
            <a:ext uri="{FF2B5EF4-FFF2-40B4-BE49-F238E27FC236}">
              <a16:creationId xmlns:a16="http://schemas.microsoft.com/office/drawing/2014/main" id="{09BB1D41-3FE6-4790-AE14-6A260AB4792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479" name="AutoShape 12">
          <a:extLst>
            <a:ext uri="{FF2B5EF4-FFF2-40B4-BE49-F238E27FC236}">
              <a16:creationId xmlns:a16="http://schemas.microsoft.com/office/drawing/2014/main" id="{1A53E816-B8B7-479A-8A16-822E8BEE9AE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480" name="AutoShape 12">
          <a:extLst>
            <a:ext uri="{FF2B5EF4-FFF2-40B4-BE49-F238E27FC236}">
              <a16:creationId xmlns:a16="http://schemas.microsoft.com/office/drawing/2014/main" id="{CA0EAED5-7000-4DA9-A104-76B9BC10C57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481" name="AutoShape 12">
          <a:extLst>
            <a:ext uri="{FF2B5EF4-FFF2-40B4-BE49-F238E27FC236}">
              <a16:creationId xmlns:a16="http://schemas.microsoft.com/office/drawing/2014/main" id="{66043263-FB08-4BCC-939D-B9A1364BB8C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482" name="AutoShape 12">
          <a:extLst>
            <a:ext uri="{FF2B5EF4-FFF2-40B4-BE49-F238E27FC236}">
              <a16:creationId xmlns:a16="http://schemas.microsoft.com/office/drawing/2014/main" id="{18D4BF3B-E1BA-4413-B940-B0B84AB75C5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483" name="AutoShape 12">
          <a:extLst>
            <a:ext uri="{FF2B5EF4-FFF2-40B4-BE49-F238E27FC236}">
              <a16:creationId xmlns:a16="http://schemas.microsoft.com/office/drawing/2014/main" id="{61C8AAA4-D717-4EF5-8AFA-94CEE8B1733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484" name="AutoShape 12">
          <a:extLst>
            <a:ext uri="{FF2B5EF4-FFF2-40B4-BE49-F238E27FC236}">
              <a16:creationId xmlns:a16="http://schemas.microsoft.com/office/drawing/2014/main" id="{972F9CCA-44E0-4041-A7AB-F34542393A7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485" name="AutoShape 12">
          <a:extLst>
            <a:ext uri="{FF2B5EF4-FFF2-40B4-BE49-F238E27FC236}">
              <a16:creationId xmlns:a16="http://schemas.microsoft.com/office/drawing/2014/main" id="{AF5B341C-451E-4375-854C-EFCF542FA73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486" name="AutoShape 12">
          <a:extLst>
            <a:ext uri="{FF2B5EF4-FFF2-40B4-BE49-F238E27FC236}">
              <a16:creationId xmlns:a16="http://schemas.microsoft.com/office/drawing/2014/main" id="{F9781036-6964-4667-934C-EB8AB8374E9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487" name="AutoShape 12">
          <a:extLst>
            <a:ext uri="{FF2B5EF4-FFF2-40B4-BE49-F238E27FC236}">
              <a16:creationId xmlns:a16="http://schemas.microsoft.com/office/drawing/2014/main" id="{7679B381-CC0F-49EF-89A7-6E63E521C36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488" name="AutoShape 12">
          <a:extLst>
            <a:ext uri="{FF2B5EF4-FFF2-40B4-BE49-F238E27FC236}">
              <a16:creationId xmlns:a16="http://schemas.microsoft.com/office/drawing/2014/main" id="{8C27B466-2DEB-4ED5-A487-D05D3C949AE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489" name="AutoShape 12">
          <a:extLst>
            <a:ext uri="{FF2B5EF4-FFF2-40B4-BE49-F238E27FC236}">
              <a16:creationId xmlns:a16="http://schemas.microsoft.com/office/drawing/2014/main" id="{88A12531-C3FE-4246-A6CE-9954B8590C9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490" name="AutoShape 12">
          <a:extLst>
            <a:ext uri="{FF2B5EF4-FFF2-40B4-BE49-F238E27FC236}">
              <a16:creationId xmlns:a16="http://schemas.microsoft.com/office/drawing/2014/main" id="{5611D1F9-9E5B-4E96-A83A-D2BEBD735EE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491" name="AutoShape 12">
          <a:extLst>
            <a:ext uri="{FF2B5EF4-FFF2-40B4-BE49-F238E27FC236}">
              <a16:creationId xmlns:a16="http://schemas.microsoft.com/office/drawing/2014/main" id="{418EDBA5-B571-4EC2-9E95-72040DDF480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492" name="AutoShape 12">
          <a:extLst>
            <a:ext uri="{FF2B5EF4-FFF2-40B4-BE49-F238E27FC236}">
              <a16:creationId xmlns:a16="http://schemas.microsoft.com/office/drawing/2014/main" id="{2FBD286F-A4AF-48DA-AB70-8EEC005CDA4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493" name="AutoShape 12">
          <a:extLst>
            <a:ext uri="{FF2B5EF4-FFF2-40B4-BE49-F238E27FC236}">
              <a16:creationId xmlns:a16="http://schemas.microsoft.com/office/drawing/2014/main" id="{4FD81163-C8EA-4BDB-80F7-0C8EDFDBB94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494" name="AutoShape 12">
          <a:extLst>
            <a:ext uri="{FF2B5EF4-FFF2-40B4-BE49-F238E27FC236}">
              <a16:creationId xmlns:a16="http://schemas.microsoft.com/office/drawing/2014/main" id="{5CE6F142-361C-4417-AD4C-18E7ADCE138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495" name="AutoShape 12">
          <a:extLst>
            <a:ext uri="{FF2B5EF4-FFF2-40B4-BE49-F238E27FC236}">
              <a16:creationId xmlns:a16="http://schemas.microsoft.com/office/drawing/2014/main" id="{7DE837C8-C8C0-4829-9439-E743655638B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496" name="AutoShape 12">
          <a:extLst>
            <a:ext uri="{FF2B5EF4-FFF2-40B4-BE49-F238E27FC236}">
              <a16:creationId xmlns:a16="http://schemas.microsoft.com/office/drawing/2014/main" id="{839C1096-5AF0-4D8F-8495-AD9DDE61FBD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497" name="AutoShape 12">
          <a:extLst>
            <a:ext uri="{FF2B5EF4-FFF2-40B4-BE49-F238E27FC236}">
              <a16:creationId xmlns:a16="http://schemas.microsoft.com/office/drawing/2014/main" id="{B9FCB520-418E-442B-907B-64FD08EAD3C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498" name="AutoShape 12">
          <a:extLst>
            <a:ext uri="{FF2B5EF4-FFF2-40B4-BE49-F238E27FC236}">
              <a16:creationId xmlns:a16="http://schemas.microsoft.com/office/drawing/2014/main" id="{C99387EA-B2E0-4C44-B359-23FAFE18183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499" name="AutoShape 12">
          <a:extLst>
            <a:ext uri="{FF2B5EF4-FFF2-40B4-BE49-F238E27FC236}">
              <a16:creationId xmlns:a16="http://schemas.microsoft.com/office/drawing/2014/main" id="{FBD3CCA4-7DFD-4622-9C4E-B16BB313B72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500" name="AutoShape 12">
          <a:extLst>
            <a:ext uri="{FF2B5EF4-FFF2-40B4-BE49-F238E27FC236}">
              <a16:creationId xmlns:a16="http://schemas.microsoft.com/office/drawing/2014/main" id="{ECC0D4AC-3667-4A42-AB26-BAB1DDE0C46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501" name="AutoShape 12">
          <a:extLst>
            <a:ext uri="{FF2B5EF4-FFF2-40B4-BE49-F238E27FC236}">
              <a16:creationId xmlns:a16="http://schemas.microsoft.com/office/drawing/2014/main" id="{D3C50CF7-BF14-477D-ABF0-265DCEF24D3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502" name="AutoShape 12">
          <a:extLst>
            <a:ext uri="{FF2B5EF4-FFF2-40B4-BE49-F238E27FC236}">
              <a16:creationId xmlns:a16="http://schemas.microsoft.com/office/drawing/2014/main" id="{26474EC3-C564-4B86-B1CA-FD665E90CE4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503" name="AutoShape 12">
          <a:extLst>
            <a:ext uri="{FF2B5EF4-FFF2-40B4-BE49-F238E27FC236}">
              <a16:creationId xmlns:a16="http://schemas.microsoft.com/office/drawing/2014/main" id="{98C8DFD6-FDB2-4558-8184-584D1C4BDF8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504" name="AutoShape 12">
          <a:extLst>
            <a:ext uri="{FF2B5EF4-FFF2-40B4-BE49-F238E27FC236}">
              <a16:creationId xmlns:a16="http://schemas.microsoft.com/office/drawing/2014/main" id="{D3A1CB8B-5EAB-466C-9A78-1406270FB95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505" name="AutoShape 12">
          <a:extLst>
            <a:ext uri="{FF2B5EF4-FFF2-40B4-BE49-F238E27FC236}">
              <a16:creationId xmlns:a16="http://schemas.microsoft.com/office/drawing/2014/main" id="{3E305544-A9C6-4873-96A9-229D38DF5E1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506" name="AutoShape 12">
          <a:extLst>
            <a:ext uri="{FF2B5EF4-FFF2-40B4-BE49-F238E27FC236}">
              <a16:creationId xmlns:a16="http://schemas.microsoft.com/office/drawing/2014/main" id="{A12C5E54-6296-40AC-A47F-DDC147DA808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507" name="AutoShape 12">
          <a:extLst>
            <a:ext uri="{FF2B5EF4-FFF2-40B4-BE49-F238E27FC236}">
              <a16:creationId xmlns:a16="http://schemas.microsoft.com/office/drawing/2014/main" id="{B752FFD1-19DB-4031-A6B8-82F89B41ADA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508" name="AutoShape 12">
          <a:extLst>
            <a:ext uri="{FF2B5EF4-FFF2-40B4-BE49-F238E27FC236}">
              <a16:creationId xmlns:a16="http://schemas.microsoft.com/office/drawing/2014/main" id="{9B1113D8-81A4-48FF-8305-42B5DBAA532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509" name="AutoShape 12">
          <a:extLst>
            <a:ext uri="{FF2B5EF4-FFF2-40B4-BE49-F238E27FC236}">
              <a16:creationId xmlns:a16="http://schemas.microsoft.com/office/drawing/2014/main" id="{BBD840B1-8462-4FBB-B887-F9F81B62442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510" name="AutoShape 12">
          <a:extLst>
            <a:ext uri="{FF2B5EF4-FFF2-40B4-BE49-F238E27FC236}">
              <a16:creationId xmlns:a16="http://schemas.microsoft.com/office/drawing/2014/main" id="{E0216015-9F7B-46A9-83BD-CCC99B07EA7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511" name="AutoShape 12">
          <a:extLst>
            <a:ext uri="{FF2B5EF4-FFF2-40B4-BE49-F238E27FC236}">
              <a16:creationId xmlns:a16="http://schemas.microsoft.com/office/drawing/2014/main" id="{9678B240-6A7A-4346-B844-A140A08FBF5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512" name="AutoShape 12">
          <a:extLst>
            <a:ext uri="{FF2B5EF4-FFF2-40B4-BE49-F238E27FC236}">
              <a16:creationId xmlns:a16="http://schemas.microsoft.com/office/drawing/2014/main" id="{565BBC7C-880D-44A7-ADDB-4AEC5191546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513" name="AutoShape 12">
          <a:extLst>
            <a:ext uri="{FF2B5EF4-FFF2-40B4-BE49-F238E27FC236}">
              <a16:creationId xmlns:a16="http://schemas.microsoft.com/office/drawing/2014/main" id="{7D1AB522-B7F1-4953-AEB4-2D7ED0BF74D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514" name="AutoShape 12">
          <a:extLst>
            <a:ext uri="{FF2B5EF4-FFF2-40B4-BE49-F238E27FC236}">
              <a16:creationId xmlns:a16="http://schemas.microsoft.com/office/drawing/2014/main" id="{B8C82B97-06D2-4D23-ACBB-614A155C159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515" name="AutoShape 12">
          <a:extLst>
            <a:ext uri="{FF2B5EF4-FFF2-40B4-BE49-F238E27FC236}">
              <a16:creationId xmlns:a16="http://schemas.microsoft.com/office/drawing/2014/main" id="{9BD4221A-BFA1-443E-A716-AA3E0048D1F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516" name="AutoShape 12">
          <a:extLst>
            <a:ext uri="{FF2B5EF4-FFF2-40B4-BE49-F238E27FC236}">
              <a16:creationId xmlns:a16="http://schemas.microsoft.com/office/drawing/2014/main" id="{53895114-5C5B-4679-A0A1-D4147DD0009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517" name="AutoShape 12">
          <a:extLst>
            <a:ext uri="{FF2B5EF4-FFF2-40B4-BE49-F238E27FC236}">
              <a16:creationId xmlns:a16="http://schemas.microsoft.com/office/drawing/2014/main" id="{A6A97067-52EB-45DB-99D2-A5D656FEA29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518" name="AutoShape 12">
          <a:extLst>
            <a:ext uri="{FF2B5EF4-FFF2-40B4-BE49-F238E27FC236}">
              <a16:creationId xmlns:a16="http://schemas.microsoft.com/office/drawing/2014/main" id="{377BC94F-1289-4943-8EDC-09B18CC13A9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519" name="AutoShape 12">
          <a:extLst>
            <a:ext uri="{FF2B5EF4-FFF2-40B4-BE49-F238E27FC236}">
              <a16:creationId xmlns:a16="http://schemas.microsoft.com/office/drawing/2014/main" id="{55B29BCE-C7C5-46B2-9BD0-BFE530C5A08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520" name="AutoShape 12">
          <a:extLst>
            <a:ext uri="{FF2B5EF4-FFF2-40B4-BE49-F238E27FC236}">
              <a16:creationId xmlns:a16="http://schemas.microsoft.com/office/drawing/2014/main" id="{0222047E-15AB-4C57-A605-EF66046A285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521" name="AutoShape 12">
          <a:extLst>
            <a:ext uri="{FF2B5EF4-FFF2-40B4-BE49-F238E27FC236}">
              <a16:creationId xmlns:a16="http://schemas.microsoft.com/office/drawing/2014/main" id="{FFA2A371-7ECE-4DC6-814C-DC3E1301D35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522" name="AutoShape 12">
          <a:extLst>
            <a:ext uri="{FF2B5EF4-FFF2-40B4-BE49-F238E27FC236}">
              <a16:creationId xmlns:a16="http://schemas.microsoft.com/office/drawing/2014/main" id="{23BF52B6-2A56-4E02-A657-7876D3E7A4F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523" name="AutoShape 12">
          <a:extLst>
            <a:ext uri="{FF2B5EF4-FFF2-40B4-BE49-F238E27FC236}">
              <a16:creationId xmlns:a16="http://schemas.microsoft.com/office/drawing/2014/main" id="{43BC82CE-85B8-4385-8C8B-59E4B639DE3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524" name="AutoShape 12">
          <a:extLst>
            <a:ext uri="{FF2B5EF4-FFF2-40B4-BE49-F238E27FC236}">
              <a16:creationId xmlns:a16="http://schemas.microsoft.com/office/drawing/2014/main" id="{A1087414-AD78-494B-A3F9-C30E36EE013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525" name="AutoShape 12">
          <a:extLst>
            <a:ext uri="{FF2B5EF4-FFF2-40B4-BE49-F238E27FC236}">
              <a16:creationId xmlns:a16="http://schemas.microsoft.com/office/drawing/2014/main" id="{BB22FEF0-A06E-4CAA-B129-DA401A2E0A0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526" name="AutoShape 12">
          <a:extLst>
            <a:ext uri="{FF2B5EF4-FFF2-40B4-BE49-F238E27FC236}">
              <a16:creationId xmlns:a16="http://schemas.microsoft.com/office/drawing/2014/main" id="{EBC711F8-979E-4DA3-8CCE-3B29964CA6F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527" name="AutoShape 12">
          <a:extLst>
            <a:ext uri="{FF2B5EF4-FFF2-40B4-BE49-F238E27FC236}">
              <a16:creationId xmlns:a16="http://schemas.microsoft.com/office/drawing/2014/main" id="{B2BFBA3C-B37B-4225-B911-B6E262AB364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528" name="AutoShape 12">
          <a:extLst>
            <a:ext uri="{FF2B5EF4-FFF2-40B4-BE49-F238E27FC236}">
              <a16:creationId xmlns:a16="http://schemas.microsoft.com/office/drawing/2014/main" id="{5A602073-D8DE-4AD1-B6A7-D41B0019E55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529" name="AutoShape 12">
          <a:extLst>
            <a:ext uri="{FF2B5EF4-FFF2-40B4-BE49-F238E27FC236}">
              <a16:creationId xmlns:a16="http://schemas.microsoft.com/office/drawing/2014/main" id="{2B68C64F-7AB9-416A-8413-F14A90D32C9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530" name="AutoShape 12">
          <a:extLst>
            <a:ext uri="{FF2B5EF4-FFF2-40B4-BE49-F238E27FC236}">
              <a16:creationId xmlns:a16="http://schemas.microsoft.com/office/drawing/2014/main" id="{CF717402-0CB2-4FAA-A6C0-CA7C6E24351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531" name="AutoShape 12">
          <a:extLst>
            <a:ext uri="{FF2B5EF4-FFF2-40B4-BE49-F238E27FC236}">
              <a16:creationId xmlns:a16="http://schemas.microsoft.com/office/drawing/2014/main" id="{06B24982-17B2-46C0-9AE4-C3D8329B124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532" name="AutoShape 12">
          <a:extLst>
            <a:ext uri="{FF2B5EF4-FFF2-40B4-BE49-F238E27FC236}">
              <a16:creationId xmlns:a16="http://schemas.microsoft.com/office/drawing/2014/main" id="{98AEB8BA-380F-469F-B8D3-B8BE7761820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533" name="AutoShape 12">
          <a:extLst>
            <a:ext uri="{FF2B5EF4-FFF2-40B4-BE49-F238E27FC236}">
              <a16:creationId xmlns:a16="http://schemas.microsoft.com/office/drawing/2014/main" id="{AEEE9DEF-2573-422F-AF9A-D0B3EB15614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534" name="AutoShape 12">
          <a:extLst>
            <a:ext uri="{FF2B5EF4-FFF2-40B4-BE49-F238E27FC236}">
              <a16:creationId xmlns:a16="http://schemas.microsoft.com/office/drawing/2014/main" id="{62D169C0-3217-441E-8CE6-982CBE069E8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535" name="AutoShape 12">
          <a:extLst>
            <a:ext uri="{FF2B5EF4-FFF2-40B4-BE49-F238E27FC236}">
              <a16:creationId xmlns:a16="http://schemas.microsoft.com/office/drawing/2014/main" id="{6F1CECC2-2AEF-4E95-918B-1631EB9AAD3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536" name="AutoShape 12">
          <a:extLst>
            <a:ext uri="{FF2B5EF4-FFF2-40B4-BE49-F238E27FC236}">
              <a16:creationId xmlns:a16="http://schemas.microsoft.com/office/drawing/2014/main" id="{1B092277-BD04-4149-BCF1-2E26A92EF29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537" name="AutoShape 12">
          <a:extLst>
            <a:ext uri="{FF2B5EF4-FFF2-40B4-BE49-F238E27FC236}">
              <a16:creationId xmlns:a16="http://schemas.microsoft.com/office/drawing/2014/main" id="{47D3902C-7691-4028-AA8C-EDA07AFDB17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538" name="AutoShape 12">
          <a:extLst>
            <a:ext uri="{FF2B5EF4-FFF2-40B4-BE49-F238E27FC236}">
              <a16:creationId xmlns:a16="http://schemas.microsoft.com/office/drawing/2014/main" id="{957084D7-B648-479D-997F-05729A47AEF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539" name="AutoShape 12">
          <a:extLst>
            <a:ext uri="{FF2B5EF4-FFF2-40B4-BE49-F238E27FC236}">
              <a16:creationId xmlns:a16="http://schemas.microsoft.com/office/drawing/2014/main" id="{3829E812-1A68-4BCD-928F-1A8554B8B4D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540" name="AutoShape 12">
          <a:extLst>
            <a:ext uri="{FF2B5EF4-FFF2-40B4-BE49-F238E27FC236}">
              <a16:creationId xmlns:a16="http://schemas.microsoft.com/office/drawing/2014/main" id="{B1CCFCB3-6B47-4706-9F9C-EDD04FCE3E6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541" name="AutoShape 12">
          <a:extLst>
            <a:ext uri="{FF2B5EF4-FFF2-40B4-BE49-F238E27FC236}">
              <a16:creationId xmlns:a16="http://schemas.microsoft.com/office/drawing/2014/main" id="{6B079F96-FBEB-4179-A74A-6EDAA25770A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542" name="AutoShape 12">
          <a:extLst>
            <a:ext uri="{FF2B5EF4-FFF2-40B4-BE49-F238E27FC236}">
              <a16:creationId xmlns:a16="http://schemas.microsoft.com/office/drawing/2014/main" id="{286AB170-BCA1-4D15-911D-63DE9DB9792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543" name="AutoShape 12">
          <a:extLst>
            <a:ext uri="{FF2B5EF4-FFF2-40B4-BE49-F238E27FC236}">
              <a16:creationId xmlns:a16="http://schemas.microsoft.com/office/drawing/2014/main" id="{79768D59-B8A2-4696-8842-535DA29F51F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544" name="AutoShape 12">
          <a:extLst>
            <a:ext uri="{FF2B5EF4-FFF2-40B4-BE49-F238E27FC236}">
              <a16:creationId xmlns:a16="http://schemas.microsoft.com/office/drawing/2014/main" id="{638CBC25-CEBC-4187-BC24-17572F94ED2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545" name="AutoShape 12">
          <a:extLst>
            <a:ext uri="{FF2B5EF4-FFF2-40B4-BE49-F238E27FC236}">
              <a16:creationId xmlns:a16="http://schemas.microsoft.com/office/drawing/2014/main" id="{4F8C92E7-8FA3-4B0C-9A18-9B6CFF9EB5A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546" name="AutoShape 12">
          <a:extLst>
            <a:ext uri="{FF2B5EF4-FFF2-40B4-BE49-F238E27FC236}">
              <a16:creationId xmlns:a16="http://schemas.microsoft.com/office/drawing/2014/main" id="{29C30519-C1E9-4C17-BEA0-CE4827EA1A4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547" name="AutoShape 12">
          <a:extLst>
            <a:ext uri="{FF2B5EF4-FFF2-40B4-BE49-F238E27FC236}">
              <a16:creationId xmlns:a16="http://schemas.microsoft.com/office/drawing/2014/main" id="{F6F88433-17C8-4E2F-A5E6-7B22FFD65B4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548" name="AutoShape 12">
          <a:extLst>
            <a:ext uri="{FF2B5EF4-FFF2-40B4-BE49-F238E27FC236}">
              <a16:creationId xmlns:a16="http://schemas.microsoft.com/office/drawing/2014/main" id="{F9661DCD-F58B-42CE-8DD1-94A6BA880EE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549" name="AutoShape 12">
          <a:extLst>
            <a:ext uri="{FF2B5EF4-FFF2-40B4-BE49-F238E27FC236}">
              <a16:creationId xmlns:a16="http://schemas.microsoft.com/office/drawing/2014/main" id="{834E3E43-AABD-404D-86D1-1AEAAEDB912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550" name="AutoShape 12">
          <a:extLst>
            <a:ext uri="{FF2B5EF4-FFF2-40B4-BE49-F238E27FC236}">
              <a16:creationId xmlns:a16="http://schemas.microsoft.com/office/drawing/2014/main" id="{FD799DBD-D458-4E2C-9122-F9996C81873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551" name="AutoShape 12">
          <a:extLst>
            <a:ext uri="{FF2B5EF4-FFF2-40B4-BE49-F238E27FC236}">
              <a16:creationId xmlns:a16="http://schemas.microsoft.com/office/drawing/2014/main" id="{0E8B5E31-356E-4F6F-80C7-F7B9392B975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552" name="AutoShape 12">
          <a:extLst>
            <a:ext uri="{FF2B5EF4-FFF2-40B4-BE49-F238E27FC236}">
              <a16:creationId xmlns:a16="http://schemas.microsoft.com/office/drawing/2014/main" id="{10B58886-D73E-49B2-83BD-498840BFCC5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553" name="AutoShape 12">
          <a:extLst>
            <a:ext uri="{FF2B5EF4-FFF2-40B4-BE49-F238E27FC236}">
              <a16:creationId xmlns:a16="http://schemas.microsoft.com/office/drawing/2014/main" id="{CC98C7B1-449A-4938-9BC5-C92EAC95185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554" name="AutoShape 12">
          <a:extLst>
            <a:ext uri="{FF2B5EF4-FFF2-40B4-BE49-F238E27FC236}">
              <a16:creationId xmlns:a16="http://schemas.microsoft.com/office/drawing/2014/main" id="{FBD898D3-65B2-4CEF-B36A-AE635586C03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555" name="AutoShape 12">
          <a:extLst>
            <a:ext uri="{FF2B5EF4-FFF2-40B4-BE49-F238E27FC236}">
              <a16:creationId xmlns:a16="http://schemas.microsoft.com/office/drawing/2014/main" id="{2DEEFB0A-7202-43C9-B920-E966A32DCFE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556" name="AutoShape 12">
          <a:extLst>
            <a:ext uri="{FF2B5EF4-FFF2-40B4-BE49-F238E27FC236}">
              <a16:creationId xmlns:a16="http://schemas.microsoft.com/office/drawing/2014/main" id="{CCA42A67-6641-41AE-A421-7188D98757B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557" name="AutoShape 12">
          <a:extLst>
            <a:ext uri="{FF2B5EF4-FFF2-40B4-BE49-F238E27FC236}">
              <a16:creationId xmlns:a16="http://schemas.microsoft.com/office/drawing/2014/main" id="{28C57868-A64C-4801-AB45-98EE3EF7B98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558" name="AutoShape 12">
          <a:extLst>
            <a:ext uri="{FF2B5EF4-FFF2-40B4-BE49-F238E27FC236}">
              <a16:creationId xmlns:a16="http://schemas.microsoft.com/office/drawing/2014/main" id="{7C0FB894-12FD-412F-A2D6-4652563C8FE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559" name="AutoShape 12">
          <a:extLst>
            <a:ext uri="{FF2B5EF4-FFF2-40B4-BE49-F238E27FC236}">
              <a16:creationId xmlns:a16="http://schemas.microsoft.com/office/drawing/2014/main" id="{3CC29C38-AE9B-41C3-B518-553EC4FF27F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560" name="AutoShape 12">
          <a:extLst>
            <a:ext uri="{FF2B5EF4-FFF2-40B4-BE49-F238E27FC236}">
              <a16:creationId xmlns:a16="http://schemas.microsoft.com/office/drawing/2014/main" id="{B88D275E-8DB3-431D-8BD7-0CA5FA3597B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561" name="AutoShape 12">
          <a:extLst>
            <a:ext uri="{FF2B5EF4-FFF2-40B4-BE49-F238E27FC236}">
              <a16:creationId xmlns:a16="http://schemas.microsoft.com/office/drawing/2014/main" id="{000F92CA-1C5E-4025-9A92-DCA7591E6AB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562" name="AutoShape 12">
          <a:extLst>
            <a:ext uri="{FF2B5EF4-FFF2-40B4-BE49-F238E27FC236}">
              <a16:creationId xmlns:a16="http://schemas.microsoft.com/office/drawing/2014/main" id="{442478FD-9D4F-4CE6-8AB6-9FE34A3EFB4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563" name="AutoShape 12">
          <a:extLst>
            <a:ext uri="{FF2B5EF4-FFF2-40B4-BE49-F238E27FC236}">
              <a16:creationId xmlns:a16="http://schemas.microsoft.com/office/drawing/2014/main" id="{C1ECFACA-9A44-437A-A273-B2D4000D3F4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564" name="AutoShape 12">
          <a:extLst>
            <a:ext uri="{FF2B5EF4-FFF2-40B4-BE49-F238E27FC236}">
              <a16:creationId xmlns:a16="http://schemas.microsoft.com/office/drawing/2014/main" id="{B37E7A3C-ECD2-4144-89A4-F61146B21C3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565" name="AutoShape 12">
          <a:extLst>
            <a:ext uri="{FF2B5EF4-FFF2-40B4-BE49-F238E27FC236}">
              <a16:creationId xmlns:a16="http://schemas.microsoft.com/office/drawing/2014/main" id="{E18CA4EE-9398-4817-950D-E66D63D29FE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566" name="AutoShape 12">
          <a:extLst>
            <a:ext uri="{FF2B5EF4-FFF2-40B4-BE49-F238E27FC236}">
              <a16:creationId xmlns:a16="http://schemas.microsoft.com/office/drawing/2014/main" id="{E6B9BD71-8763-4BA5-A24E-1B225E90ED7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567" name="AutoShape 12">
          <a:extLst>
            <a:ext uri="{FF2B5EF4-FFF2-40B4-BE49-F238E27FC236}">
              <a16:creationId xmlns:a16="http://schemas.microsoft.com/office/drawing/2014/main" id="{69E09216-4C72-450F-8380-4757819524C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568" name="AutoShape 12">
          <a:extLst>
            <a:ext uri="{FF2B5EF4-FFF2-40B4-BE49-F238E27FC236}">
              <a16:creationId xmlns:a16="http://schemas.microsoft.com/office/drawing/2014/main" id="{7895FAEF-1A1C-48C9-8AE0-B988CFCD463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569" name="AutoShape 12">
          <a:extLst>
            <a:ext uri="{FF2B5EF4-FFF2-40B4-BE49-F238E27FC236}">
              <a16:creationId xmlns:a16="http://schemas.microsoft.com/office/drawing/2014/main" id="{2B830C9C-3F51-4DC7-9D55-65DE9AA6135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570" name="AutoShape 12">
          <a:extLst>
            <a:ext uri="{FF2B5EF4-FFF2-40B4-BE49-F238E27FC236}">
              <a16:creationId xmlns:a16="http://schemas.microsoft.com/office/drawing/2014/main" id="{CD33914C-A9D2-497D-96D1-FBC346D0EC1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571" name="AutoShape 12">
          <a:extLst>
            <a:ext uri="{FF2B5EF4-FFF2-40B4-BE49-F238E27FC236}">
              <a16:creationId xmlns:a16="http://schemas.microsoft.com/office/drawing/2014/main" id="{FF86A54C-65A1-4AF7-A9B5-4267E300A61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572" name="AutoShape 12">
          <a:extLst>
            <a:ext uri="{FF2B5EF4-FFF2-40B4-BE49-F238E27FC236}">
              <a16:creationId xmlns:a16="http://schemas.microsoft.com/office/drawing/2014/main" id="{1124DD8D-76DA-46C8-ABC0-5CEA55E1ECC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573" name="AutoShape 12">
          <a:extLst>
            <a:ext uri="{FF2B5EF4-FFF2-40B4-BE49-F238E27FC236}">
              <a16:creationId xmlns:a16="http://schemas.microsoft.com/office/drawing/2014/main" id="{2F3B3E11-2686-49B8-90FA-6C39FFA89A1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574" name="AutoShape 12">
          <a:extLst>
            <a:ext uri="{FF2B5EF4-FFF2-40B4-BE49-F238E27FC236}">
              <a16:creationId xmlns:a16="http://schemas.microsoft.com/office/drawing/2014/main" id="{3DF4E012-5646-4799-849C-D89513D9E74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575" name="AutoShape 12">
          <a:extLst>
            <a:ext uri="{FF2B5EF4-FFF2-40B4-BE49-F238E27FC236}">
              <a16:creationId xmlns:a16="http://schemas.microsoft.com/office/drawing/2014/main" id="{C8D41CAE-76CF-4EAA-AED8-E637F2BD28D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576" name="AutoShape 12">
          <a:extLst>
            <a:ext uri="{FF2B5EF4-FFF2-40B4-BE49-F238E27FC236}">
              <a16:creationId xmlns:a16="http://schemas.microsoft.com/office/drawing/2014/main" id="{83852EBA-285B-45E3-8486-B884A9C4135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577" name="AutoShape 12">
          <a:extLst>
            <a:ext uri="{FF2B5EF4-FFF2-40B4-BE49-F238E27FC236}">
              <a16:creationId xmlns:a16="http://schemas.microsoft.com/office/drawing/2014/main" id="{6B9389A9-BDCF-4953-9EFD-F94C13D8440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578" name="AutoShape 12">
          <a:extLst>
            <a:ext uri="{FF2B5EF4-FFF2-40B4-BE49-F238E27FC236}">
              <a16:creationId xmlns:a16="http://schemas.microsoft.com/office/drawing/2014/main" id="{9639FB84-A829-4CFE-8DCE-9D04A683F57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579" name="AutoShape 12">
          <a:extLst>
            <a:ext uri="{FF2B5EF4-FFF2-40B4-BE49-F238E27FC236}">
              <a16:creationId xmlns:a16="http://schemas.microsoft.com/office/drawing/2014/main" id="{888AF198-6B15-4B46-83B2-6E02BDF276A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580" name="AutoShape 12">
          <a:extLst>
            <a:ext uri="{FF2B5EF4-FFF2-40B4-BE49-F238E27FC236}">
              <a16:creationId xmlns:a16="http://schemas.microsoft.com/office/drawing/2014/main" id="{78927E05-686D-4B3B-B000-0A70DCFAFAA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581" name="AutoShape 12">
          <a:extLst>
            <a:ext uri="{FF2B5EF4-FFF2-40B4-BE49-F238E27FC236}">
              <a16:creationId xmlns:a16="http://schemas.microsoft.com/office/drawing/2014/main" id="{1261C132-6A32-4F7C-9AD7-8915FAA2A5F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582" name="AutoShape 12">
          <a:extLst>
            <a:ext uri="{FF2B5EF4-FFF2-40B4-BE49-F238E27FC236}">
              <a16:creationId xmlns:a16="http://schemas.microsoft.com/office/drawing/2014/main" id="{B9843EF8-56E7-43FF-8326-785E381CC3E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583" name="AutoShape 12">
          <a:extLst>
            <a:ext uri="{FF2B5EF4-FFF2-40B4-BE49-F238E27FC236}">
              <a16:creationId xmlns:a16="http://schemas.microsoft.com/office/drawing/2014/main" id="{3BEC92E2-A571-4C8D-AACE-C23EDCB20AE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584" name="AutoShape 12">
          <a:extLst>
            <a:ext uri="{FF2B5EF4-FFF2-40B4-BE49-F238E27FC236}">
              <a16:creationId xmlns:a16="http://schemas.microsoft.com/office/drawing/2014/main" id="{B1EB6637-9951-44FD-8C72-DC30EBDAC73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585" name="AutoShape 12">
          <a:extLst>
            <a:ext uri="{FF2B5EF4-FFF2-40B4-BE49-F238E27FC236}">
              <a16:creationId xmlns:a16="http://schemas.microsoft.com/office/drawing/2014/main" id="{2AF49FA9-0689-4206-97EE-DE9E188F05F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586" name="AutoShape 12">
          <a:extLst>
            <a:ext uri="{FF2B5EF4-FFF2-40B4-BE49-F238E27FC236}">
              <a16:creationId xmlns:a16="http://schemas.microsoft.com/office/drawing/2014/main" id="{F6A36E90-9CF4-44A9-978F-00F4A912993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587" name="AutoShape 12">
          <a:extLst>
            <a:ext uri="{FF2B5EF4-FFF2-40B4-BE49-F238E27FC236}">
              <a16:creationId xmlns:a16="http://schemas.microsoft.com/office/drawing/2014/main" id="{EE1D4B17-8AA2-428E-933B-A87BEB018CB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588" name="AutoShape 12">
          <a:extLst>
            <a:ext uri="{FF2B5EF4-FFF2-40B4-BE49-F238E27FC236}">
              <a16:creationId xmlns:a16="http://schemas.microsoft.com/office/drawing/2014/main" id="{5979C822-043B-489A-88B1-83310C7F5B9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589" name="AutoShape 12">
          <a:extLst>
            <a:ext uri="{FF2B5EF4-FFF2-40B4-BE49-F238E27FC236}">
              <a16:creationId xmlns:a16="http://schemas.microsoft.com/office/drawing/2014/main" id="{8AFD53A3-DD43-4C82-BE5E-9D7ECB39B99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590" name="AutoShape 12">
          <a:extLst>
            <a:ext uri="{FF2B5EF4-FFF2-40B4-BE49-F238E27FC236}">
              <a16:creationId xmlns:a16="http://schemas.microsoft.com/office/drawing/2014/main" id="{F250C947-0E09-4A7E-A56B-F2D8B0DA444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591" name="AutoShape 12">
          <a:extLst>
            <a:ext uri="{FF2B5EF4-FFF2-40B4-BE49-F238E27FC236}">
              <a16:creationId xmlns:a16="http://schemas.microsoft.com/office/drawing/2014/main" id="{E3691992-B56C-4697-BE6D-F6D49BA2864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592" name="AutoShape 12">
          <a:extLst>
            <a:ext uri="{FF2B5EF4-FFF2-40B4-BE49-F238E27FC236}">
              <a16:creationId xmlns:a16="http://schemas.microsoft.com/office/drawing/2014/main" id="{8D6DEFE2-0DF7-44ED-BCDE-5A8E9B46F85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593" name="AutoShape 12">
          <a:extLst>
            <a:ext uri="{FF2B5EF4-FFF2-40B4-BE49-F238E27FC236}">
              <a16:creationId xmlns:a16="http://schemas.microsoft.com/office/drawing/2014/main" id="{125A8D2D-7057-45EC-ABE7-71F454E3794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594" name="AutoShape 12">
          <a:extLst>
            <a:ext uri="{FF2B5EF4-FFF2-40B4-BE49-F238E27FC236}">
              <a16:creationId xmlns:a16="http://schemas.microsoft.com/office/drawing/2014/main" id="{05F55FD5-9E04-4C6F-A508-1024D8F4831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595" name="AutoShape 12">
          <a:extLst>
            <a:ext uri="{FF2B5EF4-FFF2-40B4-BE49-F238E27FC236}">
              <a16:creationId xmlns:a16="http://schemas.microsoft.com/office/drawing/2014/main" id="{43847ECD-B08C-4C4D-9B0F-5436C490E20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596" name="AutoShape 12">
          <a:extLst>
            <a:ext uri="{FF2B5EF4-FFF2-40B4-BE49-F238E27FC236}">
              <a16:creationId xmlns:a16="http://schemas.microsoft.com/office/drawing/2014/main" id="{1E30FB3A-649B-4DB8-9C56-412B98EBD97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597" name="AutoShape 12">
          <a:extLst>
            <a:ext uri="{FF2B5EF4-FFF2-40B4-BE49-F238E27FC236}">
              <a16:creationId xmlns:a16="http://schemas.microsoft.com/office/drawing/2014/main" id="{37B467CB-AFBE-4D21-8675-14B75DA0FA2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598" name="AutoShape 12">
          <a:extLst>
            <a:ext uri="{FF2B5EF4-FFF2-40B4-BE49-F238E27FC236}">
              <a16:creationId xmlns:a16="http://schemas.microsoft.com/office/drawing/2014/main" id="{BD61880B-105D-4614-B1B8-B6E897CB03C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599" name="AutoShape 12">
          <a:extLst>
            <a:ext uri="{FF2B5EF4-FFF2-40B4-BE49-F238E27FC236}">
              <a16:creationId xmlns:a16="http://schemas.microsoft.com/office/drawing/2014/main" id="{E959E384-B19E-4D06-8EA4-8FD64379B9D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600" name="AutoShape 12">
          <a:extLst>
            <a:ext uri="{FF2B5EF4-FFF2-40B4-BE49-F238E27FC236}">
              <a16:creationId xmlns:a16="http://schemas.microsoft.com/office/drawing/2014/main" id="{76DAC949-4EBB-41BE-BA05-2952F422DCC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601" name="AutoShape 12">
          <a:extLst>
            <a:ext uri="{FF2B5EF4-FFF2-40B4-BE49-F238E27FC236}">
              <a16:creationId xmlns:a16="http://schemas.microsoft.com/office/drawing/2014/main" id="{3D68839D-0699-47E6-A464-17DFBD8B32F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602" name="AutoShape 12">
          <a:extLst>
            <a:ext uri="{FF2B5EF4-FFF2-40B4-BE49-F238E27FC236}">
              <a16:creationId xmlns:a16="http://schemas.microsoft.com/office/drawing/2014/main" id="{F0701424-EDD4-4549-A227-8AD1A5BDBC2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603" name="AutoShape 12">
          <a:extLst>
            <a:ext uri="{FF2B5EF4-FFF2-40B4-BE49-F238E27FC236}">
              <a16:creationId xmlns:a16="http://schemas.microsoft.com/office/drawing/2014/main" id="{A5CDB337-C787-4436-A6A3-16D0E74D99F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604" name="AutoShape 12">
          <a:extLst>
            <a:ext uri="{FF2B5EF4-FFF2-40B4-BE49-F238E27FC236}">
              <a16:creationId xmlns:a16="http://schemas.microsoft.com/office/drawing/2014/main" id="{FCA4CFA4-AFD8-4503-9D24-40FBC68DEB1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605" name="AutoShape 12">
          <a:extLst>
            <a:ext uri="{FF2B5EF4-FFF2-40B4-BE49-F238E27FC236}">
              <a16:creationId xmlns:a16="http://schemas.microsoft.com/office/drawing/2014/main" id="{3CE4AD8E-5832-414A-A787-07DC9BBF27F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606" name="AutoShape 12">
          <a:extLst>
            <a:ext uri="{FF2B5EF4-FFF2-40B4-BE49-F238E27FC236}">
              <a16:creationId xmlns:a16="http://schemas.microsoft.com/office/drawing/2014/main" id="{D081ED0F-999E-46A7-AA42-DA48025B90E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607" name="AutoShape 12">
          <a:extLst>
            <a:ext uri="{FF2B5EF4-FFF2-40B4-BE49-F238E27FC236}">
              <a16:creationId xmlns:a16="http://schemas.microsoft.com/office/drawing/2014/main" id="{73807CBD-F01B-4D10-AF94-D8D1E04F4A5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608" name="AutoShape 12">
          <a:extLst>
            <a:ext uri="{FF2B5EF4-FFF2-40B4-BE49-F238E27FC236}">
              <a16:creationId xmlns:a16="http://schemas.microsoft.com/office/drawing/2014/main" id="{F18EDEDB-4FCC-446D-AF44-A0D648859FE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609" name="AutoShape 12">
          <a:extLst>
            <a:ext uri="{FF2B5EF4-FFF2-40B4-BE49-F238E27FC236}">
              <a16:creationId xmlns:a16="http://schemas.microsoft.com/office/drawing/2014/main" id="{B7A0BBFE-E859-4CA3-B34D-ABE1A381139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610" name="AutoShape 12">
          <a:extLst>
            <a:ext uri="{FF2B5EF4-FFF2-40B4-BE49-F238E27FC236}">
              <a16:creationId xmlns:a16="http://schemas.microsoft.com/office/drawing/2014/main" id="{EC00C571-42EC-4BC8-A9FC-EF9778217ED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611" name="AutoShape 12">
          <a:extLst>
            <a:ext uri="{FF2B5EF4-FFF2-40B4-BE49-F238E27FC236}">
              <a16:creationId xmlns:a16="http://schemas.microsoft.com/office/drawing/2014/main" id="{647A1C5A-7B88-4518-9318-2F233AEAAA6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612" name="AutoShape 12">
          <a:extLst>
            <a:ext uri="{FF2B5EF4-FFF2-40B4-BE49-F238E27FC236}">
              <a16:creationId xmlns:a16="http://schemas.microsoft.com/office/drawing/2014/main" id="{7D5C3A78-BBEA-432B-8185-5EF0C5332E4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613" name="AutoShape 12">
          <a:extLst>
            <a:ext uri="{FF2B5EF4-FFF2-40B4-BE49-F238E27FC236}">
              <a16:creationId xmlns:a16="http://schemas.microsoft.com/office/drawing/2014/main" id="{6772BCC8-A781-4644-B851-4943CBD9029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614" name="AutoShape 12">
          <a:extLst>
            <a:ext uri="{FF2B5EF4-FFF2-40B4-BE49-F238E27FC236}">
              <a16:creationId xmlns:a16="http://schemas.microsoft.com/office/drawing/2014/main" id="{6BA61F55-08EA-4D50-B9A5-80F00EA05DD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615" name="AutoShape 12">
          <a:extLst>
            <a:ext uri="{FF2B5EF4-FFF2-40B4-BE49-F238E27FC236}">
              <a16:creationId xmlns:a16="http://schemas.microsoft.com/office/drawing/2014/main" id="{FAB50562-97A5-4EAD-ACE4-52ACAAA9ED2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616" name="AutoShape 12">
          <a:extLst>
            <a:ext uri="{FF2B5EF4-FFF2-40B4-BE49-F238E27FC236}">
              <a16:creationId xmlns:a16="http://schemas.microsoft.com/office/drawing/2014/main" id="{F2F31D53-2FF3-4261-A7A4-7D5B2E88A40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617" name="AutoShape 12">
          <a:extLst>
            <a:ext uri="{FF2B5EF4-FFF2-40B4-BE49-F238E27FC236}">
              <a16:creationId xmlns:a16="http://schemas.microsoft.com/office/drawing/2014/main" id="{72C8EAE5-A80E-4288-9D88-B04252B8511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618" name="AutoShape 12">
          <a:extLst>
            <a:ext uri="{FF2B5EF4-FFF2-40B4-BE49-F238E27FC236}">
              <a16:creationId xmlns:a16="http://schemas.microsoft.com/office/drawing/2014/main" id="{C7B0C53F-C0A0-45B7-91CB-0BB5778F0AB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619" name="AutoShape 12">
          <a:extLst>
            <a:ext uri="{FF2B5EF4-FFF2-40B4-BE49-F238E27FC236}">
              <a16:creationId xmlns:a16="http://schemas.microsoft.com/office/drawing/2014/main" id="{924D8425-A579-4869-BFF7-0FA07D4BD74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620" name="AutoShape 12">
          <a:extLst>
            <a:ext uri="{FF2B5EF4-FFF2-40B4-BE49-F238E27FC236}">
              <a16:creationId xmlns:a16="http://schemas.microsoft.com/office/drawing/2014/main" id="{B0C7DB71-1794-46B9-863E-806F3A648BA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621" name="AutoShape 12">
          <a:extLst>
            <a:ext uri="{FF2B5EF4-FFF2-40B4-BE49-F238E27FC236}">
              <a16:creationId xmlns:a16="http://schemas.microsoft.com/office/drawing/2014/main" id="{C05A819D-BC3C-4E1D-8164-A61E791FDEF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622" name="AutoShape 12">
          <a:extLst>
            <a:ext uri="{FF2B5EF4-FFF2-40B4-BE49-F238E27FC236}">
              <a16:creationId xmlns:a16="http://schemas.microsoft.com/office/drawing/2014/main" id="{B2F20190-1A11-4D0D-B551-EC1080FEE80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623" name="AutoShape 12">
          <a:extLst>
            <a:ext uri="{FF2B5EF4-FFF2-40B4-BE49-F238E27FC236}">
              <a16:creationId xmlns:a16="http://schemas.microsoft.com/office/drawing/2014/main" id="{092D10A0-41D6-4D79-A466-1BFE55FB236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624" name="AutoShape 12">
          <a:extLst>
            <a:ext uri="{FF2B5EF4-FFF2-40B4-BE49-F238E27FC236}">
              <a16:creationId xmlns:a16="http://schemas.microsoft.com/office/drawing/2014/main" id="{975F75FC-FF00-4E65-B96E-CF68C26B18A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625" name="AutoShape 12">
          <a:extLst>
            <a:ext uri="{FF2B5EF4-FFF2-40B4-BE49-F238E27FC236}">
              <a16:creationId xmlns:a16="http://schemas.microsoft.com/office/drawing/2014/main" id="{FDA6BBAD-A06F-4FA4-8C0B-6264B591A4E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626" name="AutoShape 12">
          <a:extLst>
            <a:ext uri="{FF2B5EF4-FFF2-40B4-BE49-F238E27FC236}">
              <a16:creationId xmlns:a16="http://schemas.microsoft.com/office/drawing/2014/main" id="{84BB7C3F-7A30-4986-84FC-C38E6ED9B09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627" name="AutoShape 12">
          <a:extLst>
            <a:ext uri="{FF2B5EF4-FFF2-40B4-BE49-F238E27FC236}">
              <a16:creationId xmlns:a16="http://schemas.microsoft.com/office/drawing/2014/main" id="{74227310-9530-42E8-91E5-4F8A1392215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628" name="AutoShape 12">
          <a:extLst>
            <a:ext uri="{FF2B5EF4-FFF2-40B4-BE49-F238E27FC236}">
              <a16:creationId xmlns:a16="http://schemas.microsoft.com/office/drawing/2014/main" id="{1A8F6154-C63C-48CC-863D-32CDE6EFC93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629" name="AutoShape 12">
          <a:extLst>
            <a:ext uri="{FF2B5EF4-FFF2-40B4-BE49-F238E27FC236}">
              <a16:creationId xmlns:a16="http://schemas.microsoft.com/office/drawing/2014/main" id="{B0503E85-4D93-437E-8E48-4FB1936EE8B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630" name="AutoShape 12">
          <a:extLst>
            <a:ext uri="{FF2B5EF4-FFF2-40B4-BE49-F238E27FC236}">
              <a16:creationId xmlns:a16="http://schemas.microsoft.com/office/drawing/2014/main" id="{AD5F9EC1-01F0-4E6A-BB72-0D0E598CA0E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631" name="AutoShape 12">
          <a:extLst>
            <a:ext uri="{FF2B5EF4-FFF2-40B4-BE49-F238E27FC236}">
              <a16:creationId xmlns:a16="http://schemas.microsoft.com/office/drawing/2014/main" id="{8172DABF-3599-4EB5-9BB5-C3D6E1AECCB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632" name="AutoShape 12">
          <a:extLst>
            <a:ext uri="{FF2B5EF4-FFF2-40B4-BE49-F238E27FC236}">
              <a16:creationId xmlns:a16="http://schemas.microsoft.com/office/drawing/2014/main" id="{FAEBB0F0-1F22-446D-9167-3AC080E6D6A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633" name="AutoShape 12">
          <a:extLst>
            <a:ext uri="{FF2B5EF4-FFF2-40B4-BE49-F238E27FC236}">
              <a16:creationId xmlns:a16="http://schemas.microsoft.com/office/drawing/2014/main" id="{4BB72479-CAA7-4FEB-ABF2-DFB4D80CDCA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634" name="AutoShape 12">
          <a:extLst>
            <a:ext uri="{FF2B5EF4-FFF2-40B4-BE49-F238E27FC236}">
              <a16:creationId xmlns:a16="http://schemas.microsoft.com/office/drawing/2014/main" id="{E4C5580A-B8A8-403B-89EB-CA29C4D4229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635" name="AutoShape 12">
          <a:extLst>
            <a:ext uri="{FF2B5EF4-FFF2-40B4-BE49-F238E27FC236}">
              <a16:creationId xmlns:a16="http://schemas.microsoft.com/office/drawing/2014/main" id="{4FDDBA95-9616-430C-B35F-8B108F5ACF0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636" name="AutoShape 12">
          <a:extLst>
            <a:ext uri="{FF2B5EF4-FFF2-40B4-BE49-F238E27FC236}">
              <a16:creationId xmlns:a16="http://schemas.microsoft.com/office/drawing/2014/main" id="{91369043-011B-41E0-8CC3-94E2C5388F4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637" name="AutoShape 12">
          <a:extLst>
            <a:ext uri="{FF2B5EF4-FFF2-40B4-BE49-F238E27FC236}">
              <a16:creationId xmlns:a16="http://schemas.microsoft.com/office/drawing/2014/main" id="{AA9D982D-59BF-48EC-BD00-C041A201CB9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638" name="AutoShape 12">
          <a:extLst>
            <a:ext uri="{FF2B5EF4-FFF2-40B4-BE49-F238E27FC236}">
              <a16:creationId xmlns:a16="http://schemas.microsoft.com/office/drawing/2014/main" id="{78916896-6F6E-4D45-A252-559DC6D4C90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639" name="AutoShape 12">
          <a:extLst>
            <a:ext uri="{FF2B5EF4-FFF2-40B4-BE49-F238E27FC236}">
              <a16:creationId xmlns:a16="http://schemas.microsoft.com/office/drawing/2014/main" id="{1D9AADEB-5993-432B-9C97-E959026167D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640" name="AutoShape 12">
          <a:extLst>
            <a:ext uri="{FF2B5EF4-FFF2-40B4-BE49-F238E27FC236}">
              <a16:creationId xmlns:a16="http://schemas.microsoft.com/office/drawing/2014/main" id="{6014FA3F-2DB4-45AF-B7BE-AA0D6E1DD60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641" name="AutoShape 12">
          <a:extLst>
            <a:ext uri="{FF2B5EF4-FFF2-40B4-BE49-F238E27FC236}">
              <a16:creationId xmlns:a16="http://schemas.microsoft.com/office/drawing/2014/main" id="{1D74E97A-DC28-45F2-A798-794E9B2AF11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642" name="AutoShape 12">
          <a:extLst>
            <a:ext uri="{FF2B5EF4-FFF2-40B4-BE49-F238E27FC236}">
              <a16:creationId xmlns:a16="http://schemas.microsoft.com/office/drawing/2014/main" id="{8156FD3B-D5DF-4C4D-A911-DB34E610236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643" name="AutoShape 12">
          <a:extLst>
            <a:ext uri="{FF2B5EF4-FFF2-40B4-BE49-F238E27FC236}">
              <a16:creationId xmlns:a16="http://schemas.microsoft.com/office/drawing/2014/main" id="{ADC464D2-7103-4C50-AC60-E8DE62A4786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644" name="AutoShape 12">
          <a:extLst>
            <a:ext uri="{FF2B5EF4-FFF2-40B4-BE49-F238E27FC236}">
              <a16:creationId xmlns:a16="http://schemas.microsoft.com/office/drawing/2014/main" id="{08A36F17-58EF-4128-BD95-90F3B218109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645" name="AutoShape 12">
          <a:extLst>
            <a:ext uri="{FF2B5EF4-FFF2-40B4-BE49-F238E27FC236}">
              <a16:creationId xmlns:a16="http://schemas.microsoft.com/office/drawing/2014/main" id="{AFE2C572-9B0D-4634-8A0D-A8C8C7FB4D2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646" name="AutoShape 12">
          <a:extLst>
            <a:ext uri="{FF2B5EF4-FFF2-40B4-BE49-F238E27FC236}">
              <a16:creationId xmlns:a16="http://schemas.microsoft.com/office/drawing/2014/main" id="{93A24C6C-825E-41A3-AB85-590EE9E3B39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647" name="AutoShape 12">
          <a:extLst>
            <a:ext uri="{FF2B5EF4-FFF2-40B4-BE49-F238E27FC236}">
              <a16:creationId xmlns:a16="http://schemas.microsoft.com/office/drawing/2014/main" id="{BDBE8F47-CE82-4113-89DB-F5A73744039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648" name="AutoShape 12">
          <a:extLst>
            <a:ext uri="{FF2B5EF4-FFF2-40B4-BE49-F238E27FC236}">
              <a16:creationId xmlns:a16="http://schemas.microsoft.com/office/drawing/2014/main" id="{C59B8A38-575A-4790-8FCA-AB3CFDBE579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649" name="AutoShape 12">
          <a:extLst>
            <a:ext uri="{FF2B5EF4-FFF2-40B4-BE49-F238E27FC236}">
              <a16:creationId xmlns:a16="http://schemas.microsoft.com/office/drawing/2014/main" id="{622A67D2-A51B-4E49-8B2A-2F06481F57E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650" name="AutoShape 12">
          <a:extLst>
            <a:ext uri="{FF2B5EF4-FFF2-40B4-BE49-F238E27FC236}">
              <a16:creationId xmlns:a16="http://schemas.microsoft.com/office/drawing/2014/main" id="{326BF00F-EEA9-4340-A12D-3A9A5138151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651" name="AutoShape 12">
          <a:extLst>
            <a:ext uri="{FF2B5EF4-FFF2-40B4-BE49-F238E27FC236}">
              <a16:creationId xmlns:a16="http://schemas.microsoft.com/office/drawing/2014/main" id="{D3433CDA-B183-4AB4-88CD-78A488D87B0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652" name="AutoShape 12">
          <a:extLst>
            <a:ext uri="{FF2B5EF4-FFF2-40B4-BE49-F238E27FC236}">
              <a16:creationId xmlns:a16="http://schemas.microsoft.com/office/drawing/2014/main" id="{FA473EB1-6F32-4928-A082-31576FF2136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653" name="AutoShape 12">
          <a:extLst>
            <a:ext uri="{FF2B5EF4-FFF2-40B4-BE49-F238E27FC236}">
              <a16:creationId xmlns:a16="http://schemas.microsoft.com/office/drawing/2014/main" id="{6927C265-440C-4B95-BC6A-3D2EC16A1AB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654" name="AutoShape 12">
          <a:extLst>
            <a:ext uri="{FF2B5EF4-FFF2-40B4-BE49-F238E27FC236}">
              <a16:creationId xmlns:a16="http://schemas.microsoft.com/office/drawing/2014/main" id="{D8A4500F-AECF-4086-8414-4EB5905F2EA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655" name="AutoShape 12">
          <a:extLst>
            <a:ext uri="{FF2B5EF4-FFF2-40B4-BE49-F238E27FC236}">
              <a16:creationId xmlns:a16="http://schemas.microsoft.com/office/drawing/2014/main" id="{19C0543E-759D-4B25-95B9-1FFE81B2CB1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656" name="AutoShape 12">
          <a:extLst>
            <a:ext uri="{FF2B5EF4-FFF2-40B4-BE49-F238E27FC236}">
              <a16:creationId xmlns:a16="http://schemas.microsoft.com/office/drawing/2014/main" id="{C9F76CF7-C6BB-4BCA-AED9-621415C65B8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657" name="AutoShape 12">
          <a:extLst>
            <a:ext uri="{FF2B5EF4-FFF2-40B4-BE49-F238E27FC236}">
              <a16:creationId xmlns:a16="http://schemas.microsoft.com/office/drawing/2014/main" id="{6FDAB8CA-3DA9-47FE-A0BC-8FDE820A017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658" name="AutoShape 12">
          <a:extLst>
            <a:ext uri="{FF2B5EF4-FFF2-40B4-BE49-F238E27FC236}">
              <a16:creationId xmlns:a16="http://schemas.microsoft.com/office/drawing/2014/main" id="{AF4249B8-E183-4741-92F3-678E400BA91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659" name="AutoShape 12">
          <a:extLst>
            <a:ext uri="{FF2B5EF4-FFF2-40B4-BE49-F238E27FC236}">
              <a16:creationId xmlns:a16="http://schemas.microsoft.com/office/drawing/2014/main" id="{105D5DB7-BFE4-4A0F-AFCA-95CC93391F9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660" name="AutoShape 12">
          <a:extLst>
            <a:ext uri="{FF2B5EF4-FFF2-40B4-BE49-F238E27FC236}">
              <a16:creationId xmlns:a16="http://schemas.microsoft.com/office/drawing/2014/main" id="{6A238036-DF2F-41B1-824F-65D07ABE0B0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661" name="AutoShape 12">
          <a:extLst>
            <a:ext uri="{FF2B5EF4-FFF2-40B4-BE49-F238E27FC236}">
              <a16:creationId xmlns:a16="http://schemas.microsoft.com/office/drawing/2014/main" id="{D9A32762-D421-4831-AAD4-3ABAA2DA639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662" name="AutoShape 12">
          <a:extLst>
            <a:ext uri="{FF2B5EF4-FFF2-40B4-BE49-F238E27FC236}">
              <a16:creationId xmlns:a16="http://schemas.microsoft.com/office/drawing/2014/main" id="{DBA95B86-06BB-4BA2-8FE7-24E885E08C6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663" name="AutoShape 12">
          <a:extLst>
            <a:ext uri="{FF2B5EF4-FFF2-40B4-BE49-F238E27FC236}">
              <a16:creationId xmlns:a16="http://schemas.microsoft.com/office/drawing/2014/main" id="{6E6D4179-5E35-42A0-B730-0D26757D9FF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664" name="AutoShape 12">
          <a:extLst>
            <a:ext uri="{FF2B5EF4-FFF2-40B4-BE49-F238E27FC236}">
              <a16:creationId xmlns:a16="http://schemas.microsoft.com/office/drawing/2014/main" id="{4ED42649-9201-4A00-B50E-6E5CB94D747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665" name="AutoShape 12">
          <a:extLst>
            <a:ext uri="{FF2B5EF4-FFF2-40B4-BE49-F238E27FC236}">
              <a16:creationId xmlns:a16="http://schemas.microsoft.com/office/drawing/2014/main" id="{7907418A-F0D3-43C7-8DEF-E808A6DBDF3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666" name="AutoShape 12">
          <a:extLst>
            <a:ext uri="{FF2B5EF4-FFF2-40B4-BE49-F238E27FC236}">
              <a16:creationId xmlns:a16="http://schemas.microsoft.com/office/drawing/2014/main" id="{8B5CC93B-7C7B-46F5-BC2E-7F518317FC6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667" name="AutoShape 12">
          <a:extLst>
            <a:ext uri="{FF2B5EF4-FFF2-40B4-BE49-F238E27FC236}">
              <a16:creationId xmlns:a16="http://schemas.microsoft.com/office/drawing/2014/main" id="{8B604FCB-C238-42BC-9D20-83A94EFA0B4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668" name="AutoShape 12">
          <a:extLst>
            <a:ext uri="{FF2B5EF4-FFF2-40B4-BE49-F238E27FC236}">
              <a16:creationId xmlns:a16="http://schemas.microsoft.com/office/drawing/2014/main" id="{63B5AF2E-18F3-4BCD-95D1-BDB50644A7B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669" name="AutoShape 12">
          <a:extLst>
            <a:ext uri="{FF2B5EF4-FFF2-40B4-BE49-F238E27FC236}">
              <a16:creationId xmlns:a16="http://schemas.microsoft.com/office/drawing/2014/main" id="{79AA8553-76A1-4370-B8D6-273F13F5093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670" name="AutoShape 12">
          <a:extLst>
            <a:ext uri="{FF2B5EF4-FFF2-40B4-BE49-F238E27FC236}">
              <a16:creationId xmlns:a16="http://schemas.microsoft.com/office/drawing/2014/main" id="{AE1D2E01-669D-4487-8A3E-CBB6BC5C30D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671" name="AutoShape 12">
          <a:extLst>
            <a:ext uri="{FF2B5EF4-FFF2-40B4-BE49-F238E27FC236}">
              <a16:creationId xmlns:a16="http://schemas.microsoft.com/office/drawing/2014/main" id="{986EE1F9-59EC-4B8C-897A-8CF42FBCF3B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672" name="AutoShape 12">
          <a:extLst>
            <a:ext uri="{FF2B5EF4-FFF2-40B4-BE49-F238E27FC236}">
              <a16:creationId xmlns:a16="http://schemas.microsoft.com/office/drawing/2014/main" id="{9AF5A111-8FD0-4BCF-B7B8-E727037C83B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673" name="AutoShape 12">
          <a:extLst>
            <a:ext uri="{FF2B5EF4-FFF2-40B4-BE49-F238E27FC236}">
              <a16:creationId xmlns:a16="http://schemas.microsoft.com/office/drawing/2014/main" id="{B1DC44DD-C395-4767-AC88-0C52F0228E8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674" name="AutoShape 12">
          <a:extLst>
            <a:ext uri="{FF2B5EF4-FFF2-40B4-BE49-F238E27FC236}">
              <a16:creationId xmlns:a16="http://schemas.microsoft.com/office/drawing/2014/main" id="{7F29912E-FF12-4599-A5B3-14EA5BF6B5E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675" name="AutoShape 12">
          <a:extLst>
            <a:ext uri="{FF2B5EF4-FFF2-40B4-BE49-F238E27FC236}">
              <a16:creationId xmlns:a16="http://schemas.microsoft.com/office/drawing/2014/main" id="{8B4B1D55-BCC7-47E4-B2B5-02D35C05A25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676" name="AutoShape 12">
          <a:extLst>
            <a:ext uri="{FF2B5EF4-FFF2-40B4-BE49-F238E27FC236}">
              <a16:creationId xmlns:a16="http://schemas.microsoft.com/office/drawing/2014/main" id="{C592ADBE-DBC4-4BE1-B1D9-B98FEF3E364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677" name="AutoShape 12">
          <a:extLst>
            <a:ext uri="{FF2B5EF4-FFF2-40B4-BE49-F238E27FC236}">
              <a16:creationId xmlns:a16="http://schemas.microsoft.com/office/drawing/2014/main" id="{6C7C3C5C-65B7-480C-9E6E-B15565C1F11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678" name="AutoShape 12">
          <a:extLst>
            <a:ext uri="{FF2B5EF4-FFF2-40B4-BE49-F238E27FC236}">
              <a16:creationId xmlns:a16="http://schemas.microsoft.com/office/drawing/2014/main" id="{B3EF750A-ECEC-474B-A7ED-4CB0887AE9E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679" name="AutoShape 12">
          <a:extLst>
            <a:ext uri="{FF2B5EF4-FFF2-40B4-BE49-F238E27FC236}">
              <a16:creationId xmlns:a16="http://schemas.microsoft.com/office/drawing/2014/main" id="{4D8A8578-B261-4170-B791-79E714D246D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680" name="AutoShape 12">
          <a:extLst>
            <a:ext uri="{FF2B5EF4-FFF2-40B4-BE49-F238E27FC236}">
              <a16:creationId xmlns:a16="http://schemas.microsoft.com/office/drawing/2014/main" id="{25B1A39C-5DDC-456D-9FC6-70E26D0AB81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681" name="AutoShape 12">
          <a:extLst>
            <a:ext uri="{FF2B5EF4-FFF2-40B4-BE49-F238E27FC236}">
              <a16:creationId xmlns:a16="http://schemas.microsoft.com/office/drawing/2014/main" id="{C6878CE5-C68C-4BA9-98EE-9D38389A4F1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682" name="AutoShape 12">
          <a:extLst>
            <a:ext uri="{FF2B5EF4-FFF2-40B4-BE49-F238E27FC236}">
              <a16:creationId xmlns:a16="http://schemas.microsoft.com/office/drawing/2014/main" id="{15966DE5-21AD-488E-8F97-D7F2359FA6C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683" name="AutoShape 12">
          <a:extLst>
            <a:ext uri="{FF2B5EF4-FFF2-40B4-BE49-F238E27FC236}">
              <a16:creationId xmlns:a16="http://schemas.microsoft.com/office/drawing/2014/main" id="{8C085C5B-53D0-4FA3-98CC-AF3181F6E41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684" name="AutoShape 12">
          <a:extLst>
            <a:ext uri="{FF2B5EF4-FFF2-40B4-BE49-F238E27FC236}">
              <a16:creationId xmlns:a16="http://schemas.microsoft.com/office/drawing/2014/main" id="{929D349F-2F33-42BF-A15A-5B2AA1451DD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685" name="AutoShape 12">
          <a:extLst>
            <a:ext uri="{FF2B5EF4-FFF2-40B4-BE49-F238E27FC236}">
              <a16:creationId xmlns:a16="http://schemas.microsoft.com/office/drawing/2014/main" id="{2EAD086B-BE4A-44C0-BD3C-875189E7446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686" name="AutoShape 12">
          <a:extLst>
            <a:ext uri="{FF2B5EF4-FFF2-40B4-BE49-F238E27FC236}">
              <a16:creationId xmlns:a16="http://schemas.microsoft.com/office/drawing/2014/main" id="{4B98F9D1-EA92-4623-9DA9-30D866915B6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687" name="AutoShape 12">
          <a:extLst>
            <a:ext uri="{FF2B5EF4-FFF2-40B4-BE49-F238E27FC236}">
              <a16:creationId xmlns:a16="http://schemas.microsoft.com/office/drawing/2014/main" id="{E244FB73-20C2-474A-9F1A-52EAE495A82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688" name="AutoShape 12">
          <a:extLst>
            <a:ext uri="{FF2B5EF4-FFF2-40B4-BE49-F238E27FC236}">
              <a16:creationId xmlns:a16="http://schemas.microsoft.com/office/drawing/2014/main" id="{703BA3D5-6317-4282-8224-EE0DFD669EA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689" name="AutoShape 12">
          <a:extLst>
            <a:ext uri="{FF2B5EF4-FFF2-40B4-BE49-F238E27FC236}">
              <a16:creationId xmlns:a16="http://schemas.microsoft.com/office/drawing/2014/main" id="{FB0563C2-215A-4704-B1CC-26E9ACAA791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690" name="AutoShape 12">
          <a:extLst>
            <a:ext uri="{FF2B5EF4-FFF2-40B4-BE49-F238E27FC236}">
              <a16:creationId xmlns:a16="http://schemas.microsoft.com/office/drawing/2014/main" id="{26868F1B-16C2-4811-8B8E-01DD277BD2C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691" name="AutoShape 12">
          <a:extLst>
            <a:ext uri="{FF2B5EF4-FFF2-40B4-BE49-F238E27FC236}">
              <a16:creationId xmlns:a16="http://schemas.microsoft.com/office/drawing/2014/main" id="{490C0FBC-84AA-41F6-8FEC-B59A95EF6A4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692" name="AutoShape 12">
          <a:extLst>
            <a:ext uri="{FF2B5EF4-FFF2-40B4-BE49-F238E27FC236}">
              <a16:creationId xmlns:a16="http://schemas.microsoft.com/office/drawing/2014/main" id="{E5DB9723-8B2C-4DEF-91BF-1FEECE713E3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693" name="AutoShape 12">
          <a:extLst>
            <a:ext uri="{FF2B5EF4-FFF2-40B4-BE49-F238E27FC236}">
              <a16:creationId xmlns:a16="http://schemas.microsoft.com/office/drawing/2014/main" id="{27358A5A-8AC2-423A-B183-CEB850000C7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694" name="AutoShape 12">
          <a:extLst>
            <a:ext uri="{FF2B5EF4-FFF2-40B4-BE49-F238E27FC236}">
              <a16:creationId xmlns:a16="http://schemas.microsoft.com/office/drawing/2014/main" id="{913CC78B-EBD8-4479-B31D-CECFF83E497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695" name="AutoShape 12">
          <a:extLst>
            <a:ext uri="{FF2B5EF4-FFF2-40B4-BE49-F238E27FC236}">
              <a16:creationId xmlns:a16="http://schemas.microsoft.com/office/drawing/2014/main" id="{4BFA2818-5EA7-47E0-B955-C5E6361C74D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696" name="AutoShape 12">
          <a:extLst>
            <a:ext uri="{FF2B5EF4-FFF2-40B4-BE49-F238E27FC236}">
              <a16:creationId xmlns:a16="http://schemas.microsoft.com/office/drawing/2014/main" id="{391C18CC-F55F-49A7-9144-5C10AF68DEB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697" name="AutoShape 12">
          <a:extLst>
            <a:ext uri="{FF2B5EF4-FFF2-40B4-BE49-F238E27FC236}">
              <a16:creationId xmlns:a16="http://schemas.microsoft.com/office/drawing/2014/main" id="{468A6855-2C8A-4CA3-857F-FB24262CC4E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698" name="AutoShape 12">
          <a:extLst>
            <a:ext uri="{FF2B5EF4-FFF2-40B4-BE49-F238E27FC236}">
              <a16:creationId xmlns:a16="http://schemas.microsoft.com/office/drawing/2014/main" id="{3158A24C-4624-44A5-9BA0-E993C3094A2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699" name="AutoShape 12">
          <a:extLst>
            <a:ext uri="{FF2B5EF4-FFF2-40B4-BE49-F238E27FC236}">
              <a16:creationId xmlns:a16="http://schemas.microsoft.com/office/drawing/2014/main" id="{CC0BB58A-F188-4326-BC88-55AAE16BCAA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700" name="AutoShape 12">
          <a:extLst>
            <a:ext uri="{FF2B5EF4-FFF2-40B4-BE49-F238E27FC236}">
              <a16:creationId xmlns:a16="http://schemas.microsoft.com/office/drawing/2014/main" id="{76DD09AA-BF14-4F1C-B22A-055B86DA86D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701" name="AutoShape 12">
          <a:extLst>
            <a:ext uri="{FF2B5EF4-FFF2-40B4-BE49-F238E27FC236}">
              <a16:creationId xmlns:a16="http://schemas.microsoft.com/office/drawing/2014/main" id="{AB74ADA7-B9DA-425D-9CA0-3F5CDAF112B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702" name="AutoShape 12">
          <a:extLst>
            <a:ext uri="{FF2B5EF4-FFF2-40B4-BE49-F238E27FC236}">
              <a16:creationId xmlns:a16="http://schemas.microsoft.com/office/drawing/2014/main" id="{025D3483-CA78-4CF2-9BF5-7FDEC58A55C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703" name="AutoShape 12">
          <a:extLst>
            <a:ext uri="{FF2B5EF4-FFF2-40B4-BE49-F238E27FC236}">
              <a16:creationId xmlns:a16="http://schemas.microsoft.com/office/drawing/2014/main" id="{B94F22BF-C79A-48A1-B310-0CFB8C68D35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704" name="AutoShape 12">
          <a:extLst>
            <a:ext uri="{FF2B5EF4-FFF2-40B4-BE49-F238E27FC236}">
              <a16:creationId xmlns:a16="http://schemas.microsoft.com/office/drawing/2014/main" id="{2DFA6204-2DF1-4E43-A265-7D5F7E6387C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705" name="AutoShape 12">
          <a:extLst>
            <a:ext uri="{FF2B5EF4-FFF2-40B4-BE49-F238E27FC236}">
              <a16:creationId xmlns:a16="http://schemas.microsoft.com/office/drawing/2014/main" id="{D7C67DEF-0371-4EEA-A442-36DE73942AC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706" name="AutoShape 12">
          <a:extLst>
            <a:ext uri="{FF2B5EF4-FFF2-40B4-BE49-F238E27FC236}">
              <a16:creationId xmlns:a16="http://schemas.microsoft.com/office/drawing/2014/main" id="{2413F5F1-EB88-479D-90CC-6F41BB08CC2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707" name="AutoShape 12">
          <a:extLst>
            <a:ext uri="{FF2B5EF4-FFF2-40B4-BE49-F238E27FC236}">
              <a16:creationId xmlns:a16="http://schemas.microsoft.com/office/drawing/2014/main" id="{6A188B61-0002-4F3D-99C2-D8FFBE07319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708" name="AutoShape 12">
          <a:extLst>
            <a:ext uri="{FF2B5EF4-FFF2-40B4-BE49-F238E27FC236}">
              <a16:creationId xmlns:a16="http://schemas.microsoft.com/office/drawing/2014/main" id="{8FCECD67-518B-45ED-BF3E-6DE999E9B0F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709" name="AutoShape 12">
          <a:extLst>
            <a:ext uri="{FF2B5EF4-FFF2-40B4-BE49-F238E27FC236}">
              <a16:creationId xmlns:a16="http://schemas.microsoft.com/office/drawing/2014/main" id="{45268912-5727-4C69-9064-1F2963B08FB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710" name="AutoShape 12">
          <a:extLst>
            <a:ext uri="{FF2B5EF4-FFF2-40B4-BE49-F238E27FC236}">
              <a16:creationId xmlns:a16="http://schemas.microsoft.com/office/drawing/2014/main" id="{623E6606-6A0A-4CAB-B0A2-D08949F65D4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711" name="AutoShape 12">
          <a:extLst>
            <a:ext uri="{FF2B5EF4-FFF2-40B4-BE49-F238E27FC236}">
              <a16:creationId xmlns:a16="http://schemas.microsoft.com/office/drawing/2014/main" id="{ED9C8EEC-9BD0-4F10-B1AC-3C84A335425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712" name="AutoShape 12">
          <a:extLst>
            <a:ext uri="{FF2B5EF4-FFF2-40B4-BE49-F238E27FC236}">
              <a16:creationId xmlns:a16="http://schemas.microsoft.com/office/drawing/2014/main" id="{AA426ABD-3545-45CD-89CB-C2F81C0E29B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713" name="AutoShape 12">
          <a:extLst>
            <a:ext uri="{FF2B5EF4-FFF2-40B4-BE49-F238E27FC236}">
              <a16:creationId xmlns:a16="http://schemas.microsoft.com/office/drawing/2014/main" id="{0D80BC13-2376-4535-846A-BFEA27E890A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714" name="AutoShape 12">
          <a:extLst>
            <a:ext uri="{FF2B5EF4-FFF2-40B4-BE49-F238E27FC236}">
              <a16:creationId xmlns:a16="http://schemas.microsoft.com/office/drawing/2014/main" id="{29E1CFD6-B8BB-4A96-8553-FD01AED9608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715" name="AutoShape 12">
          <a:extLst>
            <a:ext uri="{FF2B5EF4-FFF2-40B4-BE49-F238E27FC236}">
              <a16:creationId xmlns:a16="http://schemas.microsoft.com/office/drawing/2014/main" id="{92C6AD1D-ADFE-4DE4-A5BB-545E1657689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716" name="AutoShape 12">
          <a:extLst>
            <a:ext uri="{FF2B5EF4-FFF2-40B4-BE49-F238E27FC236}">
              <a16:creationId xmlns:a16="http://schemas.microsoft.com/office/drawing/2014/main" id="{6D8580E0-C731-4535-9904-6633122B4A2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717" name="AutoShape 12">
          <a:extLst>
            <a:ext uri="{FF2B5EF4-FFF2-40B4-BE49-F238E27FC236}">
              <a16:creationId xmlns:a16="http://schemas.microsoft.com/office/drawing/2014/main" id="{7965B6F7-A10B-4503-876F-DEE7C87B9DE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718" name="AutoShape 12">
          <a:extLst>
            <a:ext uri="{FF2B5EF4-FFF2-40B4-BE49-F238E27FC236}">
              <a16:creationId xmlns:a16="http://schemas.microsoft.com/office/drawing/2014/main" id="{0F1A67F2-EB16-4CBB-BC55-F10C11FB7D3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1058</xdr:row>
      <xdr:rowOff>0</xdr:rowOff>
    </xdr:from>
    <xdr:ext cx="304800" cy="304094"/>
    <xdr:sp macro="" textlink="">
      <xdr:nvSpPr>
        <xdr:cNvPr id="9719" name="AutoShape 12">
          <a:extLst>
            <a:ext uri="{FF2B5EF4-FFF2-40B4-BE49-F238E27FC236}">
              <a16:creationId xmlns:a16="http://schemas.microsoft.com/office/drawing/2014/main" id="{82A30401-2D26-4B0C-B518-E56460023C2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9720" name="AutoShape 12">
          <a:extLst>
            <a:ext uri="{FF2B5EF4-FFF2-40B4-BE49-F238E27FC236}">
              <a16:creationId xmlns:a16="http://schemas.microsoft.com/office/drawing/2014/main" id="{15DB3C71-2AC5-47A2-826B-72683E6A3A6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9721" name="AutoShape 12">
          <a:extLst>
            <a:ext uri="{FF2B5EF4-FFF2-40B4-BE49-F238E27FC236}">
              <a16:creationId xmlns:a16="http://schemas.microsoft.com/office/drawing/2014/main" id="{EF04FA6C-B1BA-4569-AF68-883C0698DBC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9722" name="AutoShape 12">
          <a:extLst>
            <a:ext uri="{FF2B5EF4-FFF2-40B4-BE49-F238E27FC236}">
              <a16:creationId xmlns:a16="http://schemas.microsoft.com/office/drawing/2014/main" id="{4D50166F-0C26-4001-A416-7FBBA6F166A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9723" name="AutoShape 12">
          <a:extLst>
            <a:ext uri="{FF2B5EF4-FFF2-40B4-BE49-F238E27FC236}">
              <a16:creationId xmlns:a16="http://schemas.microsoft.com/office/drawing/2014/main" id="{C7F8E87E-C621-4876-8740-0CEBDC52D8C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9724" name="AutoShape 12">
          <a:extLst>
            <a:ext uri="{FF2B5EF4-FFF2-40B4-BE49-F238E27FC236}">
              <a16:creationId xmlns:a16="http://schemas.microsoft.com/office/drawing/2014/main" id="{81304893-6E55-4694-BAA2-007A30CE33F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9725" name="AutoShape 12">
          <a:extLst>
            <a:ext uri="{FF2B5EF4-FFF2-40B4-BE49-F238E27FC236}">
              <a16:creationId xmlns:a16="http://schemas.microsoft.com/office/drawing/2014/main" id="{C65706DC-281C-4123-846A-4E58AECA6E7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9726" name="AutoShape 12">
          <a:extLst>
            <a:ext uri="{FF2B5EF4-FFF2-40B4-BE49-F238E27FC236}">
              <a16:creationId xmlns:a16="http://schemas.microsoft.com/office/drawing/2014/main" id="{E14B3863-FEEC-4F7D-A67D-9421202F87B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9727" name="AutoShape 12">
          <a:extLst>
            <a:ext uri="{FF2B5EF4-FFF2-40B4-BE49-F238E27FC236}">
              <a16:creationId xmlns:a16="http://schemas.microsoft.com/office/drawing/2014/main" id="{F8B0BD99-F981-4223-AEDE-653105E96DE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9728" name="AutoShape 12">
          <a:extLst>
            <a:ext uri="{FF2B5EF4-FFF2-40B4-BE49-F238E27FC236}">
              <a16:creationId xmlns:a16="http://schemas.microsoft.com/office/drawing/2014/main" id="{BC532424-F5E4-4365-97AB-8835264CB0E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9729" name="AutoShape 12">
          <a:extLst>
            <a:ext uri="{FF2B5EF4-FFF2-40B4-BE49-F238E27FC236}">
              <a16:creationId xmlns:a16="http://schemas.microsoft.com/office/drawing/2014/main" id="{0CBEB34A-67AC-43A9-886C-F1D8ED68723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9730" name="AutoShape 12">
          <a:extLst>
            <a:ext uri="{FF2B5EF4-FFF2-40B4-BE49-F238E27FC236}">
              <a16:creationId xmlns:a16="http://schemas.microsoft.com/office/drawing/2014/main" id="{20B4A93D-9686-4B68-BB67-4A4DDD2CBE9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9731" name="AutoShape 12">
          <a:extLst>
            <a:ext uri="{FF2B5EF4-FFF2-40B4-BE49-F238E27FC236}">
              <a16:creationId xmlns:a16="http://schemas.microsoft.com/office/drawing/2014/main" id="{AC3F7371-E14E-417D-91D3-7130B0EC4D8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9732" name="AutoShape 12">
          <a:extLst>
            <a:ext uri="{FF2B5EF4-FFF2-40B4-BE49-F238E27FC236}">
              <a16:creationId xmlns:a16="http://schemas.microsoft.com/office/drawing/2014/main" id="{B98F167F-1210-4FCA-AE11-79F059C6BF7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9733" name="AutoShape 12">
          <a:extLst>
            <a:ext uri="{FF2B5EF4-FFF2-40B4-BE49-F238E27FC236}">
              <a16:creationId xmlns:a16="http://schemas.microsoft.com/office/drawing/2014/main" id="{9DFD58E3-8A2D-4E95-A100-E5E96369947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9734" name="AutoShape 12">
          <a:extLst>
            <a:ext uri="{FF2B5EF4-FFF2-40B4-BE49-F238E27FC236}">
              <a16:creationId xmlns:a16="http://schemas.microsoft.com/office/drawing/2014/main" id="{475DB29B-E7A3-4EF3-895A-E6EE0643063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9735" name="AutoShape 12">
          <a:extLst>
            <a:ext uri="{FF2B5EF4-FFF2-40B4-BE49-F238E27FC236}">
              <a16:creationId xmlns:a16="http://schemas.microsoft.com/office/drawing/2014/main" id="{454A5A9A-6D95-4DFF-8743-E80376EB64A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9736" name="AutoShape 12">
          <a:extLst>
            <a:ext uri="{FF2B5EF4-FFF2-40B4-BE49-F238E27FC236}">
              <a16:creationId xmlns:a16="http://schemas.microsoft.com/office/drawing/2014/main" id="{44400D07-16DF-442E-B7BD-C2B5AE14714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9737" name="AutoShape 12">
          <a:extLst>
            <a:ext uri="{FF2B5EF4-FFF2-40B4-BE49-F238E27FC236}">
              <a16:creationId xmlns:a16="http://schemas.microsoft.com/office/drawing/2014/main" id="{FD46BA7F-D44F-452A-A308-873539D73C5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9738" name="AutoShape 12">
          <a:extLst>
            <a:ext uri="{FF2B5EF4-FFF2-40B4-BE49-F238E27FC236}">
              <a16:creationId xmlns:a16="http://schemas.microsoft.com/office/drawing/2014/main" id="{C6C9F476-481F-4C04-870A-F8029F5AD44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9739" name="AutoShape 12">
          <a:extLst>
            <a:ext uri="{FF2B5EF4-FFF2-40B4-BE49-F238E27FC236}">
              <a16:creationId xmlns:a16="http://schemas.microsoft.com/office/drawing/2014/main" id="{ED1C58F5-E4BD-437F-A77C-77E77923E69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9740" name="AutoShape 12">
          <a:extLst>
            <a:ext uri="{FF2B5EF4-FFF2-40B4-BE49-F238E27FC236}">
              <a16:creationId xmlns:a16="http://schemas.microsoft.com/office/drawing/2014/main" id="{8651A958-F015-4E9D-85B0-32B5777D750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9741" name="AutoShape 12">
          <a:extLst>
            <a:ext uri="{FF2B5EF4-FFF2-40B4-BE49-F238E27FC236}">
              <a16:creationId xmlns:a16="http://schemas.microsoft.com/office/drawing/2014/main" id="{1D2D72C7-5DE9-48A0-BCB1-45BBEE525E9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9742" name="AutoShape 12">
          <a:extLst>
            <a:ext uri="{FF2B5EF4-FFF2-40B4-BE49-F238E27FC236}">
              <a16:creationId xmlns:a16="http://schemas.microsoft.com/office/drawing/2014/main" id="{DDF7AF7F-0A89-4E74-A5A0-F1868DEB6A1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9743" name="AutoShape 12">
          <a:extLst>
            <a:ext uri="{FF2B5EF4-FFF2-40B4-BE49-F238E27FC236}">
              <a16:creationId xmlns:a16="http://schemas.microsoft.com/office/drawing/2014/main" id="{033965A9-37FF-4663-84E4-72080387415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9744" name="AutoShape 12">
          <a:extLst>
            <a:ext uri="{FF2B5EF4-FFF2-40B4-BE49-F238E27FC236}">
              <a16:creationId xmlns:a16="http://schemas.microsoft.com/office/drawing/2014/main" id="{B34F494A-BE83-4617-BAAA-7BD61FD79E0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9745" name="AutoShape 12">
          <a:extLst>
            <a:ext uri="{FF2B5EF4-FFF2-40B4-BE49-F238E27FC236}">
              <a16:creationId xmlns:a16="http://schemas.microsoft.com/office/drawing/2014/main" id="{A7CCB08E-8792-4EE3-9C11-30C6573672A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9746" name="AutoShape 12">
          <a:extLst>
            <a:ext uri="{FF2B5EF4-FFF2-40B4-BE49-F238E27FC236}">
              <a16:creationId xmlns:a16="http://schemas.microsoft.com/office/drawing/2014/main" id="{E2F79498-3EF3-4CAF-BD1E-ED64EE3E04F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9747" name="AutoShape 12">
          <a:extLst>
            <a:ext uri="{FF2B5EF4-FFF2-40B4-BE49-F238E27FC236}">
              <a16:creationId xmlns:a16="http://schemas.microsoft.com/office/drawing/2014/main" id="{CE1D46EA-AA29-4823-B842-F69B2DFE9CE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9748" name="AutoShape 12">
          <a:extLst>
            <a:ext uri="{FF2B5EF4-FFF2-40B4-BE49-F238E27FC236}">
              <a16:creationId xmlns:a16="http://schemas.microsoft.com/office/drawing/2014/main" id="{8D7DD15A-C585-4BC4-8A83-4D00EC3B3D8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9749" name="AutoShape 12">
          <a:extLst>
            <a:ext uri="{FF2B5EF4-FFF2-40B4-BE49-F238E27FC236}">
              <a16:creationId xmlns:a16="http://schemas.microsoft.com/office/drawing/2014/main" id="{1A1192DA-BDA3-4CA8-A2D6-3E3DD405125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9750" name="AutoShape 12">
          <a:extLst>
            <a:ext uri="{FF2B5EF4-FFF2-40B4-BE49-F238E27FC236}">
              <a16:creationId xmlns:a16="http://schemas.microsoft.com/office/drawing/2014/main" id="{B692BDEF-5E5F-432F-AD73-2730FC655BA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9751" name="AutoShape 12">
          <a:extLst>
            <a:ext uri="{FF2B5EF4-FFF2-40B4-BE49-F238E27FC236}">
              <a16:creationId xmlns:a16="http://schemas.microsoft.com/office/drawing/2014/main" id="{CB799364-0B65-4C79-82CA-A2B58725582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9752" name="AutoShape 12">
          <a:extLst>
            <a:ext uri="{FF2B5EF4-FFF2-40B4-BE49-F238E27FC236}">
              <a16:creationId xmlns:a16="http://schemas.microsoft.com/office/drawing/2014/main" id="{BC13BD17-C376-4DE9-8626-E0891892421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9753" name="AutoShape 12">
          <a:extLst>
            <a:ext uri="{FF2B5EF4-FFF2-40B4-BE49-F238E27FC236}">
              <a16:creationId xmlns:a16="http://schemas.microsoft.com/office/drawing/2014/main" id="{5EFD1E19-F1B5-4610-A94D-6CDA8CA32BA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9754" name="AutoShape 12">
          <a:extLst>
            <a:ext uri="{FF2B5EF4-FFF2-40B4-BE49-F238E27FC236}">
              <a16:creationId xmlns:a16="http://schemas.microsoft.com/office/drawing/2014/main" id="{935555D7-9A4D-45FC-9238-F843E4E4498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9755" name="AutoShape 12">
          <a:extLst>
            <a:ext uri="{FF2B5EF4-FFF2-40B4-BE49-F238E27FC236}">
              <a16:creationId xmlns:a16="http://schemas.microsoft.com/office/drawing/2014/main" id="{E388A437-C040-4483-BA5A-8987D954DD0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9756" name="AutoShape 12">
          <a:extLst>
            <a:ext uri="{FF2B5EF4-FFF2-40B4-BE49-F238E27FC236}">
              <a16:creationId xmlns:a16="http://schemas.microsoft.com/office/drawing/2014/main" id="{5D1C59B4-9187-4A6D-9114-9CA89C610C0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9757" name="AutoShape 12">
          <a:extLst>
            <a:ext uri="{FF2B5EF4-FFF2-40B4-BE49-F238E27FC236}">
              <a16:creationId xmlns:a16="http://schemas.microsoft.com/office/drawing/2014/main" id="{CE8517D2-66C0-4890-8C65-978B4FE4DD6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9758" name="AutoShape 12">
          <a:extLst>
            <a:ext uri="{FF2B5EF4-FFF2-40B4-BE49-F238E27FC236}">
              <a16:creationId xmlns:a16="http://schemas.microsoft.com/office/drawing/2014/main" id="{704C618A-2729-4623-9797-327B8B72AA6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9759" name="AutoShape 12">
          <a:extLst>
            <a:ext uri="{FF2B5EF4-FFF2-40B4-BE49-F238E27FC236}">
              <a16:creationId xmlns:a16="http://schemas.microsoft.com/office/drawing/2014/main" id="{34748811-D379-4631-AD42-B83F848FDAF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9760" name="AutoShape 12">
          <a:extLst>
            <a:ext uri="{FF2B5EF4-FFF2-40B4-BE49-F238E27FC236}">
              <a16:creationId xmlns:a16="http://schemas.microsoft.com/office/drawing/2014/main" id="{02254A88-F15E-4DFD-8727-B1DF1F5694F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9761" name="AutoShape 12">
          <a:extLst>
            <a:ext uri="{FF2B5EF4-FFF2-40B4-BE49-F238E27FC236}">
              <a16:creationId xmlns:a16="http://schemas.microsoft.com/office/drawing/2014/main" id="{20ED6404-482E-434C-A837-DAF9900E38F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9762" name="AutoShape 12">
          <a:extLst>
            <a:ext uri="{FF2B5EF4-FFF2-40B4-BE49-F238E27FC236}">
              <a16:creationId xmlns:a16="http://schemas.microsoft.com/office/drawing/2014/main" id="{0B8DC1E4-1BB3-4FAB-845F-37F7F46A1D5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9763" name="AutoShape 12">
          <a:extLst>
            <a:ext uri="{FF2B5EF4-FFF2-40B4-BE49-F238E27FC236}">
              <a16:creationId xmlns:a16="http://schemas.microsoft.com/office/drawing/2014/main" id="{65F15BC8-CC31-4423-8E87-E9131ECBF2B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9764" name="AutoShape 12">
          <a:extLst>
            <a:ext uri="{FF2B5EF4-FFF2-40B4-BE49-F238E27FC236}">
              <a16:creationId xmlns:a16="http://schemas.microsoft.com/office/drawing/2014/main" id="{B06FA4C9-BE01-4AD0-AC12-7423D425B21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9765" name="AutoShape 12">
          <a:extLst>
            <a:ext uri="{FF2B5EF4-FFF2-40B4-BE49-F238E27FC236}">
              <a16:creationId xmlns:a16="http://schemas.microsoft.com/office/drawing/2014/main" id="{830570D8-9027-44D4-A643-0F3470C3C90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9766" name="AutoShape 12">
          <a:extLst>
            <a:ext uri="{FF2B5EF4-FFF2-40B4-BE49-F238E27FC236}">
              <a16:creationId xmlns:a16="http://schemas.microsoft.com/office/drawing/2014/main" id="{CB5D8280-FBCB-46DF-9B6B-C06E4C1729A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9767" name="AutoShape 12">
          <a:extLst>
            <a:ext uri="{FF2B5EF4-FFF2-40B4-BE49-F238E27FC236}">
              <a16:creationId xmlns:a16="http://schemas.microsoft.com/office/drawing/2014/main" id="{3FB6A81C-E15A-46A0-B20A-D27D3217766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9768" name="AutoShape 12">
          <a:extLst>
            <a:ext uri="{FF2B5EF4-FFF2-40B4-BE49-F238E27FC236}">
              <a16:creationId xmlns:a16="http://schemas.microsoft.com/office/drawing/2014/main" id="{3F3AF49C-5F93-4C92-9C7D-5B5AA67060F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9769" name="AutoShape 12">
          <a:extLst>
            <a:ext uri="{FF2B5EF4-FFF2-40B4-BE49-F238E27FC236}">
              <a16:creationId xmlns:a16="http://schemas.microsoft.com/office/drawing/2014/main" id="{42DCA113-D463-4B85-9FE3-C2E384F52E7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9770" name="AutoShape 12">
          <a:extLst>
            <a:ext uri="{FF2B5EF4-FFF2-40B4-BE49-F238E27FC236}">
              <a16:creationId xmlns:a16="http://schemas.microsoft.com/office/drawing/2014/main" id="{2075C017-345E-4D9D-AFD6-6AA5F442AE5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9771" name="AutoShape 12">
          <a:extLst>
            <a:ext uri="{FF2B5EF4-FFF2-40B4-BE49-F238E27FC236}">
              <a16:creationId xmlns:a16="http://schemas.microsoft.com/office/drawing/2014/main" id="{B122D8FD-09D9-4499-A050-1BD110BE71A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9772" name="AutoShape 12">
          <a:extLst>
            <a:ext uri="{FF2B5EF4-FFF2-40B4-BE49-F238E27FC236}">
              <a16:creationId xmlns:a16="http://schemas.microsoft.com/office/drawing/2014/main" id="{A7E7737B-0A87-4B6E-8C6D-D49AA746A97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9773" name="AutoShape 12">
          <a:extLst>
            <a:ext uri="{FF2B5EF4-FFF2-40B4-BE49-F238E27FC236}">
              <a16:creationId xmlns:a16="http://schemas.microsoft.com/office/drawing/2014/main" id="{A56D1936-4846-4911-B7E6-F999E2E9FA3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9774" name="AutoShape 12">
          <a:extLst>
            <a:ext uri="{FF2B5EF4-FFF2-40B4-BE49-F238E27FC236}">
              <a16:creationId xmlns:a16="http://schemas.microsoft.com/office/drawing/2014/main" id="{14AE5AD9-82F5-4198-BC4D-4D50DE85376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9775" name="AutoShape 12">
          <a:extLst>
            <a:ext uri="{FF2B5EF4-FFF2-40B4-BE49-F238E27FC236}">
              <a16:creationId xmlns:a16="http://schemas.microsoft.com/office/drawing/2014/main" id="{F71C09EC-33DB-4252-8366-17528494F51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9776" name="AutoShape 12">
          <a:extLst>
            <a:ext uri="{FF2B5EF4-FFF2-40B4-BE49-F238E27FC236}">
              <a16:creationId xmlns:a16="http://schemas.microsoft.com/office/drawing/2014/main" id="{7C4A4241-7677-4EBC-9DFF-924ACF01643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9777" name="AutoShape 12">
          <a:extLst>
            <a:ext uri="{FF2B5EF4-FFF2-40B4-BE49-F238E27FC236}">
              <a16:creationId xmlns:a16="http://schemas.microsoft.com/office/drawing/2014/main" id="{5C7E3796-5A34-46FB-BCB3-FE4C1CCA3A5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9778" name="AutoShape 12">
          <a:extLst>
            <a:ext uri="{FF2B5EF4-FFF2-40B4-BE49-F238E27FC236}">
              <a16:creationId xmlns:a16="http://schemas.microsoft.com/office/drawing/2014/main" id="{DA203066-4687-448E-8761-90E3427A924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9779" name="AutoShape 12">
          <a:extLst>
            <a:ext uri="{FF2B5EF4-FFF2-40B4-BE49-F238E27FC236}">
              <a16:creationId xmlns:a16="http://schemas.microsoft.com/office/drawing/2014/main" id="{1D511B28-6C7E-489F-8ED8-04304AA4F08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9780" name="AutoShape 12">
          <a:extLst>
            <a:ext uri="{FF2B5EF4-FFF2-40B4-BE49-F238E27FC236}">
              <a16:creationId xmlns:a16="http://schemas.microsoft.com/office/drawing/2014/main" id="{3437B482-1A65-40DE-B8FA-E8DCF344142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9781" name="AutoShape 12">
          <a:extLst>
            <a:ext uri="{FF2B5EF4-FFF2-40B4-BE49-F238E27FC236}">
              <a16:creationId xmlns:a16="http://schemas.microsoft.com/office/drawing/2014/main" id="{88B0F162-30C4-4F65-830D-88AABD1F796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9782" name="AutoShape 12">
          <a:extLst>
            <a:ext uri="{FF2B5EF4-FFF2-40B4-BE49-F238E27FC236}">
              <a16:creationId xmlns:a16="http://schemas.microsoft.com/office/drawing/2014/main" id="{78B7E02E-F0C3-46C7-9356-2575C3038BE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9783" name="AutoShape 12">
          <a:extLst>
            <a:ext uri="{FF2B5EF4-FFF2-40B4-BE49-F238E27FC236}">
              <a16:creationId xmlns:a16="http://schemas.microsoft.com/office/drawing/2014/main" id="{38E78B7C-AC24-4ADB-BE73-362407F7432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9784" name="AutoShape 12">
          <a:extLst>
            <a:ext uri="{FF2B5EF4-FFF2-40B4-BE49-F238E27FC236}">
              <a16:creationId xmlns:a16="http://schemas.microsoft.com/office/drawing/2014/main" id="{660DA152-713C-4500-8F21-958CC466785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9785" name="AutoShape 12">
          <a:extLst>
            <a:ext uri="{FF2B5EF4-FFF2-40B4-BE49-F238E27FC236}">
              <a16:creationId xmlns:a16="http://schemas.microsoft.com/office/drawing/2014/main" id="{E40AB0F3-6F1D-4668-B124-F86EB7C0D6B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9786" name="AutoShape 12">
          <a:extLst>
            <a:ext uri="{FF2B5EF4-FFF2-40B4-BE49-F238E27FC236}">
              <a16:creationId xmlns:a16="http://schemas.microsoft.com/office/drawing/2014/main" id="{ADD32EFB-D54A-426F-B298-60123EFBD57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9787" name="AutoShape 12">
          <a:extLst>
            <a:ext uri="{FF2B5EF4-FFF2-40B4-BE49-F238E27FC236}">
              <a16:creationId xmlns:a16="http://schemas.microsoft.com/office/drawing/2014/main" id="{060027CC-34EF-482F-8164-C1365E16D74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9788" name="AutoShape 12">
          <a:extLst>
            <a:ext uri="{FF2B5EF4-FFF2-40B4-BE49-F238E27FC236}">
              <a16:creationId xmlns:a16="http://schemas.microsoft.com/office/drawing/2014/main" id="{6D607FF3-6E39-4BC2-932A-47DEEADFFF3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9789" name="AutoShape 12">
          <a:extLst>
            <a:ext uri="{FF2B5EF4-FFF2-40B4-BE49-F238E27FC236}">
              <a16:creationId xmlns:a16="http://schemas.microsoft.com/office/drawing/2014/main" id="{6EFEFC8D-F232-46EC-A6E7-8A6B947FE97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9790" name="AutoShape 12">
          <a:extLst>
            <a:ext uri="{FF2B5EF4-FFF2-40B4-BE49-F238E27FC236}">
              <a16:creationId xmlns:a16="http://schemas.microsoft.com/office/drawing/2014/main" id="{A9C4D827-B626-4341-ADD7-D63030DA87D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9791" name="AutoShape 12">
          <a:extLst>
            <a:ext uri="{FF2B5EF4-FFF2-40B4-BE49-F238E27FC236}">
              <a16:creationId xmlns:a16="http://schemas.microsoft.com/office/drawing/2014/main" id="{19878BB3-E54A-48AB-B781-F3C0DC86054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9792" name="AutoShape 12">
          <a:extLst>
            <a:ext uri="{FF2B5EF4-FFF2-40B4-BE49-F238E27FC236}">
              <a16:creationId xmlns:a16="http://schemas.microsoft.com/office/drawing/2014/main" id="{859E81AF-D829-4934-9E48-2F4E7529C0B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9793" name="AutoShape 12">
          <a:extLst>
            <a:ext uri="{FF2B5EF4-FFF2-40B4-BE49-F238E27FC236}">
              <a16:creationId xmlns:a16="http://schemas.microsoft.com/office/drawing/2014/main" id="{8FECFB01-3E7B-4896-AC01-CC36CAE0B8E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9794" name="AutoShape 12">
          <a:extLst>
            <a:ext uri="{FF2B5EF4-FFF2-40B4-BE49-F238E27FC236}">
              <a16:creationId xmlns:a16="http://schemas.microsoft.com/office/drawing/2014/main" id="{2A50E808-ADD8-4688-A61A-4C0ECE49AB1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9795" name="AutoShape 12">
          <a:extLst>
            <a:ext uri="{FF2B5EF4-FFF2-40B4-BE49-F238E27FC236}">
              <a16:creationId xmlns:a16="http://schemas.microsoft.com/office/drawing/2014/main" id="{98964017-8FA8-4954-B3F7-230AA41E630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9796" name="AutoShape 12">
          <a:extLst>
            <a:ext uri="{FF2B5EF4-FFF2-40B4-BE49-F238E27FC236}">
              <a16:creationId xmlns:a16="http://schemas.microsoft.com/office/drawing/2014/main" id="{7BDB02D3-E3F3-4FEB-9AE3-BFE2355DB5F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9797" name="AutoShape 12">
          <a:extLst>
            <a:ext uri="{FF2B5EF4-FFF2-40B4-BE49-F238E27FC236}">
              <a16:creationId xmlns:a16="http://schemas.microsoft.com/office/drawing/2014/main" id="{7BB2EA0A-1637-44D8-9763-1298993A1E2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9798" name="AutoShape 12">
          <a:extLst>
            <a:ext uri="{FF2B5EF4-FFF2-40B4-BE49-F238E27FC236}">
              <a16:creationId xmlns:a16="http://schemas.microsoft.com/office/drawing/2014/main" id="{9A64938C-6FFA-4D13-BC07-99A7B8FABB0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9799" name="AutoShape 12">
          <a:extLst>
            <a:ext uri="{FF2B5EF4-FFF2-40B4-BE49-F238E27FC236}">
              <a16:creationId xmlns:a16="http://schemas.microsoft.com/office/drawing/2014/main" id="{03F43FCA-F88B-4584-A9F3-CD155971386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9800" name="AutoShape 12">
          <a:extLst>
            <a:ext uri="{FF2B5EF4-FFF2-40B4-BE49-F238E27FC236}">
              <a16:creationId xmlns:a16="http://schemas.microsoft.com/office/drawing/2014/main" id="{02AE767E-65AD-4164-8684-0018F3DDEA5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9801" name="AutoShape 12">
          <a:extLst>
            <a:ext uri="{FF2B5EF4-FFF2-40B4-BE49-F238E27FC236}">
              <a16:creationId xmlns:a16="http://schemas.microsoft.com/office/drawing/2014/main" id="{DAC384DC-8F09-429C-B02C-C616989EE4B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9802" name="AutoShape 12">
          <a:extLst>
            <a:ext uri="{FF2B5EF4-FFF2-40B4-BE49-F238E27FC236}">
              <a16:creationId xmlns:a16="http://schemas.microsoft.com/office/drawing/2014/main" id="{51B92A0E-29E2-449C-93E0-61F5CEBD2BA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9803" name="AutoShape 12">
          <a:extLst>
            <a:ext uri="{FF2B5EF4-FFF2-40B4-BE49-F238E27FC236}">
              <a16:creationId xmlns:a16="http://schemas.microsoft.com/office/drawing/2014/main" id="{9D3AB6F9-835D-4E5C-B5F7-6B9211EB0F9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9804" name="AutoShape 12">
          <a:extLst>
            <a:ext uri="{FF2B5EF4-FFF2-40B4-BE49-F238E27FC236}">
              <a16:creationId xmlns:a16="http://schemas.microsoft.com/office/drawing/2014/main" id="{FF366630-53AB-42BF-BCC7-8FD6F3FD9FA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9805" name="AutoShape 12">
          <a:extLst>
            <a:ext uri="{FF2B5EF4-FFF2-40B4-BE49-F238E27FC236}">
              <a16:creationId xmlns:a16="http://schemas.microsoft.com/office/drawing/2014/main" id="{5755A896-4690-4B51-AFDB-588310D65B8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9806" name="AutoShape 12">
          <a:extLst>
            <a:ext uri="{FF2B5EF4-FFF2-40B4-BE49-F238E27FC236}">
              <a16:creationId xmlns:a16="http://schemas.microsoft.com/office/drawing/2014/main" id="{05593777-956C-44E1-BCA8-AEDB4C15AC3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9807" name="AutoShape 12">
          <a:extLst>
            <a:ext uri="{FF2B5EF4-FFF2-40B4-BE49-F238E27FC236}">
              <a16:creationId xmlns:a16="http://schemas.microsoft.com/office/drawing/2014/main" id="{B383E015-C8DE-4C3D-A270-AD6D62A6C15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9808" name="AutoShape 12">
          <a:extLst>
            <a:ext uri="{FF2B5EF4-FFF2-40B4-BE49-F238E27FC236}">
              <a16:creationId xmlns:a16="http://schemas.microsoft.com/office/drawing/2014/main" id="{E3847F3A-48C9-4E3F-B4FA-9ED8430C6B3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9809" name="AutoShape 12">
          <a:extLst>
            <a:ext uri="{FF2B5EF4-FFF2-40B4-BE49-F238E27FC236}">
              <a16:creationId xmlns:a16="http://schemas.microsoft.com/office/drawing/2014/main" id="{0A54FC56-66F2-4B53-A2E2-5D6CE42BF4C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9810" name="AutoShape 12">
          <a:extLst>
            <a:ext uri="{FF2B5EF4-FFF2-40B4-BE49-F238E27FC236}">
              <a16:creationId xmlns:a16="http://schemas.microsoft.com/office/drawing/2014/main" id="{C78228B5-9DC9-428D-B6DB-DF712E4C631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9811" name="AutoShape 12">
          <a:extLst>
            <a:ext uri="{FF2B5EF4-FFF2-40B4-BE49-F238E27FC236}">
              <a16:creationId xmlns:a16="http://schemas.microsoft.com/office/drawing/2014/main" id="{77EDFB67-74D8-48A7-A539-ED2422B07C3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9812" name="AutoShape 12">
          <a:extLst>
            <a:ext uri="{FF2B5EF4-FFF2-40B4-BE49-F238E27FC236}">
              <a16:creationId xmlns:a16="http://schemas.microsoft.com/office/drawing/2014/main" id="{099AD67B-E0A3-41AE-B8BB-9569D168611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9813" name="AutoShape 12">
          <a:extLst>
            <a:ext uri="{FF2B5EF4-FFF2-40B4-BE49-F238E27FC236}">
              <a16:creationId xmlns:a16="http://schemas.microsoft.com/office/drawing/2014/main" id="{806590B9-510A-4925-977D-244C9C3E28F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9814" name="AutoShape 12">
          <a:extLst>
            <a:ext uri="{FF2B5EF4-FFF2-40B4-BE49-F238E27FC236}">
              <a16:creationId xmlns:a16="http://schemas.microsoft.com/office/drawing/2014/main" id="{C1374AB0-9BD3-4E97-86E6-EA887913FFE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9815" name="AutoShape 12">
          <a:extLst>
            <a:ext uri="{FF2B5EF4-FFF2-40B4-BE49-F238E27FC236}">
              <a16:creationId xmlns:a16="http://schemas.microsoft.com/office/drawing/2014/main" id="{9B0B438F-70E4-43DF-BB53-A2CE6F50075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9816" name="AutoShape 12">
          <a:extLst>
            <a:ext uri="{FF2B5EF4-FFF2-40B4-BE49-F238E27FC236}">
              <a16:creationId xmlns:a16="http://schemas.microsoft.com/office/drawing/2014/main" id="{DE5FE5FA-B763-479F-8DD7-D793EFE0F2C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9817" name="AutoShape 12">
          <a:extLst>
            <a:ext uri="{FF2B5EF4-FFF2-40B4-BE49-F238E27FC236}">
              <a16:creationId xmlns:a16="http://schemas.microsoft.com/office/drawing/2014/main" id="{77729D90-3C97-4769-AB0D-BA83BEC13D1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9818" name="AutoShape 12">
          <a:extLst>
            <a:ext uri="{FF2B5EF4-FFF2-40B4-BE49-F238E27FC236}">
              <a16:creationId xmlns:a16="http://schemas.microsoft.com/office/drawing/2014/main" id="{C021E2F9-FCF1-435D-B363-3414940F120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9819" name="AutoShape 12">
          <a:extLst>
            <a:ext uri="{FF2B5EF4-FFF2-40B4-BE49-F238E27FC236}">
              <a16:creationId xmlns:a16="http://schemas.microsoft.com/office/drawing/2014/main" id="{14CF2124-A096-45DF-8F1E-D21B1FAA710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9820" name="AutoShape 12">
          <a:extLst>
            <a:ext uri="{FF2B5EF4-FFF2-40B4-BE49-F238E27FC236}">
              <a16:creationId xmlns:a16="http://schemas.microsoft.com/office/drawing/2014/main" id="{04829CF8-3AD8-4774-9B1E-2AF55BA5328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9821" name="AutoShape 12">
          <a:extLst>
            <a:ext uri="{FF2B5EF4-FFF2-40B4-BE49-F238E27FC236}">
              <a16:creationId xmlns:a16="http://schemas.microsoft.com/office/drawing/2014/main" id="{DFEB3125-C854-4BC6-B7A4-D7DD877F95F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9822" name="AutoShape 12">
          <a:extLst>
            <a:ext uri="{FF2B5EF4-FFF2-40B4-BE49-F238E27FC236}">
              <a16:creationId xmlns:a16="http://schemas.microsoft.com/office/drawing/2014/main" id="{2709A938-C5C9-4C92-95F3-1073D4E44AB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9823" name="AutoShape 12">
          <a:extLst>
            <a:ext uri="{FF2B5EF4-FFF2-40B4-BE49-F238E27FC236}">
              <a16:creationId xmlns:a16="http://schemas.microsoft.com/office/drawing/2014/main" id="{849714DF-9BB8-43E5-96BF-C5508C2C225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9824" name="AutoShape 12">
          <a:extLst>
            <a:ext uri="{FF2B5EF4-FFF2-40B4-BE49-F238E27FC236}">
              <a16:creationId xmlns:a16="http://schemas.microsoft.com/office/drawing/2014/main" id="{F8736239-4822-4F2B-9659-4893F8F3AE2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9825" name="AutoShape 12">
          <a:extLst>
            <a:ext uri="{FF2B5EF4-FFF2-40B4-BE49-F238E27FC236}">
              <a16:creationId xmlns:a16="http://schemas.microsoft.com/office/drawing/2014/main" id="{F52CE619-061C-4F17-9D10-DF77EFEED2F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9826" name="AutoShape 12">
          <a:extLst>
            <a:ext uri="{FF2B5EF4-FFF2-40B4-BE49-F238E27FC236}">
              <a16:creationId xmlns:a16="http://schemas.microsoft.com/office/drawing/2014/main" id="{1D1C8712-ECDA-4DA3-AC66-8D7AE7A56B9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9827" name="AutoShape 12">
          <a:extLst>
            <a:ext uri="{FF2B5EF4-FFF2-40B4-BE49-F238E27FC236}">
              <a16:creationId xmlns:a16="http://schemas.microsoft.com/office/drawing/2014/main" id="{16792330-7A4B-44A8-8C26-FB2E35F1428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9828" name="AutoShape 12">
          <a:extLst>
            <a:ext uri="{FF2B5EF4-FFF2-40B4-BE49-F238E27FC236}">
              <a16:creationId xmlns:a16="http://schemas.microsoft.com/office/drawing/2014/main" id="{F29E900F-CB47-4C0E-B7C2-476A178C822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9829" name="AutoShape 12">
          <a:extLst>
            <a:ext uri="{FF2B5EF4-FFF2-40B4-BE49-F238E27FC236}">
              <a16:creationId xmlns:a16="http://schemas.microsoft.com/office/drawing/2014/main" id="{60173BA6-5E76-459C-9486-1AAC82D6080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9830" name="AutoShape 12">
          <a:extLst>
            <a:ext uri="{FF2B5EF4-FFF2-40B4-BE49-F238E27FC236}">
              <a16:creationId xmlns:a16="http://schemas.microsoft.com/office/drawing/2014/main" id="{41F9D5DD-285B-471E-9CE8-B18932149B7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9831" name="AutoShape 12">
          <a:extLst>
            <a:ext uri="{FF2B5EF4-FFF2-40B4-BE49-F238E27FC236}">
              <a16:creationId xmlns:a16="http://schemas.microsoft.com/office/drawing/2014/main" id="{3B842D7C-2229-4D42-A7A1-EB26069B6E2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9832" name="AutoShape 12">
          <a:extLst>
            <a:ext uri="{FF2B5EF4-FFF2-40B4-BE49-F238E27FC236}">
              <a16:creationId xmlns:a16="http://schemas.microsoft.com/office/drawing/2014/main" id="{710B14F3-DC32-424A-80B5-E58A938DA9F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9833" name="AutoShape 12">
          <a:extLst>
            <a:ext uri="{FF2B5EF4-FFF2-40B4-BE49-F238E27FC236}">
              <a16:creationId xmlns:a16="http://schemas.microsoft.com/office/drawing/2014/main" id="{34D05B06-E6D9-477F-8681-42B32CAE47C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9834" name="AutoShape 12">
          <a:extLst>
            <a:ext uri="{FF2B5EF4-FFF2-40B4-BE49-F238E27FC236}">
              <a16:creationId xmlns:a16="http://schemas.microsoft.com/office/drawing/2014/main" id="{91722293-F708-4D85-B44D-0D70F157C96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9835" name="AutoShape 12">
          <a:extLst>
            <a:ext uri="{FF2B5EF4-FFF2-40B4-BE49-F238E27FC236}">
              <a16:creationId xmlns:a16="http://schemas.microsoft.com/office/drawing/2014/main" id="{CF5E5778-960B-4B3D-9D75-EBFC3CB43C6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9836" name="AutoShape 12">
          <a:extLst>
            <a:ext uri="{FF2B5EF4-FFF2-40B4-BE49-F238E27FC236}">
              <a16:creationId xmlns:a16="http://schemas.microsoft.com/office/drawing/2014/main" id="{ADC692C4-7D16-4717-B7E3-0F8BFDC171B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9837" name="AutoShape 12">
          <a:extLst>
            <a:ext uri="{FF2B5EF4-FFF2-40B4-BE49-F238E27FC236}">
              <a16:creationId xmlns:a16="http://schemas.microsoft.com/office/drawing/2014/main" id="{3BB47B4D-EFB5-444F-BBF4-3CD2DC0C92B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9838" name="AutoShape 12">
          <a:extLst>
            <a:ext uri="{FF2B5EF4-FFF2-40B4-BE49-F238E27FC236}">
              <a16:creationId xmlns:a16="http://schemas.microsoft.com/office/drawing/2014/main" id="{ACE4C510-2D04-470B-8C87-159164AAFFA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9839" name="AutoShape 12">
          <a:extLst>
            <a:ext uri="{FF2B5EF4-FFF2-40B4-BE49-F238E27FC236}">
              <a16:creationId xmlns:a16="http://schemas.microsoft.com/office/drawing/2014/main" id="{E97357E2-F788-4748-A34F-7A44E9048E7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9840" name="AutoShape 12">
          <a:extLst>
            <a:ext uri="{FF2B5EF4-FFF2-40B4-BE49-F238E27FC236}">
              <a16:creationId xmlns:a16="http://schemas.microsoft.com/office/drawing/2014/main" id="{CEBC0D92-8979-4938-871D-1239B199AC9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9841" name="AutoShape 12">
          <a:extLst>
            <a:ext uri="{FF2B5EF4-FFF2-40B4-BE49-F238E27FC236}">
              <a16:creationId xmlns:a16="http://schemas.microsoft.com/office/drawing/2014/main" id="{39EC1BAB-87DC-466D-9899-046FF6200C6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9842" name="AutoShape 12">
          <a:extLst>
            <a:ext uri="{FF2B5EF4-FFF2-40B4-BE49-F238E27FC236}">
              <a16:creationId xmlns:a16="http://schemas.microsoft.com/office/drawing/2014/main" id="{E46EA847-2082-4F1D-B6A8-2F5E4115850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9843" name="AutoShape 12">
          <a:extLst>
            <a:ext uri="{FF2B5EF4-FFF2-40B4-BE49-F238E27FC236}">
              <a16:creationId xmlns:a16="http://schemas.microsoft.com/office/drawing/2014/main" id="{4C9E8972-0488-4D99-B7A0-1B7440D422E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9844" name="AutoShape 12">
          <a:extLst>
            <a:ext uri="{FF2B5EF4-FFF2-40B4-BE49-F238E27FC236}">
              <a16:creationId xmlns:a16="http://schemas.microsoft.com/office/drawing/2014/main" id="{64211714-0CD7-416A-A63B-201462A9D77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9845" name="AutoShape 12">
          <a:extLst>
            <a:ext uri="{FF2B5EF4-FFF2-40B4-BE49-F238E27FC236}">
              <a16:creationId xmlns:a16="http://schemas.microsoft.com/office/drawing/2014/main" id="{B2202616-3146-4025-A332-69C34AAD0F0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9846" name="AutoShape 12">
          <a:extLst>
            <a:ext uri="{FF2B5EF4-FFF2-40B4-BE49-F238E27FC236}">
              <a16:creationId xmlns:a16="http://schemas.microsoft.com/office/drawing/2014/main" id="{44719CAE-1E07-4BB3-BDA4-EB2D1D05F82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9847" name="AutoShape 12">
          <a:extLst>
            <a:ext uri="{FF2B5EF4-FFF2-40B4-BE49-F238E27FC236}">
              <a16:creationId xmlns:a16="http://schemas.microsoft.com/office/drawing/2014/main" id="{62B200D4-55AF-47CE-B42F-CED88959641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9848" name="AutoShape 12">
          <a:extLst>
            <a:ext uri="{FF2B5EF4-FFF2-40B4-BE49-F238E27FC236}">
              <a16:creationId xmlns:a16="http://schemas.microsoft.com/office/drawing/2014/main" id="{78EE3717-2009-491F-849E-C71B039C558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9849" name="AutoShape 12">
          <a:extLst>
            <a:ext uri="{FF2B5EF4-FFF2-40B4-BE49-F238E27FC236}">
              <a16:creationId xmlns:a16="http://schemas.microsoft.com/office/drawing/2014/main" id="{5E807176-DA66-4F4D-BA75-478E48FFB54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9850" name="AutoShape 12">
          <a:extLst>
            <a:ext uri="{FF2B5EF4-FFF2-40B4-BE49-F238E27FC236}">
              <a16:creationId xmlns:a16="http://schemas.microsoft.com/office/drawing/2014/main" id="{D57EE688-5CBB-4E0D-AAB4-552D7FD71E1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9851" name="AutoShape 12">
          <a:extLst>
            <a:ext uri="{FF2B5EF4-FFF2-40B4-BE49-F238E27FC236}">
              <a16:creationId xmlns:a16="http://schemas.microsoft.com/office/drawing/2014/main" id="{909A591F-4252-48A0-8924-41EBC071915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9852" name="AutoShape 12">
          <a:extLst>
            <a:ext uri="{FF2B5EF4-FFF2-40B4-BE49-F238E27FC236}">
              <a16:creationId xmlns:a16="http://schemas.microsoft.com/office/drawing/2014/main" id="{CA5B7768-7EBA-48D4-966D-08017EC5D9B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9853" name="AutoShape 12">
          <a:extLst>
            <a:ext uri="{FF2B5EF4-FFF2-40B4-BE49-F238E27FC236}">
              <a16:creationId xmlns:a16="http://schemas.microsoft.com/office/drawing/2014/main" id="{75D1DFC7-7698-43D8-BF4E-CADE2C29C55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9854" name="AutoShape 12">
          <a:extLst>
            <a:ext uri="{FF2B5EF4-FFF2-40B4-BE49-F238E27FC236}">
              <a16:creationId xmlns:a16="http://schemas.microsoft.com/office/drawing/2014/main" id="{9845C9D0-4BDA-4CB2-B8FA-7E642E58B7C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9855" name="AutoShape 12">
          <a:extLst>
            <a:ext uri="{FF2B5EF4-FFF2-40B4-BE49-F238E27FC236}">
              <a16:creationId xmlns:a16="http://schemas.microsoft.com/office/drawing/2014/main" id="{936DEBDB-CECD-4B30-A175-DF12CC892F4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9856" name="AutoShape 12">
          <a:extLst>
            <a:ext uri="{FF2B5EF4-FFF2-40B4-BE49-F238E27FC236}">
              <a16:creationId xmlns:a16="http://schemas.microsoft.com/office/drawing/2014/main" id="{4702300E-083D-461E-BC16-4FF1DA23F2E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9857" name="AutoShape 12">
          <a:extLst>
            <a:ext uri="{FF2B5EF4-FFF2-40B4-BE49-F238E27FC236}">
              <a16:creationId xmlns:a16="http://schemas.microsoft.com/office/drawing/2014/main" id="{5437791B-93B9-4E80-80EF-C31D2D30F30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9858" name="AutoShape 12">
          <a:extLst>
            <a:ext uri="{FF2B5EF4-FFF2-40B4-BE49-F238E27FC236}">
              <a16:creationId xmlns:a16="http://schemas.microsoft.com/office/drawing/2014/main" id="{F0429F0D-D688-44F1-83E5-E8D4C575D38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9859" name="AutoShape 12">
          <a:extLst>
            <a:ext uri="{FF2B5EF4-FFF2-40B4-BE49-F238E27FC236}">
              <a16:creationId xmlns:a16="http://schemas.microsoft.com/office/drawing/2014/main" id="{DCE6EE84-48FC-4A15-8B18-F4AE62328B0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9860" name="AutoShape 12">
          <a:extLst>
            <a:ext uri="{FF2B5EF4-FFF2-40B4-BE49-F238E27FC236}">
              <a16:creationId xmlns:a16="http://schemas.microsoft.com/office/drawing/2014/main" id="{3785C8FF-7B84-4EDB-AFB9-A89886D2EC8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9861" name="AutoShape 12">
          <a:extLst>
            <a:ext uri="{FF2B5EF4-FFF2-40B4-BE49-F238E27FC236}">
              <a16:creationId xmlns:a16="http://schemas.microsoft.com/office/drawing/2014/main" id="{86AC67AE-EC14-4C52-BD7B-BAC6CDE3393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9862" name="AutoShape 12">
          <a:extLst>
            <a:ext uri="{FF2B5EF4-FFF2-40B4-BE49-F238E27FC236}">
              <a16:creationId xmlns:a16="http://schemas.microsoft.com/office/drawing/2014/main" id="{3A0C25F9-1AF0-42FF-B6D4-9434A06DACC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9863" name="AutoShape 12">
          <a:extLst>
            <a:ext uri="{FF2B5EF4-FFF2-40B4-BE49-F238E27FC236}">
              <a16:creationId xmlns:a16="http://schemas.microsoft.com/office/drawing/2014/main" id="{6F57BDF4-4CF8-4E75-B6D9-62EFAE7D69B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9864" name="AutoShape 12">
          <a:extLst>
            <a:ext uri="{FF2B5EF4-FFF2-40B4-BE49-F238E27FC236}">
              <a16:creationId xmlns:a16="http://schemas.microsoft.com/office/drawing/2014/main" id="{270AE19E-E7BA-4AF3-BBB5-84C6EDC2FD3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9865" name="AutoShape 12">
          <a:extLst>
            <a:ext uri="{FF2B5EF4-FFF2-40B4-BE49-F238E27FC236}">
              <a16:creationId xmlns:a16="http://schemas.microsoft.com/office/drawing/2014/main" id="{537E1E63-B771-4FD3-9B4E-7C23AE7D116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9866" name="AutoShape 12">
          <a:extLst>
            <a:ext uri="{FF2B5EF4-FFF2-40B4-BE49-F238E27FC236}">
              <a16:creationId xmlns:a16="http://schemas.microsoft.com/office/drawing/2014/main" id="{61639D86-2B5F-47ED-AF98-FDBBBC32809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9867" name="AutoShape 12">
          <a:extLst>
            <a:ext uri="{FF2B5EF4-FFF2-40B4-BE49-F238E27FC236}">
              <a16:creationId xmlns:a16="http://schemas.microsoft.com/office/drawing/2014/main" id="{46AEDF90-4265-44F1-942C-8D4E4BE60EF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9868" name="AutoShape 12">
          <a:extLst>
            <a:ext uri="{FF2B5EF4-FFF2-40B4-BE49-F238E27FC236}">
              <a16:creationId xmlns:a16="http://schemas.microsoft.com/office/drawing/2014/main" id="{DC092263-5957-4085-AEE5-5617A9B6961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9869" name="AutoShape 12">
          <a:extLst>
            <a:ext uri="{FF2B5EF4-FFF2-40B4-BE49-F238E27FC236}">
              <a16:creationId xmlns:a16="http://schemas.microsoft.com/office/drawing/2014/main" id="{20CEA1E0-4F5C-4E42-9FF3-EEF7EC27DF9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9870" name="AutoShape 12">
          <a:extLst>
            <a:ext uri="{FF2B5EF4-FFF2-40B4-BE49-F238E27FC236}">
              <a16:creationId xmlns:a16="http://schemas.microsoft.com/office/drawing/2014/main" id="{01C41756-C885-411B-8180-C2F740B4D1F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9871" name="AutoShape 12">
          <a:extLst>
            <a:ext uri="{FF2B5EF4-FFF2-40B4-BE49-F238E27FC236}">
              <a16:creationId xmlns:a16="http://schemas.microsoft.com/office/drawing/2014/main" id="{E55D2DE0-31A1-4A9F-B2CE-AEFEADCE0FC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9872" name="AutoShape 12">
          <a:extLst>
            <a:ext uri="{FF2B5EF4-FFF2-40B4-BE49-F238E27FC236}">
              <a16:creationId xmlns:a16="http://schemas.microsoft.com/office/drawing/2014/main" id="{0F3B1C83-8E9C-4E58-B02C-59ACE6E3E79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9873" name="AutoShape 12">
          <a:extLst>
            <a:ext uri="{FF2B5EF4-FFF2-40B4-BE49-F238E27FC236}">
              <a16:creationId xmlns:a16="http://schemas.microsoft.com/office/drawing/2014/main" id="{52A0318C-9D42-4287-8412-883EA655770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9874" name="AutoShape 12">
          <a:extLst>
            <a:ext uri="{FF2B5EF4-FFF2-40B4-BE49-F238E27FC236}">
              <a16:creationId xmlns:a16="http://schemas.microsoft.com/office/drawing/2014/main" id="{64E37FFD-DCF5-4FB5-8048-9F6EAA14CBE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9875" name="AutoShape 12">
          <a:extLst>
            <a:ext uri="{FF2B5EF4-FFF2-40B4-BE49-F238E27FC236}">
              <a16:creationId xmlns:a16="http://schemas.microsoft.com/office/drawing/2014/main" id="{C0268696-9198-4993-9F4A-2E208DC14D3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9876" name="AutoShape 12">
          <a:extLst>
            <a:ext uri="{FF2B5EF4-FFF2-40B4-BE49-F238E27FC236}">
              <a16:creationId xmlns:a16="http://schemas.microsoft.com/office/drawing/2014/main" id="{BAC9634C-8EED-411E-9273-62745613668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9877" name="AutoShape 12">
          <a:extLst>
            <a:ext uri="{FF2B5EF4-FFF2-40B4-BE49-F238E27FC236}">
              <a16:creationId xmlns:a16="http://schemas.microsoft.com/office/drawing/2014/main" id="{A3055409-4841-42CD-AD1A-5676CBC956A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9878" name="AutoShape 12">
          <a:extLst>
            <a:ext uri="{FF2B5EF4-FFF2-40B4-BE49-F238E27FC236}">
              <a16:creationId xmlns:a16="http://schemas.microsoft.com/office/drawing/2014/main" id="{88894A26-9FF7-4CBD-B132-DA69BA07F0F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9879" name="AutoShape 12">
          <a:extLst>
            <a:ext uri="{FF2B5EF4-FFF2-40B4-BE49-F238E27FC236}">
              <a16:creationId xmlns:a16="http://schemas.microsoft.com/office/drawing/2014/main" id="{FC5C006D-045A-4B24-ADED-0BC4D213AE1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9880" name="AutoShape 12">
          <a:extLst>
            <a:ext uri="{FF2B5EF4-FFF2-40B4-BE49-F238E27FC236}">
              <a16:creationId xmlns:a16="http://schemas.microsoft.com/office/drawing/2014/main" id="{4D8CA963-7A12-4800-80F6-8F3FEFC88DC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9881" name="AutoShape 12">
          <a:extLst>
            <a:ext uri="{FF2B5EF4-FFF2-40B4-BE49-F238E27FC236}">
              <a16:creationId xmlns:a16="http://schemas.microsoft.com/office/drawing/2014/main" id="{151887FA-B740-4958-A1BB-0A903435A1B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9882" name="AutoShape 12">
          <a:extLst>
            <a:ext uri="{FF2B5EF4-FFF2-40B4-BE49-F238E27FC236}">
              <a16:creationId xmlns:a16="http://schemas.microsoft.com/office/drawing/2014/main" id="{226C51B0-2ED7-43F2-9FC4-8E6650EB715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9883" name="AutoShape 12">
          <a:extLst>
            <a:ext uri="{FF2B5EF4-FFF2-40B4-BE49-F238E27FC236}">
              <a16:creationId xmlns:a16="http://schemas.microsoft.com/office/drawing/2014/main" id="{E9499401-B388-4D72-A2CB-55B38B4EB9F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9884" name="AutoShape 12">
          <a:extLst>
            <a:ext uri="{FF2B5EF4-FFF2-40B4-BE49-F238E27FC236}">
              <a16:creationId xmlns:a16="http://schemas.microsoft.com/office/drawing/2014/main" id="{0DC10A2E-6ED6-4F92-B554-50A18451138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9885" name="AutoShape 12">
          <a:extLst>
            <a:ext uri="{FF2B5EF4-FFF2-40B4-BE49-F238E27FC236}">
              <a16:creationId xmlns:a16="http://schemas.microsoft.com/office/drawing/2014/main" id="{C2B6CB84-C848-4014-96F2-E23763E8195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9886" name="AutoShape 12">
          <a:extLst>
            <a:ext uri="{FF2B5EF4-FFF2-40B4-BE49-F238E27FC236}">
              <a16:creationId xmlns:a16="http://schemas.microsoft.com/office/drawing/2014/main" id="{694D44B2-BEDA-42DA-BAA4-DAC728978BE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9887" name="AutoShape 12">
          <a:extLst>
            <a:ext uri="{FF2B5EF4-FFF2-40B4-BE49-F238E27FC236}">
              <a16:creationId xmlns:a16="http://schemas.microsoft.com/office/drawing/2014/main" id="{3DAD7195-7A8E-46A3-83EA-0BD0A693C51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9888" name="AutoShape 12">
          <a:extLst>
            <a:ext uri="{FF2B5EF4-FFF2-40B4-BE49-F238E27FC236}">
              <a16:creationId xmlns:a16="http://schemas.microsoft.com/office/drawing/2014/main" id="{B5CD814C-C539-4B9A-AED2-80E620F02B9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9889" name="AutoShape 12">
          <a:extLst>
            <a:ext uri="{FF2B5EF4-FFF2-40B4-BE49-F238E27FC236}">
              <a16:creationId xmlns:a16="http://schemas.microsoft.com/office/drawing/2014/main" id="{BA97E6B4-CE80-4FD7-B0F0-84ECEFF8E01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9890" name="AutoShape 12">
          <a:extLst>
            <a:ext uri="{FF2B5EF4-FFF2-40B4-BE49-F238E27FC236}">
              <a16:creationId xmlns:a16="http://schemas.microsoft.com/office/drawing/2014/main" id="{BA6F3D21-DA15-47D6-9A62-BBC7C87346B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9891" name="AutoShape 12">
          <a:extLst>
            <a:ext uri="{FF2B5EF4-FFF2-40B4-BE49-F238E27FC236}">
              <a16:creationId xmlns:a16="http://schemas.microsoft.com/office/drawing/2014/main" id="{CB6AB5ED-3C72-4AAB-902D-407D8919477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9892" name="AutoShape 12">
          <a:extLst>
            <a:ext uri="{FF2B5EF4-FFF2-40B4-BE49-F238E27FC236}">
              <a16:creationId xmlns:a16="http://schemas.microsoft.com/office/drawing/2014/main" id="{344618B2-8C8E-4ACF-A6E9-5843E6D29A3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9893" name="AutoShape 12">
          <a:extLst>
            <a:ext uri="{FF2B5EF4-FFF2-40B4-BE49-F238E27FC236}">
              <a16:creationId xmlns:a16="http://schemas.microsoft.com/office/drawing/2014/main" id="{28DC1443-3461-48DD-AFB2-1FBD99EEA93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9894" name="AutoShape 12">
          <a:extLst>
            <a:ext uri="{FF2B5EF4-FFF2-40B4-BE49-F238E27FC236}">
              <a16:creationId xmlns:a16="http://schemas.microsoft.com/office/drawing/2014/main" id="{6E5CA69F-0076-4480-8815-9DF0240ECDD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9895" name="AutoShape 12">
          <a:extLst>
            <a:ext uri="{FF2B5EF4-FFF2-40B4-BE49-F238E27FC236}">
              <a16:creationId xmlns:a16="http://schemas.microsoft.com/office/drawing/2014/main" id="{EEAF936C-A947-48D0-AEAC-E62D95D09AC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9896" name="AutoShape 12">
          <a:extLst>
            <a:ext uri="{FF2B5EF4-FFF2-40B4-BE49-F238E27FC236}">
              <a16:creationId xmlns:a16="http://schemas.microsoft.com/office/drawing/2014/main" id="{6D40C26D-F53C-474E-80E5-BF1E98C9D0F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9897" name="AutoShape 12">
          <a:extLst>
            <a:ext uri="{FF2B5EF4-FFF2-40B4-BE49-F238E27FC236}">
              <a16:creationId xmlns:a16="http://schemas.microsoft.com/office/drawing/2014/main" id="{2A790566-FBBD-4BC1-8CE4-6377C79310D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9898" name="AutoShape 12">
          <a:extLst>
            <a:ext uri="{FF2B5EF4-FFF2-40B4-BE49-F238E27FC236}">
              <a16:creationId xmlns:a16="http://schemas.microsoft.com/office/drawing/2014/main" id="{B0749D73-CDB5-4E84-80AC-405E180FBE8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9899" name="AutoShape 12">
          <a:extLst>
            <a:ext uri="{FF2B5EF4-FFF2-40B4-BE49-F238E27FC236}">
              <a16:creationId xmlns:a16="http://schemas.microsoft.com/office/drawing/2014/main" id="{97D985F4-212C-4CC8-A5B3-10E27EC08DC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9900" name="AutoShape 12">
          <a:extLst>
            <a:ext uri="{FF2B5EF4-FFF2-40B4-BE49-F238E27FC236}">
              <a16:creationId xmlns:a16="http://schemas.microsoft.com/office/drawing/2014/main" id="{4093E9C0-3A68-49AB-9C38-02BB534C189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9901" name="AutoShape 12">
          <a:extLst>
            <a:ext uri="{FF2B5EF4-FFF2-40B4-BE49-F238E27FC236}">
              <a16:creationId xmlns:a16="http://schemas.microsoft.com/office/drawing/2014/main" id="{9E87E66B-E71C-4840-B081-11967D1CB2B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9902" name="AutoShape 12">
          <a:extLst>
            <a:ext uri="{FF2B5EF4-FFF2-40B4-BE49-F238E27FC236}">
              <a16:creationId xmlns:a16="http://schemas.microsoft.com/office/drawing/2014/main" id="{9063667F-A79A-4F0E-9EEA-0FC23F88B1E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9903" name="AutoShape 12">
          <a:extLst>
            <a:ext uri="{FF2B5EF4-FFF2-40B4-BE49-F238E27FC236}">
              <a16:creationId xmlns:a16="http://schemas.microsoft.com/office/drawing/2014/main" id="{ADF9547D-83ED-4D68-AB57-9E647554986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9904" name="AutoShape 12">
          <a:extLst>
            <a:ext uri="{FF2B5EF4-FFF2-40B4-BE49-F238E27FC236}">
              <a16:creationId xmlns:a16="http://schemas.microsoft.com/office/drawing/2014/main" id="{FD5A838B-CD16-45C2-94A3-17523C50D9A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9905" name="AutoShape 12">
          <a:extLst>
            <a:ext uri="{FF2B5EF4-FFF2-40B4-BE49-F238E27FC236}">
              <a16:creationId xmlns:a16="http://schemas.microsoft.com/office/drawing/2014/main" id="{B40BED1B-7EE9-4BB9-B08E-26AA977FDF7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9906" name="AutoShape 12">
          <a:extLst>
            <a:ext uri="{FF2B5EF4-FFF2-40B4-BE49-F238E27FC236}">
              <a16:creationId xmlns:a16="http://schemas.microsoft.com/office/drawing/2014/main" id="{F8F291CF-E3B2-4040-B380-9E1BAC0CD34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9907" name="AutoShape 12">
          <a:extLst>
            <a:ext uri="{FF2B5EF4-FFF2-40B4-BE49-F238E27FC236}">
              <a16:creationId xmlns:a16="http://schemas.microsoft.com/office/drawing/2014/main" id="{63AE9957-FD34-4B61-AD2A-8DCBA05B71D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9908" name="AutoShape 12">
          <a:extLst>
            <a:ext uri="{FF2B5EF4-FFF2-40B4-BE49-F238E27FC236}">
              <a16:creationId xmlns:a16="http://schemas.microsoft.com/office/drawing/2014/main" id="{32E0CF01-B239-4C93-9019-003EE8B9922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9909" name="AutoShape 12">
          <a:extLst>
            <a:ext uri="{FF2B5EF4-FFF2-40B4-BE49-F238E27FC236}">
              <a16:creationId xmlns:a16="http://schemas.microsoft.com/office/drawing/2014/main" id="{F19F6C1F-E1AD-41FF-A2D8-9E1A01F838E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9910" name="AutoShape 12">
          <a:extLst>
            <a:ext uri="{FF2B5EF4-FFF2-40B4-BE49-F238E27FC236}">
              <a16:creationId xmlns:a16="http://schemas.microsoft.com/office/drawing/2014/main" id="{9264DCB4-BBC8-4478-A91C-8B6C16FE58A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9911" name="AutoShape 12">
          <a:extLst>
            <a:ext uri="{FF2B5EF4-FFF2-40B4-BE49-F238E27FC236}">
              <a16:creationId xmlns:a16="http://schemas.microsoft.com/office/drawing/2014/main" id="{815A0D6E-3751-475B-90EB-E37A37D65AC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9912" name="AutoShape 12">
          <a:extLst>
            <a:ext uri="{FF2B5EF4-FFF2-40B4-BE49-F238E27FC236}">
              <a16:creationId xmlns:a16="http://schemas.microsoft.com/office/drawing/2014/main" id="{9375C565-E4AC-49FF-8F8D-8E23DB683BD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9913" name="AutoShape 12">
          <a:extLst>
            <a:ext uri="{FF2B5EF4-FFF2-40B4-BE49-F238E27FC236}">
              <a16:creationId xmlns:a16="http://schemas.microsoft.com/office/drawing/2014/main" id="{FA28B72B-4A41-4A68-AEB1-41ED580FB52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9914" name="AutoShape 12">
          <a:extLst>
            <a:ext uri="{FF2B5EF4-FFF2-40B4-BE49-F238E27FC236}">
              <a16:creationId xmlns:a16="http://schemas.microsoft.com/office/drawing/2014/main" id="{180DF929-DF39-4267-B2DD-1625A292905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9915" name="AutoShape 12">
          <a:extLst>
            <a:ext uri="{FF2B5EF4-FFF2-40B4-BE49-F238E27FC236}">
              <a16:creationId xmlns:a16="http://schemas.microsoft.com/office/drawing/2014/main" id="{908F6B4A-B4C2-4C63-8655-74D16C20EFB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9916" name="AutoShape 12">
          <a:extLst>
            <a:ext uri="{FF2B5EF4-FFF2-40B4-BE49-F238E27FC236}">
              <a16:creationId xmlns:a16="http://schemas.microsoft.com/office/drawing/2014/main" id="{75CE86C7-E012-4FEE-94D2-1BBC2589578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9917" name="AutoShape 12">
          <a:extLst>
            <a:ext uri="{FF2B5EF4-FFF2-40B4-BE49-F238E27FC236}">
              <a16:creationId xmlns:a16="http://schemas.microsoft.com/office/drawing/2014/main" id="{0E1F6134-E903-4951-8ECE-2340F2D70FA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9918" name="AutoShape 12">
          <a:extLst>
            <a:ext uri="{FF2B5EF4-FFF2-40B4-BE49-F238E27FC236}">
              <a16:creationId xmlns:a16="http://schemas.microsoft.com/office/drawing/2014/main" id="{CA096780-38FB-46EE-93B9-1A145CF2EBB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9919" name="AutoShape 12">
          <a:extLst>
            <a:ext uri="{FF2B5EF4-FFF2-40B4-BE49-F238E27FC236}">
              <a16:creationId xmlns:a16="http://schemas.microsoft.com/office/drawing/2014/main" id="{76974D9E-F137-4209-AE98-5368ABFD229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9920" name="AutoShape 12">
          <a:extLst>
            <a:ext uri="{FF2B5EF4-FFF2-40B4-BE49-F238E27FC236}">
              <a16:creationId xmlns:a16="http://schemas.microsoft.com/office/drawing/2014/main" id="{BB2BEA7E-FE40-42FD-BA55-3F5A96E7948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9921" name="AutoShape 12">
          <a:extLst>
            <a:ext uri="{FF2B5EF4-FFF2-40B4-BE49-F238E27FC236}">
              <a16:creationId xmlns:a16="http://schemas.microsoft.com/office/drawing/2014/main" id="{40A64592-D7CE-40FB-BA81-0E81181FDEA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9922" name="AutoShape 12">
          <a:extLst>
            <a:ext uri="{FF2B5EF4-FFF2-40B4-BE49-F238E27FC236}">
              <a16:creationId xmlns:a16="http://schemas.microsoft.com/office/drawing/2014/main" id="{E63C832D-E3CC-4EDC-9823-1D15DD5F6A6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9923" name="AutoShape 12">
          <a:extLst>
            <a:ext uri="{FF2B5EF4-FFF2-40B4-BE49-F238E27FC236}">
              <a16:creationId xmlns:a16="http://schemas.microsoft.com/office/drawing/2014/main" id="{CC21AFAA-478B-45AF-B9DE-420130FF4FA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9924" name="AutoShape 12">
          <a:extLst>
            <a:ext uri="{FF2B5EF4-FFF2-40B4-BE49-F238E27FC236}">
              <a16:creationId xmlns:a16="http://schemas.microsoft.com/office/drawing/2014/main" id="{CF1D1B97-5505-4D83-9ABE-94D4ECC6258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9925" name="AutoShape 12">
          <a:extLst>
            <a:ext uri="{FF2B5EF4-FFF2-40B4-BE49-F238E27FC236}">
              <a16:creationId xmlns:a16="http://schemas.microsoft.com/office/drawing/2014/main" id="{5EB25F0D-2CF1-43D0-A4F4-4ECB7187EB9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9926" name="AutoShape 12">
          <a:extLst>
            <a:ext uri="{FF2B5EF4-FFF2-40B4-BE49-F238E27FC236}">
              <a16:creationId xmlns:a16="http://schemas.microsoft.com/office/drawing/2014/main" id="{C62A9A3B-BEBD-4B8A-9D9A-0FDAAC67712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9927" name="AutoShape 12">
          <a:extLst>
            <a:ext uri="{FF2B5EF4-FFF2-40B4-BE49-F238E27FC236}">
              <a16:creationId xmlns:a16="http://schemas.microsoft.com/office/drawing/2014/main" id="{8E3F9AB2-92F5-4761-B3B0-35F6EA8A253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9928" name="AutoShape 12">
          <a:extLst>
            <a:ext uri="{FF2B5EF4-FFF2-40B4-BE49-F238E27FC236}">
              <a16:creationId xmlns:a16="http://schemas.microsoft.com/office/drawing/2014/main" id="{AD82DA1F-BFCE-4B90-92DB-A1AF7D0A6E0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9929" name="AutoShape 12">
          <a:extLst>
            <a:ext uri="{FF2B5EF4-FFF2-40B4-BE49-F238E27FC236}">
              <a16:creationId xmlns:a16="http://schemas.microsoft.com/office/drawing/2014/main" id="{9C817C32-F7E3-4379-8883-2BD112E8F01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9930" name="AutoShape 12">
          <a:extLst>
            <a:ext uri="{FF2B5EF4-FFF2-40B4-BE49-F238E27FC236}">
              <a16:creationId xmlns:a16="http://schemas.microsoft.com/office/drawing/2014/main" id="{0937A98D-251D-459E-923F-6B59CF90F83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9931" name="AutoShape 12">
          <a:extLst>
            <a:ext uri="{FF2B5EF4-FFF2-40B4-BE49-F238E27FC236}">
              <a16:creationId xmlns:a16="http://schemas.microsoft.com/office/drawing/2014/main" id="{54B5D056-34E5-4DDD-B4A0-0772C35F939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9932" name="AutoShape 12">
          <a:extLst>
            <a:ext uri="{FF2B5EF4-FFF2-40B4-BE49-F238E27FC236}">
              <a16:creationId xmlns:a16="http://schemas.microsoft.com/office/drawing/2014/main" id="{63436A85-B1BA-4B62-BFF0-AD4CB25AE18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9933" name="AutoShape 12">
          <a:extLst>
            <a:ext uri="{FF2B5EF4-FFF2-40B4-BE49-F238E27FC236}">
              <a16:creationId xmlns:a16="http://schemas.microsoft.com/office/drawing/2014/main" id="{05FB3632-0F9D-4C1F-99E7-53181FED106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9934" name="AutoShape 12">
          <a:extLst>
            <a:ext uri="{FF2B5EF4-FFF2-40B4-BE49-F238E27FC236}">
              <a16:creationId xmlns:a16="http://schemas.microsoft.com/office/drawing/2014/main" id="{AA7CE26B-8FB6-449D-AF8B-6FFE05D7AD1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9935" name="AutoShape 12">
          <a:extLst>
            <a:ext uri="{FF2B5EF4-FFF2-40B4-BE49-F238E27FC236}">
              <a16:creationId xmlns:a16="http://schemas.microsoft.com/office/drawing/2014/main" id="{6631C2C0-B1C5-4DCD-A0E5-2DAB55AA74C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9936" name="AutoShape 12">
          <a:extLst>
            <a:ext uri="{FF2B5EF4-FFF2-40B4-BE49-F238E27FC236}">
              <a16:creationId xmlns:a16="http://schemas.microsoft.com/office/drawing/2014/main" id="{F6E8C7E8-B4B6-4D31-ACC5-F2DA10315EE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9937" name="AutoShape 12">
          <a:extLst>
            <a:ext uri="{FF2B5EF4-FFF2-40B4-BE49-F238E27FC236}">
              <a16:creationId xmlns:a16="http://schemas.microsoft.com/office/drawing/2014/main" id="{51309518-9885-4E51-860A-2FBA97308EF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9938" name="AutoShape 12">
          <a:extLst>
            <a:ext uri="{FF2B5EF4-FFF2-40B4-BE49-F238E27FC236}">
              <a16:creationId xmlns:a16="http://schemas.microsoft.com/office/drawing/2014/main" id="{8B192832-13F6-4E19-ACAE-73BFBD63AC1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9939" name="AutoShape 12">
          <a:extLst>
            <a:ext uri="{FF2B5EF4-FFF2-40B4-BE49-F238E27FC236}">
              <a16:creationId xmlns:a16="http://schemas.microsoft.com/office/drawing/2014/main" id="{3B0FE21B-7106-4931-803B-40E27F6EADF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9940" name="AutoShape 12">
          <a:extLst>
            <a:ext uri="{FF2B5EF4-FFF2-40B4-BE49-F238E27FC236}">
              <a16:creationId xmlns:a16="http://schemas.microsoft.com/office/drawing/2014/main" id="{0A3FDB1F-9C54-4B92-B2D5-FFA24CC70BF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9941" name="AutoShape 12">
          <a:extLst>
            <a:ext uri="{FF2B5EF4-FFF2-40B4-BE49-F238E27FC236}">
              <a16:creationId xmlns:a16="http://schemas.microsoft.com/office/drawing/2014/main" id="{BB560F2E-019F-4AE0-9631-D0F5EF5D079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9942" name="AutoShape 12">
          <a:extLst>
            <a:ext uri="{FF2B5EF4-FFF2-40B4-BE49-F238E27FC236}">
              <a16:creationId xmlns:a16="http://schemas.microsoft.com/office/drawing/2014/main" id="{F0DA5B84-E176-41DF-82B1-64A5164D82B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9943" name="AutoShape 12">
          <a:extLst>
            <a:ext uri="{FF2B5EF4-FFF2-40B4-BE49-F238E27FC236}">
              <a16:creationId xmlns:a16="http://schemas.microsoft.com/office/drawing/2014/main" id="{79D8DAB7-1433-43D7-B812-0EDD4521895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9944" name="AutoShape 12">
          <a:extLst>
            <a:ext uri="{FF2B5EF4-FFF2-40B4-BE49-F238E27FC236}">
              <a16:creationId xmlns:a16="http://schemas.microsoft.com/office/drawing/2014/main" id="{F27F4408-230D-40E8-B9DA-64FD4DB13FC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9945" name="AutoShape 12">
          <a:extLst>
            <a:ext uri="{FF2B5EF4-FFF2-40B4-BE49-F238E27FC236}">
              <a16:creationId xmlns:a16="http://schemas.microsoft.com/office/drawing/2014/main" id="{114233AE-982E-4C37-8FE3-26722936EA0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9946" name="AutoShape 12">
          <a:extLst>
            <a:ext uri="{FF2B5EF4-FFF2-40B4-BE49-F238E27FC236}">
              <a16:creationId xmlns:a16="http://schemas.microsoft.com/office/drawing/2014/main" id="{6651926F-C82D-4C3D-A94D-48770B805DB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9947" name="AutoShape 12">
          <a:extLst>
            <a:ext uri="{FF2B5EF4-FFF2-40B4-BE49-F238E27FC236}">
              <a16:creationId xmlns:a16="http://schemas.microsoft.com/office/drawing/2014/main" id="{D7EEDC73-A62C-4C4E-918F-873A7D97CCC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9948" name="AutoShape 12">
          <a:extLst>
            <a:ext uri="{FF2B5EF4-FFF2-40B4-BE49-F238E27FC236}">
              <a16:creationId xmlns:a16="http://schemas.microsoft.com/office/drawing/2014/main" id="{0AC3A577-E39B-43D6-BCEC-C521F1D49AF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9949" name="AutoShape 12">
          <a:extLst>
            <a:ext uri="{FF2B5EF4-FFF2-40B4-BE49-F238E27FC236}">
              <a16:creationId xmlns:a16="http://schemas.microsoft.com/office/drawing/2014/main" id="{89ADE0A5-4D3A-4B90-B56E-59A8A2A099E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9950" name="AutoShape 12">
          <a:extLst>
            <a:ext uri="{FF2B5EF4-FFF2-40B4-BE49-F238E27FC236}">
              <a16:creationId xmlns:a16="http://schemas.microsoft.com/office/drawing/2014/main" id="{4C00FD64-600F-4304-862B-469B6A19285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9951" name="AutoShape 12">
          <a:extLst>
            <a:ext uri="{FF2B5EF4-FFF2-40B4-BE49-F238E27FC236}">
              <a16:creationId xmlns:a16="http://schemas.microsoft.com/office/drawing/2014/main" id="{026CF59E-D64E-4B3A-9070-B43C2293340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9952" name="AutoShape 12">
          <a:extLst>
            <a:ext uri="{FF2B5EF4-FFF2-40B4-BE49-F238E27FC236}">
              <a16:creationId xmlns:a16="http://schemas.microsoft.com/office/drawing/2014/main" id="{CE29F546-5DC2-4025-AA40-20A7C0327F2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9953" name="AutoShape 12">
          <a:extLst>
            <a:ext uri="{FF2B5EF4-FFF2-40B4-BE49-F238E27FC236}">
              <a16:creationId xmlns:a16="http://schemas.microsoft.com/office/drawing/2014/main" id="{88C83A30-49F8-43C2-8181-31CC1B4D739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9954" name="AutoShape 12">
          <a:extLst>
            <a:ext uri="{FF2B5EF4-FFF2-40B4-BE49-F238E27FC236}">
              <a16:creationId xmlns:a16="http://schemas.microsoft.com/office/drawing/2014/main" id="{1293A13D-F90A-4611-B441-08856E1A3DB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9955" name="AutoShape 12">
          <a:extLst>
            <a:ext uri="{FF2B5EF4-FFF2-40B4-BE49-F238E27FC236}">
              <a16:creationId xmlns:a16="http://schemas.microsoft.com/office/drawing/2014/main" id="{1DCA61C7-9971-4753-824E-EA6D12D86B9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9956" name="AutoShape 12">
          <a:extLst>
            <a:ext uri="{FF2B5EF4-FFF2-40B4-BE49-F238E27FC236}">
              <a16:creationId xmlns:a16="http://schemas.microsoft.com/office/drawing/2014/main" id="{9F1AA283-FE25-49F5-8A0D-3C99FAD5F7F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9957" name="AutoShape 12">
          <a:extLst>
            <a:ext uri="{FF2B5EF4-FFF2-40B4-BE49-F238E27FC236}">
              <a16:creationId xmlns:a16="http://schemas.microsoft.com/office/drawing/2014/main" id="{C9AA42DA-C1D7-46EC-89CB-C7D96AE9B93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9958" name="AutoShape 12">
          <a:extLst>
            <a:ext uri="{FF2B5EF4-FFF2-40B4-BE49-F238E27FC236}">
              <a16:creationId xmlns:a16="http://schemas.microsoft.com/office/drawing/2014/main" id="{8BADD3F4-F9D4-479E-9CD5-9A3E1E5E655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9959" name="AutoShape 12">
          <a:extLst>
            <a:ext uri="{FF2B5EF4-FFF2-40B4-BE49-F238E27FC236}">
              <a16:creationId xmlns:a16="http://schemas.microsoft.com/office/drawing/2014/main" id="{2E2F77C3-0412-46CA-A62F-5348D7B9F0C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9960" name="AutoShape 12">
          <a:extLst>
            <a:ext uri="{FF2B5EF4-FFF2-40B4-BE49-F238E27FC236}">
              <a16:creationId xmlns:a16="http://schemas.microsoft.com/office/drawing/2014/main" id="{B927236E-90BB-405F-BAAB-F1AE6AD14C7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9961" name="AutoShape 12">
          <a:extLst>
            <a:ext uri="{FF2B5EF4-FFF2-40B4-BE49-F238E27FC236}">
              <a16:creationId xmlns:a16="http://schemas.microsoft.com/office/drawing/2014/main" id="{DAEDB85E-90C9-4283-8D74-18D6FF41014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9962" name="AutoShape 12">
          <a:extLst>
            <a:ext uri="{FF2B5EF4-FFF2-40B4-BE49-F238E27FC236}">
              <a16:creationId xmlns:a16="http://schemas.microsoft.com/office/drawing/2014/main" id="{F1E204FD-2248-4EDB-9184-F3C635CAA90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9963" name="AutoShape 12">
          <a:extLst>
            <a:ext uri="{FF2B5EF4-FFF2-40B4-BE49-F238E27FC236}">
              <a16:creationId xmlns:a16="http://schemas.microsoft.com/office/drawing/2014/main" id="{E7CE0F82-3801-4C1F-87D0-4B5691056EA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9964" name="AutoShape 12">
          <a:extLst>
            <a:ext uri="{FF2B5EF4-FFF2-40B4-BE49-F238E27FC236}">
              <a16:creationId xmlns:a16="http://schemas.microsoft.com/office/drawing/2014/main" id="{924B9BD8-F0DD-4E9E-A273-C46F848594A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9965" name="AutoShape 12">
          <a:extLst>
            <a:ext uri="{FF2B5EF4-FFF2-40B4-BE49-F238E27FC236}">
              <a16:creationId xmlns:a16="http://schemas.microsoft.com/office/drawing/2014/main" id="{506DCD15-7985-4F79-BE2A-021AC6C77C5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9966" name="AutoShape 12">
          <a:extLst>
            <a:ext uri="{FF2B5EF4-FFF2-40B4-BE49-F238E27FC236}">
              <a16:creationId xmlns:a16="http://schemas.microsoft.com/office/drawing/2014/main" id="{05972988-0903-49EC-87A5-6686ED0338C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9967" name="AutoShape 12">
          <a:extLst>
            <a:ext uri="{FF2B5EF4-FFF2-40B4-BE49-F238E27FC236}">
              <a16:creationId xmlns:a16="http://schemas.microsoft.com/office/drawing/2014/main" id="{B2505998-BE37-4A54-A673-69F5AE3A1DB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9968" name="AutoShape 12">
          <a:extLst>
            <a:ext uri="{FF2B5EF4-FFF2-40B4-BE49-F238E27FC236}">
              <a16:creationId xmlns:a16="http://schemas.microsoft.com/office/drawing/2014/main" id="{BD76821B-0880-4925-A44C-DB697F225E4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9969" name="AutoShape 12">
          <a:extLst>
            <a:ext uri="{FF2B5EF4-FFF2-40B4-BE49-F238E27FC236}">
              <a16:creationId xmlns:a16="http://schemas.microsoft.com/office/drawing/2014/main" id="{E470AF3C-2184-407E-8B11-B48885407B6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9970" name="AutoShape 12">
          <a:extLst>
            <a:ext uri="{FF2B5EF4-FFF2-40B4-BE49-F238E27FC236}">
              <a16:creationId xmlns:a16="http://schemas.microsoft.com/office/drawing/2014/main" id="{85792853-72F7-49A2-AE5D-9300AF8758E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9971" name="AutoShape 12">
          <a:extLst>
            <a:ext uri="{FF2B5EF4-FFF2-40B4-BE49-F238E27FC236}">
              <a16:creationId xmlns:a16="http://schemas.microsoft.com/office/drawing/2014/main" id="{0088703F-DA75-4F33-912F-5A4ED818B8E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9972" name="AutoShape 12">
          <a:extLst>
            <a:ext uri="{FF2B5EF4-FFF2-40B4-BE49-F238E27FC236}">
              <a16:creationId xmlns:a16="http://schemas.microsoft.com/office/drawing/2014/main" id="{F276396B-7EBD-4455-AB2D-599961F944A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9973" name="AutoShape 12">
          <a:extLst>
            <a:ext uri="{FF2B5EF4-FFF2-40B4-BE49-F238E27FC236}">
              <a16:creationId xmlns:a16="http://schemas.microsoft.com/office/drawing/2014/main" id="{733B5471-0724-4A80-AE53-B8758D7011A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9974" name="AutoShape 12">
          <a:extLst>
            <a:ext uri="{FF2B5EF4-FFF2-40B4-BE49-F238E27FC236}">
              <a16:creationId xmlns:a16="http://schemas.microsoft.com/office/drawing/2014/main" id="{44E88449-398B-44DF-8416-7C71B75920B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9975" name="AutoShape 12">
          <a:extLst>
            <a:ext uri="{FF2B5EF4-FFF2-40B4-BE49-F238E27FC236}">
              <a16:creationId xmlns:a16="http://schemas.microsoft.com/office/drawing/2014/main" id="{D8E91AEF-1F51-49C6-A374-B5EE5196A1B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9976" name="AutoShape 12">
          <a:extLst>
            <a:ext uri="{FF2B5EF4-FFF2-40B4-BE49-F238E27FC236}">
              <a16:creationId xmlns:a16="http://schemas.microsoft.com/office/drawing/2014/main" id="{C6F7F1BD-5251-4BEA-A1E1-CD0B4E18A39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9977" name="AutoShape 12">
          <a:extLst>
            <a:ext uri="{FF2B5EF4-FFF2-40B4-BE49-F238E27FC236}">
              <a16:creationId xmlns:a16="http://schemas.microsoft.com/office/drawing/2014/main" id="{FB9BC67F-C1FE-48D2-A767-BCDBF2233C2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9978" name="AutoShape 12">
          <a:extLst>
            <a:ext uri="{FF2B5EF4-FFF2-40B4-BE49-F238E27FC236}">
              <a16:creationId xmlns:a16="http://schemas.microsoft.com/office/drawing/2014/main" id="{F887D54E-89C9-4A82-BC40-E4A82F1E11E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9979" name="AutoShape 12">
          <a:extLst>
            <a:ext uri="{FF2B5EF4-FFF2-40B4-BE49-F238E27FC236}">
              <a16:creationId xmlns:a16="http://schemas.microsoft.com/office/drawing/2014/main" id="{D7ACC376-F146-44EF-A4A6-BD8CFFE6C15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9980" name="AutoShape 12">
          <a:extLst>
            <a:ext uri="{FF2B5EF4-FFF2-40B4-BE49-F238E27FC236}">
              <a16:creationId xmlns:a16="http://schemas.microsoft.com/office/drawing/2014/main" id="{AB76533C-933A-4B6F-BD7C-E9E7797FF8B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9981" name="AutoShape 12">
          <a:extLst>
            <a:ext uri="{FF2B5EF4-FFF2-40B4-BE49-F238E27FC236}">
              <a16:creationId xmlns:a16="http://schemas.microsoft.com/office/drawing/2014/main" id="{F13F85B9-442C-4DF8-808A-C9BBDC60929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9982" name="AutoShape 12">
          <a:extLst>
            <a:ext uri="{FF2B5EF4-FFF2-40B4-BE49-F238E27FC236}">
              <a16:creationId xmlns:a16="http://schemas.microsoft.com/office/drawing/2014/main" id="{3B2DE9E7-E0CB-4E3E-9B5F-125EF6B3AD8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9983" name="AutoShape 12">
          <a:extLst>
            <a:ext uri="{FF2B5EF4-FFF2-40B4-BE49-F238E27FC236}">
              <a16:creationId xmlns:a16="http://schemas.microsoft.com/office/drawing/2014/main" id="{D9F7531D-3E46-4115-9242-72395F28CCF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9984" name="AutoShape 12">
          <a:extLst>
            <a:ext uri="{FF2B5EF4-FFF2-40B4-BE49-F238E27FC236}">
              <a16:creationId xmlns:a16="http://schemas.microsoft.com/office/drawing/2014/main" id="{7036B48F-79D6-4DB2-BDF3-572F4A7DE4B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9985" name="AutoShape 12">
          <a:extLst>
            <a:ext uri="{FF2B5EF4-FFF2-40B4-BE49-F238E27FC236}">
              <a16:creationId xmlns:a16="http://schemas.microsoft.com/office/drawing/2014/main" id="{D7886A4B-D145-465D-B4DC-960B08EC279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9986" name="AutoShape 12">
          <a:extLst>
            <a:ext uri="{FF2B5EF4-FFF2-40B4-BE49-F238E27FC236}">
              <a16:creationId xmlns:a16="http://schemas.microsoft.com/office/drawing/2014/main" id="{F0274E12-D5E0-4698-99AD-D6275936EF2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9987" name="AutoShape 12">
          <a:extLst>
            <a:ext uri="{FF2B5EF4-FFF2-40B4-BE49-F238E27FC236}">
              <a16:creationId xmlns:a16="http://schemas.microsoft.com/office/drawing/2014/main" id="{6488747F-5DD9-4BD1-92A0-76CEDF3F020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9988" name="AutoShape 12">
          <a:extLst>
            <a:ext uri="{FF2B5EF4-FFF2-40B4-BE49-F238E27FC236}">
              <a16:creationId xmlns:a16="http://schemas.microsoft.com/office/drawing/2014/main" id="{8CDDFEBC-170A-4AEF-BB1B-2877A0A3068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9989" name="AutoShape 12">
          <a:extLst>
            <a:ext uri="{FF2B5EF4-FFF2-40B4-BE49-F238E27FC236}">
              <a16:creationId xmlns:a16="http://schemas.microsoft.com/office/drawing/2014/main" id="{D0691579-3632-4D9F-A8C9-4E66CCE5FA9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9990" name="AutoShape 12">
          <a:extLst>
            <a:ext uri="{FF2B5EF4-FFF2-40B4-BE49-F238E27FC236}">
              <a16:creationId xmlns:a16="http://schemas.microsoft.com/office/drawing/2014/main" id="{38A977EF-E11B-4108-83C2-6F665A0D870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9991" name="AutoShape 12">
          <a:extLst>
            <a:ext uri="{FF2B5EF4-FFF2-40B4-BE49-F238E27FC236}">
              <a16:creationId xmlns:a16="http://schemas.microsoft.com/office/drawing/2014/main" id="{95EEA1E7-DF2E-4664-B296-E91D4C9C948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9992" name="AutoShape 12">
          <a:extLst>
            <a:ext uri="{FF2B5EF4-FFF2-40B4-BE49-F238E27FC236}">
              <a16:creationId xmlns:a16="http://schemas.microsoft.com/office/drawing/2014/main" id="{5715554D-989D-4203-81C7-C0C681DED47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9993" name="AutoShape 12">
          <a:extLst>
            <a:ext uri="{FF2B5EF4-FFF2-40B4-BE49-F238E27FC236}">
              <a16:creationId xmlns:a16="http://schemas.microsoft.com/office/drawing/2014/main" id="{582A0043-9FDE-4551-A1A2-3CE962786C5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9994" name="AutoShape 12">
          <a:extLst>
            <a:ext uri="{FF2B5EF4-FFF2-40B4-BE49-F238E27FC236}">
              <a16:creationId xmlns:a16="http://schemas.microsoft.com/office/drawing/2014/main" id="{43D6F766-27C0-433C-85E0-A89F29392C5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9995" name="AutoShape 12">
          <a:extLst>
            <a:ext uri="{FF2B5EF4-FFF2-40B4-BE49-F238E27FC236}">
              <a16:creationId xmlns:a16="http://schemas.microsoft.com/office/drawing/2014/main" id="{31CBE225-EED0-4B15-9457-8D8E859D8B6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9996" name="AutoShape 12">
          <a:extLst>
            <a:ext uri="{FF2B5EF4-FFF2-40B4-BE49-F238E27FC236}">
              <a16:creationId xmlns:a16="http://schemas.microsoft.com/office/drawing/2014/main" id="{AEDEC3F5-4755-47FD-B14D-B607001F0E6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9997" name="AutoShape 12">
          <a:extLst>
            <a:ext uri="{FF2B5EF4-FFF2-40B4-BE49-F238E27FC236}">
              <a16:creationId xmlns:a16="http://schemas.microsoft.com/office/drawing/2014/main" id="{DFE03BFB-6782-4982-9522-F181DADFA71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9998" name="AutoShape 12">
          <a:extLst>
            <a:ext uri="{FF2B5EF4-FFF2-40B4-BE49-F238E27FC236}">
              <a16:creationId xmlns:a16="http://schemas.microsoft.com/office/drawing/2014/main" id="{B8B88776-1ACA-4C41-B7BE-8A11DB040A8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9999" name="AutoShape 12">
          <a:extLst>
            <a:ext uri="{FF2B5EF4-FFF2-40B4-BE49-F238E27FC236}">
              <a16:creationId xmlns:a16="http://schemas.microsoft.com/office/drawing/2014/main" id="{174AB521-6A38-4594-98B4-D9F6D2B062A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10000" name="AutoShape 12">
          <a:extLst>
            <a:ext uri="{FF2B5EF4-FFF2-40B4-BE49-F238E27FC236}">
              <a16:creationId xmlns:a16="http://schemas.microsoft.com/office/drawing/2014/main" id="{675086FB-9F8B-4911-A985-D69809A3EBD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10001" name="AutoShape 12">
          <a:extLst>
            <a:ext uri="{FF2B5EF4-FFF2-40B4-BE49-F238E27FC236}">
              <a16:creationId xmlns:a16="http://schemas.microsoft.com/office/drawing/2014/main" id="{6999EABA-1D6B-42B1-BAF1-0BA48BF7144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10002" name="AutoShape 12">
          <a:extLst>
            <a:ext uri="{FF2B5EF4-FFF2-40B4-BE49-F238E27FC236}">
              <a16:creationId xmlns:a16="http://schemas.microsoft.com/office/drawing/2014/main" id="{B67CD413-9B36-4EB1-9DAD-F6E89B2E53B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10003" name="AutoShape 12">
          <a:extLst>
            <a:ext uri="{FF2B5EF4-FFF2-40B4-BE49-F238E27FC236}">
              <a16:creationId xmlns:a16="http://schemas.microsoft.com/office/drawing/2014/main" id="{4BCF2807-EF7D-48D5-81BE-C5295C864C9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10004" name="AutoShape 12">
          <a:extLst>
            <a:ext uri="{FF2B5EF4-FFF2-40B4-BE49-F238E27FC236}">
              <a16:creationId xmlns:a16="http://schemas.microsoft.com/office/drawing/2014/main" id="{BE8020CF-E0C6-4DDD-9C76-60F0DA5811E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10005" name="AutoShape 12">
          <a:extLst>
            <a:ext uri="{FF2B5EF4-FFF2-40B4-BE49-F238E27FC236}">
              <a16:creationId xmlns:a16="http://schemas.microsoft.com/office/drawing/2014/main" id="{09C7F571-0BDB-4E52-8DBE-50C7296D181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1059</xdr:row>
      <xdr:rowOff>0</xdr:rowOff>
    </xdr:from>
    <xdr:ext cx="304800" cy="304094"/>
    <xdr:sp macro="" textlink="">
      <xdr:nvSpPr>
        <xdr:cNvPr id="10006" name="AutoShape 12">
          <a:extLst>
            <a:ext uri="{FF2B5EF4-FFF2-40B4-BE49-F238E27FC236}">
              <a16:creationId xmlns:a16="http://schemas.microsoft.com/office/drawing/2014/main" id="{0A19C175-2EAC-43FE-8307-49DD8148FD8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007" name="AutoShape 12">
          <a:extLst>
            <a:ext uri="{FF2B5EF4-FFF2-40B4-BE49-F238E27FC236}">
              <a16:creationId xmlns:a16="http://schemas.microsoft.com/office/drawing/2014/main" id="{1DC85501-F3BC-4DA8-80D4-C29B8ED97C5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008" name="AutoShape 12">
          <a:extLst>
            <a:ext uri="{FF2B5EF4-FFF2-40B4-BE49-F238E27FC236}">
              <a16:creationId xmlns:a16="http://schemas.microsoft.com/office/drawing/2014/main" id="{A4BC2181-00B8-4DE9-89AC-9D96FC50E2F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009" name="AutoShape 12">
          <a:extLst>
            <a:ext uri="{FF2B5EF4-FFF2-40B4-BE49-F238E27FC236}">
              <a16:creationId xmlns:a16="http://schemas.microsoft.com/office/drawing/2014/main" id="{2B6BDAEA-CDD7-4E07-B923-0BA29A5A425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010" name="AutoShape 12">
          <a:extLst>
            <a:ext uri="{FF2B5EF4-FFF2-40B4-BE49-F238E27FC236}">
              <a16:creationId xmlns:a16="http://schemas.microsoft.com/office/drawing/2014/main" id="{5AB768F1-32EF-4988-B933-B168AF34F9A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011" name="AutoShape 12">
          <a:extLst>
            <a:ext uri="{FF2B5EF4-FFF2-40B4-BE49-F238E27FC236}">
              <a16:creationId xmlns:a16="http://schemas.microsoft.com/office/drawing/2014/main" id="{9E0DDF32-7881-4094-BDC9-B26CE0A3BA2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012" name="AutoShape 12">
          <a:extLst>
            <a:ext uri="{FF2B5EF4-FFF2-40B4-BE49-F238E27FC236}">
              <a16:creationId xmlns:a16="http://schemas.microsoft.com/office/drawing/2014/main" id="{FE1BDACD-D271-4FBA-B4AB-965DD1E2EE6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013" name="AutoShape 12">
          <a:extLst>
            <a:ext uri="{FF2B5EF4-FFF2-40B4-BE49-F238E27FC236}">
              <a16:creationId xmlns:a16="http://schemas.microsoft.com/office/drawing/2014/main" id="{6E558CE8-3D45-430F-9B19-BD808676164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014" name="AutoShape 12">
          <a:extLst>
            <a:ext uri="{FF2B5EF4-FFF2-40B4-BE49-F238E27FC236}">
              <a16:creationId xmlns:a16="http://schemas.microsoft.com/office/drawing/2014/main" id="{A4DFDE78-2B93-43FD-96A7-A782C4E3375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015" name="AutoShape 12">
          <a:extLst>
            <a:ext uri="{FF2B5EF4-FFF2-40B4-BE49-F238E27FC236}">
              <a16:creationId xmlns:a16="http://schemas.microsoft.com/office/drawing/2014/main" id="{97FCE3A3-DE89-4225-8B2F-87F08C5F60C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016" name="AutoShape 12">
          <a:extLst>
            <a:ext uri="{FF2B5EF4-FFF2-40B4-BE49-F238E27FC236}">
              <a16:creationId xmlns:a16="http://schemas.microsoft.com/office/drawing/2014/main" id="{62AAD397-2CD2-4D4F-B141-7AEF23F3A6C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017" name="AutoShape 12">
          <a:extLst>
            <a:ext uri="{FF2B5EF4-FFF2-40B4-BE49-F238E27FC236}">
              <a16:creationId xmlns:a16="http://schemas.microsoft.com/office/drawing/2014/main" id="{564D914F-95E7-42A6-890F-AFE941DC6D7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018" name="AutoShape 12">
          <a:extLst>
            <a:ext uri="{FF2B5EF4-FFF2-40B4-BE49-F238E27FC236}">
              <a16:creationId xmlns:a16="http://schemas.microsoft.com/office/drawing/2014/main" id="{3C39D107-C3DA-438D-8FB3-70B28C6A8BD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019" name="AutoShape 12">
          <a:extLst>
            <a:ext uri="{FF2B5EF4-FFF2-40B4-BE49-F238E27FC236}">
              <a16:creationId xmlns:a16="http://schemas.microsoft.com/office/drawing/2014/main" id="{C170AA20-5321-409B-9F59-991F37F5B19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020" name="AutoShape 12">
          <a:extLst>
            <a:ext uri="{FF2B5EF4-FFF2-40B4-BE49-F238E27FC236}">
              <a16:creationId xmlns:a16="http://schemas.microsoft.com/office/drawing/2014/main" id="{CA1176E4-732E-4B15-95CC-0203417546F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021" name="AutoShape 12">
          <a:extLst>
            <a:ext uri="{FF2B5EF4-FFF2-40B4-BE49-F238E27FC236}">
              <a16:creationId xmlns:a16="http://schemas.microsoft.com/office/drawing/2014/main" id="{A304795A-3D41-4B06-9AA9-12DAAF2DD17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022" name="AutoShape 12">
          <a:extLst>
            <a:ext uri="{FF2B5EF4-FFF2-40B4-BE49-F238E27FC236}">
              <a16:creationId xmlns:a16="http://schemas.microsoft.com/office/drawing/2014/main" id="{D1EB1ECA-78D3-4D6A-BAAE-7EC72D0FDFB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023" name="AutoShape 12">
          <a:extLst>
            <a:ext uri="{FF2B5EF4-FFF2-40B4-BE49-F238E27FC236}">
              <a16:creationId xmlns:a16="http://schemas.microsoft.com/office/drawing/2014/main" id="{4D58BBAD-CA60-4BD7-A494-34735728A97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024" name="AutoShape 12">
          <a:extLst>
            <a:ext uri="{FF2B5EF4-FFF2-40B4-BE49-F238E27FC236}">
              <a16:creationId xmlns:a16="http://schemas.microsoft.com/office/drawing/2014/main" id="{9E29E3CE-2F38-4530-BA23-0AF032AF394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025" name="AutoShape 12">
          <a:extLst>
            <a:ext uri="{FF2B5EF4-FFF2-40B4-BE49-F238E27FC236}">
              <a16:creationId xmlns:a16="http://schemas.microsoft.com/office/drawing/2014/main" id="{BE557B04-E3B7-493F-860F-6DBAFA4D34C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026" name="AutoShape 12">
          <a:extLst>
            <a:ext uri="{FF2B5EF4-FFF2-40B4-BE49-F238E27FC236}">
              <a16:creationId xmlns:a16="http://schemas.microsoft.com/office/drawing/2014/main" id="{FFB39051-B3BD-4F7A-841C-CD9FE593809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027" name="AutoShape 12">
          <a:extLst>
            <a:ext uri="{FF2B5EF4-FFF2-40B4-BE49-F238E27FC236}">
              <a16:creationId xmlns:a16="http://schemas.microsoft.com/office/drawing/2014/main" id="{4956E9B3-AA99-4291-AB71-2500C8F5B7A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028" name="AutoShape 12">
          <a:extLst>
            <a:ext uri="{FF2B5EF4-FFF2-40B4-BE49-F238E27FC236}">
              <a16:creationId xmlns:a16="http://schemas.microsoft.com/office/drawing/2014/main" id="{E1C52186-9000-40EF-BF6E-9802731CFAF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029" name="AutoShape 12">
          <a:extLst>
            <a:ext uri="{FF2B5EF4-FFF2-40B4-BE49-F238E27FC236}">
              <a16:creationId xmlns:a16="http://schemas.microsoft.com/office/drawing/2014/main" id="{1ECFE970-6C88-4EC3-94B2-9DE01F941E0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030" name="AutoShape 12">
          <a:extLst>
            <a:ext uri="{FF2B5EF4-FFF2-40B4-BE49-F238E27FC236}">
              <a16:creationId xmlns:a16="http://schemas.microsoft.com/office/drawing/2014/main" id="{4630DC1E-109E-49BA-83D9-C0FAA855A3A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031" name="AutoShape 12">
          <a:extLst>
            <a:ext uri="{FF2B5EF4-FFF2-40B4-BE49-F238E27FC236}">
              <a16:creationId xmlns:a16="http://schemas.microsoft.com/office/drawing/2014/main" id="{A3C6B197-0335-4E22-A6B0-90E4C139C2E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032" name="AutoShape 12">
          <a:extLst>
            <a:ext uri="{FF2B5EF4-FFF2-40B4-BE49-F238E27FC236}">
              <a16:creationId xmlns:a16="http://schemas.microsoft.com/office/drawing/2014/main" id="{E07DB4D4-EB94-4828-811A-15F7A500596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033" name="AutoShape 12">
          <a:extLst>
            <a:ext uri="{FF2B5EF4-FFF2-40B4-BE49-F238E27FC236}">
              <a16:creationId xmlns:a16="http://schemas.microsoft.com/office/drawing/2014/main" id="{4E0CB869-8CD9-4AFF-AB10-E89C38A368C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034" name="AutoShape 12">
          <a:extLst>
            <a:ext uri="{FF2B5EF4-FFF2-40B4-BE49-F238E27FC236}">
              <a16:creationId xmlns:a16="http://schemas.microsoft.com/office/drawing/2014/main" id="{56CD8E70-FD95-4D0A-8948-A0071D222F5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035" name="AutoShape 12">
          <a:extLst>
            <a:ext uri="{FF2B5EF4-FFF2-40B4-BE49-F238E27FC236}">
              <a16:creationId xmlns:a16="http://schemas.microsoft.com/office/drawing/2014/main" id="{C9B7AFBB-56DA-4A5E-B11A-77CC0ED70B3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036" name="AutoShape 12">
          <a:extLst>
            <a:ext uri="{FF2B5EF4-FFF2-40B4-BE49-F238E27FC236}">
              <a16:creationId xmlns:a16="http://schemas.microsoft.com/office/drawing/2014/main" id="{B5C3FF83-62B5-46BC-8447-36AB35C9899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037" name="AutoShape 12">
          <a:extLst>
            <a:ext uri="{FF2B5EF4-FFF2-40B4-BE49-F238E27FC236}">
              <a16:creationId xmlns:a16="http://schemas.microsoft.com/office/drawing/2014/main" id="{E8E589CD-C0B7-423D-9895-29C809E8432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038" name="AutoShape 12">
          <a:extLst>
            <a:ext uri="{FF2B5EF4-FFF2-40B4-BE49-F238E27FC236}">
              <a16:creationId xmlns:a16="http://schemas.microsoft.com/office/drawing/2014/main" id="{AD8CEA8C-85AD-4BA6-A311-CCD5AD09C42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039" name="AutoShape 12">
          <a:extLst>
            <a:ext uri="{FF2B5EF4-FFF2-40B4-BE49-F238E27FC236}">
              <a16:creationId xmlns:a16="http://schemas.microsoft.com/office/drawing/2014/main" id="{F7EAE672-8F24-4904-87B9-CA35ABA3A7A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040" name="AutoShape 12">
          <a:extLst>
            <a:ext uri="{FF2B5EF4-FFF2-40B4-BE49-F238E27FC236}">
              <a16:creationId xmlns:a16="http://schemas.microsoft.com/office/drawing/2014/main" id="{83FEB3F1-2542-4560-8620-C28070CC53C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041" name="AutoShape 12">
          <a:extLst>
            <a:ext uri="{FF2B5EF4-FFF2-40B4-BE49-F238E27FC236}">
              <a16:creationId xmlns:a16="http://schemas.microsoft.com/office/drawing/2014/main" id="{3F35B926-B52C-48F5-B72F-D6AD742062E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042" name="AutoShape 12">
          <a:extLst>
            <a:ext uri="{FF2B5EF4-FFF2-40B4-BE49-F238E27FC236}">
              <a16:creationId xmlns:a16="http://schemas.microsoft.com/office/drawing/2014/main" id="{E0A97FFF-D252-45AA-BE30-37F7EC2FA86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043" name="AutoShape 12">
          <a:extLst>
            <a:ext uri="{FF2B5EF4-FFF2-40B4-BE49-F238E27FC236}">
              <a16:creationId xmlns:a16="http://schemas.microsoft.com/office/drawing/2014/main" id="{B30BCD60-AB83-4F5A-81CD-9CE89ABA996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044" name="AutoShape 12">
          <a:extLst>
            <a:ext uri="{FF2B5EF4-FFF2-40B4-BE49-F238E27FC236}">
              <a16:creationId xmlns:a16="http://schemas.microsoft.com/office/drawing/2014/main" id="{2E93FE58-7104-412E-BDF1-94763007EE2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045" name="AutoShape 12">
          <a:extLst>
            <a:ext uri="{FF2B5EF4-FFF2-40B4-BE49-F238E27FC236}">
              <a16:creationId xmlns:a16="http://schemas.microsoft.com/office/drawing/2014/main" id="{852F1A44-01DF-46AB-997F-EA088E3FE19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046" name="AutoShape 12">
          <a:extLst>
            <a:ext uri="{FF2B5EF4-FFF2-40B4-BE49-F238E27FC236}">
              <a16:creationId xmlns:a16="http://schemas.microsoft.com/office/drawing/2014/main" id="{25B12C8E-4F95-4343-995F-017D9955249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047" name="AutoShape 12">
          <a:extLst>
            <a:ext uri="{FF2B5EF4-FFF2-40B4-BE49-F238E27FC236}">
              <a16:creationId xmlns:a16="http://schemas.microsoft.com/office/drawing/2014/main" id="{1B3A4FD3-7264-4828-9DDC-6D6747BBCA6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048" name="AutoShape 12">
          <a:extLst>
            <a:ext uri="{FF2B5EF4-FFF2-40B4-BE49-F238E27FC236}">
              <a16:creationId xmlns:a16="http://schemas.microsoft.com/office/drawing/2014/main" id="{F69984FD-0F3F-4313-BEFD-9F75B5507AE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049" name="AutoShape 12">
          <a:extLst>
            <a:ext uri="{FF2B5EF4-FFF2-40B4-BE49-F238E27FC236}">
              <a16:creationId xmlns:a16="http://schemas.microsoft.com/office/drawing/2014/main" id="{2A9F37AD-4B13-4752-B60B-DCB28F904E8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050" name="AutoShape 12">
          <a:extLst>
            <a:ext uri="{FF2B5EF4-FFF2-40B4-BE49-F238E27FC236}">
              <a16:creationId xmlns:a16="http://schemas.microsoft.com/office/drawing/2014/main" id="{384A1ADE-EFD0-4B6B-B7A8-F9D09BBA98B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051" name="AutoShape 12">
          <a:extLst>
            <a:ext uri="{FF2B5EF4-FFF2-40B4-BE49-F238E27FC236}">
              <a16:creationId xmlns:a16="http://schemas.microsoft.com/office/drawing/2014/main" id="{D4051DF6-C4AB-4BE2-B6A9-A9C5B80F50F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052" name="AutoShape 12">
          <a:extLst>
            <a:ext uri="{FF2B5EF4-FFF2-40B4-BE49-F238E27FC236}">
              <a16:creationId xmlns:a16="http://schemas.microsoft.com/office/drawing/2014/main" id="{81637871-B29F-4BB3-A40F-D99192D9BD4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053" name="AutoShape 12">
          <a:extLst>
            <a:ext uri="{FF2B5EF4-FFF2-40B4-BE49-F238E27FC236}">
              <a16:creationId xmlns:a16="http://schemas.microsoft.com/office/drawing/2014/main" id="{C083C2A9-B77C-4C43-9BBF-76E7FCADDFD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054" name="AutoShape 12">
          <a:extLst>
            <a:ext uri="{FF2B5EF4-FFF2-40B4-BE49-F238E27FC236}">
              <a16:creationId xmlns:a16="http://schemas.microsoft.com/office/drawing/2014/main" id="{73A36F3B-431F-42B5-BF7D-0E464745A23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055" name="AutoShape 12">
          <a:extLst>
            <a:ext uri="{FF2B5EF4-FFF2-40B4-BE49-F238E27FC236}">
              <a16:creationId xmlns:a16="http://schemas.microsoft.com/office/drawing/2014/main" id="{5F78B47B-E023-471C-8169-4C15CD775E4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056" name="AutoShape 12">
          <a:extLst>
            <a:ext uri="{FF2B5EF4-FFF2-40B4-BE49-F238E27FC236}">
              <a16:creationId xmlns:a16="http://schemas.microsoft.com/office/drawing/2014/main" id="{A9425A0E-C18D-4D45-9F1D-1D90A0FBCFC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057" name="AutoShape 12">
          <a:extLst>
            <a:ext uri="{FF2B5EF4-FFF2-40B4-BE49-F238E27FC236}">
              <a16:creationId xmlns:a16="http://schemas.microsoft.com/office/drawing/2014/main" id="{3328BA8C-1CFE-45AA-90A0-31D7E582773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058" name="AutoShape 12">
          <a:extLst>
            <a:ext uri="{FF2B5EF4-FFF2-40B4-BE49-F238E27FC236}">
              <a16:creationId xmlns:a16="http://schemas.microsoft.com/office/drawing/2014/main" id="{3963DF7A-157A-4838-A398-9589CD97017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059" name="AutoShape 12">
          <a:extLst>
            <a:ext uri="{FF2B5EF4-FFF2-40B4-BE49-F238E27FC236}">
              <a16:creationId xmlns:a16="http://schemas.microsoft.com/office/drawing/2014/main" id="{67836B28-9BA2-4260-8717-814C4E76B50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060" name="AutoShape 12">
          <a:extLst>
            <a:ext uri="{FF2B5EF4-FFF2-40B4-BE49-F238E27FC236}">
              <a16:creationId xmlns:a16="http://schemas.microsoft.com/office/drawing/2014/main" id="{843A9EDB-2DC8-44CC-BC79-5BFE1ED132B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061" name="AutoShape 12">
          <a:extLst>
            <a:ext uri="{FF2B5EF4-FFF2-40B4-BE49-F238E27FC236}">
              <a16:creationId xmlns:a16="http://schemas.microsoft.com/office/drawing/2014/main" id="{C8261CC0-0FE7-40D2-96AF-E73556DC0C7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062" name="AutoShape 12">
          <a:extLst>
            <a:ext uri="{FF2B5EF4-FFF2-40B4-BE49-F238E27FC236}">
              <a16:creationId xmlns:a16="http://schemas.microsoft.com/office/drawing/2014/main" id="{0A5FBE30-B22B-45F2-A99E-D005D344B72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063" name="AutoShape 12">
          <a:extLst>
            <a:ext uri="{FF2B5EF4-FFF2-40B4-BE49-F238E27FC236}">
              <a16:creationId xmlns:a16="http://schemas.microsoft.com/office/drawing/2014/main" id="{088D4669-844E-4543-AC21-78EF9F9BBEE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064" name="AutoShape 12">
          <a:extLst>
            <a:ext uri="{FF2B5EF4-FFF2-40B4-BE49-F238E27FC236}">
              <a16:creationId xmlns:a16="http://schemas.microsoft.com/office/drawing/2014/main" id="{7F42FEDC-8326-4C7D-BCFC-922C49579AD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065" name="AutoShape 12">
          <a:extLst>
            <a:ext uri="{FF2B5EF4-FFF2-40B4-BE49-F238E27FC236}">
              <a16:creationId xmlns:a16="http://schemas.microsoft.com/office/drawing/2014/main" id="{D69DE104-6787-4EE0-B431-D0A4933FD1E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066" name="AutoShape 12">
          <a:extLst>
            <a:ext uri="{FF2B5EF4-FFF2-40B4-BE49-F238E27FC236}">
              <a16:creationId xmlns:a16="http://schemas.microsoft.com/office/drawing/2014/main" id="{B0A4BC95-E8DC-4270-B344-576CF1ADA07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067" name="AutoShape 12">
          <a:extLst>
            <a:ext uri="{FF2B5EF4-FFF2-40B4-BE49-F238E27FC236}">
              <a16:creationId xmlns:a16="http://schemas.microsoft.com/office/drawing/2014/main" id="{3ABB1D75-AA8B-4A39-9F54-AAB025E275A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068" name="AutoShape 12">
          <a:extLst>
            <a:ext uri="{FF2B5EF4-FFF2-40B4-BE49-F238E27FC236}">
              <a16:creationId xmlns:a16="http://schemas.microsoft.com/office/drawing/2014/main" id="{420C4C56-51EB-416E-B215-A5098C713AC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069" name="AutoShape 12">
          <a:extLst>
            <a:ext uri="{FF2B5EF4-FFF2-40B4-BE49-F238E27FC236}">
              <a16:creationId xmlns:a16="http://schemas.microsoft.com/office/drawing/2014/main" id="{97006B86-57BA-4379-9912-0F2CDC66964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070" name="AutoShape 12">
          <a:extLst>
            <a:ext uri="{FF2B5EF4-FFF2-40B4-BE49-F238E27FC236}">
              <a16:creationId xmlns:a16="http://schemas.microsoft.com/office/drawing/2014/main" id="{B4B9E443-A30D-4D98-9C3E-BB87221417D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071" name="AutoShape 12">
          <a:extLst>
            <a:ext uri="{FF2B5EF4-FFF2-40B4-BE49-F238E27FC236}">
              <a16:creationId xmlns:a16="http://schemas.microsoft.com/office/drawing/2014/main" id="{E0DD6F99-CB1D-46A8-A925-A92FE787270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072" name="AutoShape 12">
          <a:extLst>
            <a:ext uri="{FF2B5EF4-FFF2-40B4-BE49-F238E27FC236}">
              <a16:creationId xmlns:a16="http://schemas.microsoft.com/office/drawing/2014/main" id="{384C154C-8E34-466A-9D84-DBB3B1A0441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073" name="AutoShape 12">
          <a:extLst>
            <a:ext uri="{FF2B5EF4-FFF2-40B4-BE49-F238E27FC236}">
              <a16:creationId xmlns:a16="http://schemas.microsoft.com/office/drawing/2014/main" id="{5582EA19-9AFA-49BD-B4C9-C5B79808FA4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074" name="AutoShape 12">
          <a:extLst>
            <a:ext uri="{FF2B5EF4-FFF2-40B4-BE49-F238E27FC236}">
              <a16:creationId xmlns:a16="http://schemas.microsoft.com/office/drawing/2014/main" id="{42D00865-26A2-42FA-BC0D-65AD1A73A19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075" name="AutoShape 12">
          <a:extLst>
            <a:ext uri="{FF2B5EF4-FFF2-40B4-BE49-F238E27FC236}">
              <a16:creationId xmlns:a16="http://schemas.microsoft.com/office/drawing/2014/main" id="{01827EDA-25C4-4683-B65F-8C681878F7B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076" name="AutoShape 12">
          <a:extLst>
            <a:ext uri="{FF2B5EF4-FFF2-40B4-BE49-F238E27FC236}">
              <a16:creationId xmlns:a16="http://schemas.microsoft.com/office/drawing/2014/main" id="{55DA5030-4064-4B4F-870E-64A469790B1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077" name="AutoShape 12">
          <a:extLst>
            <a:ext uri="{FF2B5EF4-FFF2-40B4-BE49-F238E27FC236}">
              <a16:creationId xmlns:a16="http://schemas.microsoft.com/office/drawing/2014/main" id="{C1750136-1E35-4E44-B527-69BE88807A2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078" name="AutoShape 12">
          <a:extLst>
            <a:ext uri="{FF2B5EF4-FFF2-40B4-BE49-F238E27FC236}">
              <a16:creationId xmlns:a16="http://schemas.microsoft.com/office/drawing/2014/main" id="{DCD64D66-7CF4-4AC3-87BB-D51583EFC13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079" name="AutoShape 12">
          <a:extLst>
            <a:ext uri="{FF2B5EF4-FFF2-40B4-BE49-F238E27FC236}">
              <a16:creationId xmlns:a16="http://schemas.microsoft.com/office/drawing/2014/main" id="{572CFE9D-D54B-47DE-BFA1-E060266B78E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080" name="AutoShape 12">
          <a:extLst>
            <a:ext uri="{FF2B5EF4-FFF2-40B4-BE49-F238E27FC236}">
              <a16:creationId xmlns:a16="http://schemas.microsoft.com/office/drawing/2014/main" id="{1E81B524-CAEE-4117-9006-B5E9D90140E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081" name="AutoShape 12">
          <a:extLst>
            <a:ext uri="{FF2B5EF4-FFF2-40B4-BE49-F238E27FC236}">
              <a16:creationId xmlns:a16="http://schemas.microsoft.com/office/drawing/2014/main" id="{5DA10815-EF0A-46D7-955B-23AF876EEB7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082" name="AutoShape 12">
          <a:extLst>
            <a:ext uri="{FF2B5EF4-FFF2-40B4-BE49-F238E27FC236}">
              <a16:creationId xmlns:a16="http://schemas.microsoft.com/office/drawing/2014/main" id="{E95EFA01-49B2-486F-93FC-0435075CC9F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083" name="AutoShape 12">
          <a:extLst>
            <a:ext uri="{FF2B5EF4-FFF2-40B4-BE49-F238E27FC236}">
              <a16:creationId xmlns:a16="http://schemas.microsoft.com/office/drawing/2014/main" id="{C591174A-504E-4510-857B-1A7C38FE141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084" name="AutoShape 12">
          <a:extLst>
            <a:ext uri="{FF2B5EF4-FFF2-40B4-BE49-F238E27FC236}">
              <a16:creationId xmlns:a16="http://schemas.microsoft.com/office/drawing/2014/main" id="{CDCF295A-45DC-4EB2-837A-CD198B679E6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085" name="AutoShape 12">
          <a:extLst>
            <a:ext uri="{FF2B5EF4-FFF2-40B4-BE49-F238E27FC236}">
              <a16:creationId xmlns:a16="http://schemas.microsoft.com/office/drawing/2014/main" id="{2108E0C3-1E5D-4B48-8A4D-AC7D060636E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086" name="AutoShape 12">
          <a:extLst>
            <a:ext uri="{FF2B5EF4-FFF2-40B4-BE49-F238E27FC236}">
              <a16:creationId xmlns:a16="http://schemas.microsoft.com/office/drawing/2014/main" id="{C45A9BE1-FA8A-4CA4-8E59-2849B95BDAF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087" name="AutoShape 12">
          <a:extLst>
            <a:ext uri="{FF2B5EF4-FFF2-40B4-BE49-F238E27FC236}">
              <a16:creationId xmlns:a16="http://schemas.microsoft.com/office/drawing/2014/main" id="{FCB42415-FB73-47BB-B26C-8E66B772030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088" name="AutoShape 12">
          <a:extLst>
            <a:ext uri="{FF2B5EF4-FFF2-40B4-BE49-F238E27FC236}">
              <a16:creationId xmlns:a16="http://schemas.microsoft.com/office/drawing/2014/main" id="{2B1E0EA6-198F-4D75-B2AE-AEB3010C990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089" name="AutoShape 12">
          <a:extLst>
            <a:ext uri="{FF2B5EF4-FFF2-40B4-BE49-F238E27FC236}">
              <a16:creationId xmlns:a16="http://schemas.microsoft.com/office/drawing/2014/main" id="{CF44ACFD-2798-4E38-8F19-8F736137A5C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090" name="AutoShape 12">
          <a:extLst>
            <a:ext uri="{FF2B5EF4-FFF2-40B4-BE49-F238E27FC236}">
              <a16:creationId xmlns:a16="http://schemas.microsoft.com/office/drawing/2014/main" id="{C3EC68F4-594F-493E-B8B5-0136A670465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091" name="AutoShape 12">
          <a:extLst>
            <a:ext uri="{FF2B5EF4-FFF2-40B4-BE49-F238E27FC236}">
              <a16:creationId xmlns:a16="http://schemas.microsoft.com/office/drawing/2014/main" id="{CEB7BEE8-8D5D-481D-95F3-2F213A5F106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092" name="AutoShape 12">
          <a:extLst>
            <a:ext uri="{FF2B5EF4-FFF2-40B4-BE49-F238E27FC236}">
              <a16:creationId xmlns:a16="http://schemas.microsoft.com/office/drawing/2014/main" id="{F5FC898B-6302-4528-8AB1-1FC0E44C00C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093" name="AutoShape 12">
          <a:extLst>
            <a:ext uri="{FF2B5EF4-FFF2-40B4-BE49-F238E27FC236}">
              <a16:creationId xmlns:a16="http://schemas.microsoft.com/office/drawing/2014/main" id="{4D862F20-EEE4-4884-80DF-79824D7B42C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094" name="AutoShape 12">
          <a:extLst>
            <a:ext uri="{FF2B5EF4-FFF2-40B4-BE49-F238E27FC236}">
              <a16:creationId xmlns:a16="http://schemas.microsoft.com/office/drawing/2014/main" id="{674942CC-9351-4253-AB7F-9F673BCFBE0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095" name="AutoShape 12">
          <a:extLst>
            <a:ext uri="{FF2B5EF4-FFF2-40B4-BE49-F238E27FC236}">
              <a16:creationId xmlns:a16="http://schemas.microsoft.com/office/drawing/2014/main" id="{63448F63-9D56-4DFC-B764-2AD61F258E8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096" name="AutoShape 12">
          <a:extLst>
            <a:ext uri="{FF2B5EF4-FFF2-40B4-BE49-F238E27FC236}">
              <a16:creationId xmlns:a16="http://schemas.microsoft.com/office/drawing/2014/main" id="{540102DD-C8A4-4A70-AEB2-B86876A3249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097" name="AutoShape 12">
          <a:extLst>
            <a:ext uri="{FF2B5EF4-FFF2-40B4-BE49-F238E27FC236}">
              <a16:creationId xmlns:a16="http://schemas.microsoft.com/office/drawing/2014/main" id="{F675FB8B-8A57-4744-9CC3-CC0825185FF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098" name="AutoShape 12">
          <a:extLst>
            <a:ext uri="{FF2B5EF4-FFF2-40B4-BE49-F238E27FC236}">
              <a16:creationId xmlns:a16="http://schemas.microsoft.com/office/drawing/2014/main" id="{D276F80A-D230-4F77-B44D-82CD8A82933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099" name="AutoShape 12">
          <a:extLst>
            <a:ext uri="{FF2B5EF4-FFF2-40B4-BE49-F238E27FC236}">
              <a16:creationId xmlns:a16="http://schemas.microsoft.com/office/drawing/2014/main" id="{DD4E4AE2-AF4B-438F-BCB9-2BC148846F8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100" name="AutoShape 12">
          <a:extLst>
            <a:ext uri="{FF2B5EF4-FFF2-40B4-BE49-F238E27FC236}">
              <a16:creationId xmlns:a16="http://schemas.microsoft.com/office/drawing/2014/main" id="{12727073-3720-480E-94E0-1EE83D654B3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101" name="AutoShape 12">
          <a:extLst>
            <a:ext uri="{FF2B5EF4-FFF2-40B4-BE49-F238E27FC236}">
              <a16:creationId xmlns:a16="http://schemas.microsoft.com/office/drawing/2014/main" id="{A21937A0-C0F5-4CE2-B4C1-F889B447B2A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102" name="AutoShape 12">
          <a:extLst>
            <a:ext uri="{FF2B5EF4-FFF2-40B4-BE49-F238E27FC236}">
              <a16:creationId xmlns:a16="http://schemas.microsoft.com/office/drawing/2014/main" id="{F5C1D858-73CD-4C0A-BFE0-7C3B70DDA6A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103" name="AutoShape 12">
          <a:extLst>
            <a:ext uri="{FF2B5EF4-FFF2-40B4-BE49-F238E27FC236}">
              <a16:creationId xmlns:a16="http://schemas.microsoft.com/office/drawing/2014/main" id="{0440452B-47B8-4A30-B834-053E884D6C0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104" name="AutoShape 12">
          <a:extLst>
            <a:ext uri="{FF2B5EF4-FFF2-40B4-BE49-F238E27FC236}">
              <a16:creationId xmlns:a16="http://schemas.microsoft.com/office/drawing/2014/main" id="{94612FF6-A164-4B55-85C9-D61EB9F25D7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105" name="AutoShape 12">
          <a:extLst>
            <a:ext uri="{FF2B5EF4-FFF2-40B4-BE49-F238E27FC236}">
              <a16:creationId xmlns:a16="http://schemas.microsoft.com/office/drawing/2014/main" id="{30CC9A88-2B16-4D63-8F5B-D861D85CDD3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106" name="AutoShape 12">
          <a:extLst>
            <a:ext uri="{FF2B5EF4-FFF2-40B4-BE49-F238E27FC236}">
              <a16:creationId xmlns:a16="http://schemas.microsoft.com/office/drawing/2014/main" id="{B79C4D73-1E71-4954-9D8F-C5AFD4C176A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107" name="AutoShape 12">
          <a:extLst>
            <a:ext uri="{FF2B5EF4-FFF2-40B4-BE49-F238E27FC236}">
              <a16:creationId xmlns:a16="http://schemas.microsoft.com/office/drawing/2014/main" id="{2B169019-3B73-4D9F-85F5-DF9272123A2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108" name="AutoShape 12">
          <a:extLst>
            <a:ext uri="{FF2B5EF4-FFF2-40B4-BE49-F238E27FC236}">
              <a16:creationId xmlns:a16="http://schemas.microsoft.com/office/drawing/2014/main" id="{3C3CE475-E761-4C94-9444-69398E92950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109" name="AutoShape 12">
          <a:extLst>
            <a:ext uri="{FF2B5EF4-FFF2-40B4-BE49-F238E27FC236}">
              <a16:creationId xmlns:a16="http://schemas.microsoft.com/office/drawing/2014/main" id="{BA647898-92BE-4186-9389-9E68BA251D0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110" name="AutoShape 12">
          <a:extLst>
            <a:ext uri="{FF2B5EF4-FFF2-40B4-BE49-F238E27FC236}">
              <a16:creationId xmlns:a16="http://schemas.microsoft.com/office/drawing/2014/main" id="{E502ACC5-C040-429B-970E-BDB9FE70A69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111" name="AutoShape 12">
          <a:extLst>
            <a:ext uri="{FF2B5EF4-FFF2-40B4-BE49-F238E27FC236}">
              <a16:creationId xmlns:a16="http://schemas.microsoft.com/office/drawing/2014/main" id="{60385B20-0D31-44AF-B9CD-D3B035D6FAC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112" name="AutoShape 12">
          <a:extLst>
            <a:ext uri="{FF2B5EF4-FFF2-40B4-BE49-F238E27FC236}">
              <a16:creationId xmlns:a16="http://schemas.microsoft.com/office/drawing/2014/main" id="{0B698940-2195-41C3-AFE5-037154CA022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113" name="AutoShape 12">
          <a:extLst>
            <a:ext uri="{FF2B5EF4-FFF2-40B4-BE49-F238E27FC236}">
              <a16:creationId xmlns:a16="http://schemas.microsoft.com/office/drawing/2014/main" id="{B7847DE8-1686-46C1-A02B-60C9B4394DC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114" name="AutoShape 12">
          <a:extLst>
            <a:ext uri="{FF2B5EF4-FFF2-40B4-BE49-F238E27FC236}">
              <a16:creationId xmlns:a16="http://schemas.microsoft.com/office/drawing/2014/main" id="{DBCE10E7-AC11-4A51-8927-03F330B3702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115" name="AutoShape 12">
          <a:extLst>
            <a:ext uri="{FF2B5EF4-FFF2-40B4-BE49-F238E27FC236}">
              <a16:creationId xmlns:a16="http://schemas.microsoft.com/office/drawing/2014/main" id="{E8CD0547-FEE5-42AC-89CC-7929B599328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116" name="AutoShape 12">
          <a:extLst>
            <a:ext uri="{FF2B5EF4-FFF2-40B4-BE49-F238E27FC236}">
              <a16:creationId xmlns:a16="http://schemas.microsoft.com/office/drawing/2014/main" id="{04EE7FC7-C31E-4E48-BB44-6C4AF8CEC1A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117" name="AutoShape 12">
          <a:extLst>
            <a:ext uri="{FF2B5EF4-FFF2-40B4-BE49-F238E27FC236}">
              <a16:creationId xmlns:a16="http://schemas.microsoft.com/office/drawing/2014/main" id="{94A33F84-9F61-4DD4-A778-A885ED38114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118" name="AutoShape 12">
          <a:extLst>
            <a:ext uri="{FF2B5EF4-FFF2-40B4-BE49-F238E27FC236}">
              <a16:creationId xmlns:a16="http://schemas.microsoft.com/office/drawing/2014/main" id="{93DEBCE5-38C5-455C-880E-43EBB76CE6D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119" name="AutoShape 12">
          <a:extLst>
            <a:ext uri="{FF2B5EF4-FFF2-40B4-BE49-F238E27FC236}">
              <a16:creationId xmlns:a16="http://schemas.microsoft.com/office/drawing/2014/main" id="{B8270E82-B493-4A98-B3B1-6C22D35B891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120" name="AutoShape 12">
          <a:extLst>
            <a:ext uri="{FF2B5EF4-FFF2-40B4-BE49-F238E27FC236}">
              <a16:creationId xmlns:a16="http://schemas.microsoft.com/office/drawing/2014/main" id="{4CEBF338-2526-4C0A-8F19-EDB958DED6F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121" name="AutoShape 12">
          <a:extLst>
            <a:ext uri="{FF2B5EF4-FFF2-40B4-BE49-F238E27FC236}">
              <a16:creationId xmlns:a16="http://schemas.microsoft.com/office/drawing/2014/main" id="{386B91DF-3E27-41CF-8663-3745A1B4F02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122" name="AutoShape 12">
          <a:extLst>
            <a:ext uri="{FF2B5EF4-FFF2-40B4-BE49-F238E27FC236}">
              <a16:creationId xmlns:a16="http://schemas.microsoft.com/office/drawing/2014/main" id="{AF188E4A-FBB2-410E-80EA-464522B3AA5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123" name="AutoShape 12">
          <a:extLst>
            <a:ext uri="{FF2B5EF4-FFF2-40B4-BE49-F238E27FC236}">
              <a16:creationId xmlns:a16="http://schemas.microsoft.com/office/drawing/2014/main" id="{64750041-CA8B-43CB-AB2C-76EBFEAA958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124" name="AutoShape 12">
          <a:extLst>
            <a:ext uri="{FF2B5EF4-FFF2-40B4-BE49-F238E27FC236}">
              <a16:creationId xmlns:a16="http://schemas.microsoft.com/office/drawing/2014/main" id="{B2049B40-6C67-40D9-8BBC-B00CE2633B7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125" name="AutoShape 12">
          <a:extLst>
            <a:ext uri="{FF2B5EF4-FFF2-40B4-BE49-F238E27FC236}">
              <a16:creationId xmlns:a16="http://schemas.microsoft.com/office/drawing/2014/main" id="{67244A17-A748-4151-8291-79DCC395FFD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126" name="AutoShape 12">
          <a:extLst>
            <a:ext uri="{FF2B5EF4-FFF2-40B4-BE49-F238E27FC236}">
              <a16:creationId xmlns:a16="http://schemas.microsoft.com/office/drawing/2014/main" id="{181A2A3E-1408-4211-8839-9FFAD050194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127" name="AutoShape 12">
          <a:extLst>
            <a:ext uri="{FF2B5EF4-FFF2-40B4-BE49-F238E27FC236}">
              <a16:creationId xmlns:a16="http://schemas.microsoft.com/office/drawing/2014/main" id="{868D0583-5288-420F-A77E-8858150C2F4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128" name="AutoShape 12">
          <a:extLst>
            <a:ext uri="{FF2B5EF4-FFF2-40B4-BE49-F238E27FC236}">
              <a16:creationId xmlns:a16="http://schemas.microsoft.com/office/drawing/2014/main" id="{0BE1570B-FCD3-4799-9376-FCAF5557209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129" name="AutoShape 12">
          <a:extLst>
            <a:ext uri="{FF2B5EF4-FFF2-40B4-BE49-F238E27FC236}">
              <a16:creationId xmlns:a16="http://schemas.microsoft.com/office/drawing/2014/main" id="{AC853A84-1480-4629-93B4-F214A0ACFBE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130" name="AutoShape 12">
          <a:extLst>
            <a:ext uri="{FF2B5EF4-FFF2-40B4-BE49-F238E27FC236}">
              <a16:creationId xmlns:a16="http://schemas.microsoft.com/office/drawing/2014/main" id="{55CC2E91-B7BC-4AED-AB46-C0DD6ED440E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131" name="AutoShape 12">
          <a:extLst>
            <a:ext uri="{FF2B5EF4-FFF2-40B4-BE49-F238E27FC236}">
              <a16:creationId xmlns:a16="http://schemas.microsoft.com/office/drawing/2014/main" id="{0C8ACFFD-DA74-45D9-8126-4CB22D2F54C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132" name="AutoShape 12">
          <a:extLst>
            <a:ext uri="{FF2B5EF4-FFF2-40B4-BE49-F238E27FC236}">
              <a16:creationId xmlns:a16="http://schemas.microsoft.com/office/drawing/2014/main" id="{49F65DD4-1E3E-43E3-A367-F3BECD924A2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133" name="AutoShape 12">
          <a:extLst>
            <a:ext uri="{FF2B5EF4-FFF2-40B4-BE49-F238E27FC236}">
              <a16:creationId xmlns:a16="http://schemas.microsoft.com/office/drawing/2014/main" id="{1EEAC5AD-6D4B-46DB-AB32-CA8AC2C4F4C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134" name="AutoShape 12">
          <a:extLst>
            <a:ext uri="{FF2B5EF4-FFF2-40B4-BE49-F238E27FC236}">
              <a16:creationId xmlns:a16="http://schemas.microsoft.com/office/drawing/2014/main" id="{9A096594-6BBC-46EB-9FD2-8562FFB020B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135" name="AutoShape 12">
          <a:extLst>
            <a:ext uri="{FF2B5EF4-FFF2-40B4-BE49-F238E27FC236}">
              <a16:creationId xmlns:a16="http://schemas.microsoft.com/office/drawing/2014/main" id="{C83CEF80-6CD2-4CF5-96D8-362B2F9C16E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136" name="AutoShape 12">
          <a:extLst>
            <a:ext uri="{FF2B5EF4-FFF2-40B4-BE49-F238E27FC236}">
              <a16:creationId xmlns:a16="http://schemas.microsoft.com/office/drawing/2014/main" id="{1C13A4A7-02C0-4434-AEB3-4E2E55DFFA3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137" name="AutoShape 12">
          <a:extLst>
            <a:ext uri="{FF2B5EF4-FFF2-40B4-BE49-F238E27FC236}">
              <a16:creationId xmlns:a16="http://schemas.microsoft.com/office/drawing/2014/main" id="{FCF67EC5-6EC5-4C02-ADDF-8D3CB920E71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138" name="AutoShape 12">
          <a:extLst>
            <a:ext uri="{FF2B5EF4-FFF2-40B4-BE49-F238E27FC236}">
              <a16:creationId xmlns:a16="http://schemas.microsoft.com/office/drawing/2014/main" id="{B350A909-A979-4C5D-978A-0265D06FFBE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139" name="AutoShape 12">
          <a:extLst>
            <a:ext uri="{FF2B5EF4-FFF2-40B4-BE49-F238E27FC236}">
              <a16:creationId xmlns:a16="http://schemas.microsoft.com/office/drawing/2014/main" id="{CDF677AA-306D-49EC-851D-CCD0268033E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140" name="AutoShape 12">
          <a:extLst>
            <a:ext uri="{FF2B5EF4-FFF2-40B4-BE49-F238E27FC236}">
              <a16:creationId xmlns:a16="http://schemas.microsoft.com/office/drawing/2014/main" id="{DB4E0B6B-A616-4E1F-9007-013C1555E6B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141" name="AutoShape 12">
          <a:extLst>
            <a:ext uri="{FF2B5EF4-FFF2-40B4-BE49-F238E27FC236}">
              <a16:creationId xmlns:a16="http://schemas.microsoft.com/office/drawing/2014/main" id="{BE59D283-E91C-4631-BC0A-8CCBF356BD3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142" name="AutoShape 12">
          <a:extLst>
            <a:ext uri="{FF2B5EF4-FFF2-40B4-BE49-F238E27FC236}">
              <a16:creationId xmlns:a16="http://schemas.microsoft.com/office/drawing/2014/main" id="{71FE157D-EE6D-4884-9C2D-06DB138890D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143" name="AutoShape 12">
          <a:extLst>
            <a:ext uri="{FF2B5EF4-FFF2-40B4-BE49-F238E27FC236}">
              <a16:creationId xmlns:a16="http://schemas.microsoft.com/office/drawing/2014/main" id="{6C7C5653-CD17-458F-994B-2C451A2E79B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144" name="AutoShape 12">
          <a:extLst>
            <a:ext uri="{FF2B5EF4-FFF2-40B4-BE49-F238E27FC236}">
              <a16:creationId xmlns:a16="http://schemas.microsoft.com/office/drawing/2014/main" id="{F9596FF8-F625-4326-A8B1-39B22FC0B74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145" name="AutoShape 12">
          <a:extLst>
            <a:ext uri="{FF2B5EF4-FFF2-40B4-BE49-F238E27FC236}">
              <a16:creationId xmlns:a16="http://schemas.microsoft.com/office/drawing/2014/main" id="{953F7F7D-F5E4-4192-B574-74AF49AFB51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146" name="AutoShape 12">
          <a:extLst>
            <a:ext uri="{FF2B5EF4-FFF2-40B4-BE49-F238E27FC236}">
              <a16:creationId xmlns:a16="http://schemas.microsoft.com/office/drawing/2014/main" id="{140F6CD9-0A80-4FE3-9465-43E4C6A8C0B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147" name="AutoShape 12">
          <a:extLst>
            <a:ext uri="{FF2B5EF4-FFF2-40B4-BE49-F238E27FC236}">
              <a16:creationId xmlns:a16="http://schemas.microsoft.com/office/drawing/2014/main" id="{A1B74690-CB9F-442B-8CEB-C5F849B49D4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148" name="AutoShape 12">
          <a:extLst>
            <a:ext uri="{FF2B5EF4-FFF2-40B4-BE49-F238E27FC236}">
              <a16:creationId xmlns:a16="http://schemas.microsoft.com/office/drawing/2014/main" id="{6CDCACDB-7E69-4542-8ADA-CB50622920C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149" name="AutoShape 12">
          <a:extLst>
            <a:ext uri="{FF2B5EF4-FFF2-40B4-BE49-F238E27FC236}">
              <a16:creationId xmlns:a16="http://schemas.microsoft.com/office/drawing/2014/main" id="{15F4B230-6E52-4A04-AB5A-6DF86A6EC59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150" name="AutoShape 12">
          <a:extLst>
            <a:ext uri="{FF2B5EF4-FFF2-40B4-BE49-F238E27FC236}">
              <a16:creationId xmlns:a16="http://schemas.microsoft.com/office/drawing/2014/main" id="{3129F15B-3BA9-4656-82AB-75182752BC0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151" name="AutoShape 12">
          <a:extLst>
            <a:ext uri="{FF2B5EF4-FFF2-40B4-BE49-F238E27FC236}">
              <a16:creationId xmlns:a16="http://schemas.microsoft.com/office/drawing/2014/main" id="{2972ACE4-4CFC-491E-9E6D-C288EABAF70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152" name="AutoShape 12">
          <a:extLst>
            <a:ext uri="{FF2B5EF4-FFF2-40B4-BE49-F238E27FC236}">
              <a16:creationId xmlns:a16="http://schemas.microsoft.com/office/drawing/2014/main" id="{950E6FE9-060C-4583-B379-2B7DEDFAF93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153" name="AutoShape 12">
          <a:extLst>
            <a:ext uri="{FF2B5EF4-FFF2-40B4-BE49-F238E27FC236}">
              <a16:creationId xmlns:a16="http://schemas.microsoft.com/office/drawing/2014/main" id="{2B888397-53A9-4767-B101-4FE20B56EEB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154" name="AutoShape 12">
          <a:extLst>
            <a:ext uri="{FF2B5EF4-FFF2-40B4-BE49-F238E27FC236}">
              <a16:creationId xmlns:a16="http://schemas.microsoft.com/office/drawing/2014/main" id="{1A6ED723-FCF1-4950-8D47-41734A5949E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155" name="AutoShape 12">
          <a:extLst>
            <a:ext uri="{FF2B5EF4-FFF2-40B4-BE49-F238E27FC236}">
              <a16:creationId xmlns:a16="http://schemas.microsoft.com/office/drawing/2014/main" id="{9A5E1C92-E2B8-41A1-B002-29964879E5B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156" name="AutoShape 12">
          <a:extLst>
            <a:ext uri="{FF2B5EF4-FFF2-40B4-BE49-F238E27FC236}">
              <a16:creationId xmlns:a16="http://schemas.microsoft.com/office/drawing/2014/main" id="{FC6FA6BF-6135-406F-86C4-C0B9420E771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157" name="AutoShape 12">
          <a:extLst>
            <a:ext uri="{FF2B5EF4-FFF2-40B4-BE49-F238E27FC236}">
              <a16:creationId xmlns:a16="http://schemas.microsoft.com/office/drawing/2014/main" id="{6267B967-7AA1-4A69-8624-A0B15ADE49A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158" name="AutoShape 12">
          <a:extLst>
            <a:ext uri="{FF2B5EF4-FFF2-40B4-BE49-F238E27FC236}">
              <a16:creationId xmlns:a16="http://schemas.microsoft.com/office/drawing/2014/main" id="{6B6AF6FF-A759-400E-B946-A4700799ABB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159" name="AutoShape 12">
          <a:extLst>
            <a:ext uri="{FF2B5EF4-FFF2-40B4-BE49-F238E27FC236}">
              <a16:creationId xmlns:a16="http://schemas.microsoft.com/office/drawing/2014/main" id="{5176D695-E353-46D3-A3B8-CE1633EAE63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160" name="AutoShape 12">
          <a:extLst>
            <a:ext uri="{FF2B5EF4-FFF2-40B4-BE49-F238E27FC236}">
              <a16:creationId xmlns:a16="http://schemas.microsoft.com/office/drawing/2014/main" id="{978EAC43-7BB0-40DD-ADF3-F1FE6AA91D2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161" name="AutoShape 12">
          <a:extLst>
            <a:ext uri="{FF2B5EF4-FFF2-40B4-BE49-F238E27FC236}">
              <a16:creationId xmlns:a16="http://schemas.microsoft.com/office/drawing/2014/main" id="{313D7FD0-6D21-4DFD-BCB1-ECF1E8E2337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162" name="AutoShape 12">
          <a:extLst>
            <a:ext uri="{FF2B5EF4-FFF2-40B4-BE49-F238E27FC236}">
              <a16:creationId xmlns:a16="http://schemas.microsoft.com/office/drawing/2014/main" id="{2992B298-15DA-42E3-B230-4320E95999B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163" name="AutoShape 12">
          <a:extLst>
            <a:ext uri="{FF2B5EF4-FFF2-40B4-BE49-F238E27FC236}">
              <a16:creationId xmlns:a16="http://schemas.microsoft.com/office/drawing/2014/main" id="{C5F08890-0191-4985-934E-B677E8AC8FE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164" name="AutoShape 12">
          <a:extLst>
            <a:ext uri="{FF2B5EF4-FFF2-40B4-BE49-F238E27FC236}">
              <a16:creationId xmlns:a16="http://schemas.microsoft.com/office/drawing/2014/main" id="{5F4CF502-485A-45D8-A213-7D049D74FC8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165" name="AutoShape 12">
          <a:extLst>
            <a:ext uri="{FF2B5EF4-FFF2-40B4-BE49-F238E27FC236}">
              <a16:creationId xmlns:a16="http://schemas.microsoft.com/office/drawing/2014/main" id="{32F4D983-EB90-40F5-AB2F-879863512D4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166" name="AutoShape 12">
          <a:extLst>
            <a:ext uri="{FF2B5EF4-FFF2-40B4-BE49-F238E27FC236}">
              <a16:creationId xmlns:a16="http://schemas.microsoft.com/office/drawing/2014/main" id="{396D5C9C-0C90-45F7-9DE2-144AB4F00A0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167" name="AutoShape 12">
          <a:extLst>
            <a:ext uri="{FF2B5EF4-FFF2-40B4-BE49-F238E27FC236}">
              <a16:creationId xmlns:a16="http://schemas.microsoft.com/office/drawing/2014/main" id="{6969B8CE-A0E6-4CB4-A1F6-D288B3327E2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168" name="AutoShape 12">
          <a:extLst>
            <a:ext uri="{FF2B5EF4-FFF2-40B4-BE49-F238E27FC236}">
              <a16:creationId xmlns:a16="http://schemas.microsoft.com/office/drawing/2014/main" id="{081FCC76-D091-4A07-8FD8-90040E5BF09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169" name="AutoShape 12">
          <a:extLst>
            <a:ext uri="{FF2B5EF4-FFF2-40B4-BE49-F238E27FC236}">
              <a16:creationId xmlns:a16="http://schemas.microsoft.com/office/drawing/2014/main" id="{5B705CBD-CCB3-4F92-8853-6DBED5870B9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170" name="AutoShape 12">
          <a:extLst>
            <a:ext uri="{FF2B5EF4-FFF2-40B4-BE49-F238E27FC236}">
              <a16:creationId xmlns:a16="http://schemas.microsoft.com/office/drawing/2014/main" id="{3CC79E86-40CF-4894-AB3A-52389EE5AF9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171" name="AutoShape 12">
          <a:extLst>
            <a:ext uri="{FF2B5EF4-FFF2-40B4-BE49-F238E27FC236}">
              <a16:creationId xmlns:a16="http://schemas.microsoft.com/office/drawing/2014/main" id="{1F19CE14-9EE1-4D15-90D7-EA92BA600CC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172" name="AutoShape 12">
          <a:extLst>
            <a:ext uri="{FF2B5EF4-FFF2-40B4-BE49-F238E27FC236}">
              <a16:creationId xmlns:a16="http://schemas.microsoft.com/office/drawing/2014/main" id="{DCF558BE-99F5-4587-AB39-827B07B2D79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173" name="AutoShape 12">
          <a:extLst>
            <a:ext uri="{FF2B5EF4-FFF2-40B4-BE49-F238E27FC236}">
              <a16:creationId xmlns:a16="http://schemas.microsoft.com/office/drawing/2014/main" id="{EA7C0110-2714-431B-9715-6EFA1F751D8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174" name="AutoShape 12">
          <a:extLst>
            <a:ext uri="{FF2B5EF4-FFF2-40B4-BE49-F238E27FC236}">
              <a16:creationId xmlns:a16="http://schemas.microsoft.com/office/drawing/2014/main" id="{120A8153-2297-4D8A-A139-BE086CAFFA8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175" name="AutoShape 12">
          <a:extLst>
            <a:ext uri="{FF2B5EF4-FFF2-40B4-BE49-F238E27FC236}">
              <a16:creationId xmlns:a16="http://schemas.microsoft.com/office/drawing/2014/main" id="{C225F1CC-43B7-4FDC-A54D-148CAFC7F87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176" name="AutoShape 12">
          <a:extLst>
            <a:ext uri="{FF2B5EF4-FFF2-40B4-BE49-F238E27FC236}">
              <a16:creationId xmlns:a16="http://schemas.microsoft.com/office/drawing/2014/main" id="{A30DA682-58DA-4B84-BEA4-233E1DE084C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177" name="AutoShape 12">
          <a:extLst>
            <a:ext uri="{FF2B5EF4-FFF2-40B4-BE49-F238E27FC236}">
              <a16:creationId xmlns:a16="http://schemas.microsoft.com/office/drawing/2014/main" id="{030BA788-EDA8-4ED9-9B13-5E6D237E992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178" name="AutoShape 12">
          <a:extLst>
            <a:ext uri="{FF2B5EF4-FFF2-40B4-BE49-F238E27FC236}">
              <a16:creationId xmlns:a16="http://schemas.microsoft.com/office/drawing/2014/main" id="{723DB03D-AECF-4950-9E41-B906E89D8F9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179" name="AutoShape 12">
          <a:extLst>
            <a:ext uri="{FF2B5EF4-FFF2-40B4-BE49-F238E27FC236}">
              <a16:creationId xmlns:a16="http://schemas.microsoft.com/office/drawing/2014/main" id="{06E29775-E53A-4B3E-88E8-DC148C63701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180" name="AutoShape 12">
          <a:extLst>
            <a:ext uri="{FF2B5EF4-FFF2-40B4-BE49-F238E27FC236}">
              <a16:creationId xmlns:a16="http://schemas.microsoft.com/office/drawing/2014/main" id="{5C852900-450A-4DCB-B5F3-57763B320BC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181" name="AutoShape 12">
          <a:extLst>
            <a:ext uri="{FF2B5EF4-FFF2-40B4-BE49-F238E27FC236}">
              <a16:creationId xmlns:a16="http://schemas.microsoft.com/office/drawing/2014/main" id="{D3B7E50A-A245-425B-BC6E-5B82E4F70A1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182" name="AutoShape 12">
          <a:extLst>
            <a:ext uri="{FF2B5EF4-FFF2-40B4-BE49-F238E27FC236}">
              <a16:creationId xmlns:a16="http://schemas.microsoft.com/office/drawing/2014/main" id="{FCCFA7A7-C9FE-4FD0-9363-2A33890866F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183" name="AutoShape 12">
          <a:extLst>
            <a:ext uri="{FF2B5EF4-FFF2-40B4-BE49-F238E27FC236}">
              <a16:creationId xmlns:a16="http://schemas.microsoft.com/office/drawing/2014/main" id="{C3856302-1350-43D4-99DA-D4567492849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184" name="AutoShape 12">
          <a:extLst>
            <a:ext uri="{FF2B5EF4-FFF2-40B4-BE49-F238E27FC236}">
              <a16:creationId xmlns:a16="http://schemas.microsoft.com/office/drawing/2014/main" id="{5B0576AE-1789-4D1D-A355-C6E70C21A46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185" name="AutoShape 12">
          <a:extLst>
            <a:ext uri="{FF2B5EF4-FFF2-40B4-BE49-F238E27FC236}">
              <a16:creationId xmlns:a16="http://schemas.microsoft.com/office/drawing/2014/main" id="{0AFBA8E1-A671-4869-8BAB-AF4C3EA7760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186" name="AutoShape 12">
          <a:extLst>
            <a:ext uri="{FF2B5EF4-FFF2-40B4-BE49-F238E27FC236}">
              <a16:creationId xmlns:a16="http://schemas.microsoft.com/office/drawing/2014/main" id="{C6563485-8EA8-487D-ACAB-720D5F4FA20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187" name="AutoShape 12">
          <a:extLst>
            <a:ext uri="{FF2B5EF4-FFF2-40B4-BE49-F238E27FC236}">
              <a16:creationId xmlns:a16="http://schemas.microsoft.com/office/drawing/2014/main" id="{3388747B-6FDE-43B0-B9B8-C4055998B3D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188" name="AutoShape 12">
          <a:extLst>
            <a:ext uri="{FF2B5EF4-FFF2-40B4-BE49-F238E27FC236}">
              <a16:creationId xmlns:a16="http://schemas.microsoft.com/office/drawing/2014/main" id="{28C386C3-85B1-4EE7-BD8A-74ADEBBD709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189" name="AutoShape 12">
          <a:extLst>
            <a:ext uri="{FF2B5EF4-FFF2-40B4-BE49-F238E27FC236}">
              <a16:creationId xmlns:a16="http://schemas.microsoft.com/office/drawing/2014/main" id="{342E2A71-C11C-4FC5-977B-CBD08114E5E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190" name="AutoShape 12">
          <a:extLst>
            <a:ext uri="{FF2B5EF4-FFF2-40B4-BE49-F238E27FC236}">
              <a16:creationId xmlns:a16="http://schemas.microsoft.com/office/drawing/2014/main" id="{73F4F755-4DA5-4391-B552-8706DF2D1F9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191" name="AutoShape 12">
          <a:extLst>
            <a:ext uri="{FF2B5EF4-FFF2-40B4-BE49-F238E27FC236}">
              <a16:creationId xmlns:a16="http://schemas.microsoft.com/office/drawing/2014/main" id="{3D25B9CC-F5CC-4563-BCA5-28D30873EC1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192" name="AutoShape 12">
          <a:extLst>
            <a:ext uri="{FF2B5EF4-FFF2-40B4-BE49-F238E27FC236}">
              <a16:creationId xmlns:a16="http://schemas.microsoft.com/office/drawing/2014/main" id="{752D8E2D-8E5E-438F-AEC4-8D02EDB25E1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193" name="AutoShape 12">
          <a:extLst>
            <a:ext uri="{FF2B5EF4-FFF2-40B4-BE49-F238E27FC236}">
              <a16:creationId xmlns:a16="http://schemas.microsoft.com/office/drawing/2014/main" id="{B9610A90-5B24-420B-A051-CE33AA734B4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194" name="AutoShape 12">
          <a:extLst>
            <a:ext uri="{FF2B5EF4-FFF2-40B4-BE49-F238E27FC236}">
              <a16:creationId xmlns:a16="http://schemas.microsoft.com/office/drawing/2014/main" id="{4C786784-A9F6-4AFA-B60E-2CDAC55FF9C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195" name="AutoShape 12">
          <a:extLst>
            <a:ext uri="{FF2B5EF4-FFF2-40B4-BE49-F238E27FC236}">
              <a16:creationId xmlns:a16="http://schemas.microsoft.com/office/drawing/2014/main" id="{DBEC6750-FF72-4B36-9C1E-402B0B1EBFC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196" name="AutoShape 12">
          <a:extLst>
            <a:ext uri="{FF2B5EF4-FFF2-40B4-BE49-F238E27FC236}">
              <a16:creationId xmlns:a16="http://schemas.microsoft.com/office/drawing/2014/main" id="{43B16F64-A663-4BB1-B71B-4BA201191B8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197" name="AutoShape 12">
          <a:extLst>
            <a:ext uri="{FF2B5EF4-FFF2-40B4-BE49-F238E27FC236}">
              <a16:creationId xmlns:a16="http://schemas.microsoft.com/office/drawing/2014/main" id="{A5C4EB80-D63F-4259-B917-4161E99D925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198" name="AutoShape 12">
          <a:extLst>
            <a:ext uri="{FF2B5EF4-FFF2-40B4-BE49-F238E27FC236}">
              <a16:creationId xmlns:a16="http://schemas.microsoft.com/office/drawing/2014/main" id="{ECE2DC93-00A1-4A47-9477-B8D2602B89D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199" name="AutoShape 12">
          <a:extLst>
            <a:ext uri="{FF2B5EF4-FFF2-40B4-BE49-F238E27FC236}">
              <a16:creationId xmlns:a16="http://schemas.microsoft.com/office/drawing/2014/main" id="{FA60914A-1EB8-4DB4-874A-670573FC907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200" name="AutoShape 12">
          <a:extLst>
            <a:ext uri="{FF2B5EF4-FFF2-40B4-BE49-F238E27FC236}">
              <a16:creationId xmlns:a16="http://schemas.microsoft.com/office/drawing/2014/main" id="{03D33B90-3D94-40B2-BEA8-1AB3EDFCDF6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201" name="AutoShape 12">
          <a:extLst>
            <a:ext uri="{FF2B5EF4-FFF2-40B4-BE49-F238E27FC236}">
              <a16:creationId xmlns:a16="http://schemas.microsoft.com/office/drawing/2014/main" id="{DBCF097A-55BB-4C3C-8410-EA230AAB09B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202" name="AutoShape 12">
          <a:extLst>
            <a:ext uri="{FF2B5EF4-FFF2-40B4-BE49-F238E27FC236}">
              <a16:creationId xmlns:a16="http://schemas.microsoft.com/office/drawing/2014/main" id="{3562B1A7-2D17-423D-80D8-314F4E59253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203" name="AutoShape 12">
          <a:extLst>
            <a:ext uri="{FF2B5EF4-FFF2-40B4-BE49-F238E27FC236}">
              <a16:creationId xmlns:a16="http://schemas.microsoft.com/office/drawing/2014/main" id="{47F25F1C-74C0-4E2F-90D5-50505AB1E38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204" name="AutoShape 12">
          <a:extLst>
            <a:ext uri="{FF2B5EF4-FFF2-40B4-BE49-F238E27FC236}">
              <a16:creationId xmlns:a16="http://schemas.microsoft.com/office/drawing/2014/main" id="{34FF9A61-1AAC-4B2B-98A4-D361C234D71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205" name="AutoShape 12">
          <a:extLst>
            <a:ext uri="{FF2B5EF4-FFF2-40B4-BE49-F238E27FC236}">
              <a16:creationId xmlns:a16="http://schemas.microsoft.com/office/drawing/2014/main" id="{CB199F1C-18FC-4242-8478-37617F04C46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206" name="AutoShape 12">
          <a:extLst>
            <a:ext uri="{FF2B5EF4-FFF2-40B4-BE49-F238E27FC236}">
              <a16:creationId xmlns:a16="http://schemas.microsoft.com/office/drawing/2014/main" id="{62829A05-2455-4C5D-9528-E5B283137F8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207" name="AutoShape 12">
          <a:extLst>
            <a:ext uri="{FF2B5EF4-FFF2-40B4-BE49-F238E27FC236}">
              <a16:creationId xmlns:a16="http://schemas.microsoft.com/office/drawing/2014/main" id="{66013323-974B-44F4-A309-6E4D5EE3022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208" name="AutoShape 12">
          <a:extLst>
            <a:ext uri="{FF2B5EF4-FFF2-40B4-BE49-F238E27FC236}">
              <a16:creationId xmlns:a16="http://schemas.microsoft.com/office/drawing/2014/main" id="{C45F7717-83B8-45F2-858A-BAFE62BA196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209" name="AutoShape 12">
          <a:extLst>
            <a:ext uri="{FF2B5EF4-FFF2-40B4-BE49-F238E27FC236}">
              <a16:creationId xmlns:a16="http://schemas.microsoft.com/office/drawing/2014/main" id="{08D3E458-3C27-4272-93E9-FD8D218805F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210" name="AutoShape 12">
          <a:extLst>
            <a:ext uri="{FF2B5EF4-FFF2-40B4-BE49-F238E27FC236}">
              <a16:creationId xmlns:a16="http://schemas.microsoft.com/office/drawing/2014/main" id="{AA0EAD1A-0144-48CF-AB1A-078620CF5A8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211" name="AutoShape 12">
          <a:extLst>
            <a:ext uri="{FF2B5EF4-FFF2-40B4-BE49-F238E27FC236}">
              <a16:creationId xmlns:a16="http://schemas.microsoft.com/office/drawing/2014/main" id="{4F38ADE5-F5D8-417B-B3EF-CDCDE54B3E9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212" name="AutoShape 12">
          <a:extLst>
            <a:ext uri="{FF2B5EF4-FFF2-40B4-BE49-F238E27FC236}">
              <a16:creationId xmlns:a16="http://schemas.microsoft.com/office/drawing/2014/main" id="{76F458B4-3AAD-4B3C-B42D-3FA4591DB47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213" name="AutoShape 12">
          <a:extLst>
            <a:ext uri="{FF2B5EF4-FFF2-40B4-BE49-F238E27FC236}">
              <a16:creationId xmlns:a16="http://schemas.microsoft.com/office/drawing/2014/main" id="{279B37B8-8C70-4BDB-A81C-7688D28BD4E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214" name="AutoShape 12">
          <a:extLst>
            <a:ext uri="{FF2B5EF4-FFF2-40B4-BE49-F238E27FC236}">
              <a16:creationId xmlns:a16="http://schemas.microsoft.com/office/drawing/2014/main" id="{35FEA373-B817-46BC-9A9E-05A89B142DC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215" name="AutoShape 12">
          <a:extLst>
            <a:ext uri="{FF2B5EF4-FFF2-40B4-BE49-F238E27FC236}">
              <a16:creationId xmlns:a16="http://schemas.microsoft.com/office/drawing/2014/main" id="{793FCA2A-4DA1-4849-A938-2A5F07C1591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216" name="AutoShape 12">
          <a:extLst>
            <a:ext uri="{FF2B5EF4-FFF2-40B4-BE49-F238E27FC236}">
              <a16:creationId xmlns:a16="http://schemas.microsoft.com/office/drawing/2014/main" id="{972CAFB1-D51A-4D1B-ADE7-EA59551F051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217" name="AutoShape 12">
          <a:extLst>
            <a:ext uri="{FF2B5EF4-FFF2-40B4-BE49-F238E27FC236}">
              <a16:creationId xmlns:a16="http://schemas.microsoft.com/office/drawing/2014/main" id="{62DC0196-ADD2-463C-8653-CB4491165DC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218" name="AutoShape 12">
          <a:extLst>
            <a:ext uri="{FF2B5EF4-FFF2-40B4-BE49-F238E27FC236}">
              <a16:creationId xmlns:a16="http://schemas.microsoft.com/office/drawing/2014/main" id="{7B01F037-2291-4903-9E62-86DBCCEA202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219" name="AutoShape 12">
          <a:extLst>
            <a:ext uri="{FF2B5EF4-FFF2-40B4-BE49-F238E27FC236}">
              <a16:creationId xmlns:a16="http://schemas.microsoft.com/office/drawing/2014/main" id="{BC9DFA75-BF20-42D2-B884-A7FC6507E8A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220" name="AutoShape 12">
          <a:extLst>
            <a:ext uri="{FF2B5EF4-FFF2-40B4-BE49-F238E27FC236}">
              <a16:creationId xmlns:a16="http://schemas.microsoft.com/office/drawing/2014/main" id="{5625DA86-3DA6-4CE1-B140-D2DC6EC6CC9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221" name="AutoShape 12">
          <a:extLst>
            <a:ext uri="{FF2B5EF4-FFF2-40B4-BE49-F238E27FC236}">
              <a16:creationId xmlns:a16="http://schemas.microsoft.com/office/drawing/2014/main" id="{37DEE9E7-4608-4F60-912E-5736591F9D5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222" name="AutoShape 12">
          <a:extLst>
            <a:ext uri="{FF2B5EF4-FFF2-40B4-BE49-F238E27FC236}">
              <a16:creationId xmlns:a16="http://schemas.microsoft.com/office/drawing/2014/main" id="{CE1B03C1-C64E-483C-9921-F0A294C7346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223" name="AutoShape 12">
          <a:extLst>
            <a:ext uri="{FF2B5EF4-FFF2-40B4-BE49-F238E27FC236}">
              <a16:creationId xmlns:a16="http://schemas.microsoft.com/office/drawing/2014/main" id="{4834D6AF-E4C4-42A5-B33D-479BDA3E69D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224" name="AutoShape 12">
          <a:extLst>
            <a:ext uri="{FF2B5EF4-FFF2-40B4-BE49-F238E27FC236}">
              <a16:creationId xmlns:a16="http://schemas.microsoft.com/office/drawing/2014/main" id="{3D72296A-3FFA-4239-9CDE-C2B305644D7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225" name="AutoShape 12">
          <a:extLst>
            <a:ext uri="{FF2B5EF4-FFF2-40B4-BE49-F238E27FC236}">
              <a16:creationId xmlns:a16="http://schemas.microsoft.com/office/drawing/2014/main" id="{7921C103-7652-4490-A0AF-36A3F82F860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226" name="AutoShape 12">
          <a:extLst>
            <a:ext uri="{FF2B5EF4-FFF2-40B4-BE49-F238E27FC236}">
              <a16:creationId xmlns:a16="http://schemas.microsoft.com/office/drawing/2014/main" id="{4186EF97-68F7-4035-8003-AD85C405D08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227" name="AutoShape 12">
          <a:extLst>
            <a:ext uri="{FF2B5EF4-FFF2-40B4-BE49-F238E27FC236}">
              <a16:creationId xmlns:a16="http://schemas.microsoft.com/office/drawing/2014/main" id="{985996A5-B273-4DC6-803B-5A116B469DB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228" name="AutoShape 12">
          <a:extLst>
            <a:ext uri="{FF2B5EF4-FFF2-40B4-BE49-F238E27FC236}">
              <a16:creationId xmlns:a16="http://schemas.microsoft.com/office/drawing/2014/main" id="{F9721AB6-279A-477E-9944-52DF3ED3181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229" name="AutoShape 12">
          <a:extLst>
            <a:ext uri="{FF2B5EF4-FFF2-40B4-BE49-F238E27FC236}">
              <a16:creationId xmlns:a16="http://schemas.microsoft.com/office/drawing/2014/main" id="{5ADDF14A-6E79-42A0-9101-601410DFCE1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230" name="AutoShape 12">
          <a:extLst>
            <a:ext uri="{FF2B5EF4-FFF2-40B4-BE49-F238E27FC236}">
              <a16:creationId xmlns:a16="http://schemas.microsoft.com/office/drawing/2014/main" id="{F0C40FBA-EDA4-482B-A025-631DA7E85CC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231" name="AutoShape 12">
          <a:extLst>
            <a:ext uri="{FF2B5EF4-FFF2-40B4-BE49-F238E27FC236}">
              <a16:creationId xmlns:a16="http://schemas.microsoft.com/office/drawing/2014/main" id="{C2D56B72-E6D6-46B6-B4D4-D1CDA4237EC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232" name="AutoShape 12">
          <a:extLst>
            <a:ext uri="{FF2B5EF4-FFF2-40B4-BE49-F238E27FC236}">
              <a16:creationId xmlns:a16="http://schemas.microsoft.com/office/drawing/2014/main" id="{66FF13E4-238E-4F15-94E4-C62AE25EE24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233" name="AutoShape 12">
          <a:extLst>
            <a:ext uri="{FF2B5EF4-FFF2-40B4-BE49-F238E27FC236}">
              <a16:creationId xmlns:a16="http://schemas.microsoft.com/office/drawing/2014/main" id="{69CA326C-CFF3-45E5-A84A-140755A4ED6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234" name="AutoShape 12">
          <a:extLst>
            <a:ext uri="{FF2B5EF4-FFF2-40B4-BE49-F238E27FC236}">
              <a16:creationId xmlns:a16="http://schemas.microsoft.com/office/drawing/2014/main" id="{A2B9F93F-ECF7-4663-8E88-E7A833C20A3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235" name="AutoShape 12">
          <a:extLst>
            <a:ext uri="{FF2B5EF4-FFF2-40B4-BE49-F238E27FC236}">
              <a16:creationId xmlns:a16="http://schemas.microsoft.com/office/drawing/2014/main" id="{6FF5EBA8-DE62-43F2-AA25-E97B26F18BA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236" name="AutoShape 12">
          <a:extLst>
            <a:ext uri="{FF2B5EF4-FFF2-40B4-BE49-F238E27FC236}">
              <a16:creationId xmlns:a16="http://schemas.microsoft.com/office/drawing/2014/main" id="{EEE94F35-55EA-4D80-A378-D5E0EE4BC1D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237" name="AutoShape 12">
          <a:extLst>
            <a:ext uri="{FF2B5EF4-FFF2-40B4-BE49-F238E27FC236}">
              <a16:creationId xmlns:a16="http://schemas.microsoft.com/office/drawing/2014/main" id="{1B76E75E-381D-4411-8D50-408B6B04BF0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238" name="AutoShape 12">
          <a:extLst>
            <a:ext uri="{FF2B5EF4-FFF2-40B4-BE49-F238E27FC236}">
              <a16:creationId xmlns:a16="http://schemas.microsoft.com/office/drawing/2014/main" id="{894F6C0A-82EF-415E-A22D-242F1A9DA25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239" name="AutoShape 12">
          <a:extLst>
            <a:ext uri="{FF2B5EF4-FFF2-40B4-BE49-F238E27FC236}">
              <a16:creationId xmlns:a16="http://schemas.microsoft.com/office/drawing/2014/main" id="{6FC99365-3ED4-4477-9608-173DF0814CA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240" name="AutoShape 12">
          <a:extLst>
            <a:ext uri="{FF2B5EF4-FFF2-40B4-BE49-F238E27FC236}">
              <a16:creationId xmlns:a16="http://schemas.microsoft.com/office/drawing/2014/main" id="{5EC7A9E8-81DD-4B7E-B88E-B227AE3653B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241" name="AutoShape 12">
          <a:extLst>
            <a:ext uri="{FF2B5EF4-FFF2-40B4-BE49-F238E27FC236}">
              <a16:creationId xmlns:a16="http://schemas.microsoft.com/office/drawing/2014/main" id="{C47B49D6-243D-45E2-BF77-82AF2A594EF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242" name="AutoShape 12">
          <a:extLst>
            <a:ext uri="{FF2B5EF4-FFF2-40B4-BE49-F238E27FC236}">
              <a16:creationId xmlns:a16="http://schemas.microsoft.com/office/drawing/2014/main" id="{F8E3AB6A-6E98-439C-A21A-4F92F28073A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243" name="AutoShape 12">
          <a:extLst>
            <a:ext uri="{FF2B5EF4-FFF2-40B4-BE49-F238E27FC236}">
              <a16:creationId xmlns:a16="http://schemas.microsoft.com/office/drawing/2014/main" id="{FE1561AB-EB36-4690-AB1A-2ACB9770A00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244" name="AutoShape 12">
          <a:extLst>
            <a:ext uri="{FF2B5EF4-FFF2-40B4-BE49-F238E27FC236}">
              <a16:creationId xmlns:a16="http://schemas.microsoft.com/office/drawing/2014/main" id="{FD1453E4-2547-40D7-BF23-EC8E7DBB8B0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245" name="AutoShape 12">
          <a:extLst>
            <a:ext uri="{FF2B5EF4-FFF2-40B4-BE49-F238E27FC236}">
              <a16:creationId xmlns:a16="http://schemas.microsoft.com/office/drawing/2014/main" id="{8FE5078D-9398-4E58-B827-DF7A82F6C32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246" name="AutoShape 12">
          <a:extLst>
            <a:ext uri="{FF2B5EF4-FFF2-40B4-BE49-F238E27FC236}">
              <a16:creationId xmlns:a16="http://schemas.microsoft.com/office/drawing/2014/main" id="{00126F02-D28F-4A60-AE7F-C95F87E2918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247" name="AutoShape 12">
          <a:extLst>
            <a:ext uri="{FF2B5EF4-FFF2-40B4-BE49-F238E27FC236}">
              <a16:creationId xmlns:a16="http://schemas.microsoft.com/office/drawing/2014/main" id="{F5A70138-C5CB-4CE3-A20E-FC7CE2BB113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248" name="AutoShape 12">
          <a:extLst>
            <a:ext uri="{FF2B5EF4-FFF2-40B4-BE49-F238E27FC236}">
              <a16:creationId xmlns:a16="http://schemas.microsoft.com/office/drawing/2014/main" id="{E669E7EC-2748-4DBC-A498-3236D3A4EC1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249" name="AutoShape 12">
          <a:extLst>
            <a:ext uri="{FF2B5EF4-FFF2-40B4-BE49-F238E27FC236}">
              <a16:creationId xmlns:a16="http://schemas.microsoft.com/office/drawing/2014/main" id="{CA5E26CB-3E05-4DA2-80EC-512A5EF3BE4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250" name="AutoShape 12">
          <a:extLst>
            <a:ext uri="{FF2B5EF4-FFF2-40B4-BE49-F238E27FC236}">
              <a16:creationId xmlns:a16="http://schemas.microsoft.com/office/drawing/2014/main" id="{C64849F2-51D6-4D77-850D-BDA0F855EAB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251" name="AutoShape 12">
          <a:extLst>
            <a:ext uri="{FF2B5EF4-FFF2-40B4-BE49-F238E27FC236}">
              <a16:creationId xmlns:a16="http://schemas.microsoft.com/office/drawing/2014/main" id="{867B6E49-2B8D-43D2-8E14-7271D35109C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252" name="AutoShape 12">
          <a:extLst>
            <a:ext uri="{FF2B5EF4-FFF2-40B4-BE49-F238E27FC236}">
              <a16:creationId xmlns:a16="http://schemas.microsoft.com/office/drawing/2014/main" id="{6E6E698E-167D-4BCA-81C4-D0FA868290F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253" name="AutoShape 12">
          <a:extLst>
            <a:ext uri="{FF2B5EF4-FFF2-40B4-BE49-F238E27FC236}">
              <a16:creationId xmlns:a16="http://schemas.microsoft.com/office/drawing/2014/main" id="{CD8FF202-8890-414E-9E52-D19779637F4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254" name="AutoShape 12">
          <a:extLst>
            <a:ext uri="{FF2B5EF4-FFF2-40B4-BE49-F238E27FC236}">
              <a16:creationId xmlns:a16="http://schemas.microsoft.com/office/drawing/2014/main" id="{54179418-A4BB-43E9-83B0-E14CAE17753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255" name="AutoShape 12">
          <a:extLst>
            <a:ext uri="{FF2B5EF4-FFF2-40B4-BE49-F238E27FC236}">
              <a16:creationId xmlns:a16="http://schemas.microsoft.com/office/drawing/2014/main" id="{FF69445F-DFBF-4161-B808-C6793FF402E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256" name="AutoShape 12">
          <a:extLst>
            <a:ext uri="{FF2B5EF4-FFF2-40B4-BE49-F238E27FC236}">
              <a16:creationId xmlns:a16="http://schemas.microsoft.com/office/drawing/2014/main" id="{FA96D12D-F107-4DED-A3F1-2B800E60B6F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257" name="AutoShape 12">
          <a:extLst>
            <a:ext uri="{FF2B5EF4-FFF2-40B4-BE49-F238E27FC236}">
              <a16:creationId xmlns:a16="http://schemas.microsoft.com/office/drawing/2014/main" id="{4C01FCFF-B642-49F7-BDA7-0078BB35E37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258" name="AutoShape 12">
          <a:extLst>
            <a:ext uri="{FF2B5EF4-FFF2-40B4-BE49-F238E27FC236}">
              <a16:creationId xmlns:a16="http://schemas.microsoft.com/office/drawing/2014/main" id="{E61571BF-FBE1-401A-9131-2DF5474B401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259" name="AutoShape 12">
          <a:extLst>
            <a:ext uri="{FF2B5EF4-FFF2-40B4-BE49-F238E27FC236}">
              <a16:creationId xmlns:a16="http://schemas.microsoft.com/office/drawing/2014/main" id="{EE6B2D2C-3309-4686-A597-EE25FDA3141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260" name="AutoShape 12">
          <a:extLst>
            <a:ext uri="{FF2B5EF4-FFF2-40B4-BE49-F238E27FC236}">
              <a16:creationId xmlns:a16="http://schemas.microsoft.com/office/drawing/2014/main" id="{CB1FD80D-9ABD-451B-BC41-7DFF10E1EE3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261" name="AutoShape 12">
          <a:extLst>
            <a:ext uri="{FF2B5EF4-FFF2-40B4-BE49-F238E27FC236}">
              <a16:creationId xmlns:a16="http://schemas.microsoft.com/office/drawing/2014/main" id="{F322E834-891B-4ABE-AD9B-B513A27AF9C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262" name="AutoShape 12">
          <a:extLst>
            <a:ext uri="{FF2B5EF4-FFF2-40B4-BE49-F238E27FC236}">
              <a16:creationId xmlns:a16="http://schemas.microsoft.com/office/drawing/2014/main" id="{F73BD5D7-7E94-414A-8D2B-1D3781CE66C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263" name="AutoShape 12">
          <a:extLst>
            <a:ext uri="{FF2B5EF4-FFF2-40B4-BE49-F238E27FC236}">
              <a16:creationId xmlns:a16="http://schemas.microsoft.com/office/drawing/2014/main" id="{6935F737-8C31-4710-8AFB-504DEA2E9B3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264" name="AutoShape 12">
          <a:extLst>
            <a:ext uri="{FF2B5EF4-FFF2-40B4-BE49-F238E27FC236}">
              <a16:creationId xmlns:a16="http://schemas.microsoft.com/office/drawing/2014/main" id="{1EF5A574-5CE0-4A68-AF44-E29145ED788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265" name="AutoShape 12">
          <a:extLst>
            <a:ext uri="{FF2B5EF4-FFF2-40B4-BE49-F238E27FC236}">
              <a16:creationId xmlns:a16="http://schemas.microsoft.com/office/drawing/2014/main" id="{FBC3AD3B-93D9-40DE-AA32-80D217BCD7E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266" name="AutoShape 12">
          <a:extLst>
            <a:ext uri="{FF2B5EF4-FFF2-40B4-BE49-F238E27FC236}">
              <a16:creationId xmlns:a16="http://schemas.microsoft.com/office/drawing/2014/main" id="{157F74B1-B0F2-4026-BD55-8F7FCE97107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267" name="AutoShape 12">
          <a:extLst>
            <a:ext uri="{FF2B5EF4-FFF2-40B4-BE49-F238E27FC236}">
              <a16:creationId xmlns:a16="http://schemas.microsoft.com/office/drawing/2014/main" id="{6504AE4F-4AE3-4DD3-9022-721164794CB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268" name="AutoShape 12">
          <a:extLst>
            <a:ext uri="{FF2B5EF4-FFF2-40B4-BE49-F238E27FC236}">
              <a16:creationId xmlns:a16="http://schemas.microsoft.com/office/drawing/2014/main" id="{20B075E7-8DEE-4506-8FB3-6F6D9F79A37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269" name="AutoShape 12">
          <a:extLst>
            <a:ext uri="{FF2B5EF4-FFF2-40B4-BE49-F238E27FC236}">
              <a16:creationId xmlns:a16="http://schemas.microsoft.com/office/drawing/2014/main" id="{03A0024B-EB0B-4F65-ABED-EC8C79795FE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270" name="AutoShape 12">
          <a:extLst>
            <a:ext uri="{FF2B5EF4-FFF2-40B4-BE49-F238E27FC236}">
              <a16:creationId xmlns:a16="http://schemas.microsoft.com/office/drawing/2014/main" id="{61DC63B6-962B-4F7E-AAFE-D1BBC982FC6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271" name="AutoShape 12">
          <a:extLst>
            <a:ext uri="{FF2B5EF4-FFF2-40B4-BE49-F238E27FC236}">
              <a16:creationId xmlns:a16="http://schemas.microsoft.com/office/drawing/2014/main" id="{B4F06422-BA5C-413C-ACF7-BED61A4C33A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272" name="AutoShape 12">
          <a:extLst>
            <a:ext uri="{FF2B5EF4-FFF2-40B4-BE49-F238E27FC236}">
              <a16:creationId xmlns:a16="http://schemas.microsoft.com/office/drawing/2014/main" id="{8AE95DD1-B60E-45D6-B47D-D14221CBAF1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273" name="AutoShape 12">
          <a:extLst>
            <a:ext uri="{FF2B5EF4-FFF2-40B4-BE49-F238E27FC236}">
              <a16:creationId xmlns:a16="http://schemas.microsoft.com/office/drawing/2014/main" id="{A9798E61-75A8-4185-91A8-EA6F5DFDB1C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274" name="AutoShape 12">
          <a:extLst>
            <a:ext uri="{FF2B5EF4-FFF2-40B4-BE49-F238E27FC236}">
              <a16:creationId xmlns:a16="http://schemas.microsoft.com/office/drawing/2014/main" id="{1476EA9A-2B25-4F9C-B29A-7782D112D14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275" name="AutoShape 12">
          <a:extLst>
            <a:ext uri="{FF2B5EF4-FFF2-40B4-BE49-F238E27FC236}">
              <a16:creationId xmlns:a16="http://schemas.microsoft.com/office/drawing/2014/main" id="{33C118F3-9C38-4D8C-BE0D-FFB824424AA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276" name="AutoShape 12">
          <a:extLst>
            <a:ext uri="{FF2B5EF4-FFF2-40B4-BE49-F238E27FC236}">
              <a16:creationId xmlns:a16="http://schemas.microsoft.com/office/drawing/2014/main" id="{F2DBDC68-00F6-4943-B7EA-F4F2888229D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277" name="AutoShape 12">
          <a:extLst>
            <a:ext uri="{FF2B5EF4-FFF2-40B4-BE49-F238E27FC236}">
              <a16:creationId xmlns:a16="http://schemas.microsoft.com/office/drawing/2014/main" id="{062E43F6-673C-4325-B582-41698E020D6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278" name="AutoShape 12">
          <a:extLst>
            <a:ext uri="{FF2B5EF4-FFF2-40B4-BE49-F238E27FC236}">
              <a16:creationId xmlns:a16="http://schemas.microsoft.com/office/drawing/2014/main" id="{4ED577A6-191D-448C-A42A-8C816B3BD58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279" name="AutoShape 12">
          <a:extLst>
            <a:ext uri="{FF2B5EF4-FFF2-40B4-BE49-F238E27FC236}">
              <a16:creationId xmlns:a16="http://schemas.microsoft.com/office/drawing/2014/main" id="{DD38BDCE-EEEC-42B1-A72D-0E955A8037D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280" name="AutoShape 12">
          <a:extLst>
            <a:ext uri="{FF2B5EF4-FFF2-40B4-BE49-F238E27FC236}">
              <a16:creationId xmlns:a16="http://schemas.microsoft.com/office/drawing/2014/main" id="{97EC0B3D-6CD9-4817-AB08-2C8D1783478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281" name="AutoShape 12">
          <a:extLst>
            <a:ext uri="{FF2B5EF4-FFF2-40B4-BE49-F238E27FC236}">
              <a16:creationId xmlns:a16="http://schemas.microsoft.com/office/drawing/2014/main" id="{FBB17652-273E-45C5-9692-5D8584DAAD1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282" name="AutoShape 12">
          <a:extLst>
            <a:ext uri="{FF2B5EF4-FFF2-40B4-BE49-F238E27FC236}">
              <a16:creationId xmlns:a16="http://schemas.microsoft.com/office/drawing/2014/main" id="{1BD1254B-6565-4404-8D98-E6462A3EA38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283" name="AutoShape 12">
          <a:extLst>
            <a:ext uri="{FF2B5EF4-FFF2-40B4-BE49-F238E27FC236}">
              <a16:creationId xmlns:a16="http://schemas.microsoft.com/office/drawing/2014/main" id="{5E26476A-5D21-4329-9B89-E35355D0521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284" name="AutoShape 12">
          <a:extLst>
            <a:ext uri="{FF2B5EF4-FFF2-40B4-BE49-F238E27FC236}">
              <a16:creationId xmlns:a16="http://schemas.microsoft.com/office/drawing/2014/main" id="{E13D793F-007A-4C6F-AE97-8D3293947BE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285" name="AutoShape 12">
          <a:extLst>
            <a:ext uri="{FF2B5EF4-FFF2-40B4-BE49-F238E27FC236}">
              <a16:creationId xmlns:a16="http://schemas.microsoft.com/office/drawing/2014/main" id="{FA284523-FFFD-46A8-BCE2-A84FEB6A98A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286" name="AutoShape 12">
          <a:extLst>
            <a:ext uri="{FF2B5EF4-FFF2-40B4-BE49-F238E27FC236}">
              <a16:creationId xmlns:a16="http://schemas.microsoft.com/office/drawing/2014/main" id="{909CC70A-8EC0-4C00-8313-589B8DEA414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287" name="AutoShape 12">
          <a:extLst>
            <a:ext uri="{FF2B5EF4-FFF2-40B4-BE49-F238E27FC236}">
              <a16:creationId xmlns:a16="http://schemas.microsoft.com/office/drawing/2014/main" id="{74CAAD4F-FD7E-48FE-9378-244C2789D7C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288" name="AutoShape 12">
          <a:extLst>
            <a:ext uri="{FF2B5EF4-FFF2-40B4-BE49-F238E27FC236}">
              <a16:creationId xmlns:a16="http://schemas.microsoft.com/office/drawing/2014/main" id="{70FA0B17-157C-4C23-BD91-FDBEC2EE38E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289" name="AutoShape 12">
          <a:extLst>
            <a:ext uri="{FF2B5EF4-FFF2-40B4-BE49-F238E27FC236}">
              <a16:creationId xmlns:a16="http://schemas.microsoft.com/office/drawing/2014/main" id="{38FF16A4-D030-43DC-8C3E-543E48BAEB4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290" name="AutoShape 12">
          <a:extLst>
            <a:ext uri="{FF2B5EF4-FFF2-40B4-BE49-F238E27FC236}">
              <a16:creationId xmlns:a16="http://schemas.microsoft.com/office/drawing/2014/main" id="{00115801-A3BE-485F-BF05-E4C8489F578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291" name="AutoShape 12">
          <a:extLst>
            <a:ext uri="{FF2B5EF4-FFF2-40B4-BE49-F238E27FC236}">
              <a16:creationId xmlns:a16="http://schemas.microsoft.com/office/drawing/2014/main" id="{746CACB9-D11E-41DF-BCE6-0454F5FD6F6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292" name="AutoShape 12">
          <a:extLst>
            <a:ext uri="{FF2B5EF4-FFF2-40B4-BE49-F238E27FC236}">
              <a16:creationId xmlns:a16="http://schemas.microsoft.com/office/drawing/2014/main" id="{C575997B-0458-4952-8057-2F6E740AD8D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1069</xdr:row>
      <xdr:rowOff>0</xdr:rowOff>
    </xdr:from>
    <xdr:ext cx="304800" cy="304094"/>
    <xdr:sp macro="" textlink="">
      <xdr:nvSpPr>
        <xdr:cNvPr id="10293" name="AutoShape 12">
          <a:extLst>
            <a:ext uri="{FF2B5EF4-FFF2-40B4-BE49-F238E27FC236}">
              <a16:creationId xmlns:a16="http://schemas.microsoft.com/office/drawing/2014/main" id="{21789029-EEF9-4A73-AE20-F3183F015E5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294" name="AutoShape 12">
          <a:extLst>
            <a:ext uri="{FF2B5EF4-FFF2-40B4-BE49-F238E27FC236}">
              <a16:creationId xmlns:a16="http://schemas.microsoft.com/office/drawing/2014/main" id="{0E917009-E2C3-4207-8FAD-B9599042391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295" name="AutoShape 12">
          <a:extLst>
            <a:ext uri="{FF2B5EF4-FFF2-40B4-BE49-F238E27FC236}">
              <a16:creationId xmlns:a16="http://schemas.microsoft.com/office/drawing/2014/main" id="{63FF0FF9-B68F-4700-8B63-4452098A331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296" name="AutoShape 12">
          <a:extLst>
            <a:ext uri="{FF2B5EF4-FFF2-40B4-BE49-F238E27FC236}">
              <a16:creationId xmlns:a16="http://schemas.microsoft.com/office/drawing/2014/main" id="{42E29FF2-522D-4330-B877-2B6A700F95F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297" name="AutoShape 12">
          <a:extLst>
            <a:ext uri="{FF2B5EF4-FFF2-40B4-BE49-F238E27FC236}">
              <a16:creationId xmlns:a16="http://schemas.microsoft.com/office/drawing/2014/main" id="{F8AC6264-B480-4605-A7B4-3D804CCB085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298" name="AutoShape 12">
          <a:extLst>
            <a:ext uri="{FF2B5EF4-FFF2-40B4-BE49-F238E27FC236}">
              <a16:creationId xmlns:a16="http://schemas.microsoft.com/office/drawing/2014/main" id="{E2F9D610-B394-42EA-8EFD-6DA886AAAAC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299" name="AutoShape 12">
          <a:extLst>
            <a:ext uri="{FF2B5EF4-FFF2-40B4-BE49-F238E27FC236}">
              <a16:creationId xmlns:a16="http://schemas.microsoft.com/office/drawing/2014/main" id="{5702C164-40A2-40FA-80E8-3AEEB100DA6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300" name="AutoShape 12">
          <a:extLst>
            <a:ext uri="{FF2B5EF4-FFF2-40B4-BE49-F238E27FC236}">
              <a16:creationId xmlns:a16="http://schemas.microsoft.com/office/drawing/2014/main" id="{D2670D33-D570-4804-9819-DDDE28249E6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301" name="AutoShape 12">
          <a:extLst>
            <a:ext uri="{FF2B5EF4-FFF2-40B4-BE49-F238E27FC236}">
              <a16:creationId xmlns:a16="http://schemas.microsoft.com/office/drawing/2014/main" id="{2E797D8B-6523-4C8C-9BD8-C5760911F6A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302" name="AutoShape 12">
          <a:extLst>
            <a:ext uri="{FF2B5EF4-FFF2-40B4-BE49-F238E27FC236}">
              <a16:creationId xmlns:a16="http://schemas.microsoft.com/office/drawing/2014/main" id="{6C2A3BEC-A693-4F11-A540-87EA3985EF5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303" name="AutoShape 12">
          <a:extLst>
            <a:ext uri="{FF2B5EF4-FFF2-40B4-BE49-F238E27FC236}">
              <a16:creationId xmlns:a16="http://schemas.microsoft.com/office/drawing/2014/main" id="{51D905B4-1885-408D-BF92-6F622E5BDF6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304" name="AutoShape 12">
          <a:extLst>
            <a:ext uri="{FF2B5EF4-FFF2-40B4-BE49-F238E27FC236}">
              <a16:creationId xmlns:a16="http://schemas.microsoft.com/office/drawing/2014/main" id="{C5F7D793-1F33-4BDA-B2E7-D8DBCFD890B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305" name="AutoShape 12">
          <a:extLst>
            <a:ext uri="{FF2B5EF4-FFF2-40B4-BE49-F238E27FC236}">
              <a16:creationId xmlns:a16="http://schemas.microsoft.com/office/drawing/2014/main" id="{0EE3C6C7-172C-41DF-A478-BAF342817A5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306" name="AutoShape 12">
          <a:extLst>
            <a:ext uri="{FF2B5EF4-FFF2-40B4-BE49-F238E27FC236}">
              <a16:creationId xmlns:a16="http://schemas.microsoft.com/office/drawing/2014/main" id="{1EB7AE9D-59E8-4516-B036-C4FE66A4FFD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307" name="AutoShape 12">
          <a:extLst>
            <a:ext uri="{FF2B5EF4-FFF2-40B4-BE49-F238E27FC236}">
              <a16:creationId xmlns:a16="http://schemas.microsoft.com/office/drawing/2014/main" id="{1B0B4B1E-BA09-45B4-95DF-D089D0A92F8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308" name="AutoShape 12">
          <a:extLst>
            <a:ext uri="{FF2B5EF4-FFF2-40B4-BE49-F238E27FC236}">
              <a16:creationId xmlns:a16="http://schemas.microsoft.com/office/drawing/2014/main" id="{644493CD-48C1-4F5A-B1FE-4382986CFEC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309" name="AutoShape 12">
          <a:extLst>
            <a:ext uri="{FF2B5EF4-FFF2-40B4-BE49-F238E27FC236}">
              <a16:creationId xmlns:a16="http://schemas.microsoft.com/office/drawing/2014/main" id="{B92D33F3-0F29-4382-998F-5866078897E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310" name="AutoShape 12">
          <a:extLst>
            <a:ext uri="{FF2B5EF4-FFF2-40B4-BE49-F238E27FC236}">
              <a16:creationId xmlns:a16="http://schemas.microsoft.com/office/drawing/2014/main" id="{32A288A7-DC6B-47B4-911C-44D4EF508BD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311" name="AutoShape 12">
          <a:extLst>
            <a:ext uri="{FF2B5EF4-FFF2-40B4-BE49-F238E27FC236}">
              <a16:creationId xmlns:a16="http://schemas.microsoft.com/office/drawing/2014/main" id="{17032E26-3FE4-4334-9ED9-7474328489F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312" name="AutoShape 12">
          <a:extLst>
            <a:ext uri="{FF2B5EF4-FFF2-40B4-BE49-F238E27FC236}">
              <a16:creationId xmlns:a16="http://schemas.microsoft.com/office/drawing/2014/main" id="{1E156929-3EC7-4464-9214-A2C19ADFFAA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313" name="AutoShape 12">
          <a:extLst>
            <a:ext uri="{FF2B5EF4-FFF2-40B4-BE49-F238E27FC236}">
              <a16:creationId xmlns:a16="http://schemas.microsoft.com/office/drawing/2014/main" id="{8DD0C19D-2DFF-4050-9508-9CA668FAEF8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314" name="AutoShape 12">
          <a:extLst>
            <a:ext uri="{FF2B5EF4-FFF2-40B4-BE49-F238E27FC236}">
              <a16:creationId xmlns:a16="http://schemas.microsoft.com/office/drawing/2014/main" id="{AADC76DC-86AA-421A-BFE1-589C49D1E33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315" name="AutoShape 12">
          <a:extLst>
            <a:ext uri="{FF2B5EF4-FFF2-40B4-BE49-F238E27FC236}">
              <a16:creationId xmlns:a16="http://schemas.microsoft.com/office/drawing/2014/main" id="{3FABE57A-CACF-497A-822E-7DA15AC9BD0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316" name="AutoShape 12">
          <a:extLst>
            <a:ext uri="{FF2B5EF4-FFF2-40B4-BE49-F238E27FC236}">
              <a16:creationId xmlns:a16="http://schemas.microsoft.com/office/drawing/2014/main" id="{E44019FC-8DC4-4C89-95F8-B3B4EB5E6C8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317" name="AutoShape 12">
          <a:extLst>
            <a:ext uri="{FF2B5EF4-FFF2-40B4-BE49-F238E27FC236}">
              <a16:creationId xmlns:a16="http://schemas.microsoft.com/office/drawing/2014/main" id="{CDC7A051-2102-40A8-8B6B-BBF72C4CF33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318" name="AutoShape 12">
          <a:extLst>
            <a:ext uri="{FF2B5EF4-FFF2-40B4-BE49-F238E27FC236}">
              <a16:creationId xmlns:a16="http://schemas.microsoft.com/office/drawing/2014/main" id="{97C55CB7-4137-4CF1-B329-677F4A38B4C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319" name="AutoShape 12">
          <a:extLst>
            <a:ext uri="{FF2B5EF4-FFF2-40B4-BE49-F238E27FC236}">
              <a16:creationId xmlns:a16="http://schemas.microsoft.com/office/drawing/2014/main" id="{7808B84E-1A15-48D9-809C-31E50A15017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320" name="AutoShape 12">
          <a:extLst>
            <a:ext uri="{FF2B5EF4-FFF2-40B4-BE49-F238E27FC236}">
              <a16:creationId xmlns:a16="http://schemas.microsoft.com/office/drawing/2014/main" id="{D0130AAB-BD05-4431-A461-E8F52A3EE31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321" name="AutoShape 12">
          <a:extLst>
            <a:ext uri="{FF2B5EF4-FFF2-40B4-BE49-F238E27FC236}">
              <a16:creationId xmlns:a16="http://schemas.microsoft.com/office/drawing/2014/main" id="{40BC5F13-B7D7-4067-9EFB-8C18493C10B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322" name="AutoShape 12">
          <a:extLst>
            <a:ext uri="{FF2B5EF4-FFF2-40B4-BE49-F238E27FC236}">
              <a16:creationId xmlns:a16="http://schemas.microsoft.com/office/drawing/2014/main" id="{CCF596CA-F751-4EBF-A8C8-A196DA2DE47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323" name="AutoShape 12">
          <a:extLst>
            <a:ext uri="{FF2B5EF4-FFF2-40B4-BE49-F238E27FC236}">
              <a16:creationId xmlns:a16="http://schemas.microsoft.com/office/drawing/2014/main" id="{C3B396F4-4FAF-4F68-B503-D3C0E6826E4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324" name="AutoShape 12">
          <a:extLst>
            <a:ext uri="{FF2B5EF4-FFF2-40B4-BE49-F238E27FC236}">
              <a16:creationId xmlns:a16="http://schemas.microsoft.com/office/drawing/2014/main" id="{14286470-6116-4AE6-A939-25F4A0A4F6B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325" name="AutoShape 12">
          <a:extLst>
            <a:ext uri="{FF2B5EF4-FFF2-40B4-BE49-F238E27FC236}">
              <a16:creationId xmlns:a16="http://schemas.microsoft.com/office/drawing/2014/main" id="{3E2C3713-C79F-4789-8731-8C366AA28D4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326" name="AutoShape 12">
          <a:extLst>
            <a:ext uri="{FF2B5EF4-FFF2-40B4-BE49-F238E27FC236}">
              <a16:creationId xmlns:a16="http://schemas.microsoft.com/office/drawing/2014/main" id="{FF9F1A3A-6B0F-42A7-AC8E-006E7766073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327" name="AutoShape 12">
          <a:extLst>
            <a:ext uri="{FF2B5EF4-FFF2-40B4-BE49-F238E27FC236}">
              <a16:creationId xmlns:a16="http://schemas.microsoft.com/office/drawing/2014/main" id="{CBE0C4E6-ADF1-45B3-85AB-8DD343786A3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328" name="AutoShape 12">
          <a:extLst>
            <a:ext uri="{FF2B5EF4-FFF2-40B4-BE49-F238E27FC236}">
              <a16:creationId xmlns:a16="http://schemas.microsoft.com/office/drawing/2014/main" id="{381B4DCB-6372-4859-90B4-D842A0048E6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329" name="AutoShape 12">
          <a:extLst>
            <a:ext uri="{FF2B5EF4-FFF2-40B4-BE49-F238E27FC236}">
              <a16:creationId xmlns:a16="http://schemas.microsoft.com/office/drawing/2014/main" id="{5A1579A5-D95A-4688-AE19-8ACBAE132C5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330" name="AutoShape 12">
          <a:extLst>
            <a:ext uri="{FF2B5EF4-FFF2-40B4-BE49-F238E27FC236}">
              <a16:creationId xmlns:a16="http://schemas.microsoft.com/office/drawing/2014/main" id="{D04C9748-B0A9-4AFA-ABC2-E51722ED4AE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331" name="AutoShape 12">
          <a:extLst>
            <a:ext uri="{FF2B5EF4-FFF2-40B4-BE49-F238E27FC236}">
              <a16:creationId xmlns:a16="http://schemas.microsoft.com/office/drawing/2014/main" id="{84EE4971-06BE-4934-B42D-1DEDA0FEEB9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332" name="AutoShape 12">
          <a:extLst>
            <a:ext uri="{FF2B5EF4-FFF2-40B4-BE49-F238E27FC236}">
              <a16:creationId xmlns:a16="http://schemas.microsoft.com/office/drawing/2014/main" id="{7AFCCECF-CEEF-4684-8ECF-4C63E6E86F6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333" name="AutoShape 12">
          <a:extLst>
            <a:ext uri="{FF2B5EF4-FFF2-40B4-BE49-F238E27FC236}">
              <a16:creationId xmlns:a16="http://schemas.microsoft.com/office/drawing/2014/main" id="{0BACE1F3-468A-4DBD-A435-C7B253B0E53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334" name="AutoShape 12">
          <a:extLst>
            <a:ext uri="{FF2B5EF4-FFF2-40B4-BE49-F238E27FC236}">
              <a16:creationId xmlns:a16="http://schemas.microsoft.com/office/drawing/2014/main" id="{A9502AEB-8C67-4D3D-9785-BBF7242A436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335" name="AutoShape 12">
          <a:extLst>
            <a:ext uri="{FF2B5EF4-FFF2-40B4-BE49-F238E27FC236}">
              <a16:creationId xmlns:a16="http://schemas.microsoft.com/office/drawing/2014/main" id="{6C96C1E0-2BB8-449C-8F30-52CD0A14771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336" name="AutoShape 12">
          <a:extLst>
            <a:ext uri="{FF2B5EF4-FFF2-40B4-BE49-F238E27FC236}">
              <a16:creationId xmlns:a16="http://schemas.microsoft.com/office/drawing/2014/main" id="{FFF619CE-00A7-4725-8477-310412BB49E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337" name="AutoShape 12">
          <a:extLst>
            <a:ext uri="{FF2B5EF4-FFF2-40B4-BE49-F238E27FC236}">
              <a16:creationId xmlns:a16="http://schemas.microsoft.com/office/drawing/2014/main" id="{50773BEC-14BB-4E0E-BE9C-8EDFCC50F75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338" name="AutoShape 12">
          <a:extLst>
            <a:ext uri="{FF2B5EF4-FFF2-40B4-BE49-F238E27FC236}">
              <a16:creationId xmlns:a16="http://schemas.microsoft.com/office/drawing/2014/main" id="{39F3F5DD-63F3-4DC9-8B20-E2FAAF5903A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339" name="AutoShape 12">
          <a:extLst>
            <a:ext uri="{FF2B5EF4-FFF2-40B4-BE49-F238E27FC236}">
              <a16:creationId xmlns:a16="http://schemas.microsoft.com/office/drawing/2014/main" id="{89F6EC89-0A33-4A41-B465-F60553C5A93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340" name="AutoShape 12">
          <a:extLst>
            <a:ext uri="{FF2B5EF4-FFF2-40B4-BE49-F238E27FC236}">
              <a16:creationId xmlns:a16="http://schemas.microsoft.com/office/drawing/2014/main" id="{A626E8F8-7293-4111-BF70-E5F01E3FAF3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341" name="AutoShape 12">
          <a:extLst>
            <a:ext uri="{FF2B5EF4-FFF2-40B4-BE49-F238E27FC236}">
              <a16:creationId xmlns:a16="http://schemas.microsoft.com/office/drawing/2014/main" id="{F42307FB-FEAF-4F40-AF9B-C1230A203B9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342" name="AutoShape 12">
          <a:extLst>
            <a:ext uri="{FF2B5EF4-FFF2-40B4-BE49-F238E27FC236}">
              <a16:creationId xmlns:a16="http://schemas.microsoft.com/office/drawing/2014/main" id="{5EFF707F-E1A5-4668-AE10-D03336DD092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343" name="AutoShape 12">
          <a:extLst>
            <a:ext uri="{FF2B5EF4-FFF2-40B4-BE49-F238E27FC236}">
              <a16:creationId xmlns:a16="http://schemas.microsoft.com/office/drawing/2014/main" id="{F340E580-BF19-4B91-9E3D-F8F51816A04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344" name="AutoShape 12">
          <a:extLst>
            <a:ext uri="{FF2B5EF4-FFF2-40B4-BE49-F238E27FC236}">
              <a16:creationId xmlns:a16="http://schemas.microsoft.com/office/drawing/2014/main" id="{C441872A-5928-4818-943C-3CE03BDFE6B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345" name="AutoShape 12">
          <a:extLst>
            <a:ext uri="{FF2B5EF4-FFF2-40B4-BE49-F238E27FC236}">
              <a16:creationId xmlns:a16="http://schemas.microsoft.com/office/drawing/2014/main" id="{54BE2AC6-6452-4944-9F1A-B8F53F95E74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346" name="AutoShape 12">
          <a:extLst>
            <a:ext uri="{FF2B5EF4-FFF2-40B4-BE49-F238E27FC236}">
              <a16:creationId xmlns:a16="http://schemas.microsoft.com/office/drawing/2014/main" id="{1DE512AD-A115-43AA-92DC-D6E33D191CF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347" name="AutoShape 12">
          <a:extLst>
            <a:ext uri="{FF2B5EF4-FFF2-40B4-BE49-F238E27FC236}">
              <a16:creationId xmlns:a16="http://schemas.microsoft.com/office/drawing/2014/main" id="{8D0DBB1D-BEC8-43EA-9382-67BD26768D6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348" name="AutoShape 12">
          <a:extLst>
            <a:ext uri="{FF2B5EF4-FFF2-40B4-BE49-F238E27FC236}">
              <a16:creationId xmlns:a16="http://schemas.microsoft.com/office/drawing/2014/main" id="{87846CC3-EE1A-4716-8465-576D06AE6FD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349" name="AutoShape 12">
          <a:extLst>
            <a:ext uri="{FF2B5EF4-FFF2-40B4-BE49-F238E27FC236}">
              <a16:creationId xmlns:a16="http://schemas.microsoft.com/office/drawing/2014/main" id="{CBE9731C-78EE-4D5B-A553-2F564B15D95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350" name="AutoShape 12">
          <a:extLst>
            <a:ext uri="{FF2B5EF4-FFF2-40B4-BE49-F238E27FC236}">
              <a16:creationId xmlns:a16="http://schemas.microsoft.com/office/drawing/2014/main" id="{588D6AD2-91CB-47D4-AEAE-211EFA3D92C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351" name="AutoShape 12">
          <a:extLst>
            <a:ext uri="{FF2B5EF4-FFF2-40B4-BE49-F238E27FC236}">
              <a16:creationId xmlns:a16="http://schemas.microsoft.com/office/drawing/2014/main" id="{2602AC91-4481-43D7-989F-491D2CB5C5C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352" name="AutoShape 12">
          <a:extLst>
            <a:ext uri="{FF2B5EF4-FFF2-40B4-BE49-F238E27FC236}">
              <a16:creationId xmlns:a16="http://schemas.microsoft.com/office/drawing/2014/main" id="{FA8C77A6-1067-40DF-99CB-F1172F56507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353" name="AutoShape 12">
          <a:extLst>
            <a:ext uri="{FF2B5EF4-FFF2-40B4-BE49-F238E27FC236}">
              <a16:creationId xmlns:a16="http://schemas.microsoft.com/office/drawing/2014/main" id="{2D3968E4-85A3-40F0-A99C-A85B2D8AC7A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354" name="AutoShape 12">
          <a:extLst>
            <a:ext uri="{FF2B5EF4-FFF2-40B4-BE49-F238E27FC236}">
              <a16:creationId xmlns:a16="http://schemas.microsoft.com/office/drawing/2014/main" id="{EF4184C2-202D-4B6F-8EB1-3349855D64F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355" name="AutoShape 12">
          <a:extLst>
            <a:ext uri="{FF2B5EF4-FFF2-40B4-BE49-F238E27FC236}">
              <a16:creationId xmlns:a16="http://schemas.microsoft.com/office/drawing/2014/main" id="{4CA05434-3956-42AF-A9F8-73A6248B5A8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356" name="AutoShape 12">
          <a:extLst>
            <a:ext uri="{FF2B5EF4-FFF2-40B4-BE49-F238E27FC236}">
              <a16:creationId xmlns:a16="http://schemas.microsoft.com/office/drawing/2014/main" id="{6F25D941-577B-4883-9A1A-FB12D6B8A3D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357" name="AutoShape 12">
          <a:extLst>
            <a:ext uri="{FF2B5EF4-FFF2-40B4-BE49-F238E27FC236}">
              <a16:creationId xmlns:a16="http://schemas.microsoft.com/office/drawing/2014/main" id="{7ABF8259-F39B-4482-A79D-263F688B153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358" name="AutoShape 12">
          <a:extLst>
            <a:ext uri="{FF2B5EF4-FFF2-40B4-BE49-F238E27FC236}">
              <a16:creationId xmlns:a16="http://schemas.microsoft.com/office/drawing/2014/main" id="{25A904EE-88AF-45C6-B066-FF4379487A6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359" name="AutoShape 12">
          <a:extLst>
            <a:ext uri="{FF2B5EF4-FFF2-40B4-BE49-F238E27FC236}">
              <a16:creationId xmlns:a16="http://schemas.microsoft.com/office/drawing/2014/main" id="{246F4E55-2E55-4BA9-BD54-D01CB8AC14E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360" name="AutoShape 12">
          <a:extLst>
            <a:ext uri="{FF2B5EF4-FFF2-40B4-BE49-F238E27FC236}">
              <a16:creationId xmlns:a16="http://schemas.microsoft.com/office/drawing/2014/main" id="{C432D525-C7C4-42DF-9537-DE54DCF86C9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361" name="AutoShape 12">
          <a:extLst>
            <a:ext uri="{FF2B5EF4-FFF2-40B4-BE49-F238E27FC236}">
              <a16:creationId xmlns:a16="http://schemas.microsoft.com/office/drawing/2014/main" id="{7BC830F5-BE14-4818-838B-845C725EC11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362" name="AutoShape 12">
          <a:extLst>
            <a:ext uri="{FF2B5EF4-FFF2-40B4-BE49-F238E27FC236}">
              <a16:creationId xmlns:a16="http://schemas.microsoft.com/office/drawing/2014/main" id="{F2EB5C4F-6256-4B06-B6D4-B5EE93284F8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363" name="AutoShape 12">
          <a:extLst>
            <a:ext uri="{FF2B5EF4-FFF2-40B4-BE49-F238E27FC236}">
              <a16:creationId xmlns:a16="http://schemas.microsoft.com/office/drawing/2014/main" id="{60BBF072-C94F-4EC6-8B32-04394BA02E1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364" name="AutoShape 12">
          <a:extLst>
            <a:ext uri="{FF2B5EF4-FFF2-40B4-BE49-F238E27FC236}">
              <a16:creationId xmlns:a16="http://schemas.microsoft.com/office/drawing/2014/main" id="{34FDE116-BA9F-4F88-926A-65D2850E325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365" name="AutoShape 12">
          <a:extLst>
            <a:ext uri="{FF2B5EF4-FFF2-40B4-BE49-F238E27FC236}">
              <a16:creationId xmlns:a16="http://schemas.microsoft.com/office/drawing/2014/main" id="{7F28AFEF-5558-4EC2-A9C6-C4260AD271A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366" name="AutoShape 12">
          <a:extLst>
            <a:ext uri="{FF2B5EF4-FFF2-40B4-BE49-F238E27FC236}">
              <a16:creationId xmlns:a16="http://schemas.microsoft.com/office/drawing/2014/main" id="{6184E223-F6C2-4E24-8716-988B490BD1F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367" name="AutoShape 12">
          <a:extLst>
            <a:ext uri="{FF2B5EF4-FFF2-40B4-BE49-F238E27FC236}">
              <a16:creationId xmlns:a16="http://schemas.microsoft.com/office/drawing/2014/main" id="{40BED610-93F9-47BA-9439-637642A95A1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368" name="AutoShape 12">
          <a:extLst>
            <a:ext uri="{FF2B5EF4-FFF2-40B4-BE49-F238E27FC236}">
              <a16:creationId xmlns:a16="http://schemas.microsoft.com/office/drawing/2014/main" id="{0534E17D-902D-4FDF-A9AD-D882635C1BA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369" name="AutoShape 12">
          <a:extLst>
            <a:ext uri="{FF2B5EF4-FFF2-40B4-BE49-F238E27FC236}">
              <a16:creationId xmlns:a16="http://schemas.microsoft.com/office/drawing/2014/main" id="{42DF2381-60DC-4563-9BFD-D4ECF073A04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370" name="AutoShape 12">
          <a:extLst>
            <a:ext uri="{FF2B5EF4-FFF2-40B4-BE49-F238E27FC236}">
              <a16:creationId xmlns:a16="http://schemas.microsoft.com/office/drawing/2014/main" id="{3332C4AF-9C50-4B17-8166-C14DCF24E89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371" name="AutoShape 12">
          <a:extLst>
            <a:ext uri="{FF2B5EF4-FFF2-40B4-BE49-F238E27FC236}">
              <a16:creationId xmlns:a16="http://schemas.microsoft.com/office/drawing/2014/main" id="{F1FDFAAF-0EC8-4631-80AC-86D482EDE5B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372" name="AutoShape 12">
          <a:extLst>
            <a:ext uri="{FF2B5EF4-FFF2-40B4-BE49-F238E27FC236}">
              <a16:creationId xmlns:a16="http://schemas.microsoft.com/office/drawing/2014/main" id="{574F2C70-3EE8-4D7A-A199-61FB6816C71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373" name="AutoShape 12">
          <a:extLst>
            <a:ext uri="{FF2B5EF4-FFF2-40B4-BE49-F238E27FC236}">
              <a16:creationId xmlns:a16="http://schemas.microsoft.com/office/drawing/2014/main" id="{5BF97431-65E8-4F84-A280-2EB5C436072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374" name="AutoShape 12">
          <a:extLst>
            <a:ext uri="{FF2B5EF4-FFF2-40B4-BE49-F238E27FC236}">
              <a16:creationId xmlns:a16="http://schemas.microsoft.com/office/drawing/2014/main" id="{E4A0ED93-A4F7-4FE2-BD19-A0E2C074CDF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375" name="AutoShape 12">
          <a:extLst>
            <a:ext uri="{FF2B5EF4-FFF2-40B4-BE49-F238E27FC236}">
              <a16:creationId xmlns:a16="http://schemas.microsoft.com/office/drawing/2014/main" id="{634B8DA1-1F95-45D1-9E4A-2EF81549CE5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376" name="AutoShape 12">
          <a:extLst>
            <a:ext uri="{FF2B5EF4-FFF2-40B4-BE49-F238E27FC236}">
              <a16:creationId xmlns:a16="http://schemas.microsoft.com/office/drawing/2014/main" id="{4B492264-4791-42E5-9CA3-3150BDEEE63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377" name="AutoShape 12">
          <a:extLst>
            <a:ext uri="{FF2B5EF4-FFF2-40B4-BE49-F238E27FC236}">
              <a16:creationId xmlns:a16="http://schemas.microsoft.com/office/drawing/2014/main" id="{44CB7DD9-CEA0-4B7E-8DED-EABC7476CFD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378" name="AutoShape 12">
          <a:extLst>
            <a:ext uri="{FF2B5EF4-FFF2-40B4-BE49-F238E27FC236}">
              <a16:creationId xmlns:a16="http://schemas.microsoft.com/office/drawing/2014/main" id="{45AA6324-4B6D-456A-9133-75ECB25A14A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379" name="AutoShape 12">
          <a:extLst>
            <a:ext uri="{FF2B5EF4-FFF2-40B4-BE49-F238E27FC236}">
              <a16:creationId xmlns:a16="http://schemas.microsoft.com/office/drawing/2014/main" id="{27F157BF-459A-40F6-9D04-A3370743A72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380" name="AutoShape 12">
          <a:extLst>
            <a:ext uri="{FF2B5EF4-FFF2-40B4-BE49-F238E27FC236}">
              <a16:creationId xmlns:a16="http://schemas.microsoft.com/office/drawing/2014/main" id="{7E226F68-6957-4AE7-86C4-96271D6E3FF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381" name="AutoShape 12">
          <a:extLst>
            <a:ext uri="{FF2B5EF4-FFF2-40B4-BE49-F238E27FC236}">
              <a16:creationId xmlns:a16="http://schemas.microsoft.com/office/drawing/2014/main" id="{E0B9D578-2F01-4199-AF1B-1B85C7948E8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382" name="AutoShape 12">
          <a:extLst>
            <a:ext uri="{FF2B5EF4-FFF2-40B4-BE49-F238E27FC236}">
              <a16:creationId xmlns:a16="http://schemas.microsoft.com/office/drawing/2014/main" id="{8E3D7A4E-CB0C-4306-8247-0E322922625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383" name="AutoShape 12">
          <a:extLst>
            <a:ext uri="{FF2B5EF4-FFF2-40B4-BE49-F238E27FC236}">
              <a16:creationId xmlns:a16="http://schemas.microsoft.com/office/drawing/2014/main" id="{00039676-B8C6-4FF2-8C1C-168DAEBE620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384" name="AutoShape 12">
          <a:extLst>
            <a:ext uri="{FF2B5EF4-FFF2-40B4-BE49-F238E27FC236}">
              <a16:creationId xmlns:a16="http://schemas.microsoft.com/office/drawing/2014/main" id="{001C3C08-F33E-4627-BC6E-818A2BEDCCD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385" name="AutoShape 12">
          <a:extLst>
            <a:ext uri="{FF2B5EF4-FFF2-40B4-BE49-F238E27FC236}">
              <a16:creationId xmlns:a16="http://schemas.microsoft.com/office/drawing/2014/main" id="{2CD6DB70-2ED2-4992-9970-CAB7FE74D47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386" name="AutoShape 12">
          <a:extLst>
            <a:ext uri="{FF2B5EF4-FFF2-40B4-BE49-F238E27FC236}">
              <a16:creationId xmlns:a16="http://schemas.microsoft.com/office/drawing/2014/main" id="{A99DD756-07AB-42CA-9A93-38075232FC5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387" name="AutoShape 12">
          <a:extLst>
            <a:ext uri="{FF2B5EF4-FFF2-40B4-BE49-F238E27FC236}">
              <a16:creationId xmlns:a16="http://schemas.microsoft.com/office/drawing/2014/main" id="{B0A5CDE3-43DC-4BD0-B9B3-AEB398EE529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388" name="AutoShape 12">
          <a:extLst>
            <a:ext uri="{FF2B5EF4-FFF2-40B4-BE49-F238E27FC236}">
              <a16:creationId xmlns:a16="http://schemas.microsoft.com/office/drawing/2014/main" id="{D5F9AFA7-C7FD-41D3-B9BD-0A41798286E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389" name="AutoShape 12">
          <a:extLst>
            <a:ext uri="{FF2B5EF4-FFF2-40B4-BE49-F238E27FC236}">
              <a16:creationId xmlns:a16="http://schemas.microsoft.com/office/drawing/2014/main" id="{84E30482-7AF0-46C9-8A4D-FF7801AB81D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390" name="AutoShape 12">
          <a:extLst>
            <a:ext uri="{FF2B5EF4-FFF2-40B4-BE49-F238E27FC236}">
              <a16:creationId xmlns:a16="http://schemas.microsoft.com/office/drawing/2014/main" id="{494538D4-E39C-43CB-87DB-21CE0828977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391" name="AutoShape 12">
          <a:extLst>
            <a:ext uri="{FF2B5EF4-FFF2-40B4-BE49-F238E27FC236}">
              <a16:creationId xmlns:a16="http://schemas.microsoft.com/office/drawing/2014/main" id="{8E4A89BD-A774-4605-9565-06D3B6EB22B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392" name="AutoShape 12">
          <a:extLst>
            <a:ext uri="{FF2B5EF4-FFF2-40B4-BE49-F238E27FC236}">
              <a16:creationId xmlns:a16="http://schemas.microsoft.com/office/drawing/2014/main" id="{AB01A4E5-3CB5-4146-9F9E-1196E1D7356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393" name="AutoShape 12">
          <a:extLst>
            <a:ext uri="{FF2B5EF4-FFF2-40B4-BE49-F238E27FC236}">
              <a16:creationId xmlns:a16="http://schemas.microsoft.com/office/drawing/2014/main" id="{C5F7E3F2-B501-4225-96C0-866E2F360EC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394" name="AutoShape 12">
          <a:extLst>
            <a:ext uri="{FF2B5EF4-FFF2-40B4-BE49-F238E27FC236}">
              <a16:creationId xmlns:a16="http://schemas.microsoft.com/office/drawing/2014/main" id="{33B71E68-D7AF-42EC-A8A4-93C401801FF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395" name="AutoShape 12">
          <a:extLst>
            <a:ext uri="{FF2B5EF4-FFF2-40B4-BE49-F238E27FC236}">
              <a16:creationId xmlns:a16="http://schemas.microsoft.com/office/drawing/2014/main" id="{8AF19048-F106-4A97-BD07-AE0F0D7B5B5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396" name="AutoShape 12">
          <a:extLst>
            <a:ext uri="{FF2B5EF4-FFF2-40B4-BE49-F238E27FC236}">
              <a16:creationId xmlns:a16="http://schemas.microsoft.com/office/drawing/2014/main" id="{48AFAED8-BF5B-4B0D-B45A-7E592BF1330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397" name="AutoShape 12">
          <a:extLst>
            <a:ext uri="{FF2B5EF4-FFF2-40B4-BE49-F238E27FC236}">
              <a16:creationId xmlns:a16="http://schemas.microsoft.com/office/drawing/2014/main" id="{CBA1A0CE-97DA-4BE7-BAF4-BE2C04267B7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398" name="AutoShape 12">
          <a:extLst>
            <a:ext uri="{FF2B5EF4-FFF2-40B4-BE49-F238E27FC236}">
              <a16:creationId xmlns:a16="http://schemas.microsoft.com/office/drawing/2014/main" id="{E818C203-FA8F-4A3A-A354-D290A669B7F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399" name="AutoShape 12">
          <a:extLst>
            <a:ext uri="{FF2B5EF4-FFF2-40B4-BE49-F238E27FC236}">
              <a16:creationId xmlns:a16="http://schemas.microsoft.com/office/drawing/2014/main" id="{8AAF7F0E-C02A-429A-B2E9-ED2D2E5DED5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400" name="AutoShape 12">
          <a:extLst>
            <a:ext uri="{FF2B5EF4-FFF2-40B4-BE49-F238E27FC236}">
              <a16:creationId xmlns:a16="http://schemas.microsoft.com/office/drawing/2014/main" id="{C870C48B-097D-4A86-9469-1C0DAC9E6A5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401" name="AutoShape 12">
          <a:extLst>
            <a:ext uri="{FF2B5EF4-FFF2-40B4-BE49-F238E27FC236}">
              <a16:creationId xmlns:a16="http://schemas.microsoft.com/office/drawing/2014/main" id="{F1CD87AB-A0B8-40B9-A6A9-5696AAA02DD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402" name="AutoShape 12">
          <a:extLst>
            <a:ext uri="{FF2B5EF4-FFF2-40B4-BE49-F238E27FC236}">
              <a16:creationId xmlns:a16="http://schemas.microsoft.com/office/drawing/2014/main" id="{A15DCB73-9A48-43CA-9A99-F26DE5E7D2F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403" name="AutoShape 12">
          <a:extLst>
            <a:ext uri="{FF2B5EF4-FFF2-40B4-BE49-F238E27FC236}">
              <a16:creationId xmlns:a16="http://schemas.microsoft.com/office/drawing/2014/main" id="{560B5082-6824-4CBD-94C9-015D8DB4E05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404" name="AutoShape 12">
          <a:extLst>
            <a:ext uri="{FF2B5EF4-FFF2-40B4-BE49-F238E27FC236}">
              <a16:creationId xmlns:a16="http://schemas.microsoft.com/office/drawing/2014/main" id="{92E89FA8-82B8-4F85-B840-89C259C6FFD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405" name="AutoShape 12">
          <a:extLst>
            <a:ext uri="{FF2B5EF4-FFF2-40B4-BE49-F238E27FC236}">
              <a16:creationId xmlns:a16="http://schemas.microsoft.com/office/drawing/2014/main" id="{2F7AAF80-AE97-4D8A-91BA-128FAB6F964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406" name="AutoShape 12">
          <a:extLst>
            <a:ext uri="{FF2B5EF4-FFF2-40B4-BE49-F238E27FC236}">
              <a16:creationId xmlns:a16="http://schemas.microsoft.com/office/drawing/2014/main" id="{01D256FB-6480-48CF-B358-423E7C56187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407" name="AutoShape 12">
          <a:extLst>
            <a:ext uri="{FF2B5EF4-FFF2-40B4-BE49-F238E27FC236}">
              <a16:creationId xmlns:a16="http://schemas.microsoft.com/office/drawing/2014/main" id="{67108433-D499-470D-8347-33E407F97A4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408" name="AutoShape 12">
          <a:extLst>
            <a:ext uri="{FF2B5EF4-FFF2-40B4-BE49-F238E27FC236}">
              <a16:creationId xmlns:a16="http://schemas.microsoft.com/office/drawing/2014/main" id="{4B419E20-94D0-4FAA-B25E-9912058FBA3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409" name="AutoShape 12">
          <a:extLst>
            <a:ext uri="{FF2B5EF4-FFF2-40B4-BE49-F238E27FC236}">
              <a16:creationId xmlns:a16="http://schemas.microsoft.com/office/drawing/2014/main" id="{A008ECC3-8383-4013-B2A0-46387D73BD0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410" name="AutoShape 12">
          <a:extLst>
            <a:ext uri="{FF2B5EF4-FFF2-40B4-BE49-F238E27FC236}">
              <a16:creationId xmlns:a16="http://schemas.microsoft.com/office/drawing/2014/main" id="{F21229F1-C60C-4E33-8761-70C4830A8BE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411" name="AutoShape 12">
          <a:extLst>
            <a:ext uri="{FF2B5EF4-FFF2-40B4-BE49-F238E27FC236}">
              <a16:creationId xmlns:a16="http://schemas.microsoft.com/office/drawing/2014/main" id="{7A69CB79-302C-4B5B-BE48-DF699F29BD6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412" name="AutoShape 12">
          <a:extLst>
            <a:ext uri="{FF2B5EF4-FFF2-40B4-BE49-F238E27FC236}">
              <a16:creationId xmlns:a16="http://schemas.microsoft.com/office/drawing/2014/main" id="{FFDD8024-8462-4687-96B7-0D8EED874C0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413" name="AutoShape 12">
          <a:extLst>
            <a:ext uri="{FF2B5EF4-FFF2-40B4-BE49-F238E27FC236}">
              <a16:creationId xmlns:a16="http://schemas.microsoft.com/office/drawing/2014/main" id="{A43E510C-0B3B-449B-A840-0CE1358FDC9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414" name="AutoShape 12">
          <a:extLst>
            <a:ext uri="{FF2B5EF4-FFF2-40B4-BE49-F238E27FC236}">
              <a16:creationId xmlns:a16="http://schemas.microsoft.com/office/drawing/2014/main" id="{AB3A7D55-70CB-4DEA-8063-5A5F96B8F0F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415" name="AutoShape 12">
          <a:extLst>
            <a:ext uri="{FF2B5EF4-FFF2-40B4-BE49-F238E27FC236}">
              <a16:creationId xmlns:a16="http://schemas.microsoft.com/office/drawing/2014/main" id="{4473EFC5-7F7E-478D-9349-6A5E1BB3171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416" name="AutoShape 12">
          <a:extLst>
            <a:ext uri="{FF2B5EF4-FFF2-40B4-BE49-F238E27FC236}">
              <a16:creationId xmlns:a16="http://schemas.microsoft.com/office/drawing/2014/main" id="{034E3F91-E2B5-4A58-8531-341AAA44FE2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417" name="AutoShape 12">
          <a:extLst>
            <a:ext uri="{FF2B5EF4-FFF2-40B4-BE49-F238E27FC236}">
              <a16:creationId xmlns:a16="http://schemas.microsoft.com/office/drawing/2014/main" id="{FB847020-7711-40AC-AED2-FE065A87588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418" name="AutoShape 12">
          <a:extLst>
            <a:ext uri="{FF2B5EF4-FFF2-40B4-BE49-F238E27FC236}">
              <a16:creationId xmlns:a16="http://schemas.microsoft.com/office/drawing/2014/main" id="{BF647D76-1F3A-48FD-AB6E-803237A17B7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419" name="AutoShape 12">
          <a:extLst>
            <a:ext uri="{FF2B5EF4-FFF2-40B4-BE49-F238E27FC236}">
              <a16:creationId xmlns:a16="http://schemas.microsoft.com/office/drawing/2014/main" id="{D4FC401F-66D6-411A-ADF4-57F67F69A0A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420" name="AutoShape 12">
          <a:extLst>
            <a:ext uri="{FF2B5EF4-FFF2-40B4-BE49-F238E27FC236}">
              <a16:creationId xmlns:a16="http://schemas.microsoft.com/office/drawing/2014/main" id="{C38CDD21-44C4-4F2D-ACE8-492AF13553E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421" name="AutoShape 12">
          <a:extLst>
            <a:ext uri="{FF2B5EF4-FFF2-40B4-BE49-F238E27FC236}">
              <a16:creationId xmlns:a16="http://schemas.microsoft.com/office/drawing/2014/main" id="{FFCA8617-FA90-4D6F-B3EA-1349195259C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422" name="AutoShape 12">
          <a:extLst>
            <a:ext uri="{FF2B5EF4-FFF2-40B4-BE49-F238E27FC236}">
              <a16:creationId xmlns:a16="http://schemas.microsoft.com/office/drawing/2014/main" id="{2F373800-076B-48A0-8789-88B33D279E8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423" name="AutoShape 12">
          <a:extLst>
            <a:ext uri="{FF2B5EF4-FFF2-40B4-BE49-F238E27FC236}">
              <a16:creationId xmlns:a16="http://schemas.microsoft.com/office/drawing/2014/main" id="{F0A51089-2AF7-4257-A42E-D8167CFFFB3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424" name="AutoShape 12">
          <a:extLst>
            <a:ext uri="{FF2B5EF4-FFF2-40B4-BE49-F238E27FC236}">
              <a16:creationId xmlns:a16="http://schemas.microsoft.com/office/drawing/2014/main" id="{12A68587-3B85-4402-8F67-BB65D05F96D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425" name="AutoShape 12">
          <a:extLst>
            <a:ext uri="{FF2B5EF4-FFF2-40B4-BE49-F238E27FC236}">
              <a16:creationId xmlns:a16="http://schemas.microsoft.com/office/drawing/2014/main" id="{10B8C671-1643-4B59-B761-58CA215267F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426" name="AutoShape 12">
          <a:extLst>
            <a:ext uri="{FF2B5EF4-FFF2-40B4-BE49-F238E27FC236}">
              <a16:creationId xmlns:a16="http://schemas.microsoft.com/office/drawing/2014/main" id="{994EE2E3-18BD-4572-8DD3-B4990EA99F9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427" name="AutoShape 12">
          <a:extLst>
            <a:ext uri="{FF2B5EF4-FFF2-40B4-BE49-F238E27FC236}">
              <a16:creationId xmlns:a16="http://schemas.microsoft.com/office/drawing/2014/main" id="{AF91A801-7312-4884-AB71-8DC19EB5AB3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428" name="AutoShape 12">
          <a:extLst>
            <a:ext uri="{FF2B5EF4-FFF2-40B4-BE49-F238E27FC236}">
              <a16:creationId xmlns:a16="http://schemas.microsoft.com/office/drawing/2014/main" id="{101E6775-9AB7-4CB7-9D0C-2A162B6AB46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429" name="AutoShape 12">
          <a:extLst>
            <a:ext uri="{FF2B5EF4-FFF2-40B4-BE49-F238E27FC236}">
              <a16:creationId xmlns:a16="http://schemas.microsoft.com/office/drawing/2014/main" id="{6257A930-D3A3-41B0-AA1E-A53A47274A5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430" name="AutoShape 12">
          <a:extLst>
            <a:ext uri="{FF2B5EF4-FFF2-40B4-BE49-F238E27FC236}">
              <a16:creationId xmlns:a16="http://schemas.microsoft.com/office/drawing/2014/main" id="{4870642C-2124-42F6-A632-3842891947B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431" name="AutoShape 12">
          <a:extLst>
            <a:ext uri="{FF2B5EF4-FFF2-40B4-BE49-F238E27FC236}">
              <a16:creationId xmlns:a16="http://schemas.microsoft.com/office/drawing/2014/main" id="{523D7FCC-B169-4ECA-B24C-B30B62E01EA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432" name="AutoShape 12">
          <a:extLst>
            <a:ext uri="{FF2B5EF4-FFF2-40B4-BE49-F238E27FC236}">
              <a16:creationId xmlns:a16="http://schemas.microsoft.com/office/drawing/2014/main" id="{E8675A3D-4574-40D9-B7ED-7B0F9D58875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433" name="AutoShape 12">
          <a:extLst>
            <a:ext uri="{FF2B5EF4-FFF2-40B4-BE49-F238E27FC236}">
              <a16:creationId xmlns:a16="http://schemas.microsoft.com/office/drawing/2014/main" id="{E0917B58-2807-425E-8BB1-303C5607B87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434" name="AutoShape 12">
          <a:extLst>
            <a:ext uri="{FF2B5EF4-FFF2-40B4-BE49-F238E27FC236}">
              <a16:creationId xmlns:a16="http://schemas.microsoft.com/office/drawing/2014/main" id="{A519680B-0EE6-4AD3-BDFE-595F43659E8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435" name="AutoShape 12">
          <a:extLst>
            <a:ext uri="{FF2B5EF4-FFF2-40B4-BE49-F238E27FC236}">
              <a16:creationId xmlns:a16="http://schemas.microsoft.com/office/drawing/2014/main" id="{91B45A6F-F29F-4301-8F50-A6BE0226BA8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436" name="AutoShape 12">
          <a:extLst>
            <a:ext uri="{FF2B5EF4-FFF2-40B4-BE49-F238E27FC236}">
              <a16:creationId xmlns:a16="http://schemas.microsoft.com/office/drawing/2014/main" id="{43DDC74C-87D7-4753-9BEC-5D633C1E8EC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437" name="AutoShape 12">
          <a:extLst>
            <a:ext uri="{FF2B5EF4-FFF2-40B4-BE49-F238E27FC236}">
              <a16:creationId xmlns:a16="http://schemas.microsoft.com/office/drawing/2014/main" id="{EE9F4FC3-5D30-46C6-AAC4-5F969751AB2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438" name="AutoShape 12">
          <a:extLst>
            <a:ext uri="{FF2B5EF4-FFF2-40B4-BE49-F238E27FC236}">
              <a16:creationId xmlns:a16="http://schemas.microsoft.com/office/drawing/2014/main" id="{202C9628-7C51-4405-8178-CA7EBD49018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439" name="AutoShape 12">
          <a:extLst>
            <a:ext uri="{FF2B5EF4-FFF2-40B4-BE49-F238E27FC236}">
              <a16:creationId xmlns:a16="http://schemas.microsoft.com/office/drawing/2014/main" id="{31E045CB-0EB5-467B-9914-28EA3B65AF4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440" name="AutoShape 12">
          <a:extLst>
            <a:ext uri="{FF2B5EF4-FFF2-40B4-BE49-F238E27FC236}">
              <a16:creationId xmlns:a16="http://schemas.microsoft.com/office/drawing/2014/main" id="{6B0C4A8C-CDE1-4AF6-87D3-4FAAD00D24F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441" name="AutoShape 12">
          <a:extLst>
            <a:ext uri="{FF2B5EF4-FFF2-40B4-BE49-F238E27FC236}">
              <a16:creationId xmlns:a16="http://schemas.microsoft.com/office/drawing/2014/main" id="{CC0AABE2-CCA7-4A8F-A6DF-8C74D479A15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442" name="AutoShape 12">
          <a:extLst>
            <a:ext uri="{FF2B5EF4-FFF2-40B4-BE49-F238E27FC236}">
              <a16:creationId xmlns:a16="http://schemas.microsoft.com/office/drawing/2014/main" id="{26673EE9-4EB4-46EC-97B5-E92B3BEC67A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443" name="AutoShape 12">
          <a:extLst>
            <a:ext uri="{FF2B5EF4-FFF2-40B4-BE49-F238E27FC236}">
              <a16:creationId xmlns:a16="http://schemas.microsoft.com/office/drawing/2014/main" id="{7BC1A571-7163-4B58-8E6F-F1BC9021F95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444" name="AutoShape 12">
          <a:extLst>
            <a:ext uri="{FF2B5EF4-FFF2-40B4-BE49-F238E27FC236}">
              <a16:creationId xmlns:a16="http://schemas.microsoft.com/office/drawing/2014/main" id="{A3676083-CD70-4257-BAAF-AA2127CDF25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445" name="AutoShape 12">
          <a:extLst>
            <a:ext uri="{FF2B5EF4-FFF2-40B4-BE49-F238E27FC236}">
              <a16:creationId xmlns:a16="http://schemas.microsoft.com/office/drawing/2014/main" id="{6C36AB29-5996-4876-8E96-C69FCAE48B9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446" name="AutoShape 12">
          <a:extLst>
            <a:ext uri="{FF2B5EF4-FFF2-40B4-BE49-F238E27FC236}">
              <a16:creationId xmlns:a16="http://schemas.microsoft.com/office/drawing/2014/main" id="{B354E9B4-14E2-454E-A3B6-92952CE430E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447" name="AutoShape 12">
          <a:extLst>
            <a:ext uri="{FF2B5EF4-FFF2-40B4-BE49-F238E27FC236}">
              <a16:creationId xmlns:a16="http://schemas.microsoft.com/office/drawing/2014/main" id="{08D78B3E-373F-4EA7-8EC0-4F733DEDED3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448" name="AutoShape 12">
          <a:extLst>
            <a:ext uri="{FF2B5EF4-FFF2-40B4-BE49-F238E27FC236}">
              <a16:creationId xmlns:a16="http://schemas.microsoft.com/office/drawing/2014/main" id="{016BB6A1-9595-4930-8256-6DFACE8DA5F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449" name="AutoShape 12">
          <a:extLst>
            <a:ext uri="{FF2B5EF4-FFF2-40B4-BE49-F238E27FC236}">
              <a16:creationId xmlns:a16="http://schemas.microsoft.com/office/drawing/2014/main" id="{0E7B6CC4-DE42-4F40-9337-89D3A0A8004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450" name="AutoShape 12">
          <a:extLst>
            <a:ext uri="{FF2B5EF4-FFF2-40B4-BE49-F238E27FC236}">
              <a16:creationId xmlns:a16="http://schemas.microsoft.com/office/drawing/2014/main" id="{AF19BC78-B69E-4501-B9C4-456440ACB24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451" name="AutoShape 12">
          <a:extLst>
            <a:ext uri="{FF2B5EF4-FFF2-40B4-BE49-F238E27FC236}">
              <a16:creationId xmlns:a16="http://schemas.microsoft.com/office/drawing/2014/main" id="{4E7CBE8F-2C09-4646-9DC3-986754868A7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452" name="AutoShape 12">
          <a:extLst>
            <a:ext uri="{FF2B5EF4-FFF2-40B4-BE49-F238E27FC236}">
              <a16:creationId xmlns:a16="http://schemas.microsoft.com/office/drawing/2014/main" id="{738290DC-8A78-4B2F-9E4C-C971436F16E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453" name="AutoShape 12">
          <a:extLst>
            <a:ext uri="{FF2B5EF4-FFF2-40B4-BE49-F238E27FC236}">
              <a16:creationId xmlns:a16="http://schemas.microsoft.com/office/drawing/2014/main" id="{6BECC527-FA8B-44EF-82E4-42D85522DAE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454" name="AutoShape 12">
          <a:extLst>
            <a:ext uri="{FF2B5EF4-FFF2-40B4-BE49-F238E27FC236}">
              <a16:creationId xmlns:a16="http://schemas.microsoft.com/office/drawing/2014/main" id="{BC296CEB-960C-455A-8683-AC21DF8DF68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455" name="AutoShape 12">
          <a:extLst>
            <a:ext uri="{FF2B5EF4-FFF2-40B4-BE49-F238E27FC236}">
              <a16:creationId xmlns:a16="http://schemas.microsoft.com/office/drawing/2014/main" id="{B720F87C-41D8-4F66-A6FE-4AC1AA76D83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456" name="AutoShape 12">
          <a:extLst>
            <a:ext uri="{FF2B5EF4-FFF2-40B4-BE49-F238E27FC236}">
              <a16:creationId xmlns:a16="http://schemas.microsoft.com/office/drawing/2014/main" id="{D13618C4-9F70-452D-AC3D-ADD3553F165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457" name="AutoShape 12">
          <a:extLst>
            <a:ext uri="{FF2B5EF4-FFF2-40B4-BE49-F238E27FC236}">
              <a16:creationId xmlns:a16="http://schemas.microsoft.com/office/drawing/2014/main" id="{6603579A-2CF6-43CD-907D-D9D27FB013E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458" name="AutoShape 12">
          <a:extLst>
            <a:ext uri="{FF2B5EF4-FFF2-40B4-BE49-F238E27FC236}">
              <a16:creationId xmlns:a16="http://schemas.microsoft.com/office/drawing/2014/main" id="{FED297FD-FAB7-40D3-9DDD-D251D921BF7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459" name="AutoShape 12">
          <a:extLst>
            <a:ext uri="{FF2B5EF4-FFF2-40B4-BE49-F238E27FC236}">
              <a16:creationId xmlns:a16="http://schemas.microsoft.com/office/drawing/2014/main" id="{DEC9B26C-34CA-46BE-8C5A-FBAFBBE62B4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460" name="AutoShape 12">
          <a:extLst>
            <a:ext uri="{FF2B5EF4-FFF2-40B4-BE49-F238E27FC236}">
              <a16:creationId xmlns:a16="http://schemas.microsoft.com/office/drawing/2014/main" id="{871614A5-AC05-45B3-BE2B-A94E6BA639D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461" name="AutoShape 12">
          <a:extLst>
            <a:ext uri="{FF2B5EF4-FFF2-40B4-BE49-F238E27FC236}">
              <a16:creationId xmlns:a16="http://schemas.microsoft.com/office/drawing/2014/main" id="{9E2F9E68-76EF-4B48-9EAD-A84EB05D0BF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462" name="AutoShape 12">
          <a:extLst>
            <a:ext uri="{FF2B5EF4-FFF2-40B4-BE49-F238E27FC236}">
              <a16:creationId xmlns:a16="http://schemas.microsoft.com/office/drawing/2014/main" id="{ECA73E0B-90DA-489F-8913-9BD8091B03F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463" name="AutoShape 12">
          <a:extLst>
            <a:ext uri="{FF2B5EF4-FFF2-40B4-BE49-F238E27FC236}">
              <a16:creationId xmlns:a16="http://schemas.microsoft.com/office/drawing/2014/main" id="{35497AF6-301E-4E58-AE8A-C23321E4639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464" name="AutoShape 12">
          <a:extLst>
            <a:ext uri="{FF2B5EF4-FFF2-40B4-BE49-F238E27FC236}">
              <a16:creationId xmlns:a16="http://schemas.microsoft.com/office/drawing/2014/main" id="{0AA20684-4DC9-43E1-B18A-A3532409533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465" name="AutoShape 12">
          <a:extLst>
            <a:ext uri="{FF2B5EF4-FFF2-40B4-BE49-F238E27FC236}">
              <a16:creationId xmlns:a16="http://schemas.microsoft.com/office/drawing/2014/main" id="{FABABAD9-3975-4B34-9149-8367F90C211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466" name="AutoShape 12">
          <a:extLst>
            <a:ext uri="{FF2B5EF4-FFF2-40B4-BE49-F238E27FC236}">
              <a16:creationId xmlns:a16="http://schemas.microsoft.com/office/drawing/2014/main" id="{4BFD8E68-EE91-471F-9689-5B99833B33B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467" name="AutoShape 12">
          <a:extLst>
            <a:ext uri="{FF2B5EF4-FFF2-40B4-BE49-F238E27FC236}">
              <a16:creationId xmlns:a16="http://schemas.microsoft.com/office/drawing/2014/main" id="{F07EF4EF-8AE9-4CD9-9321-D4219C189DD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468" name="AutoShape 12">
          <a:extLst>
            <a:ext uri="{FF2B5EF4-FFF2-40B4-BE49-F238E27FC236}">
              <a16:creationId xmlns:a16="http://schemas.microsoft.com/office/drawing/2014/main" id="{A390E790-C65B-4BD4-B44F-2B0A7D48C96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469" name="AutoShape 12">
          <a:extLst>
            <a:ext uri="{FF2B5EF4-FFF2-40B4-BE49-F238E27FC236}">
              <a16:creationId xmlns:a16="http://schemas.microsoft.com/office/drawing/2014/main" id="{AB7F1A7A-C0E4-4644-9FEE-3430C8B0230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470" name="AutoShape 12">
          <a:extLst>
            <a:ext uri="{FF2B5EF4-FFF2-40B4-BE49-F238E27FC236}">
              <a16:creationId xmlns:a16="http://schemas.microsoft.com/office/drawing/2014/main" id="{0F4EAB4E-2257-46FC-8D4F-6EF52DA2A15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471" name="AutoShape 12">
          <a:extLst>
            <a:ext uri="{FF2B5EF4-FFF2-40B4-BE49-F238E27FC236}">
              <a16:creationId xmlns:a16="http://schemas.microsoft.com/office/drawing/2014/main" id="{8EDFF8C8-9363-4ABA-B3A4-E9A15ED07FF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472" name="AutoShape 12">
          <a:extLst>
            <a:ext uri="{FF2B5EF4-FFF2-40B4-BE49-F238E27FC236}">
              <a16:creationId xmlns:a16="http://schemas.microsoft.com/office/drawing/2014/main" id="{E5BBA851-A419-469D-AF22-42D21487D57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473" name="AutoShape 12">
          <a:extLst>
            <a:ext uri="{FF2B5EF4-FFF2-40B4-BE49-F238E27FC236}">
              <a16:creationId xmlns:a16="http://schemas.microsoft.com/office/drawing/2014/main" id="{2F8680F7-968A-454C-9655-D7920D0A074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474" name="AutoShape 12">
          <a:extLst>
            <a:ext uri="{FF2B5EF4-FFF2-40B4-BE49-F238E27FC236}">
              <a16:creationId xmlns:a16="http://schemas.microsoft.com/office/drawing/2014/main" id="{0AC0F017-FDD2-4CF6-B991-87D75A68655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475" name="AutoShape 12">
          <a:extLst>
            <a:ext uri="{FF2B5EF4-FFF2-40B4-BE49-F238E27FC236}">
              <a16:creationId xmlns:a16="http://schemas.microsoft.com/office/drawing/2014/main" id="{4B549E6F-9C9F-4C21-9ABA-2766DFE1320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476" name="AutoShape 12">
          <a:extLst>
            <a:ext uri="{FF2B5EF4-FFF2-40B4-BE49-F238E27FC236}">
              <a16:creationId xmlns:a16="http://schemas.microsoft.com/office/drawing/2014/main" id="{35FB9486-1AFE-42B5-9169-A389B00F6F9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477" name="AutoShape 12">
          <a:extLst>
            <a:ext uri="{FF2B5EF4-FFF2-40B4-BE49-F238E27FC236}">
              <a16:creationId xmlns:a16="http://schemas.microsoft.com/office/drawing/2014/main" id="{70E40056-8DBE-4D91-B00B-B1CDE2EF185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478" name="AutoShape 12">
          <a:extLst>
            <a:ext uri="{FF2B5EF4-FFF2-40B4-BE49-F238E27FC236}">
              <a16:creationId xmlns:a16="http://schemas.microsoft.com/office/drawing/2014/main" id="{089B91AC-F832-4857-BA19-0F64CBAAB2E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479" name="AutoShape 12">
          <a:extLst>
            <a:ext uri="{FF2B5EF4-FFF2-40B4-BE49-F238E27FC236}">
              <a16:creationId xmlns:a16="http://schemas.microsoft.com/office/drawing/2014/main" id="{CD9853A3-3065-4FD4-9D91-7385F435E49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480" name="AutoShape 12">
          <a:extLst>
            <a:ext uri="{FF2B5EF4-FFF2-40B4-BE49-F238E27FC236}">
              <a16:creationId xmlns:a16="http://schemas.microsoft.com/office/drawing/2014/main" id="{3DC1EB57-8445-4AD9-9D20-EE76519714A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481" name="AutoShape 12">
          <a:extLst>
            <a:ext uri="{FF2B5EF4-FFF2-40B4-BE49-F238E27FC236}">
              <a16:creationId xmlns:a16="http://schemas.microsoft.com/office/drawing/2014/main" id="{4A7BB802-4B49-47C6-9295-5AE8C02F2B3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482" name="AutoShape 12">
          <a:extLst>
            <a:ext uri="{FF2B5EF4-FFF2-40B4-BE49-F238E27FC236}">
              <a16:creationId xmlns:a16="http://schemas.microsoft.com/office/drawing/2014/main" id="{62CC5404-5F3E-40D9-8145-9EE871F3B42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483" name="AutoShape 12">
          <a:extLst>
            <a:ext uri="{FF2B5EF4-FFF2-40B4-BE49-F238E27FC236}">
              <a16:creationId xmlns:a16="http://schemas.microsoft.com/office/drawing/2014/main" id="{AD2364CC-4F49-41C6-97EA-6B0FE9315AF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484" name="AutoShape 12">
          <a:extLst>
            <a:ext uri="{FF2B5EF4-FFF2-40B4-BE49-F238E27FC236}">
              <a16:creationId xmlns:a16="http://schemas.microsoft.com/office/drawing/2014/main" id="{EB35076D-74BF-4B18-9A92-E7E4C09C94D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485" name="AutoShape 12">
          <a:extLst>
            <a:ext uri="{FF2B5EF4-FFF2-40B4-BE49-F238E27FC236}">
              <a16:creationId xmlns:a16="http://schemas.microsoft.com/office/drawing/2014/main" id="{0FBAC14E-169F-4A97-B962-58A78A63ADF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486" name="AutoShape 12">
          <a:extLst>
            <a:ext uri="{FF2B5EF4-FFF2-40B4-BE49-F238E27FC236}">
              <a16:creationId xmlns:a16="http://schemas.microsoft.com/office/drawing/2014/main" id="{6D5D16B0-5CA1-4883-B005-B4EE8A1640D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487" name="AutoShape 12">
          <a:extLst>
            <a:ext uri="{FF2B5EF4-FFF2-40B4-BE49-F238E27FC236}">
              <a16:creationId xmlns:a16="http://schemas.microsoft.com/office/drawing/2014/main" id="{F2C4F897-D857-4D59-82C1-31CE99DE683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488" name="AutoShape 12">
          <a:extLst>
            <a:ext uri="{FF2B5EF4-FFF2-40B4-BE49-F238E27FC236}">
              <a16:creationId xmlns:a16="http://schemas.microsoft.com/office/drawing/2014/main" id="{18C7F876-EBC6-4B08-81C0-C5C4D2BB2C7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489" name="AutoShape 12">
          <a:extLst>
            <a:ext uri="{FF2B5EF4-FFF2-40B4-BE49-F238E27FC236}">
              <a16:creationId xmlns:a16="http://schemas.microsoft.com/office/drawing/2014/main" id="{A1D5F389-76A3-4012-A124-61E46C3685A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490" name="AutoShape 12">
          <a:extLst>
            <a:ext uri="{FF2B5EF4-FFF2-40B4-BE49-F238E27FC236}">
              <a16:creationId xmlns:a16="http://schemas.microsoft.com/office/drawing/2014/main" id="{CFE6FC4E-5EF2-4CEB-842B-3BCE41148BF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491" name="AutoShape 12">
          <a:extLst>
            <a:ext uri="{FF2B5EF4-FFF2-40B4-BE49-F238E27FC236}">
              <a16:creationId xmlns:a16="http://schemas.microsoft.com/office/drawing/2014/main" id="{11A48520-A773-4DEB-9129-40BDE18219D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492" name="AutoShape 12">
          <a:extLst>
            <a:ext uri="{FF2B5EF4-FFF2-40B4-BE49-F238E27FC236}">
              <a16:creationId xmlns:a16="http://schemas.microsoft.com/office/drawing/2014/main" id="{56425E2B-5322-4412-9894-327BA5837EA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493" name="AutoShape 12">
          <a:extLst>
            <a:ext uri="{FF2B5EF4-FFF2-40B4-BE49-F238E27FC236}">
              <a16:creationId xmlns:a16="http://schemas.microsoft.com/office/drawing/2014/main" id="{6A00E1C9-7E30-499C-83C1-0CD0BDE1137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494" name="AutoShape 12">
          <a:extLst>
            <a:ext uri="{FF2B5EF4-FFF2-40B4-BE49-F238E27FC236}">
              <a16:creationId xmlns:a16="http://schemas.microsoft.com/office/drawing/2014/main" id="{2E2251FF-7805-4325-B63C-FAE48F44AE5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495" name="AutoShape 12">
          <a:extLst>
            <a:ext uri="{FF2B5EF4-FFF2-40B4-BE49-F238E27FC236}">
              <a16:creationId xmlns:a16="http://schemas.microsoft.com/office/drawing/2014/main" id="{292CC97D-43A3-433E-AE83-CA1445392BE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496" name="AutoShape 12">
          <a:extLst>
            <a:ext uri="{FF2B5EF4-FFF2-40B4-BE49-F238E27FC236}">
              <a16:creationId xmlns:a16="http://schemas.microsoft.com/office/drawing/2014/main" id="{4C15439B-214C-4B28-B81C-49B8CBC784B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497" name="AutoShape 12">
          <a:extLst>
            <a:ext uri="{FF2B5EF4-FFF2-40B4-BE49-F238E27FC236}">
              <a16:creationId xmlns:a16="http://schemas.microsoft.com/office/drawing/2014/main" id="{B871243D-0297-45C4-B804-D0551D33AA2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498" name="AutoShape 12">
          <a:extLst>
            <a:ext uri="{FF2B5EF4-FFF2-40B4-BE49-F238E27FC236}">
              <a16:creationId xmlns:a16="http://schemas.microsoft.com/office/drawing/2014/main" id="{847742A3-3951-4DB7-895B-4D237328652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499" name="AutoShape 12">
          <a:extLst>
            <a:ext uri="{FF2B5EF4-FFF2-40B4-BE49-F238E27FC236}">
              <a16:creationId xmlns:a16="http://schemas.microsoft.com/office/drawing/2014/main" id="{5D4E3A85-A7B6-4E27-AE88-1E5E09321BF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500" name="AutoShape 12">
          <a:extLst>
            <a:ext uri="{FF2B5EF4-FFF2-40B4-BE49-F238E27FC236}">
              <a16:creationId xmlns:a16="http://schemas.microsoft.com/office/drawing/2014/main" id="{28D8FF44-9AB1-465A-B24F-0E5EC122E72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501" name="AutoShape 12">
          <a:extLst>
            <a:ext uri="{FF2B5EF4-FFF2-40B4-BE49-F238E27FC236}">
              <a16:creationId xmlns:a16="http://schemas.microsoft.com/office/drawing/2014/main" id="{56F5B293-570C-4A05-8098-AEB8E6DBB9C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502" name="AutoShape 12">
          <a:extLst>
            <a:ext uri="{FF2B5EF4-FFF2-40B4-BE49-F238E27FC236}">
              <a16:creationId xmlns:a16="http://schemas.microsoft.com/office/drawing/2014/main" id="{EAC366E4-5A4C-4918-B7D1-EA3E796521A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503" name="AutoShape 12">
          <a:extLst>
            <a:ext uri="{FF2B5EF4-FFF2-40B4-BE49-F238E27FC236}">
              <a16:creationId xmlns:a16="http://schemas.microsoft.com/office/drawing/2014/main" id="{D3F3D7BA-3829-4735-BE59-0BD021DE59B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504" name="AutoShape 12">
          <a:extLst>
            <a:ext uri="{FF2B5EF4-FFF2-40B4-BE49-F238E27FC236}">
              <a16:creationId xmlns:a16="http://schemas.microsoft.com/office/drawing/2014/main" id="{35D66CEF-E20F-445B-ADA0-16B3FEEF6D2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505" name="AutoShape 12">
          <a:extLst>
            <a:ext uri="{FF2B5EF4-FFF2-40B4-BE49-F238E27FC236}">
              <a16:creationId xmlns:a16="http://schemas.microsoft.com/office/drawing/2014/main" id="{14FBE238-C996-4940-A664-9503B4F8965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506" name="AutoShape 12">
          <a:extLst>
            <a:ext uri="{FF2B5EF4-FFF2-40B4-BE49-F238E27FC236}">
              <a16:creationId xmlns:a16="http://schemas.microsoft.com/office/drawing/2014/main" id="{B1F6879E-E096-4DE1-88C5-ADF0C845FA2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507" name="AutoShape 12">
          <a:extLst>
            <a:ext uri="{FF2B5EF4-FFF2-40B4-BE49-F238E27FC236}">
              <a16:creationId xmlns:a16="http://schemas.microsoft.com/office/drawing/2014/main" id="{7364B042-959D-4ADD-88FB-9225B845068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508" name="AutoShape 12">
          <a:extLst>
            <a:ext uri="{FF2B5EF4-FFF2-40B4-BE49-F238E27FC236}">
              <a16:creationId xmlns:a16="http://schemas.microsoft.com/office/drawing/2014/main" id="{423028EE-9784-4630-B3D6-E8F86D1A978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509" name="AutoShape 12">
          <a:extLst>
            <a:ext uri="{FF2B5EF4-FFF2-40B4-BE49-F238E27FC236}">
              <a16:creationId xmlns:a16="http://schemas.microsoft.com/office/drawing/2014/main" id="{D5B1C272-8D0E-4D90-B189-AB21F2EC974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510" name="AutoShape 12">
          <a:extLst>
            <a:ext uri="{FF2B5EF4-FFF2-40B4-BE49-F238E27FC236}">
              <a16:creationId xmlns:a16="http://schemas.microsoft.com/office/drawing/2014/main" id="{6C38A2A6-66D5-44F1-9B1F-4230EE61E34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511" name="AutoShape 12">
          <a:extLst>
            <a:ext uri="{FF2B5EF4-FFF2-40B4-BE49-F238E27FC236}">
              <a16:creationId xmlns:a16="http://schemas.microsoft.com/office/drawing/2014/main" id="{D1FCE862-F547-46B5-9D78-38AFD2E0B20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512" name="AutoShape 12">
          <a:extLst>
            <a:ext uri="{FF2B5EF4-FFF2-40B4-BE49-F238E27FC236}">
              <a16:creationId xmlns:a16="http://schemas.microsoft.com/office/drawing/2014/main" id="{5A742ECA-9792-4E6B-8A48-7E69D0171D0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513" name="AutoShape 12">
          <a:extLst>
            <a:ext uri="{FF2B5EF4-FFF2-40B4-BE49-F238E27FC236}">
              <a16:creationId xmlns:a16="http://schemas.microsoft.com/office/drawing/2014/main" id="{6D5D9B6B-FDAA-4D96-A4E0-51E759F0590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514" name="AutoShape 12">
          <a:extLst>
            <a:ext uri="{FF2B5EF4-FFF2-40B4-BE49-F238E27FC236}">
              <a16:creationId xmlns:a16="http://schemas.microsoft.com/office/drawing/2014/main" id="{1536552B-AD09-4390-AB10-BB256AD37E6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515" name="AutoShape 12">
          <a:extLst>
            <a:ext uri="{FF2B5EF4-FFF2-40B4-BE49-F238E27FC236}">
              <a16:creationId xmlns:a16="http://schemas.microsoft.com/office/drawing/2014/main" id="{D2DE4E4D-D1BA-4AFA-A5FE-7565C684253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516" name="AutoShape 12">
          <a:extLst>
            <a:ext uri="{FF2B5EF4-FFF2-40B4-BE49-F238E27FC236}">
              <a16:creationId xmlns:a16="http://schemas.microsoft.com/office/drawing/2014/main" id="{78515BEE-6C6D-4EF8-B563-9F9905AA2FF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517" name="AutoShape 12">
          <a:extLst>
            <a:ext uri="{FF2B5EF4-FFF2-40B4-BE49-F238E27FC236}">
              <a16:creationId xmlns:a16="http://schemas.microsoft.com/office/drawing/2014/main" id="{5357D7CE-BE20-4ED8-A887-992883F1EBB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518" name="AutoShape 12">
          <a:extLst>
            <a:ext uri="{FF2B5EF4-FFF2-40B4-BE49-F238E27FC236}">
              <a16:creationId xmlns:a16="http://schemas.microsoft.com/office/drawing/2014/main" id="{115E8C64-1575-4728-B411-1B204123A58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519" name="AutoShape 12">
          <a:extLst>
            <a:ext uri="{FF2B5EF4-FFF2-40B4-BE49-F238E27FC236}">
              <a16:creationId xmlns:a16="http://schemas.microsoft.com/office/drawing/2014/main" id="{47132410-8C58-4F38-B4BF-ECAE7A9D304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520" name="AutoShape 12">
          <a:extLst>
            <a:ext uri="{FF2B5EF4-FFF2-40B4-BE49-F238E27FC236}">
              <a16:creationId xmlns:a16="http://schemas.microsoft.com/office/drawing/2014/main" id="{E13D45C6-34D3-4D5C-99FC-9E330325F28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521" name="AutoShape 12">
          <a:extLst>
            <a:ext uri="{FF2B5EF4-FFF2-40B4-BE49-F238E27FC236}">
              <a16:creationId xmlns:a16="http://schemas.microsoft.com/office/drawing/2014/main" id="{E18235C5-0CD2-454D-BBA4-16DC843C57D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522" name="AutoShape 12">
          <a:extLst>
            <a:ext uri="{FF2B5EF4-FFF2-40B4-BE49-F238E27FC236}">
              <a16:creationId xmlns:a16="http://schemas.microsoft.com/office/drawing/2014/main" id="{8A769875-9480-4E26-BCF4-BF3E4C74BD4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523" name="AutoShape 12">
          <a:extLst>
            <a:ext uri="{FF2B5EF4-FFF2-40B4-BE49-F238E27FC236}">
              <a16:creationId xmlns:a16="http://schemas.microsoft.com/office/drawing/2014/main" id="{B37E55BD-E2B2-4F55-A3D2-7926B4AA054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524" name="AutoShape 12">
          <a:extLst>
            <a:ext uri="{FF2B5EF4-FFF2-40B4-BE49-F238E27FC236}">
              <a16:creationId xmlns:a16="http://schemas.microsoft.com/office/drawing/2014/main" id="{260F1B68-5C9B-478A-A104-6C041E84CD4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525" name="AutoShape 12">
          <a:extLst>
            <a:ext uri="{FF2B5EF4-FFF2-40B4-BE49-F238E27FC236}">
              <a16:creationId xmlns:a16="http://schemas.microsoft.com/office/drawing/2014/main" id="{6C48E04C-8840-4890-9B63-508B1D93EC3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526" name="AutoShape 12">
          <a:extLst>
            <a:ext uri="{FF2B5EF4-FFF2-40B4-BE49-F238E27FC236}">
              <a16:creationId xmlns:a16="http://schemas.microsoft.com/office/drawing/2014/main" id="{0A94E364-6AAD-4548-843A-3633979FFB9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527" name="AutoShape 12">
          <a:extLst>
            <a:ext uri="{FF2B5EF4-FFF2-40B4-BE49-F238E27FC236}">
              <a16:creationId xmlns:a16="http://schemas.microsoft.com/office/drawing/2014/main" id="{0088F254-42DB-428D-8AFA-16DA5B63842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528" name="AutoShape 12">
          <a:extLst>
            <a:ext uri="{FF2B5EF4-FFF2-40B4-BE49-F238E27FC236}">
              <a16:creationId xmlns:a16="http://schemas.microsoft.com/office/drawing/2014/main" id="{1F28DD78-3E65-47AF-B6E7-2C399928835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529" name="AutoShape 12">
          <a:extLst>
            <a:ext uri="{FF2B5EF4-FFF2-40B4-BE49-F238E27FC236}">
              <a16:creationId xmlns:a16="http://schemas.microsoft.com/office/drawing/2014/main" id="{75B86F12-0A2F-46A6-A1AB-FBCFD86348E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530" name="AutoShape 12">
          <a:extLst>
            <a:ext uri="{FF2B5EF4-FFF2-40B4-BE49-F238E27FC236}">
              <a16:creationId xmlns:a16="http://schemas.microsoft.com/office/drawing/2014/main" id="{86D8C4A2-CFD6-4ED5-B00E-0A868C56F11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531" name="AutoShape 12">
          <a:extLst>
            <a:ext uri="{FF2B5EF4-FFF2-40B4-BE49-F238E27FC236}">
              <a16:creationId xmlns:a16="http://schemas.microsoft.com/office/drawing/2014/main" id="{95A2D025-BC9A-4018-BC93-73B1135C665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532" name="AutoShape 12">
          <a:extLst>
            <a:ext uri="{FF2B5EF4-FFF2-40B4-BE49-F238E27FC236}">
              <a16:creationId xmlns:a16="http://schemas.microsoft.com/office/drawing/2014/main" id="{8754551D-9D83-4122-8A37-800D4E1E8D7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533" name="AutoShape 12">
          <a:extLst>
            <a:ext uri="{FF2B5EF4-FFF2-40B4-BE49-F238E27FC236}">
              <a16:creationId xmlns:a16="http://schemas.microsoft.com/office/drawing/2014/main" id="{C6A8C168-4ED9-4B8B-B77B-01397DD6D2B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534" name="AutoShape 12">
          <a:extLst>
            <a:ext uri="{FF2B5EF4-FFF2-40B4-BE49-F238E27FC236}">
              <a16:creationId xmlns:a16="http://schemas.microsoft.com/office/drawing/2014/main" id="{3EE5CAF8-D67B-455D-9C3D-A2996C08B56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535" name="AutoShape 12">
          <a:extLst>
            <a:ext uri="{FF2B5EF4-FFF2-40B4-BE49-F238E27FC236}">
              <a16:creationId xmlns:a16="http://schemas.microsoft.com/office/drawing/2014/main" id="{9230911D-8309-4BAC-A6D3-DDC5D910779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536" name="AutoShape 12">
          <a:extLst>
            <a:ext uri="{FF2B5EF4-FFF2-40B4-BE49-F238E27FC236}">
              <a16:creationId xmlns:a16="http://schemas.microsoft.com/office/drawing/2014/main" id="{97BF7F35-75CF-43BF-B2BA-0B09FACA146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537" name="AutoShape 12">
          <a:extLst>
            <a:ext uri="{FF2B5EF4-FFF2-40B4-BE49-F238E27FC236}">
              <a16:creationId xmlns:a16="http://schemas.microsoft.com/office/drawing/2014/main" id="{0F30C793-B6C8-435E-A0AD-7E0DF49D6FB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538" name="AutoShape 12">
          <a:extLst>
            <a:ext uri="{FF2B5EF4-FFF2-40B4-BE49-F238E27FC236}">
              <a16:creationId xmlns:a16="http://schemas.microsoft.com/office/drawing/2014/main" id="{80E70C17-E25D-4196-A947-BE9F5E563E5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539" name="AutoShape 12">
          <a:extLst>
            <a:ext uri="{FF2B5EF4-FFF2-40B4-BE49-F238E27FC236}">
              <a16:creationId xmlns:a16="http://schemas.microsoft.com/office/drawing/2014/main" id="{A4EA7C77-F7D4-47DB-8869-17D99902F44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540" name="AutoShape 12">
          <a:extLst>
            <a:ext uri="{FF2B5EF4-FFF2-40B4-BE49-F238E27FC236}">
              <a16:creationId xmlns:a16="http://schemas.microsoft.com/office/drawing/2014/main" id="{1C7AAEA9-AF89-4998-9952-B43473488C4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541" name="AutoShape 12">
          <a:extLst>
            <a:ext uri="{FF2B5EF4-FFF2-40B4-BE49-F238E27FC236}">
              <a16:creationId xmlns:a16="http://schemas.microsoft.com/office/drawing/2014/main" id="{C196834B-E297-48AF-9299-22947A97375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542" name="AutoShape 12">
          <a:extLst>
            <a:ext uri="{FF2B5EF4-FFF2-40B4-BE49-F238E27FC236}">
              <a16:creationId xmlns:a16="http://schemas.microsoft.com/office/drawing/2014/main" id="{4CE82FB1-537F-4321-A974-3CB6D6B1E1F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543" name="AutoShape 12">
          <a:extLst>
            <a:ext uri="{FF2B5EF4-FFF2-40B4-BE49-F238E27FC236}">
              <a16:creationId xmlns:a16="http://schemas.microsoft.com/office/drawing/2014/main" id="{08A81B99-9027-49A7-91D4-D4207FD0152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544" name="AutoShape 12">
          <a:extLst>
            <a:ext uri="{FF2B5EF4-FFF2-40B4-BE49-F238E27FC236}">
              <a16:creationId xmlns:a16="http://schemas.microsoft.com/office/drawing/2014/main" id="{26F2DBB6-D2FB-4DE6-B439-D83B938BE68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545" name="AutoShape 12">
          <a:extLst>
            <a:ext uri="{FF2B5EF4-FFF2-40B4-BE49-F238E27FC236}">
              <a16:creationId xmlns:a16="http://schemas.microsoft.com/office/drawing/2014/main" id="{E81A1014-0339-4AAD-9C02-6950962CB00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546" name="AutoShape 12">
          <a:extLst>
            <a:ext uri="{FF2B5EF4-FFF2-40B4-BE49-F238E27FC236}">
              <a16:creationId xmlns:a16="http://schemas.microsoft.com/office/drawing/2014/main" id="{1B6773A7-3AE0-4959-B101-F611EFB897A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547" name="AutoShape 12">
          <a:extLst>
            <a:ext uri="{FF2B5EF4-FFF2-40B4-BE49-F238E27FC236}">
              <a16:creationId xmlns:a16="http://schemas.microsoft.com/office/drawing/2014/main" id="{8582673F-BE00-464D-AD54-9328499D50E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548" name="AutoShape 12">
          <a:extLst>
            <a:ext uri="{FF2B5EF4-FFF2-40B4-BE49-F238E27FC236}">
              <a16:creationId xmlns:a16="http://schemas.microsoft.com/office/drawing/2014/main" id="{0D0980DE-2788-4369-9F66-A043C250ACC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549" name="AutoShape 12">
          <a:extLst>
            <a:ext uri="{FF2B5EF4-FFF2-40B4-BE49-F238E27FC236}">
              <a16:creationId xmlns:a16="http://schemas.microsoft.com/office/drawing/2014/main" id="{E20A15F6-5113-4802-913D-D2A819CF5CA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550" name="AutoShape 12">
          <a:extLst>
            <a:ext uri="{FF2B5EF4-FFF2-40B4-BE49-F238E27FC236}">
              <a16:creationId xmlns:a16="http://schemas.microsoft.com/office/drawing/2014/main" id="{6F985E79-0E3D-4ECF-865E-77C1CF519FA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551" name="AutoShape 12">
          <a:extLst>
            <a:ext uri="{FF2B5EF4-FFF2-40B4-BE49-F238E27FC236}">
              <a16:creationId xmlns:a16="http://schemas.microsoft.com/office/drawing/2014/main" id="{5EFC86D7-887E-4F8C-9768-58D5A94BACB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552" name="AutoShape 12">
          <a:extLst>
            <a:ext uri="{FF2B5EF4-FFF2-40B4-BE49-F238E27FC236}">
              <a16:creationId xmlns:a16="http://schemas.microsoft.com/office/drawing/2014/main" id="{3BC50795-251C-4479-B214-DF1E6144515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553" name="AutoShape 12">
          <a:extLst>
            <a:ext uri="{FF2B5EF4-FFF2-40B4-BE49-F238E27FC236}">
              <a16:creationId xmlns:a16="http://schemas.microsoft.com/office/drawing/2014/main" id="{D28A6B91-C710-4A91-9AD2-63F0D835CF2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554" name="AutoShape 12">
          <a:extLst>
            <a:ext uri="{FF2B5EF4-FFF2-40B4-BE49-F238E27FC236}">
              <a16:creationId xmlns:a16="http://schemas.microsoft.com/office/drawing/2014/main" id="{FE1A4972-4E41-477E-8ABC-9BA2DDBF482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555" name="AutoShape 12">
          <a:extLst>
            <a:ext uri="{FF2B5EF4-FFF2-40B4-BE49-F238E27FC236}">
              <a16:creationId xmlns:a16="http://schemas.microsoft.com/office/drawing/2014/main" id="{7EB79011-2B0C-45BE-B26E-7156CB2E222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556" name="AutoShape 12">
          <a:extLst>
            <a:ext uri="{FF2B5EF4-FFF2-40B4-BE49-F238E27FC236}">
              <a16:creationId xmlns:a16="http://schemas.microsoft.com/office/drawing/2014/main" id="{2A700040-1E78-44A6-803B-DF142A39B91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557" name="AutoShape 12">
          <a:extLst>
            <a:ext uri="{FF2B5EF4-FFF2-40B4-BE49-F238E27FC236}">
              <a16:creationId xmlns:a16="http://schemas.microsoft.com/office/drawing/2014/main" id="{6F647EB6-A282-49A7-A686-817F692559D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558" name="AutoShape 12">
          <a:extLst>
            <a:ext uri="{FF2B5EF4-FFF2-40B4-BE49-F238E27FC236}">
              <a16:creationId xmlns:a16="http://schemas.microsoft.com/office/drawing/2014/main" id="{2595823F-0C1B-430B-AE0D-EBBF060DABB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559" name="AutoShape 12">
          <a:extLst>
            <a:ext uri="{FF2B5EF4-FFF2-40B4-BE49-F238E27FC236}">
              <a16:creationId xmlns:a16="http://schemas.microsoft.com/office/drawing/2014/main" id="{9C81F881-449E-42B5-8EA8-9798C716B50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560" name="AutoShape 12">
          <a:extLst>
            <a:ext uri="{FF2B5EF4-FFF2-40B4-BE49-F238E27FC236}">
              <a16:creationId xmlns:a16="http://schemas.microsoft.com/office/drawing/2014/main" id="{9B104EA6-8AC1-4600-A6A9-D46E2E87DB6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561" name="AutoShape 12">
          <a:extLst>
            <a:ext uri="{FF2B5EF4-FFF2-40B4-BE49-F238E27FC236}">
              <a16:creationId xmlns:a16="http://schemas.microsoft.com/office/drawing/2014/main" id="{C7FCBF21-C8B3-466D-85BE-0D11EC76A3D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562" name="AutoShape 12">
          <a:extLst>
            <a:ext uri="{FF2B5EF4-FFF2-40B4-BE49-F238E27FC236}">
              <a16:creationId xmlns:a16="http://schemas.microsoft.com/office/drawing/2014/main" id="{57BA1001-0F1C-426F-84B1-69C4ECC4CF2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563" name="AutoShape 12">
          <a:extLst>
            <a:ext uri="{FF2B5EF4-FFF2-40B4-BE49-F238E27FC236}">
              <a16:creationId xmlns:a16="http://schemas.microsoft.com/office/drawing/2014/main" id="{CF4E3564-22A5-44B1-A7C4-EBF50C241DA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564" name="AutoShape 12">
          <a:extLst>
            <a:ext uri="{FF2B5EF4-FFF2-40B4-BE49-F238E27FC236}">
              <a16:creationId xmlns:a16="http://schemas.microsoft.com/office/drawing/2014/main" id="{3D2BA9CA-13E9-47DC-AE43-A3A7996856E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565" name="AutoShape 12">
          <a:extLst>
            <a:ext uri="{FF2B5EF4-FFF2-40B4-BE49-F238E27FC236}">
              <a16:creationId xmlns:a16="http://schemas.microsoft.com/office/drawing/2014/main" id="{679F35BC-CE28-45FB-8C05-9D0FC7353CC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566" name="AutoShape 12">
          <a:extLst>
            <a:ext uri="{FF2B5EF4-FFF2-40B4-BE49-F238E27FC236}">
              <a16:creationId xmlns:a16="http://schemas.microsoft.com/office/drawing/2014/main" id="{E1D1CABC-FCA9-4243-AB73-915B8DF113F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567" name="AutoShape 12">
          <a:extLst>
            <a:ext uri="{FF2B5EF4-FFF2-40B4-BE49-F238E27FC236}">
              <a16:creationId xmlns:a16="http://schemas.microsoft.com/office/drawing/2014/main" id="{261AC85E-8DD6-4319-9553-3CC4D5D8B48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568" name="AutoShape 12">
          <a:extLst>
            <a:ext uri="{FF2B5EF4-FFF2-40B4-BE49-F238E27FC236}">
              <a16:creationId xmlns:a16="http://schemas.microsoft.com/office/drawing/2014/main" id="{34C1A3C5-77F6-4466-94AB-4EEF86585FD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569" name="AutoShape 12">
          <a:extLst>
            <a:ext uri="{FF2B5EF4-FFF2-40B4-BE49-F238E27FC236}">
              <a16:creationId xmlns:a16="http://schemas.microsoft.com/office/drawing/2014/main" id="{3070AC8B-A461-4B04-89BA-8777ECD09E6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570" name="AutoShape 12">
          <a:extLst>
            <a:ext uri="{FF2B5EF4-FFF2-40B4-BE49-F238E27FC236}">
              <a16:creationId xmlns:a16="http://schemas.microsoft.com/office/drawing/2014/main" id="{15654D12-DDCE-4C73-8B33-BBBE376B550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571" name="AutoShape 12">
          <a:extLst>
            <a:ext uri="{FF2B5EF4-FFF2-40B4-BE49-F238E27FC236}">
              <a16:creationId xmlns:a16="http://schemas.microsoft.com/office/drawing/2014/main" id="{A8913FA3-0BCF-47F9-81BC-DAC6085942A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572" name="AutoShape 12">
          <a:extLst>
            <a:ext uri="{FF2B5EF4-FFF2-40B4-BE49-F238E27FC236}">
              <a16:creationId xmlns:a16="http://schemas.microsoft.com/office/drawing/2014/main" id="{333A73F6-1753-4129-B25C-373CF225BFE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573" name="AutoShape 12">
          <a:extLst>
            <a:ext uri="{FF2B5EF4-FFF2-40B4-BE49-F238E27FC236}">
              <a16:creationId xmlns:a16="http://schemas.microsoft.com/office/drawing/2014/main" id="{432A3DE8-F949-4D60-BF36-97C90BAD63C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574" name="AutoShape 12">
          <a:extLst>
            <a:ext uri="{FF2B5EF4-FFF2-40B4-BE49-F238E27FC236}">
              <a16:creationId xmlns:a16="http://schemas.microsoft.com/office/drawing/2014/main" id="{4D8D5F03-E1BC-4CC4-BCD1-6BE4EF66DBD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575" name="AutoShape 12">
          <a:extLst>
            <a:ext uri="{FF2B5EF4-FFF2-40B4-BE49-F238E27FC236}">
              <a16:creationId xmlns:a16="http://schemas.microsoft.com/office/drawing/2014/main" id="{4602099E-74B2-46E1-A2B8-67A1698AF84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576" name="AutoShape 12">
          <a:extLst>
            <a:ext uri="{FF2B5EF4-FFF2-40B4-BE49-F238E27FC236}">
              <a16:creationId xmlns:a16="http://schemas.microsoft.com/office/drawing/2014/main" id="{1A8E2DCA-54B6-4F87-A5BA-47BE6F70F6C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577" name="AutoShape 12">
          <a:extLst>
            <a:ext uri="{FF2B5EF4-FFF2-40B4-BE49-F238E27FC236}">
              <a16:creationId xmlns:a16="http://schemas.microsoft.com/office/drawing/2014/main" id="{1EAEADFB-ED6B-4FF7-9B7E-C0BA4AD13DC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578" name="AutoShape 12">
          <a:extLst>
            <a:ext uri="{FF2B5EF4-FFF2-40B4-BE49-F238E27FC236}">
              <a16:creationId xmlns:a16="http://schemas.microsoft.com/office/drawing/2014/main" id="{89CE38AF-896B-402F-BFF2-30B7ED6CA03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579" name="AutoShape 12">
          <a:extLst>
            <a:ext uri="{FF2B5EF4-FFF2-40B4-BE49-F238E27FC236}">
              <a16:creationId xmlns:a16="http://schemas.microsoft.com/office/drawing/2014/main" id="{E25D878E-9674-4FB2-9984-902158E9535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1300</xdr:row>
      <xdr:rowOff>0</xdr:rowOff>
    </xdr:from>
    <xdr:ext cx="304800" cy="304094"/>
    <xdr:sp macro="" textlink="">
      <xdr:nvSpPr>
        <xdr:cNvPr id="10580" name="AutoShape 12">
          <a:extLst>
            <a:ext uri="{FF2B5EF4-FFF2-40B4-BE49-F238E27FC236}">
              <a16:creationId xmlns:a16="http://schemas.microsoft.com/office/drawing/2014/main" id="{11ED7E8B-42A1-4AE9-9004-B21FD6EF6A0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581" name="AutoShape 12">
          <a:extLst>
            <a:ext uri="{FF2B5EF4-FFF2-40B4-BE49-F238E27FC236}">
              <a16:creationId xmlns:a16="http://schemas.microsoft.com/office/drawing/2014/main" id="{8458F9BF-A4B0-48D4-91DC-30D9BEFD59B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582" name="AutoShape 12">
          <a:extLst>
            <a:ext uri="{FF2B5EF4-FFF2-40B4-BE49-F238E27FC236}">
              <a16:creationId xmlns:a16="http://schemas.microsoft.com/office/drawing/2014/main" id="{EC10D222-7FD0-435A-A69D-A7C50F53858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583" name="AutoShape 12">
          <a:extLst>
            <a:ext uri="{FF2B5EF4-FFF2-40B4-BE49-F238E27FC236}">
              <a16:creationId xmlns:a16="http://schemas.microsoft.com/office/drawing/2014/main" id="{CE6EFB49-F1FB-4685-AAF3-8433E248820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584" name="AutoShape 12">
          <a:extLst>
            <a:ext uri="{FF2B5EF4-FFF2-40B4-BE49-F238E27FC236}">
              <a16:creationId xmlns:a16="http://schemas.microsoft.com/office/drawing/2014/main" id="{E5A0AA4A-C0EB-4967-90A3-EF05F6516C3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585" name="AutoShape 12">
          <a:extLst>
            <a:ext uri="{FF2B5EF4-FFF2-40B4-BE49-F238E27FC236}">
              <a16:creationId xmlns:a16="http://schemas.microsoft.com/office/drawing/2014/main" id="{00CD4CAB-7257-4459-83DD-489E5298206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586" name="AutoShape 12">
          <a:extLst>
            <a:ext uri="{FF2B5EF4-FFF2-40B4-BE49-F238E27FC236}">
              <a16:creationId xmlns:a16="http://schemas.microsoft.com/office/drawing/2014/main" id="{EB83CE67-5DC4-4384-9C74-2DCD4C05AA6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587" name="AutoShape 12">
          <a:extLst>
            <a:ext uri="{FF2B5EF4-FFF2-40B4-BE49-F238E27FC236}">
              <a16:creationId xmlns:a16="http://schemas.microsoft.com/office/drawing/2014/main" id="{64D38F9E-CB25-40FD-84A0-FE9F0DE80CB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588" name="AutoShape 12">
          <a:extLst>
            <a:ext uri="{FF2B5EF4-FFF2-40B4-BE49-F238E27FC236}">
              <a16:creationId xmlns:a16="http://schemas.microsoft.com/office/drawing/2014/main" id="{7EE3C736-0E6D-4C42-B0AE-2415016C0EE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589" name="AutoShape 12">
          <a:extLst>
            <a:ext uri="{FF2B5EF4-FFF2-40B4-BE49-F238E27FC236}">
              <a16:creationId xmlns:a16="http://schemas.microsoft.com/office/drawing/2014/main" id="{7A313645-E1FC-42AD-96EA-C2FAFCE235E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590" name="AutoShape 12">
          <a:extLst>
            <a:ext uri="{FF2B5EF4-FFF2-40B4-BE49-F238E27FC236}">
              <a16:creationId xmlns:a16="http://schemas.microsoft.com/office/drawing/2014/main" id="{EDE0B504-72D7-40E1-808C-668037E383C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591" name="AutoShape 12">
          <a:extLst>
            <a:ext uri="{FF2B5EF4-FFF2-40B4-BE49-F238E27FC236}">
              <a16:creationId xmlns:a16="http://schemas.microsoft.com/office/drawing/2014/main" id="{5F068957-F1F4-489F-AC90-9724D16947A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592" name="AutoShape 12">
          <a:extLst>
            <a:ext uri="{FF2B5EF4-FFF2-40B4-BE49-F238E27FC236}">
              <a16:creationId xmlns:a16="http://schemas.microsoft.com/office/drawing/2014/main" id="{4A7ADFE0-FE6C-4848-A970-01CAE7C0034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593" name="AutoShape 12">
          <a:extLst>
            <a:ext uri="{FF2B5EF4-FFF2-40B4-BE49-F238E27FC236}">
              <a16:creationId xmlns:a16="http://schemas.microsoft.com/office/drawing/2014/main" id="{119C5E45-C84A-4846-BAC9-AD4689864D8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594" name="AutoShape 12">
          <a:extLst>
            <a:ext uri="{FF2B5EF4-FFF2-40B4-BE49-F238E27FC236}">
              <a16:creationId xmlns:a16="http://schemas.microsoft.com/office/drawing/2014/main" id="{78050C02-EC55-4572-8576-760B3BF1085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595" name="AutoShape 12">
          <a:extLst>
            <a:ext uri="{FF2B5EF4-FFF2-40B4-BE49-F238E27FC236}">
              <a16:creationId xmlns:a16="http://schemas.microsoft.com/office/drawing/2014/main" id="{830166E2-BAF1-4A9C-9ABA-9677DA278BD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596" name="AutoShape 12">
          <a:extLst>
            <a:ext uri="{FF2B5EF4-FFF2-40B4-BE49-F238E27FC236}">
              <a16:creationId xmlns:a16="http://schemas.microsoft.com/office/drawing/2014/main" id="{71EFA300-C4D9-4320-8F97-6B4931D8274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597" name="AutoShape 12">
          <a:extLst>
            <a:ext uri="{FF2B5EF4-FFF2-40B4-BE49-F238E27FC236}">
              <a16:creationId xmlns:a16="http://schemas.microsoft.com/office/drawing/2014/main" id="{77917CF5-6BDD-4CD6-B4D5-7ED0FF77310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598" name="AutoShape 12">
          <a:extLst>
            <a:ext uri="{FF2B5EF4-FFF2-40B4-BE49-F238E27FC236}">
              <a16:creationId xmlns:a16="http://schemas.microsoft.com/office/drawing/2014/main" id="{70E922FD-4C3A-4DEF-9AC4-EA6FB0A57E4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599" name="AutoShape 12">
          <a:extLst>
            <a:ext uri="{FF2B5EF4-FFF2-40B4-BE49-F238E27FC236}">
              <a16:creationId xmlns:a16="http://schemas.microsoft.com/office/drawing/2014/main" id="{B28AAF77-26F0-4A6C-8062-71B0ED79FA3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600" name="AutoShape 12">
          <a:extLst>
            <a:ext uri="{FF2B5EF4-FFF2-40B4-BE49-F238E27FC236}">
              <a16:creationId xmlns:a16="http://schemas.microsoft.com/office/drawing/2014/main" id="{45364990-BEC1-4BAC-9DA9-F84B25BB7D5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601" name="AutoShape 12">
          <a:extLst>
            <a:ext uri="{FF2B5EF4-FFF2-40B4-BE49-F238E27FC236}">
              <a16:creationId xmlns:a16="http://schemas.microsoft.com/office/drawing/2014/main" id="{3B68B2D6-2B05-4840-8EFE-CA8AD37427B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602" name="AutoShape 12">
          <a:extLst>
            <a:ext uri="{FF2B5EF4-FFF2-40B4-BE49-F238E27FC236}">
              <a16:creationId xmlns:a16="http://schemas.microsoft.com/office/drawing/2014/main" id="{5611C196-64B4-4E0B-BA6A-D316EB4E047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603" name="AutoShape 12">
          <a:extLst>
            <a:ext uri="{FF2B5EF4-FFF2-40B4-BE49-F238E27FC236}">
              <a16:creationId xmlns:a16="http://schemas.microsoft.com/office/drawing/2014/main" id="{8E82752F-B7A0-4BBA-B1EE-B3E6594AF9A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604" name="AutoShape 12">
          <a:extLst>
            <a:ext uri="{FF2B5EF4-FFF2-40B4-BE49-F238E27FC236}">
              <a16:creationId xmlns:a16="http://schemas.microsoft.com/office/drawing/2014/main" id="{AD373638-5237-4E33-85E9-16B8B0387C7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605" name="AutoShape 12">
          <a:extLst>
            <a:ext uri="{FF2B5EF4-FFF2-40B4-BE49-F238E27FC236}">
              <a16:creationId xmlns:a16="http://schemas.microsoft.com/office/drawing/2014/main" id="{8DD36579-5E44-4E12-B983-378B74F4CAF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606" name="AutoShape 12">
          <a:extLst>
            <a:ext uri="{FF2B5EF4-FFF2-40B4-BE49-F238E27FC236}">
              <a16:creationId xmlns:a16="http://schemas.microsoft.com/office/drawing/2014/main" id="{1FC26528-959F-409C-A219-8AED8F710BA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607" name="AutoShape 12">
          <a:extLst>
            <a:ext uri="{FF2B5EF4-FFF2-40B4-BE49-F238E27FC236}">
              <a16:creationId xmlns:a16="http://schemas.microsoft.com/office/drawing/2014/main" id="{6F783D00-69D3-4FF0-9C17-2CCA2B627AD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608" name="AutoShape 12">
          <a:extLst>
            <a:ext uri="{FF2B5EF4-FFF2-40B4-BE49-F238E27FC236}">
              <a16:creationId xmlns:a16="http://schemas.microsoft.com/office/drawing/2014/main" id="{B0E1D0C5-AABD-4E2C-B685-11FAC68F0D8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609" name="AutoShape 12">
          <a:extLst>
            <a:ext uri="{FF2B5EF4-FFF2-40B4-BE49-F238E27FC236}">
              <a16:creationId xmlns:a16="http://schemas.microsoft.com/office/drawing/2014/main" id="{E53E0738-AA29-4DCE-A879-F1CAFB78D99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610" name="AutoShape 12">
          <a:extLst>
            <a:ext uri="{FF2B5EF4-FFF2-40B4-BE49-F238E27FC236}">
              <a16:creationId xmlns:a16="http://schemas.microsoft.com/office/drawing/2014/main" id="{B56CC8B8-58B6-4CD4-AE83-B794BDB9980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611" name="AutoShape 12">
          <a:extLst>
            <a:ext uri="{FF2B5EF4-FFF2-40B4-BE49-F238E27FC236}">
              <a16:creationId xmlns:a16="http://schemas.microsoft.com/office/drawing/2014/main" id="{0DFFEF57-C34E-4EE6-8623-795B8D7E9F6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612" name="AutoShape 12">
          <a:extLst>
            <a:ext uri="{FF2B5EF4-FFF2-40B4-BE49-F238E27FC236}">
              <a16:creationId xmlns:a16="http://schemas.microsoft.com/office/drawing/2014/main" id="{5AC733E2-3813-4EED-BCA7-85B7D726B42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613" name="AutoShape 12">
          <a:extLst>
            <a:ext uri="{FF2B5EF4-FFF2-40B4-BE49-F238E27FC236}">
              <a16:creationId xmlns:a16="http://schemas.microsoft.com/office/drawing/2014/main" id="{20B76442-D4F0-4E83-B4A7-34083F00FAB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614" name="AutoShape 12">
          <a:extLst>
            <a:ext uri="{FF2B5EF4-FFF2-40B4-BE49-F238E27FC236}">
              <a16:creationId xmlns:a16="http://schemas.microsoft.com/office/drawing/2014/main" id="{30041987-4A81-44C9-9EF1-35726245CF4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615" name="AutoShape 12">
          <a:extLst>
            <a:ext uri="{FF2B5EF4-FFF2-40B4-BE49-F238E27FC236}">
              <a16:creationId xmlns:a16="http://schemas.microsoft.com/office/drawing/2014/main" id="{B141ECEC-1942-4630-A1C4-ABABB668660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616" name="AutoShape 12">
          <a:extLst>
            <a:ext uri="{FF2B5EF4-FFF2-40B4-BE49-F238E27FC236}">
              <a16:creationId xmlns:a16="http://schemas.microsoft.com/office/drawing/2014/main" id="{2A26CBFA-D41F-4DD6-B896-C418488F694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617" name="AutoShape 12">
          <a:extLst>
            <a:ext uri="{FF2B5EF4-FFF2-40B4-BE49-F238E27FC236}">
              <a16:creationId xmlns:a16="http://schemas.microsoft.com/office/drawing/2014/main" id="{55A7A0B3-A8AE-4620-B686-E510FA4933F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618" name="AutoShape 12">
          <a:extLst>
            <a:ext uri="{FF2B5EF4-FFF2-40B4-BE49-F238E27FC236}">
              <a16:creationId xmlns:a16="http://schemas.microsoft.com/office/drawing/2014/main" id="{5DC8E166-4FD4-4359-BE86-05DD7FECE9A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619" name="AutoShape 12">
          <a:extLst>
            <a:ext uri="{FF2B5EF4-FFF2-40B4-BE49-F238E27FC236}">
              <a16:creationId xmlns:a16="http://schemas.microsoft.com/office/drawing/2014/main" id="{780405FA-2FDD-4A37-AF1B-EC1CF9353AD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620" name="AutoShape 12">
          <a:extLst>
            <a:ext uri="{FF2B5EF4-FFF2-40B4-BE49-F238E27FC236}">
              <a16:creationId xmlns:a16="http://schemas.microsoft.com/office/drawing/2014/main" id="{1075B241-383C-4EBD-B469-123300E55C7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621" name="AutoShape 12">
          <a:extLst>
            <a:ext uri="{FF2B5EF4-FFF2-40B4-BE49-F238E27FC236}">
              <a16:creationId xmlns:a16="http://schemas.microsoft.com/office/drawing/2014/main" id="{CE7729B7-020B-43D1-845F-8A91E5AB655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622" name="AutoShape 12">
          <a:extLst>
            <a:ext uri="{FF2B5EF4-FFF2-40B4-BE49-F238E27FC236}">
              <a16:creationId xmlns:a16="http://schemas.microsoft.com/office/drawing/2014/main" id="{6E8096F9-4945-41D3-9003-E06C18B8F10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623" name="AutoShape 12">
          <a:extLst>
            <a:ext uri="{FF2B5EF4-FFF2-40B4-BE49-F238E27FC236}">
              <a16:creationId xmlns:a16="http://schemas.microsoft.com/office/drawing/2014/main" id="{79231FC6-2EDD-48E3-ADE5-1DA064493C2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624" name="AutoShape 12">
          <a:extLst>
            <a:ext uri="{FF2B5EF4-FFF2-40B4-BE49-F238E27FC236}">
              <a16:creationId xmlns:a16="http://schemas.microsoft.com/office/drawing/2014/main" id="{2E54BF82-1F65-4530-B5BE-421E5700BB5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625" name="AutoShape 12">
          <a:extLst>
            <a:ext uri="{FF2B5EF4-FFF2-40B4-BE49-F238E27FC236}">
              <a16:creationId xmlns:a16="http://schemas.microsoft.com/office/drawing/2014/main" id="{F84106D1-C8C1-46DE-B99D-46E5F4D4AF7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626" name="AutoShape 12">
          <a:extLst>
            <a:ext uri="{FF2B5EF4-FFF2-40B4-BE49-F238E27FC236}">
              <a16:creationId xmlns:a16="http://schemas.microsoft.com/office/drawing/2014/main" id="{31808D69-67CC-47C9-B901-1F833A6B162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627" name="AutoShape 12">
          <a:extLst>
            <a:ext uri="{FF2B5EF4-FFF2-40B4-BE49-F238E27FC236}">
              <a16:creationId xmlns:a16="http://schemas.microsoft.com/office/drawing/2014/main" id="{25A9A997-5BCD-4A15-AA7A-A51B4DAA13B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628" name="AutoShape 12">
          <a:extLst>
            <a:ext uri="{FF2B5EF4-FFF2-40B4-BE49-F238E27FC236}">
              <a16:creationId xmlns:a16="http://schemas.microsoft.com/office/drawing/2014/main" id="{A96AD4B1-D494-418F-B2A6-792A28D6114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629" name="AutoShape 12">
          <a:extLst>
            <a:ext uri="{FF2B5EF4-FFF2-40B4-BE49-F238E27FC236}">
              <a16:creationId xmlns:a16="http://schemas.microsoft.com/office/drawing/2014/main" id="{117A8990-BD7E-4357-B4C3-B2B54FDCF27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630" name="AutoShape 12">
          <a:extLst>
            <a:ext uri="{FF2B5EF4-FFF2-40B4-BE49-F238E27FC236}">
              <a16:creationId xmlns:a16="http://schemas.microsoft.com/office/drawing/2014/main" id="{2BB54984-186C-4F66-B433-B58A37CF613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631" name="AutoShape 12">
          <a:extLst>
            <a:ext uri="{FF2B5EF4-FFF2-40B4-BE49-F238E27FC236}">
              <a16:creationId xmlns:a16="http://schemas.microsoft.com/office/drawing/2014/main" id="{D4DD28D0-A495-45F9-B9F3-8E8350AAA09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632" name="AutoShape 12">
          <a:extLst>
            <a:ext uri="{FF2B5EF4-FFF2-40B4-BE49-F238E27FC236}">
              <a16:creationId xmlns:a16="http://schemas.microsoft.com/office/drawing/2014/main" id="{4673BDB4-B075-4F09-9074-88275EF17E9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633" name="AutoShape 12">
          <a:extLst>
            <a:ext uri="{FF2B5EF4-FFF2-40B4-BE49-F238E27FC236}">
              <a16:creationId xmlns:a16="http://schemas.microsoft.com/office/drawing/2014/main" id="{50B38576-01AC-47BE-BD6F-AA94B1AD58D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634" name="AutoShape 12">
          <a:extLst>
            <a:ext uri="{FF2B5EF4-FFF2-40B4-BE49-F238E27FC236}">
              <a16:creationId xmlns:a16="http://schemas.microsoft.com/office/drawing/2014/main" id="{E4A69D88-FACB-4920-A5B7-B4143077196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635" name="AutoShape 12">
          <a:extLst>
            <a:ext uri="{FF2B5EF4-FFF2-40B4-BE49-F238E27FC236}">
              <a16:creationId xmlns:a16="http://schemas.microsoft.com/office/drawing/2014/main" id="{35283D8D-DE9D-4688-A8E9-F958D36B643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636" name="AutoShape 12">
          <a:extLst>
            <a:ext uri="{FF2B5EF4-FFF2-40B4-BE49-F238E27FC236}">
              <a16:creationId xmlns:a16="http://schemas.microsoft.com/office/drawing/2014/main" id="{8934895D-E1CE-4552-A42B-FBCE95C5E50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637" name="AutoShape 12">
          <a:extLst>
            <a:ext uri="{FF2B5EF4-FFF2-40B4-BE49-F238E27FC236}">
              <a16:creationId xmlns:a16="http://schemas.microsoft.com/office/drawing/2014/main" id="{01049B0B-0F38-411C-B713-1504E35DC46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638" name="AutoShape 12">
          <a:extLst>
            <a:ext uri="{FF2B5EF4-FFF2-40B4-BE49-F238E27FC236}">
              <a16:creationId xmlns:a16="http://schemas.microsoft.com/office/drawing/2014/main" id="{5C28251C-42C3-446D-A539-6EE9A13B70A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639" name="AutoShape 12">
          <a:extLst>
            <a:ext uri="{FF2B5EF4-FFF2-40B4-BE49-F238E27FC236}">
              <a16:creationId xmlns:a16="http://schemas.microsoft.com/office/drawing/2014/main" id="{6434AFDF-AFDE-4567-B17A-8433BDAEB16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640" name="AutoShape 12">
          <a:extLst>
            <a:ext uri="{FF2B5EF4-FFF2-40B4-BE49-F238E27FC236}">
              <a16:creationId xmlns:a16="http://schemas.microsoft.com/office/drawing/2014/main" id="{3CB053E3-F540-41C8-BF17-7FA96953B7B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641" name="AutoShape 12">
          <a:extLst>
            <a:ext uri="{FF2B5EF4-FFF2-40B4-BE49-F238E27FC236}">
              <a16:creationId xmlns:a16="http://schemas.microsoft.com/office/drawing/2014/main" id="{99EB39B3-E53F-4038-9271-60A4FB7D650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642" name="AutoShape 12">
          <a:extLst>
            <a:ext uri="{FF2B5EF4-FFF2-40B4-BE49-F238E27FC236}">
              <a16:creationId xmlns:a16="http://schemas.microsoft.com/office/drawing/2014/main" id="{C7AF4D09-6CF6-44C4-83BB-BEAAEA8D583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643" name="AutoShape 12">
          <a:extLst>
            <a:ext uri="{FF2B5EF4-FFF2-40B4-BE49-F238E27FC236}">
              <a16:creationId xmlns:a16="http://schemas.microsoft.com/office/drawing/2014/main" id="{03127E69-32E8-4B13-8436-735BFD23A84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644" name="AutoShape 12">
          <a:extLst>
            <a:ext uri="{FF2B5EF4-FFF2-40B4-BE49-F238E27FC236}">
              <a16:creationId xmlns:a16="http://schemas.microsoft.com/office/drawing/2014/main" id="{A7D88A73-7F1F-4144-AB64-CA6969F5FCE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645" name="AutoShape 12">
          <a:extLst>
            <a:ext uri="{FF2B5EF4-FFF2-40B4-BE49-F238E27FC236}">
              <a16:creationId xmlns:a16="http://schemas.microsoft.com/office/drawing/2014/main" id="{7407DBB6-134A-4A03-A125-1D37A97489A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646" name="AutoShape 12">
          <a:extLst>
            <a:ext uri="{FF2B5EF4-FFF2-40B4-BE49-F238E27FC236}">
              <a16:creationId xmlns:a16="http://schemas.microsoft.com/office/drawing/2014/main" id="{ED2B38CA-3496-4CF8-9590-340AC64BBF7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647" name="AutoShape 12">
          <a:extLst>
            <a:ext uri="{FF2B5EF4-FFF2-40B4-BE49-F238E27FC236}">
              <a16:creationId xmlns:a16="http://schemas.microsoft.com/office/drawing/2014/main" id="{2141E7C4-670B-4BD1-93D0-A7E340C221E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648" name="AutoShape 12">
          <a:extLst>
            <a:ext uri="{FF2B5EF4-FFF2-40B4-BE49-F238E27FC236}">
              <a16:creationId xmlns:a16="http://schemas.microsoft.com/office/drawing/2014/main" id="{1ECA8611-B414-4F44-88F2-655F810F4B7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649" name="AutoShape 12">
          <a:extLst>
            <a:ext uri="{FF2B5EF4-FFF2-40B4-BE49-F238E27FC236}">
              <a16:creationId xmlns:a16="http://schemas.microsoft.com/office/drawing/2014/main" id="{7FE27D79-5075-4660-A58F-C01218E091A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650" name="AutoShape 12">
          <a:extLst>
            <a:ext uri="{FF2B5EF4-FFF2-40B4-BE49-F238E27FC236}">
              <a16:creationId xmlns:a16="http://schemas.microsoft.com/office/drawing/2014/main" id="{C6219D68-544A-4FB4-9E41-DF93B8237D4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651" name="AutoShape 12">
          <a:extLst>
            <a:ext uri="{FF2B5EF4-FFF2-40B4-BE49-F238E27FC236}">
              <a16:creationId xmlns:a16="http://schemas.microsoft.com/office/drawing/2014/main" id="{53B97DA6-ED84-4542-A847-95046522896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652" name="AutoShape 12">
          <a:extLst>
            <a:ext uri="{FF2B5EF4-FFF2-40B4-BE49-F238E27FC236}">
              <a16:creationId xmlns:a16="http://schemas.microsoft.com/office/drawing/2014/main" id="{C0712A37-DF80-4469-8B56-933A1B36E56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653" name="AutoShape 12">
          <a:extLst>
            <a:ext uri="{FF2B5EF4-FFF2-40B4-BE49-F238E27FC236}">
              <a16:creationId xmlns:a16="http://schemas.microsoft.com/office/drawing/2014/main" id="{6D2C5239-214F-4AB2-8478-F6A5F1C938E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654" name="AutoShape 12">
          <a:extLst>
            <a:ext uri="{FF2B5EF4-FFF2-40B4-BE49-F238E27FC236}">
              <a16:creationId xmlns:a16="http://schemas.microsoft.com/office/drawing/2014/main" id="{7D065910-84B3-4BDB-BF01-6D90AC74331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655" name="AutoShape 12">
          <a:extLst>
            <a:ext uri="{FF2B5EF4-FFF2-40B4-BE49-F238E27FC236}">
              <a16:creationId xmlns:a16="http://schemas.microsoft.com/office/drawing/2014/main" id="{9DBA5C56-8950-48F8-AE60-CDFDC61317F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656" name="AutoShape 12">
          <a:extLst>
            <a:ext uri="{FF2B5EF4-FFF2-40B4-BE49-F238E27FC236}">
              <a16:creationId xmlns:a16="http://schemas.microsoft.com/office/drawing/2014/main" id="{3FB63E1F-01B2-47AA-9773-E1A356A776C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657" name="AutoShape 12">
          <a:extLst>
            <a:ext uri="{FF2B5EF4-FFF2-40B4-BE49-F238E27FC236}">
              <a16:creationId xmlns:a16="http://schemas.microsoft.com/office/drawing/2014/main" id="{8F8A97FD-5D4D-498F-A73D-1F079A0B67F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658" name="AutoShape 12">
          <a:extLst>
            <a:ext uri="{FF2B5EF4-FFF2-40B4-BE49-F238E27FC236}">
              <a16:creationId xmlns:a16="http://schemas.microsoft.com/office/drawing/2014/main" id="{A942D5CF-704B-405C-9530-B4A9B81962B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659" name="AutoShape 12">
          <a:extLst>
            <a:ext uri="{FF2B5EF4-FFF2-40B4-BE49-F238E27FC236}">
              <a16:creationId xmlns:a16="http://schemas.microsoft.com/office/drawing/2014/main" id="{98D9B5B2-54CA-4B20-88F0-96E72489248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660" name="AutoShape 12">
          <a:extLst>
            <a:ext uri="{FF2B5EF4-FFF2-40B4-BE49-F238E27FC236}">
              <a16:creationId xmlns:a16="http://schemas.microsoft.com/office/drawing/2014/main" id="{EAC10C18-7764-47A1-BDD7-E2C66FBA333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661" name="AutoShape 12">
          <a:extLst>
            <a:ext uri="{FF2B5EF4-FFF2-40B4-BE49-F238E27FC236}">
              <a16:creationId xmlns:a16="http://schemas.microsoft.com/office/drawing/2014/main" id="{909BA77B-5A15-41BB-8C54-C2A3B7B5D2E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662" name="AutoShape 12">
          <a:extLst>
            <a:ext uri="{FF2B5EF4-FFF2-40B4-BE49-F238E27FC236}">
              <a16:creationId xmlns:a16="http://schemas.microsoft.com/office/drawing/2014/main" id="{6B059A9C-D52C-4DB0-8879-AA23492950C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663" name="AutoShape 12">
          <a:extLst>
            <a:ext uri="{FF2B5EF4-FFF2-40B4-BE49-F238E27FC236}">
              <a16:creationId xmlns:a16="http://schemas.microsoft.com/office/drawing/2014/main" id="{DD5EF62F-BA19-4C28-B466-EEA853A69B5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664" name="AutoShape 12">
          <a:extLst>
            <a:ext uri="{FF2B5EF4-FFF2-40B4-BE49-F238E27FC236}">
              <a16:creationId xmlns:a16="http://schemas.microsoft.com/office/drawing/2014/main" id="{3859CA25-40FB-44E8-978E-6375C153E60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665" name="AutoShape 12">
          <a:extLst>
            <a:ext uri="{FF2B5EF4-FFF2-40B4-BE49-F238E27FC236}">
              <a16:creationId xmlns:a16="http://schemas.microsoft.com/office/drawing/2014/main" id="{232B2EFE-D582-4D77-B6EF-785741FD98F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666" name="AutoShape 12">
          <a:extLst>
            <a:ext uri="{FF2B5EF4-FFF2-40B4-BE49-F238E27FC236}">
              <a16:creationId xmlns:a16="http://schemas.microsoft.com/office/drawing/2014/main" id="{4CF78D3D-9272-4D1E-AA96-0B9F079BE22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667" name="AutoShape 12">
          <a:extLst>
            <a:ext uri="{FF2B5EF4-FFF2-40B4-BE49-F238E27FC236}">
              <a16:creationId xmlns:a16="http://schemas.microsoft.com/office/drawing/2014/main" id="{02929A08-C080-4CA3-946A-661F4B86BB6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668" name="AutoShape 12">
          <a:extLst>
            <a:ext uri="{FF2B5EF4-FFF2-40B4-BE49-F238E27FC236}">
              <a16:creationId xmlns:a16="http://schemas.microsoft.com/office/drawing/2014/main" id="{75455593-3D09-4F3B-BD9D-96B02057353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669" name="AutoShape 12">
          <a:extLst>
            <a:ext uri="{FF2B5EF4-FFF2-40B4-BE49-F238E27FC236}">
              <a16:creationId xmlns:a16="http://schemas.microsoft.com/office/drawing/2014/main" id="{5E56F1DE-1FA3-4666-80CA-F07E96157C4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670" name="AutoShape 12">
          <a:extLst>
            <a:ext uri="{FF2B5EF4-FFF2-40B4-BE49-F238E27FC236}">
              <a16:creationId xmlns:a16="http://schemas.microsoft.com/office/drawing/2014/main" id="{9EE169AF-B832-4377-8463-9269F2CB77C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671" name="AutoShape 12">
          <a:extLst>
            <a:ext uri="{FF2B5EF4-FFF2-40B4-BE49-F238E27FC236}">
              <a16:creationId xmlns:a16="http://schemas.microsoft.com/office/drawing/2014/main" id="{0CD21CAE-28E2-4819-8702-D40F5559A3D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672" name="AutoShape 12">
          <a:extLst>
            <a:ext uri="{FF2B5EF4-FFF2-40B4-BE49-F238E27FC236}">
              <a16:creationId xmlns:a16="http://schemas.microsoft.com/office/drawing/2014/main" id="{DCD91E39-5D23-4800-A1DB-51B42F8CBF5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673" name="AutoShape 12">
          <a:extLst>
            <a:ext uri="{FF2B5EF4-FFF2-40B4-BE49-F238E27FC236}">
              <a16:creationId xmlns:a16="http://schemas.microsoft.com/office/drawing/2014/main" id="{D8ECDB06-35E5-4DB4-9DC6-112F10D1C15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674" name="AutoShape 12">
          <a:extLst>
            <a:ext uri="{FF2B5EF4-FFF2-40B4-BE49-F238E27FC236}">
              <a16:creationId xmlns:a16="http://schemas.microsoft.com/office/drawing/2014/main" id="{B73C40D0-71EB-4E42-ADC3-A12BB979AF6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675" name="AutoShape 12">
          <a:extLst>
            <a:ext uri="{FF2B5EF4-FFF2-40B4-BE49-F238E27FC236}">
              <a16:creationId xmlns:a16="http://schemas.microsoft.com/office/drawing/2014/main" id="{1D191A5F-852D-4BFE-A3C7-902FB25486F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676" name="AutoShape 12">
          <a:extLst>
            <a:ext uri="{FF2B5EF4-FFF2-40B4-BE49-F238E27FC236}">
              <a16:creationId xmlns:a16="http://schemas.microsoft.com/office/drawing/2014/main" id="{02120962-2EE6-4257-A288-80E5698626A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677" name="AutoShape 12">
          <a:extLst>
            <a:ext uri="{FF2B5EF4-FFF2-40B4-BE49-F238E27FC236}">
              <a16:creationId xmlns:a16="http://schemas.microsoft.com/office/drawing/2014/main" id="{ED922A6A-0127-47E3-9D9A-07A9598A265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678" name="AutoShape 12">
          <a:extLst>
            <a:ext uri="{FF2B5EF4-FFF2-40B4-BE49-F238E27FC236}">
              <a16:creationId xmlns:a16="http://schemas.microsoft.com/office/drawing/2014/main" id="{D8AD5E4B-5CA5-4ED4-90F1-E16010A7F6D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679" name="AutoShape 12">
          <a:extLst>
            <a:ext uri="{FF2B5EF4-FFF2-40B4-BE49-F238E27FC236}">
              <a16:creationId xmlns:a16="http://schemas.microsoft.com/office/drawing/2014/main" id="{2E416C55-53F8-430E-BB57-1D4F2DCE6B2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680" name="AutoShape 12">
          <a:extLst>
            <a:ext uri="{FF2B5EF4-FFF2-40B4-BE49-F238E27FC236}">
              <a16:creationId xmlns:a16="http://schemas.microsoft.com/office/drawing/2014/main" id="{A7AF05F5-63F3-4BD7-B9C0-8B05964FDB1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681" name="AutoShape 12">
          <a:extLst>
            <a:ext uri="{FF2B5EF4-FFF2-40B4-BE49-F238E27FC236}">
              <a16:creationId xmlns:a16="http://schemas.microsoft.com/office/drawing/2014/main" id="{DB3BC3D3-F5A1-4A8C-B217-CA2BA4CE1C0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682" name="AutoShape 12">
          <a:extLst>
            <a:ext uri="{FF2B5EF4-FFF2-40B4-BE49-F238E27FC236}">
              <a16:creationId xmlns:a16="http://schemas.microsoft.com/office/drawing/2014/main" id="{D34A11B1-791B-47E0-8350-A9D2A163664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683" name="AutoShape 12">
          <a:extLst>
            <a:ext uri="{FF2B5EF4-FFF2-40B4-BE49-F238E27FC236}">
              <a16:creationId xmlns:a16="http://schemas.microsoft.com/office/drawing/2014/main" id="{9CCFB296-EB29-499C-9C5F-0F42351AD8F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684" name="AutoShape 12">
          <a:extLst>
            <a:ext uri="{FF2B5EF4-FFF2-40B4-BE49-F238E27FC236}">
              <a16:creationId xmlns:a16="http://schemas.microsoft.com/office/drawing/2014/main" id="{7A61B364-1F4A-4DFC-BDBA-99AB13CAE21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685" name="AutoShape 12">
          <a:extLst>
            <a:ext uri="{FF2B5EF4-FFF2-40B4-BE49-F238E27FC236}">
              <a16:creationId xmlns:a16="http://schemas.microsoft.com/office/drawing/2014/main" id="{10C1E1EC-5C8B-4B8D-9980-F156AC1BC58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686" name="AutoShape 12">
          <a:extLst>
            <a:ext uri="{FF2B5EF4-FFF2-40B4-BE49-F238E27FC236}">
              <a16:creationId xmlns:a16="http://schemas.microsoft.com/office/drawing/2014/main" id="{F1CC25F1-D02A-4326-B513-D26CF1C5C17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687" name="AutoShape 12">
          <a:extLst>
            <a:ext uri="{FF2B5EF4-FFF2-40B4-BE49-F238E27FC236}">
              <a16:creationId xmlns:a16="http://schemas.microsoft.com/office/drawing/2014/main" id="{14F5D061-368C-474B-9402-E188FC9D007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688" name="AutoShape 12">
          <a:extLst>
            <a:ext uri="{FF2B5EF4-FFF2-40B4-BE49-F238E27FC236}">
              <a16:creationId xmlns:a16="http://schemas.microsoft.com/office/drawing/2014/main" id="{3A7537A4-208C-4D74-AB10-AFDE00587D2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689" name="AutoShape 12">
          <a:extLst>
            <a:ext uri="{FF2B5EF4-FFF2-40B4-BE49-F238E27FC236}">
              <a16:creationId xmlns:a16="http://schemas.microsoft.com/office/drawing/2014/main" id="{6E6B6513-CD15-4B63-819C-C4CAC794713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690" name="AutoShape 12">
          <a:extLst>
            <a:ext uri="{FF2B5EF4-FFF2-40B4-BE49-F238E27FC236}">
              <a16:creationId xmlns:a16="http://schemas.microsoft.com/office/drawing/2014/main" id="{EFCDAE3D-C0DA-45A8-809D-2D7A517AFBC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691" name="AutoShape 12">
          <a:extLst>
            <a:ext uri="{FF2B5EF4-FFF2-40B4-BE49-F238E27FC236}">
              <a16:creationId xmlns:a16="http://schemas.microsoft.com/office/drawing/2014/main" id="{97D62DA3-06E9-47FB-98AC-B5E7C616A6A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692" name="AutoShape 12">
          <a:extLst>
            <a:ext uri="{FF2B5EF4-FFF2-40B4-BE49-F238E27FC236}">
              <a16:creationId xmlns:a16="http://schemas.microsoft.com/office/drawing/2014/main" id="{9AB1EDE7-1883-4FCA-AAFA-4D6590E257F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693" name="AutoShape 12">
          <a:extLst>
            <a:ext uri="{FF2B5EF4-FFF2-40B4-BE49-F238E27FC236}">
              <a16:creationId xmlns:a16="http://schemas.microsoft.com/office/drawing/2014/main" id="{B8080E9A-4D3A-49D9-AFBD-1A2323F8F7B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694" name="AutoShape 12">
          <a:extLst>
            <a:ext uri="{FF2B5EF4-FFF2-40B4-BE49-F238E27FC236}">
              <a16:creationId xmlns:a16="http://schemas.microsoft.com/office/drawing/2014/main" id="{926A3F8C-EE6B-40A3-AF06-ACA29674513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695" name="AutoShape 12">
          <a:extLst>
            <a:ext uri="{FF2B5EF4-FFF2-40B4-BE49-F238E27FC236}">
              <a16:creationId xmlns:a16="http://schemas.microsoft.com/office/drawing/2014/main" id="{5547A3BC-42E5-40F9-9E7B-7A4EFE14A7A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696" name="AutoShape 12">
          <a:extLst>
            <a:ext uri="{FF2B5EF4-FFF2-40B4-BE49-F238E27FC236}">
              <a16:creationId xmlns:a16="http://schemas.microsoft.com/office/drawing/2014/main" id="{2CA3AA4C-0369-4ECB-AA12-2A7211A272B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697" name="AutoShape 12">
          <a:extLst>
            <a:ext uri="{FF2B5EF4-FFF2-40B4-BE49-F238E27FC236}">
              <a16:creationId xmlns:a16="http://schemas.microsoft.com/office/drawing/2014/main" id="{AD6285EB-37A3-46B3-B2B5-D91AE99513E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698" name="AutoShape 12">
          <a:extLst>
            <a:ext uri="{FF2B5EF4-FFF2-40B4-BE49-F238E27FC236}">
              <a16:creationId xmlns:a16="http://schemas.microsoft.com/office/drawing/2014/main" id="{0E4AB12F-F816-42DD-83F6-47FB3028E96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699" name="AutoShape 12">
          <a:extLst>
            <a:ext uri="{FF2B5EF4-FFF2-40B4-BE49-F238E27FC236}">
              <a16:creationId xmlns:a16="http://schemas.microsoft.com/office/drawing/2014/main" id="{7F7F7349-0B8C-4279-ABC2-00EC8C88AE8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700" name="AutoShape 12">
          <a:extLst>
            <a:ext uri="{FF2B5EF4-FFF2-40B4-BE49-F238E27FC236}">
              <a16:creationId xmlns:a16="http://schemas.microsoft.com/office/drawing/2014/main" id="{1D8F31FB-D368-4C63-A74E-EBBBD38FDBE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701" name="AutoShape 12">
          <a:extLst>
            <a:ext uri="{FF2B5EF4-FFF2-40B4-BE49-F238E27FC236}">
              <a16:creationId xmlns:a16="http://schemas.microsoft.com/office/drawing/2014/main" id="{9AF573E9-22DB-4684-B1B1-6243C555BC3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702" name="AutoShape 12">
          <a:extLst>
            <a:ext uri="{FF2B5EF4-FFF2-40B4-BE49-F238E27FC236}">
              <a16:creationId xmlns:a16="http://schemas.microsoft.com/office/drawing/2014/main" id="{0A8344FE-7D1D-491C-A5D7-6A9629E9752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703" name="AutoShape 12">
          <a:extLst>
            <a:ext uri="{FF2B5EF4-FFF2-40B4-BE49-F238E27FC236}">
              <a16:creationId xmlns:a16="http://schemas.microsoft.com/office/drawing/2014/main" id="{740353F8-7050-4CA8-A1A3-3DFF0C8667A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704" name="AutoShape 12">
          <a:extLst>
            <a:ext uri="{FF2B5EF4-FFF2-40B4-BE49-F238E27FC236}">
              <a16:creationId xmlns:a16="http://schemas.microsoft.com/office/drawing/2014/main" id="{FFB10B11-E3D0-4D22-AC2B-144A4F0148E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705" name="AutoShape 12">
          <a:extLst>
            <a:ext uri="{FF2B5EF4-FFF2-40B4-BE49-F238E27FC236}">
              <a16:creationId xmlns:a16="http://schemas.microsoft.com/office/drawing/2014/main" id="{D8B84E00-77D0-484B-9A48-DD87236301C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706" name="AutoShape 12">
          <a:extLst>
            <a:ext uri="{FF2B5EF4-FFF2-40B4-BE49-F238E27FC236}">
              <a16:creationId xmlns:a16="http://schemas.microsoft.com/office/drawing/2014/main" id="{81EDECCE-DE80-4DD2-A239-8E11CDFD722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707" name="AutoShape 12">
          <a:extLst>
            <a:ext uri="{FF2B5EF4-FFF2-40B4-BE49-F238E27FC236}">
              <a16:creationId xmlns:a16="http://schemas.microsoft.com/office/drawing/2014/main" id="{5A458C84-E99D-4128-8B24-A997EBC542C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708" name="AutoShape 12">
          <a:extLst>
            <a:ext uri="{FF2B5EF4-FFF2-40B4-BE49-F238E27FC236}">
              <a16:creationId xmlns:a16="http://schemas.microsoft.com/office/drawing/2014/main" id="{E541E7E6-42D4-4B26-AE56-DB92818BB4F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709" name="AutoShape 12">
          <a:extLst>
            <a:ext uri="{FF2B5EF4-FFF2-40B4-BE49-F238E27FC236}">
              <a16:creationId xmlns:a16="http://schemas.microsoft.com/office/drawing/2014/main" id="{9E0F29CD-BBCE-4C12-825A-61CC27BF0F8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710" name="AutoShape 12">
          <a:extLst>
            <a:ext uri="{FF2B5EF4-FFF2-40B4-BE49-F238E27FC236}">
              <a16:creationId xmlns:a16="http://schemas.microsoft.com/office/drawing/2014/main" id="{CFC84EE1-91E6-4CE7-B976-7FEB3130D2F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711" name="AutoShape 12">
          <a:extLst>
            <a:ext uri="{FF2B5EF4-FFF2-40B4-BE49-F238E27FC236}">
              <a16:creationId xmlns:a16="http://schemas.microsoft.com/office/drawing/2014/main" id="{6CCBFEA3-78C4-4BA3-BBE7-93300D97D78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712" name="AutoShape 12">
          <a:extLst>
            <a:ext uri="{FF2B5EF4-FFF2-40B4-BE49-F238E27FC236}">
              <a16:creationId xmlns:a16="http://schemas.microsoft.com/office/drawing/2014/main" id="{F317D7C8-AA77-4F84-9B2A-BB65F6EC0AB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713" name="AutoShape 12">
          <a:extLst>
            <a:ext uri="{FF2B5EF4-FFF2-40B4-BE49-F238E27FC236}">
              <a16:creationId xmlns:a16="http://schemas.microsoft.com/office/drawing/2014/main" id="{99747938-A34B-4B49-AAE1-25A2985FEBC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714" name="AutoShape 12">
          <a:extLst>
            <a:ext uri="{FF2B5EF4-FFF2-40B4-BE49-F238E27FC236}">
              <a16:creationId xmlns:a16="http://schemas.microsoft.com/office/drawing/2014/main" id="{9A7672CD-E665-4E62-845C-2D6716AF45B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715" name="AutoShape 12">
          <a:extLst>
            <a:ext uri="{FF2B5EF4-FFF2-40B4-BE49-F238E27FC236}">
              <a16:creationId xmlns:a16="http://schemas.microsoft.com/office/drawing/2014/main" id="{166E8AE7-75D0-46B6-AFC1-C623093C37D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716" name="AutoShape 12">
          <a:extLst>
            <a:ext uri="{FF2B5EF4-FFF2-40B4-BE49-F238E27FC236}">
              <a16:creationId xmlns:a16="http://schemas.microsoft.com/office/drawing/2014/main" id="{4DD1194B-8503-4AAA-A1B0-550B82F030B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717" name="AutoShape 12">
          <a:extLst>
            <a:ext uri="{FF2B5EF4-FFF2-40B4-BE49-F238E27FC236}">
              <a16:creationId xmlns:a16="http://schemas.microsoft.com/office/drawing/2014/main" id="{9FA94A27-F219-492A-A069-AD432EE7497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718" name="AutoShape 12">
          <a:extLst>
            <a:ext uri="{FF2B5EF4-FFF2-40B4-BE49-F238E27FC236}">
              <a16:creationId xmlns:a16="http://schemas.microsoft.com/office/drawing/2014/main" id="{27B49D5C-14FF-43E4-8A39-11EB92E4EC5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719" name="AutoShape 12">
          <a:extLst>
            <a:ext uri="{FF2B5EF4-FFF2-40B4-BE49-F238E27FC236}">
              <a16:creationId xmlns:a16="http://schemas.microsoft.com/office/drawing/2014/main" id="{2CE99BD0-F43D-4F20-A80E-72A7B070A9A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720" name="AutoShape 12">
          <a:extLst>
            <a:ext uri="{FF2B5EF4-FFF2-40B4-BE49-F238E27FC236}">
              <a16:creationId xmlns:a16="http://schemas.microsoft.com/office/drawing/2014/main" id="{82CEC0E0-7710-4ED2-9D2E-CD622597D21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721" name="AutoShape 12">
          <a:extLst>
            <a:ext uri="{FF2B5EF4-FFF2-40B4-BE49-F238E27FC236}">
              <a16:creationId xmlns:a16="http://schemas.microsoft.com/office/drawing/2014/main" id="{B0FD148F-72A2-455B-8D0E-D2C9240750A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722" name="AutoShape 12">
          <a:extLst>
            <a:ext uri="{FF2B5EF4-FFF2-40B4-BE49-F238E27FC236}">
              <a16:creationId xmlns:a16="http://schemas.microsoft.com/office/drawing/2014/main" id="{DC4B758A-4479-4555-8C7F-EDBE77DA17F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723" name="AutoShape 12">
          <a:extLst>
            <a:ext uri="{FF2B5EF4-FFF2-40B4-BE49-F238E27FC236}">
              <a16:creationId xmlns:a16="http://schemas.microsoft.com/office/drawing/2014/main" id="{1A99AA53-7F56-4EE3-B4C0-7E181DCDB1C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724" name="AutoShape 12">
          <a:extLst>
            <a:ext uri="{FF2B5EF4-FFF2-40B4-BE49-F238E27FC236}">
              <a16:creationId xmlns:a16="http://schemas.microsoft.com/office/drawing/2014/main" id="{2E16F08A-1CA4-46E7-B35E-0D4FCDBD140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725" name="AutoShape 12">
          <a:extLst>
            <a:ext uri="{FF2B5EF4-FFF2-40B4-BE49-F238E27FC236}">
              <a16:creationId xmlns:a16="http://schemas.microsoft.com/office/drawing/2014/main" id="{76629CD6-1BA2-4A87-A598-B84F402B8D8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726" name="AutoShape 12">
          <a:extLst>
            <a:ext uri="{FF2B5EF4-FFF2-40B4-BE49-F238E27FC236}">
              <a16:creationId xmlns:a16="http://schemas.microsoft.com/office/drawing/2014/main" id="{EC075DD2-6BFF-4BA3-92EB-EE71C762EC1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727" name="AutoShape 12">
          <a:extLst>
            <a:ext uri="{FF2B5EF4-FFF2-40B4-BE49-F238E27FC236}">
              <a16:creationId xmlns:a16="http://schemas.microsoft.com/office/drawing/2014/main" id="{D7DFFAA1-D26F-486B-B150-FDC394A456F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728" name="AutoShape 12">
          <a:extLst>
            <a:ext uri="{FF2B5EF4-FFF2-40B4-BE49-F238E27FC236}">
              <a16:creationId xmlns:a16="http://schemas.microsoft.com/office/drawing/2014/main" id="{714040EB-6ECB-42BB-9718-0592EDF5CC1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729" name="AutoShape 12">
          <a:extLst>
            <a:ext uri="{FF2B5EF4-FFF2-40B4-BE49-F238E27FC236}">
              <a16:creationId xmlns:a16="http://schemas.microsoft.com/office/drawing/2014/main" id="{C94F2621-D0FF-472C-A7E4-A26E33C1BC6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730" name="AutoShape 12">
          <a:extLst>
            <a:ext uri="{FF2B5EF4-FFF2-40B4-BE49-F238E27FC236}">
              <a16:creationId xmlns:a16="http://schemas.microsoft.com/office/drawing/2014/main" id="{5D32254B-BDAF-4CD5-8628-CF06C6BEFF9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731" name="AutoShape 12">
          <a:extLst>
            <a:ext uri="{FF2B5EF4-FFF2-40B4-BE49-F238E27FC236}">
              <a16:creationId xmlns:a16="http://schemas.microsoft.com/office/drawing/2014/main" id="{D74F5D43-1DBE-4343-95D4-5A888863C42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732" name="AutoShape 12">
          <a:extLst>
            <a:ext uri="{FF2B5EF4-FFF2-40B4-BE49-F238E27FC236}">
              <a16:creationId xmlns:a16="http://schemas.microsoft.com/office/drawing/2014/main" id="{A58925F6-8A3E-4E23-8836-3FE205E6B50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733" name="AutoShape 12">
          <a:extLst>
            <a:ext uri="{FF2B5EF4-FFF2-40B4-BE49-F238E27FC236}">
              <a16:creationId xmlns:a16="http://schemas.microsoft.com/office/drawing/2014/main" id="{1682FA8E-FF48-4C1F-BC39-A0CA2EE13BB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734" name="AutoShape 12">
          <a:extLst>
            <a:ext uri="{FF2B5EF4-FFF2-40B4-BE49-F238E27FC236}">
              <a16:creationId xmlns:a16="http://schemas.microsoft.com/office/drawing/2014/main" id="{9E77CBFA-3052-487E-AADF-57BF01D2B20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735" name="AutoShape 12">
          <a:extLst>
            <a:ext uri="{FF2B5EF4-FFF2-40B4-BE49-F238E27FC236}">
              <a16:creationId xmlns:a16="http://schemas.microsoft.com/office/drawing/2014/main" id="{8C6E1B81-02AE-4F8B-9B87-8D34D300658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736" name="AutoShape 12">
          <a:extLst>
            <a:ext uri="{FF2B5EF4-FFF2-40B4-BE49-F238E27FC236}">
              <a16:creationId xmlns:a16="http://schemas.microsoft.com/office/drawing/2014/main" id="{0DC62A2B-8EC5-4F55-AD7B-68E467E4A09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737" name="AutoShape 12">
          <a:extLst>
            <a:ext uri="{FF2B5EF4-FFF2-40B4-BE49-F238E27FC236}">
              <a16:creationId xmlns:a16="http://schemas.microsoft.com/office/drawing/2014/main" id="{7181F4B6-4843-44E6-A8C9-88E6D0941E8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738" name="AutoShape 12">
          <a:extLst>
            <a:ext uri="{FF2B5EF4-FFF2-40B4-BE49-F238E27FC236}">
              <a16:creationId xmlns:a16="http://schemas.microsoft.com/office/drawing/2014/main" id="{8EF35AF7-205F-4EE6-AEA1-19CD3354A11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739" name="AutoShape 12">
          <a:extLst>
            <a:ext uri="{FF2B5EF4-FFF2-40B4-BE49-F238E27FC236}">
              <a16:creationId xmlns:a16="http://schemas.microsoft.com/office/drawing/2014/main" id="{4B5E8A3E-0CFD-486B-AF0C-CF686ABE22D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740" name="AutoShape 12">
          <a:extLst>
            <a:ext uri="{FF2B5EF4-FFF2-40B4-BE49-F238E27FC236}">
              <a16:creationId xmlns:a16="http://schemas.microsoft.com/office/drawing/2014/main" id="{DEF45FBB-4D6D-40B4-97DE-370D292977D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741" name="AutoShape 12">
          <a:extLst>
            <a:ext uri="{FF2B5EF4-FFF2-40B4-BE49-F238E27FC236}">
              <a16:creationId xmlns:a16="http://schemas.microsoft.com/office/drawing/2014/main" id="{BAD1E6D9-0E48-46B5-B98B-046933D7DB1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742" name="AutoShape 12">
          <a:extLst>
            <a:ext uri="{FF2B5EF4-FFF2-40B4-BE49-F238E27FC236}">
              <a16:creationId xmlns:a16="http://schemas.microsoft.com/office/drawing/2014/main" id="{96CA8632-FD57-4ECE-AEA1-6B953335FC4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743" name="AutoShape 12">
          <a:extLst>
            <a:ext uri="{FF2B5EF4-FFF2-40B4-BE49-F238E27FC236}">
              <a16:creationId xmlns:a16="http://schemas.microsoft.com/office/drawing/2014/main" id="{7B16AE14-8550-4102-84C7-487F14999B0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744" name="AutoShape 12">
          <a:extLst>
            <a:ext uri="{FF2B5EF4-FFF2-40B4-BE49-F238E27FC236}">
              <a16:creationId xmlns:a16="http://schemas.microsoft.com/office/drawing/2014/main" id="{706F37EA-3018-4499-8D1A-75F0B5E7A8B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745" name="AutoShape 12">
          <a:extLst>
            <a:ext uri="{FF2B5EF4-FFF2-40B4-BE49-F238E27FC236}">
              <a16:creationId xmlns:a16="http://schemas.microsoft.com/office/drawing/2014/main" id="{B9753378-9274-4E73-80F5-C936A0EF9A8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746" name="AutoShape 12">
          <a:extLst>
            <a:ext uri="{FF2B5EF4-FFF2-40B4-BE49-F238E27FC236}">
              <a16:creationId xmlns:a16="http://schemas.microsoft.com/office/drawing/2014/main" id="{5D118584-E84A-4EAA-8FC3-2220B060139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747" name="AutoShape 12">
          <a:extLst>
            <a:ext uri="{FF2B5EF4-FFF2-40B4-BE49-F238E27FC236}">
              <a16:creationId xmlns:a16="http://schemas.microsoft.com/office/drawing/2014/main" id="{61C6DD54-56CA-4A95-A3A7-B4C60A1D6AD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748" name="AutoShape 12">
          <a:extLst>
            <a:ext uri="{FF2B5EF4-FFF2-40B4-BE49-F238E27FC236}">
              <a16:creationId xmlns:a16="http://schemas.microsoft.com/office/drawing/2014/main" id="{FF83D823-8114-44AC-A663-1F99170012B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749" name="AutoShape 12">
          <a:extLst>
            <a:ext uri="{FF2B5EF4-FFF2-40B4-BE49-F238E27FC236}">
              <a16:creationId xmlns:a16="http://schemas.microsoft.com/office/drawing/2014/main" id="{E96B5956-2C01-48BA-BBFB-C7CDD0051BC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750" name="AutoShape 12">
          <a:extLst>
            <a:ext uri="{FF2B5EF4-FFF2-40B4-BE49-F238E27FC236}">
              <a16:creationId xmlns:a16="http://schemas.microsoft.com/office/drawing/2014/main" id="{0A5C9F53-8EF7-43C1-AFE4-1BAD3EF645B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751" name="AutoShape 12">
          <a:extLst>
            <a:ext uri="{FF2B5EF4-FFF2-40B4-BE49-F238E27FC236}">
              <a16:creationId xmlns:a16="http://schemas.microsoft.com/office/drawing/2014/main" id="{66ABBB72-2473-4118-957F-9BEC37EEF3F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752" name="AutoShape 12">
          <a:extLst>
            <a:ext uri="{FF2B5EF4-FFF2-40B4-BE49-F238E27FC236}">
              <a16:creationId xmlns:a16="http://schemas.microsoft.com/office/drawing/2014/main" id="{08CE6FA0-0D2F-43A6-92EC-26F06CDBE65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753" name="AutoShape 12">
          <a:extLst>
            <a:ext uri="{FF2B5EF4-FFF2-40B4-BE49-F238E27FC236}">
              <a16:creationId xmlns:a16="http://schemas.microsoft.com/office/drawing/2014/main" id="{725B93D1-F46C-466C-9DD6-7AD77AF28A6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754" name="AutoShape 12">
          <a:extLst>
            <a:ext uri="{FF2B5EF4-FFF2-40B4-BE49-F238E27FC236}">
              <a16:creationId xmlns:a16="http://schemas.microsoft.com/office/drawing/2014/main" id="{1560A304-2829-47EC-AF47-1193F350FEC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755" name="AutoShape 12">
          <a:extLst>
            <a:ext uri="{FF2B5EF4-FFF2-40B4-BE49-F238E27FC236}">
              <a16:creationId xmlns:a16="http://schemas.microsoft.com/office/drawing/2014/main" id="{8EF6AD61-FF9D-4424-8130-C8779C8CA90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756" name="AutoShape 12">
          <a:extLst>
            <a:ext uri="{FF2B5EF4-FFF2-40B4-BE49-F238E27FC236}">
              <a16:creationId xmlns:a16="http://schemas.microsoft.com/office/drawing/2014/main" id="{814A1F9E-179D-47DA-AFFA-8F68A870A33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757" name="AutoShape 12">
          <a:extLst>
            <a:ext uri="{FF2B5EF4-FFF2-40B4-BE49-F238E27FC236}">
              <a16:creationId xmlns:a16="http://schemas.microsoft.com/office/drawing/2014/main" id="{C620830C-7F28-4110-8B88-E670480B04D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758" name="AutoShape 12">
          <a:extLst>
            <a:ext uri="{FF2B5EF4-FFF2-40B4-BE49-F238E27FC236}">
              <a16:creationId xmlns:a16="http://schemas.microsoft.com/office/drawing/2014/main" id="{45D3744A-9B7C-423E-8D5E-931B9160DCB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759" name="AutoShape 12">
          <a:extLst>
            <a:ext uri="{FF2B5EF4-FFF2-40B4-BE49-F238E27FC236}">
              <a16:creationId xmlns:a16="http://schemas.microsoft.com/office/drawing/2014/main" id="{D778D83C-B78E-445E-9F82-2686CF115BD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760" name="AutoShape 12">
          <a:extLst>
            <a:ext uri="{FF2B5EF4-FFF2-40B4-BE49-F238E27FC236}">
              <a16:creationId xmlns:a16="http://schemas.microsoft.com/office/drawing/2014/main" id="{F2CF7B2A-4AB5-49DD-8A25-F04A638B361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761" name="AutoShape 12">
          <a:extLst>
            <a:ext uri="{FF2B5EF4-FFF2-40B4-BE49-F238E27FC236}">
              <a16:creationId xmlns:a16="http://schemas.microsoft.com/office/drawing/2014/main" id="{4176BF6A-7F36-4E7A-B780-D0BCB0F37E8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762" name="AutoShape 12">
          <a:extLst>
            <a:ext uri="{FF2B5EF4-FFF2-40B4-BE49-F238E27FC236}">
              <a16:creationId xmlns:a16="http://schemas.microsoft.com/office/drawing/2014/main" id="{0DAB33FD-9871-4F5A-B222-2FDBEDE757E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763" name="AutoShape 12">
          <a:extLst>
            <a:ext uri="{FF2B5EF4-FFF2-40B4-BE49-F238E27FC236}">
              <a16:creationId xmlns:a16="http://schemas.microsoft.com/office/drawing/2014/main" id="{9C3AD161-116E-4142-B499-143D9D748BC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764" name="AutoShape 12">
          <a:extLst>
            <a:ext uri="{FF2B5EF4-FFF2-40B4-BE49-F238E27FC236}">
              <a16:creationId xmlns:a16="http://schemas.microsoft.com/office/drawing/2014/main" id="{AAC9A45B-A7B1-4BB7-B551-6113A5CC024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765" name="AutoShape 12">
          <a:extLst>
            <a:ext uri="{FF2B5EF4-FFF2-40B4-BE49-F238E27FC236}">
              <a16:creationId xmlns:a16="http://schemas.microsoft.com/office/drawing/2014/main" id="{51B884A0-2C7A-4A65-B73C-271241A5278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766" name="AutoShape 12">
          <a:extLst>
            <a:ext uri="{FF2B5EF4-FFF2-40B4-BE49-F238E27FC236}">
              <a16:creationId xmlns:a16="http://schemas.microsoft.com/office/drawing/2014/main" id="{1524A5A1-ACC8-4BFE-8FFD-E944D563A8C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767" name="AutoShape 12">
          <a:extLst>
            <a:ext uri="{FF2B5EF4-FFF2-40B4-BE49-F238E27FC236}">
              <a16:creationId xmlns:a16="http://schemas.microsoft.com/office/drawing/2014/main" id="{E7D60F81-A0FA-42CD-966B-8DF97215DAF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768" name="AutoShape 12">
          <a:extLst>
            <a:ext uri="{FF2B5EF4-FFF2-40B4-BE49-F238E27FC236}">
              <a16:creationId xmlns:a16="http://schemas.microsoft.com/office/drawing/2014/main" id="{83871D80-3F31-4E4A-B558-1F5590C1B88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769" name="AutoShape 12">
          <a:extLst>
            <a:ext uri="{FF2B5EF4-FFF2-40B4-BE49-F238E27FC236}">
              <a16:creationId xmlns:a16="http://schemas.microsoft.com/office/drawing/2014/main" id="{49451C23-D7C4-4869-BD7F-7EAD393A8D9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770" name="AutoShape 12">
          <a:extLst>
            <a:ext uri="{FF2B5EF4-FFF2-40B4-BE49-F238E27FC236}">
              <a16:creationId xmlns:a16="http://schemas.microsoft.com/office/drawing/2014/main" id="{1AD05B2E-5B88-4B87-AA82-BEA260430CE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771" name="AutoShape 12">
          <a:extLst>
            <a:ext uri="{FF2B5EF4-FFF2-40B4-BE49-F238E27FC236}">
              <a16:creationId xmlns:a16="http://schemas.microsoft.com/office/drawing/2014/main" id="{7737C43F-987A-476F-9F7D-1403C9FC1F9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772" name="AutoShape 12">
          <a:extLst>
            <a:ext uri="{FF2B5EF4-FFF2-40B4-BE49-F238E27FC236}">
              <a16:creationId xmlns:a16="http://schemas.microsoft.com/office/drawing/2014/main" id="{5C3328D1-C187-4A2E-A624-0EA62AA4F80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773" name="AutoShape 12">
          <a:extLst>
            <a:ext uri="{FF2B5EF4-FFF2-40B4-BE49-F238E27FC236}">
              <a16:creationId xmlns:a16="http://schemas.microsoft.com/office/drawing/2014/main" id="{627DF63D-1324-4B17-A170-6D4E6C9A792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774" name="AutoShape 12">
          <a:extLst>
            <a:ext uri="{FF2B5EF4-FFF2-40B4-BE49-F238E27FC236}">
              <a16:creationId xmlns:a16="http://schemas.microsoft.com/office/drawing/2014/main" id="{516779B0-1E87-43E6-8916-F93C95A2888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775" name="AutoShape 12">
          <a:extLst>
            <a:ext uri="{FF2B5EF4-FFF2-40B4-BE49-F238E27FC236}">
              <a16:creationId xmlns:a16="http://schemas.microsoft.com/office/drawing/2014/main" id="{4A35418C-A827-45C0-B801-C0527312F38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776" name="AutoShape 12">
          <a:extLst>
            <a:ext uri="{FF2B5EF4-FFF2-40B4-BE49-F238E27FC236}">
              <a16:creationId xmlns:a16="http://schemas.microsoft.com/office/drawing/2014/main" id="{100B677E-5F95-432E-B6DF-AC13CD14B69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777" name="AutoShape 12">
          <a:extLst>
            <a:ext uri="{FF2B5EF4-FFF2-40B4-BE49-F238E27FC236}">
              <a16:creationId xmlns:a16="http://schemas.microsoft.com/office/drawing/2014/main" id="{CE970077-87C7-4169-AB0B-61235622310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778" name="AutoShape 12">
          <a:extLst>
            <a:ext uri="{FF2B5EF4-FFF2-40B4-BE49-F238E27FC236}">
              <a16:creationId xmlns:a16="http://schemas.microsoft.com/office/drawing/2014/main" id="{2DA8667E-451C-462C-B14C-D5B9190EA0B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779" name="AutoShape 12">
          <a:extLst>
            <a:ext uri="{FF2B5EF4-FFF2-40B4-BE49-F238E27FC236}">
              <a16:creationId xmlns:a16="http://schemas.microsoft.com/office/drawing/2014/main" id="{1CFCE9E6-9ABA-4457-9C55-E75C726D647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780" name="AutoShape 12">
          <a:extLst>
            <a:ext uri="{FF2B5EF4-FFF2-40B4-BE49-F238E27FC236}">
              <a16:creationId xmlns:a16="http://schemas.microsoft.com/office/drawing/2014/main" id="{37738006-BAB5-470C-A717-775CE19A148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781" name="AutoShape 12">
          <a:extLst>
            <a:ext uri="{FF2B5EF4-FFF2-40B4-BE49-F238E27FC236}">
              <a16:creationId xmlns:a16="http://schemas.microsoft.com/office/drawing/2014/main" id="{BE4F8513-FD06-41DB-B6AF-00EAEC85FCB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782" name="AutoShape 12">
          <a:extLst>
            <a:ext uri="{FF2B5EF4-FFF2-40B4-BE49-F238E27FC236}">
              <a16:creationId xmlns:a16="http://schemas.microsoft.com/office/drawing/2014/main" id="{FDFAEE5F-A47C-470E-8C70-C46205F75DE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783" name="AutoShape 12">
          <a:extLst>
            <a:ext uri="{FF2B5EF4-FFF2-40B4-BE49-F238E27FC236}">
              <a16:creationId xmlns:a16="http://schemas.microsoft.com/office/drawing/2014/main" id="{FAD8FA68-AE40-49ED-ADF0-E2D28DA486E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784" name="AutoShape 12">
          <a:extLst>
            <a:ext uri="{FF2B5EF4-FFF2-40B4-BE49-F238E27FC236}">
              <a16:creationId xmlns:a16="http://schemas.microsoft.com/office/drawing/2014/main" id="{34A9BA49-CBC2-49D9-874E-FC25D697EDA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785" name="AutoShape 12">
          <a:extLst>
            <a:ext uri="{FF2B5EF4-FFF2-40B4-BE49-F238E27FC236}">
              <a16:creationId xmlns:a16="http://schemas.microsoft.com/office/drawing/2014/main" id="{F899D171-09E4-4928-BC6D-698370DAC5A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786" name="AutoShape 12">
          <a:extLst>
            <a:ext uri="{FF2B5EF4-FFF2-40B4-BE49-F238E27FC236}">
              <a16:creationId xmlns:a16="http://schemas.microsoft.com/office/drawing/2014/main" id="{D4B73070-6FAC-44EE-A20F-6837C165C2A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787" name="AutoShape 12">
          <a:extLst>
            <a:ext uri="{FF2B5EF4-FFF2-40B4-BE49-F238E27FC236}">
              <a16:creationId xmlns:a16="http://schemas.microsoft.com/office/drawing/2014/main" id="{C58FDCDC-EF20-4270-A5E9-D8832F5DC12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788" name="AutoShape 12">
          <a:extLst>
            <a:ext uri="{FF2B5EF4-FFF2-40B4-BE49-F238E27FC236}">
              <a16:creationId xmlns:a16="http://schemas.microsoft.com/office/drawing/2014/main" id="{2C6DDCFF-C908-499B-88CC-B2EFDE66AD0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789" name="AutoShape 12">
          <a:extLst>
            <a:ext uri="{FF2B5EF4-FFF2-40B4-BE49-F238E27FC236}">
              <a16:creationId xmlns:a16="http://schemas.microsoft.com/office/drawing/2014/main" id="{6A55B002-0D54-4BDA-A567-924B616EF39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790" name="AutoShape 12">
          <a:extLst>
            <a:ext uri="{FF2B5EF4-FFF2-40B4-BE49-F238E27FC236}">
              <a16:creationId xmlns:a16="http://schemas.microsoft.com/office/drawing/2014/main" id="{264F0B5F-FD42-4F0C-921B-9AE6A83A28C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791" name="AutoShape 12">
          <a:extLst>
            <a:ext uri="{FF2B5EF4-FFF2-40B4-BE49-F238E27FC236}">
              <a16:creationId xmlns:a16="http://schemas.microsoft.com/office/drawing/2014/main" id="{CA87DEF3-F06B-43F8-9029-674C0A178B1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792" name="AutoShape 12">
          <a:extLst>
            <a:ext uri="{FF2B5EF4-FFF2-40B4-BE49-F238E27FC236}">
              <a16:creationId xmlns:a16="http://schemas.microsoft.com/office/drawing/2014/main" id="{AAB18940-D6E7-430F-9917-32466A08B59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793" name="AutoShape 12">
          <a:extLst>
            <a:ext uri="{FF2B5EF4-FFF2-40B4-BE49-F238E27FC236}">
              <a16:creationId xmlns:a16="http://schemas.microsoft.com/office/drawing/2014/main" id="{3A711A2C-C3BD-4FF9-84F3-254CB0BEE57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794" name="AutoShape 12">
          <a:extLst>
            <a:ext uri="{FF2B5EF4-FFF2-40B4-BE49-F238E27FC236}">
              <a16:creationId xmlns:a16="http://schemas.microsoft.com/office/drawing/2014/main" id="{90256847-FE48-457D-A87C-50792CCC6C5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795" name="AutoShape 12">
          <a:extLst>
            <a:ext uri="{FF2B5EF4-FFF2-40B4-BE49-F238E27FC236}">
              <a16:creationId xmlns:a16="http://schemas.microsoft.com/office/drawing/2014/main" id="{2AB9F61E-AC25-4084-81A6-A4DEA2FF400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796" name="AutoShape 12">
          <a:extLst>
            <a:ext uri="{FF2B5EF4-FFF2-40B4-BE49-F238E27FC236}">
              <a16:creationId xmlns:a16="http://schemas.microsoft.com/office/drawing/2014/main" id="{4333A12E-8B1D-4ED2-82A9-6A8E9355BAD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797" name="AutoShape 12">
          <a:extLst>
            <a:ext uri="{FF2B5EF4-FFF2-40B4-BE49-F238E27FC236}">
              <a16:creationId xmlns:a16="http://schemas.microsoft.com/office/drawing/2014/main" id="{EE09EEA4-EA96-4EAA-998F-33727BCA840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798" name="AutoShape 12">
          <a:extLst>
            <a:ext uri="{FF2B5EF4-FFF2-40B4-BE49-F238E27FC236}">
              <a16:creationId xmlns:a16="http://schemas.microsoft.com/office/drawing/2014/main" id="{1C0E3248-6681-47CE-806C-2BA8FC3A2D3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799" name="AutoShape 12">
          <a:extLst>
            <a:ext uri="{FF2B5EF4-FFF2-40B4-BE49-F238E27FC236}">
              <a16:creationId xmlns:a16="http://schemas.microsoft.com/office/drawing/2014/main" id="{EAB2DE71-E62E-49C6-A210-E26FA21BDCB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800" name="AutoShape 12">
          <a:extLst>
            <a:ext uri="{FF2B5EF4-FFF2-40B4-BE49-F238E27FC236}">
              <a16:creationId xmlns:a16="http://schemas.microsoft.com/office/drawing/2014/main" id="{DC944F7D-DC85-4BB7-8F8F-76F9E1CAABE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801" name="AutoShape 12">
          <a:extLst>
            <a:ext uri="{FF2B5EF4-FFF2-40B4-BE49-F238E27FC236}">
              <a16:creationId xmlns:a16="http://schemas.microsoft.com/office/drawing/2014/main" id="{E0E6294B-8912-4799-A9E7-3A434939409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802" name="AutoShape 12">
          <a:extLst>
            <a:ext uri="{FF2B5EF4-FFF2-40B4-BE49-F238E27FC236}">
              <a16:creationId xmlns:a16="http://schemas.microsoft.com/office/drawing/2014/main" id="{18115D05-32E8-420C-90B1-2436727A987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803" name="AutoShape 12">
          <a:extLst>
            <a:ext uri="{FF2B5EF4-FFF2-40B4-BE49-F238E27FC236}">
              <a16:creationId xmlns:a16="http://schemas.microsoft.com/office/drawing/2014/main" id="{1A8C7E8F-AF9F-4F01-8A7A-9BA6FA14026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804" name="AutoShape 12">
          <a:extLst>
            <a:ext uri="{FF2B5EF4-FFF2-40B4-BE49-F238E27FC236}">
              <a16:creationId xmlns:a16="http://schemas.microsoft.com/office/drawing/2014/main" id="{D9E255A1-C4CC-4A07-91D2-01EC6C503A3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805" name="AutoShape 12">
          <a:extLst>
            <a:ext uri="{FF2B5EF4-FFF2-40B4-BE49-F238E27FC236}">
              <a16:creationId xmlns:a16="http://schemas.microsoft.com/office/drawing/2014/main" id="{33AA028F-D1E1-465E-A9DE-60FAB48D600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806" name="AutoShape 12">
          <a:extLst>
            <a:ext uri="{FF2B5EF4-FFF2-40B4-BE49-F238E27FC236}">
              <a16:creationId xmlns:a16="http://schemas.microsoft.com/office/drawing/2014/main" id="{64E02D36-8DB8-4DF7-A2F1-87D9233A2FF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807" name="AutoShape 12">
          <a:extLst>
            <a:ext uri="{FF2B5EF4-FFF2-40B4-BE49-F238E27FC236}">
              <a16:creationId xmlns:a16="http://schemas.microsoft.com/office/drawing/2014/main" id="{0EB7BEED-F253-467F-AF18-422E1F52E6C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808" name="AutoShape 12">
          <a:extLst>
            <a:ext uri="{FF2B5EF4-FFF2-40B4-BE49-F238E27FC236}">
              <a16:creationId xmlns:a16="http://schemas.microsoft.com/office/drawing/2014/main" id="{4171A96E-6A8B-4404-AE8D-9E6360C623F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809" name="AutoShape 12">
          <a:extLst>
            <a:ext uri="{FF2B5EF4-FFF2-40B4-BE49-F238E27FC236}">
              <a16:creationId xmlns:a16="http://schemas.microsoft.com/office/drawing/2014/main" id="{4CDB2357-D066-4CC6-9605-52A1FE9ED1E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810" name="AutoShape 12">
          <a:extLst>
            <a:ext uri="{FF2B5EF4-FFF2-40B4-BE49-F238E27FC236}">
              <a16:creationId xmlns:a16="http://schemas.microsoft.com/office/drawing/2014/main" id="{BA884428-FD93-45D5-9BA1-AE833086D40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811" name="AutoShape 12">
          <a:extLst>
            <a:ext uri="{FF2B5EF4-FFF2-40B4-BE49-F238E27FC236}">
              <a16:creationId xmlns:a16="http://schemas.microsoft.com/office/drawing/2014/main" id="{A745638C-3457-440D-AF29-0601DF2182B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812" name="AutoShape 12">
          <a:extLst>
            <a:ext uri="{FF2B5EF4-FFF2-40B4-BE49-F238E27FC236}">
              <a16:creationId xmlns:a16="http://schemas.microsoft.com/office/drawing/2014/main" id="{9F46B0FF-C32C-4A1D-90D5-CA721AAFF9F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813" name="AutoShape 12">
          <a:extLst>
            <a:ext uri="{FF2B5EF4-FFF2-40B4-BE49-F238E27FC236}">
              <a16:creationId xmlns:a16="http://schemas.microsoft.com/office/drawing/2014/main" id="{21B1AD9B-E1C5-4A6C-BF09-30D16173D03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814" name="AutoShape 12">
          <a:extLst>
            <a:ext uri="{FF2B5EF4-FFF2-40B4-BE49-F238E27FC236}">
              <a16:creationId xmlns:a16="http://schemas.microsoft.com/office/drawing/2014/main" id="{3AFAE4C0-1B03-4C34-9F6E-7C653937AD3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815" name="AutoShape 12">
          <a:extLst>
            <a:ext uri="{FF2B5EF4-FFF2-40B4-BE49-F238E27FC236}">
              <a16:creationId xmlns:a16="http://schemas.microsoft.com/office/drawing/2014/main" id="{ACA38ECF-E475-4403-BE7F-BF93E6401DA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816" name="AutoShape 12">
          <a:extLst>
            <a:ext uri="{FF2B5EF4-FFF2-40B4-BE49-F238E27FC236}">
              <a16:creationId xmlns:a16="http://schemas.microsoft.com/office/drawing/2014/main" id="{CFF57CA0-B515-4C48-99B4-5F4A8360425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817" name="AutoShape 12">
          <a:extLst>
            <a:ext uri="{FF2B5EF4-FFF2-40B4-BE49-F238E27FC236}">
              <a16:creationId xmlns:a16="http://schemas.microsoft.com/office/drawing/2014/main" id="{C3744157-53BD-4A8F-AA63-3BA2536E52D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818" name="AutoShape 12">
          <a:extLst>
            <a:ext uri="{FF2B5EF4-FFF2-40B4-BE49-F238E27FC236}">
              <a16:creationId xmlns:a16="http://schemas.microsoft.com/office/drawing/2014/main" id="{CE9872A9-1A32-4081-B0C8-5B8CEF6E826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819" name="AutoShape 12">
          <a:extLst>
            <a:ext uri="{FF2B5EF4-FFF2-40B4-BE49-F238E27FC236}">
              <a16:creationId xmlns:a16="http://schemas.microsoft.com/office/drawing/2014/main" id="{EDE793D2-4B8C-4C7C-B5FA-B0FE969BFB9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820" name="AutoShape 12">
          <a:extLst>
            <a:ext uri="{FF2B5EF4-FFF2-40B4-BE49-F238E27FC236}">
              <a16:creationId xmlns:a16="http://schemas.microsoft.com/office/drawing/2014/main" id="{9595AE03-8B0B-403D-B8BD-DCC5B95ADF3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821" name="AutoShape 12">
          <a:extLst>
            <a:ext uri="{FF2B5EF4-FFF2-40B4-BE49-F238E27FC236}">
              <a16:creationId xmlns:a16="http://schemas.microsoft.com/office/drawing/2014/main" id="{A156CA98-FA11-41D6-826B-98680EC5216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822" name="AutoShape 12">
          <a:extLst>
            <a:ext uri="{FF2B5EF4-FFF2-40B4-BE49-F238E27FC236}">
              <a16:creationId xmlns:a16="http://schemas.microsoft.com/office/drawing/2014/main" id="{503AD123-16FE-4253-B8F8-5F96FF0BE6E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823" name="AutoShape 12">
          <a:extLst>
            <a:ext uri="{FF2B5EF4-FFF2-40B4-BE49-F238E27FC236}">
              <a16:creationId xmlns:a16="http://schemas.microsoft.com/office/drawing/2014/main" id="{D718CF83-9ECC-47E8-A5B0-B72F67BABD9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824" name="AutoShape 12">
          <a:extLst>
            <a:ext uri="{FF2B5EF4-FFF2-40B4-BE49-F238E27FC236}">
              <a16:creationId xmlns:a16="http://schemas.microsoft.com/office/drawing/2014/main" id="{07DA5084-B6F9-49A1-94CC-B2F6F276C62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825" name="AutoShape 12">
          <a:extLst>
            <a:ext uri="{FF2B5EF4-FFF2-40B4-BE49-F238E27FC236}">
              <a16:creationId xmlns:a16="http://schemas.microsoft.com/office/drawing/2014/main" id="{FC75FBC2-2D42-48BB-9120-3DFB04258AB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826" name="AutoShape 12">
          <a:extLst>
            <a:ext uri="{FF2B5EF4-FFF2-40B4-BE49-F238E27FC236}">
              <a16:creationId xmlns:a16="http://schemas.microsoft.com/office/drawing/2014/main" id="{A4C2711C-9014-4063-B321-841FBCB6047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827" name="AutoShape 12">
          <a:extLst>
            <a:ext uri="{FF2B5EF4-FFF2-40B4-BE49-F238E27FC236}">
              <a16:creationId xmlns:a16="http://schemas.microsoft.com/office/drawing/2014/main" id="{B6387F2E-8A6B-4089-A382-A48C33A94FB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828" name="AutoShape 12">
          <a:extLst>
            <a:ext uri="{FF2B5EF4-FFF2-40B4-BE49-F238E27FC236}">
              <a16:creationId xmlns:a16="http://schemas.microsoft.com/office/drawing/2014/main" id="{E9A334C6-0EFF-441F-9B58-699AE8074E9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829" name="AutoShape 12">
          <a:extLst>
            <a:ext uri="{FF2B5EF4-FFF2-40B4-BE49-F238E27FC236}">
              <a16:creationId xmlns:a16="http://schemas.microsoft.com/office/drawing/2014/main" id="{A8032715-A7BD-4AC6-B174-409D8360CA6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830" name="AutoShape 12">
          <a:extLst>
            <a:ext uri="{FF2B5EF4-FFF2-40B4-BE49-F238E27FC236}">
              <a16:creationId xmlns:a16="http://schemas.microsoft.com/office/drawing/2014/main" id="{F186CC2D-982D-4417-9C16-EEDB40A13A8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831" name="AutoShape 12">
          <a:extLst>
            <a:ext uri="{FF2B5EF4-FFF2-40B4-BE49-F238E27FC236}">
              <a16:creationId xmlns:a16="http://schemas.microsoft.com/office/drawing/2014/main" id="{513EFE13-C4F0-4835-9BF2-35D75D006C7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832" name="AutoShape 12">
          <a:extLst>
            <a:ext uri="{FF2B5EF4-FFF2-40B4-BE49-F238E27FC236}">
              <a16:creationId xmlns:a16="http://schemas.microsoft.com/office/drawing/2014/main" id="{3C910352-39E9-423F-9D1E-F4B6137C005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833" name="AutoShape 12">
          <a:extLst>
            <a:ext uri="{FF2B5EF4-FFF2-40B4-BE49-F238E27FC236}">
              <a16:creationId xmlns:a16="http://schemas.microsoft.com/office/drawing/2014/main" id="{EDCC03A0-59F9-4E20-8112-D02C9A1C74C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834" name="AutoShape 12">
          <a:extLst>
            <a:ext uri="{FF2B5EF4-FFF2-40B4-BE49-F238E27FC236}">
              <a16:creationId xmlns:a16="http://schemas.microsoft.com/office/drawing/2014/main" id="{F2F435B9-DD93-4D18-9C0C-3DF9438479F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835" name="AutoShape 12">
          <a:extLst>
            <a:ext uri="{FF2B5EF4-FFF2-40B4-BE49-F238E27FC236}">
              <a16:creationId xmlns:a16="http://schemas.microsoft.com/office/drawing/2014/main" id="{CD3CD00D-49F9-4F6D-A780-F8CE975B5F9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836" name="AutoShape 12">
          <a:extLst>
            <a:ext uri="{FF2B5EF4-FFF2-40B4-BE49-F238E27FC236}">
              <a16:creationId xmlns:a16="http://schemas.microsoft.com/office/drawing/2014/main" id="{B244E8CC-B132-4491-9764-CFC12740393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837" name="AutoShape 12">
          <a:extLst>
            <a:ext uri="{FF2B5EF4-FFF2-40B4-BE49-F238E27FC236}">
              <a16:creationId xmlns:a16="http://schemas.microsoft.com/office/drawing/2014/main" id="{2A28230D-8F01-4DC0-8B7A-04EEF569F52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838" name="AutoShape 12">
          <a:extLst>
            <a:ext uri="{FF2B5EF4-FFF2-40B4-BE49-F238E27FC236}">
              <a16:creationId xmlns:a16="http://schemas.microsoft.com/office/drawing/2014/main" id="{A162D92B-1AEE-4900-8B0E-ABDAC19444C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839" name="AutoShape 12">
          <a:extLst>
            <a:ext uri="{FF2B5EF4-FFF2-40B4-BE49-F238E27FC236}">
              <a16:creationId xmlns:a16="http://schemas.microsoft.com/office/drawing/2014/main" id="{DA1F93D3-7658-4E6C-80BF-A7AD57F61AB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840" name="AutoShape 12">
          <a:extLst>
            <a:ext uri="{FF2B5EF4-FFF2-40B4-BE49-F238E27FC236}">
              <a16:creationId xmlns:a16="http://schemas.microsoft.com/office/drawing/2014/main" id="{036CE2E8-7833-467F-876A-0E7EA15C675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841" name="AutoShape 12">
          <a:extLst>
            <a:ext uri="{FF2B5EF4-FFF2-40B4-BE49-F238E27FC236}">
              <a16:creationId xmlns:a16="http://schemas.microsoft.com/office/drawing/2014/main" id="{D75F1B2A-52ED-426E-B005-59C851E859B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842" name="AutoShape 12">
          <a:extLst>
            <a:ext uri="{FF2B5EF4-FFF2-40B4-BE49-F238E27FC236}">
              <a16:creationId xmlns:a16="http://schemas.microsoft.com/office/drawing/2014/main" id="{98413B39-58A3-49FC-8C91-3E03B13D968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843" name="AutoShape 12">
          <a:extLst>
            <a:ext uri="{FF2B5EF4-FFF2-40B4-BE49-F238E27FC236}">
              <a16:creationId xmlns:a16="http://schemas.microsoft.com/office/drawing/2014/main" id="{AC731E37-AE67-422E-84B9-B90510843E4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844" name="AutoShape 12">
          <a:extLst>
            <a:ext uri="{FF2B5EF4-FFF2-40B4-BE49-F238E27FC236}">
              <a16:creationId xmlns:a16="http://schemas.microsoft.com/office/drawing/2014/main" id="{75133238-E7AE-44DA-8FC1-8827A5015EA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845" name="AutoShape 12">
          <a:extLst>
            <a:ext uri="{FF2B5EF4-FFF2-40B4-BE49-F238E27FC236}">
              <a16:creationId xmlns:a16="http://schemas.microsoft.com/office/drawing/2014/main" id="{E1241CCB-FA33-4413-99DA-ACBD7087D57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846" name="AutoShape 12">
          <a:extLst>
            <a:ext uri="{FF2B5EF4-FFF2-40B4-BE49-F238E27FC236}">
              <a16:creationId xmlns:a16="http://schemas.microsoft.com/office/drawing/2014/main" id="{58267807-D483-4AD8-98C5-7C92FDD3540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847" name="AutoShape 12">
          <a:extLst>
            <a:ext uri="{FF2B5EF4-FFF2-40B4-BE49-F238E27FC236}">
              <a16:creationId xmlns:a16="http://schemas.microsoft.com/office/drawing/2014/main" id="{4948F11E-1047-483B-B9D2-82DE78078E0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848" name="AutoShape 12">
          <a:extLst>
            <a:ext uri="{FF2B5EF4-FFF2-40B4-BE49-F238E27FC236}">
              <a16:creationId xmlns:a16="http://schemas.microsoft.com/office/drawing/2014/main" id="{E09E49BC-1D08-4EAF-89B3-4A8CF2276A8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849" name="AutoShape 12">
          <a:extLst>
            <a:ext uri="{FF2B5EF4-FFF2-40B4-BE49-F238E27FC236}">
              <a16:creationId xmlns:a16="http://schemas.microsoft.com/office/drawing/2014/main" id="{FAAC939F-318C-4F38-8CFC-C79719D0899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850" name="AutoShape 12">
          <a:extLst>
            <a:ext uri="{FF2B5EF4-FFF2-40B4-BE49-F238E27FC236}">
              <a16:creationId xmlns:a16="http://schemas.microsoft.com/office/drawing/2014/main" id="{9DAAEFA6-E7D0-425C-ACE6-FB2D0DA073F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851" name="AutoShape 12">
          <a:extLst>
            <a:ext uri="{FF2B5EF4-FFF2-40B4-BE49-F238E27FC236}">
              <a16:creationId xmlns:a16="http://schemas.microsoft.com/office/drawing/2014/main" id="{021FB19B-275B-4A8E-A2A2-7476AE26BCB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852" name="AutoShape 12">
          <a:extLst>
            <a:ext uri="{FF2B5EF4-FFF2-40B4-BE49-F238E27FC236}">
              <a16:creationId xmlns:a16="http://schemas.microsoft.com/office/drawing/2014/main" id="{BF87F2B4-943B-4E4E-B368-958C53889D5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853" name="AutoShape 12">
          <a:extLst>
            <a:ext uri="{FF2B5EF4-FFF2-40B4-BE49-F238E27FC236}">
              <a16:creationId xmlns:a16="http://schemas.microsoft.com/office/drawing/2014/main" id="{D3EF9C2E-2D63-4B89-B5D4-D46C9B5618F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854" name="AutoShape 12">
          <a:extLst>
            <a:ext uri="{FF2B5EF4-FFF2-40B4-BE49-F238E27FC236}">
              <a16:creationId xmlns:a16="http://schemas.microsoft.com/office/drawing/2014/main" id="{CCAA4B35-DBDC-4ED2-ABA6-A025707D258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855" name="AutoShape 12">
          <a:extLst>
            <a:ext uri="{FF2B5EF4-FFF2-40B4-BE49-F238E27FC236}">
              <a16:creationId xmlns:a16="http://schemas.microsoft.com/office/drawing/2014/main" id="{0C98D4AD-0595-4EB2-9CE7-263EC227DC3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856" name="AutoShape 12">
          <a:extLst>
            <a:ext uri="{FF2B5EF4-FFF2-40B4-BE49-F238E27FC236}">
              <a16:creationId xmlns:a16="http://schemas.microsoft.com/office/drawing/2014/main" id="{C602272A-FAF6-48E6-8B07-C014F7EA6D4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857" name="AutoShape 12">
          <a:extLst>
            <a:ext uri="{FF2B5EF4-FFF2-40B4-BE49-F238E27FC236}">
              <a16:creationId xmlns:a16="http://schemas.microsoft.com/office/drawing/2014/main" id="{F914AB8B-240B-40A6-9887-7CC3D0C9FBA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858" name="AutoShape 12">
          <a:extLst>
            <a:ext uri="{FF2B5EF4-FFF2-40B4-BE49-F238E27FC236}">
              <a16:creationId xmlns:a16="http://schemas.microsoft.com/office/drawing/2014/main" id="{11DE15B2-5B94-4CB0-9C84-55171510375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859" name="AutoShape 12">
          <a:extLst>
            <a:ext uri="{FF2B5EF4-FFF2-40B4-BE49-F238E27FC236}">
              <a16:creationId xmlns:a16="http://schemas.microsoft.com/office/drawing/2014/main" id="{3C019EFC-1CCF-44AB-8182-C0C935D0EE1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860" name="AutoShape 12">
          <a:extLst>
            <a:ext uri="{FF2B5EF4-FFF2-40B4-BE49-F238E27FC236}">
              <a16:creationId xmlns:a16="http://schemas.microsoft.com/office/drawing/2014/main" id="{4A880345-E506-4103-B4C8-6A761E2CFBC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861" name="AutoShape 12">
          <a:extLst>
            <a:ext uri="{FF2B5EF4-FFF2-40B4-BE49-F238E27FC236}">
              <a16:creationId xmlns:a16="http://schemas.microsoft.com/office/drawing/2014/main" id="{B6379804-BAF0-46E3-B7FB-2857C8E3495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862" name="AutoShape 12">
          <a:extLst>
            <a:ext uri="{FF2B5EF4-FFF2-40B4-BE49-F238E27FC236}">
              <a16:creationId xmlns:a16="http://schemas.microsoft.com/office/drawing/2014/main" id="{2DE4B326-E422-496C-8CDA-14212B90E2F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863" name="AutoShape 12">
          <a:extLst>
            <a:ext uri="{FF2B5EF4-FFF2-40B4-BE49-F238E27FC236}">
              <a16:creationId xmlns:a16="http://schemas.microsoft.com/office/drawing/2014/main" id="{4B4ADC54-27D3-4D85-B384-1D6B4138524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864" name="AutoShape 12">
          <a:extLst>
            <a:ext uri="{FF2B5EF4-FFF2-40B4-BE49-F238E27FC236}">
              <a16:creationId xmlns:a16="http://schemas.microsoft.com/office/drawing/2014/main" id="{CE4C9101-180A-4AF2-938A-3A2423CEE41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865" name="AutoShape 12">
          <a:extLst>
            <a:ext uri="{FF2B5EF4-FFF2-40B4-BE49-F238E27FC236}">
              <a16:creationId xmlns:a16="http://schemas.microsoft.com/office/drawing/2014/main" id="{A0F200E6-AF09-4090-BB22-3993C283748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866" name="AutoShape 12">
          <a:extLst>
            <a:ext uri="{FF2B5EF4-FFF2-40B4-BE49-F238E27FC236}">
              <a16:creationId xmlns:a16="http://schemas.microsoft.com/office/drawing/2014/main" id="{3F1C8A11-4E9B-4631-BC08-6DC7FED94F9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1301</xdr:row>
      <xdr:rowOff>0</xdr:rowOff>
    </xdr:from>
    <xdr:ext cx="304800" cy="304094"/>
    <xdr:sp macro="" textlink="">
      <xdr:nvSpPr>
        <xdr:cNvPr id="10867" name="AutoShape 12">
          <a:extLst>
            <a:ext uri="{FF2B5EF4-FFF2-40B4-BE49-F238E27FC236}">
              <a16:creationId xmlns:a16="http://schemas.microsoft.com/office/drawing/2014/main" id="{3B6BCBB0-7CB9-4875-9533-E5C6D62880F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0868" name="AutoShape 12">
          <a:extLst>
            <a:ext uri="{FF2B5EF4-FFF2-40B4-BE49-F238E27FC236}">
              <a16:creationId xmlns:a16="http://schemas.microsoft.com/office/drawing/2014/main" id="{632EC86B-4F06-44CE-80D2-18D60EF78A7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0869" name="AutoShape 12">
          <a:extLst>
            <a:ext uri="{FF2B5EF4-FFF2-40B4-BE49-F238E27FC236}">
              <a16:creationId xmlns:a16="http://schemas.microsoft.com/office/drawing/2014/main" id="{F4F043FE-19A7-4D25-BBF5-0AC78AED058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0870" name="AutoShape 12">
          <a:extLst>
            <a:ext uri="{FF2B5EF4-FFF2-40B4-BE49-F238E27FC236}">
              <a16:creationId xmlns:a16="http://schemas.microsoft.com/office/drawing/2014/main" id="{B6A97051-47EE-4BED-95C0-F15676E6D22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0871" name="AutoShape 12">
          <a:extLst>
            <a:ext uri="{FF2B5EF4-FFF2-40B4-BE49-F238E27FC236}">
              <a16:creationId xmlns:a16="http://schemas.microsoft.com/office/drawing/2014/main" id="{AC124D06-CF0B-470C-9B5D-90B1B2851FC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0872" name="AutoShape 12">
          <a:extLst>
            <a:ext uri="{FF2B5EF4-FFF2-40B4-BE49-F238E27FC236}">
              <a16:creationId xmlns:a16="http://schemas.microsoft.com/office/drawing/2014/main" id="{4F667DB6-2372-43BB-A565-85E194C20DC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0873" name="AutoShape 12">
          <a:extLst>
            <a:ext uri="{FF2B5EF4-FFF2-40B4-BE49-F238E27FC236}">
              <a16:creationId xmlns:a16="http://schemas.microsoft.com/office/drawing/2014/main" id="{EE7CFE85-24DC-46CA-99BF-E6CD8722067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0874" name="AutoShape 12">
          <a:extLst>
            <a:ext uri="{FF2B5EF4-FFF2-40B4-BE49-F238E27FC236}">
              <a16:creationId xmlns:a16="http://schemas.microsoft.com/office/drawing/2014/main" id="{F6760BAB-0D0A-44FC-ABC8-8EC925C82AF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0875" name="AutoShape 12">
          <a:extLst>
            <a:ext uri="{FF2B5EF4-FFF2-40B4-BE49-F238E27FC236}">
              <a16:creationId xmlns:a16="http://schemas.microsoft.com/office/drawing/2014/main" id="{D3E66E82-818B-45ED-895F-DB6C93B654F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0876" name="AutoShape 12">
          <a:extLst>
            <a:ext uri="{FF2B5EF4-FFF2-40B4-BE49-F238E27FC236}">
              <a16:creationId xmlns:a16="http://schemas.microsoft.com/office/drawing/2014/main" id="{8E13B7A4-F5A4-44B8-BD48-75F6067036F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0877" name="AutoShape 12">
          <a:extLst>
            <a:ext uri="{FF2B5EF4-FFF2-40B4-BE49-F238E27FC236}">
              <a16:creationId xmlns:a16="http://schemas.microsoft.com/office/drawing/2014/main" id="{6A1DE5AA-249C-4A7B-9F06-0EA9E63E73F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0878" name="AutoShape 12">
          <a:extLst>
            <a:ext uri="{FF2B5EF4-FFF2-40B4-BE49-F238E27FC236}">
              <a16:creationId xmlns:a16="http://schemas.microsoft.com/office/drawing/2014/main" id="{0AFD9E06-DA2A-410A-B9E0-A4FBCB31C21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0879" name="AutoShape 12">
          <a:extLst>
            <a:ext uri="{FF2B5EF4-FFF2-40B4-BE49-F238E27FC236}">
              <a16:creationId xmlns:a16="http://schemas.microsoft.com/office/drawing/2014/main" id="{2F8063A1-3333-480C-BB3F-7205110AE5A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0880" name="AutoShape 12">
          <a:extLst>
            <a:ext uri="{FF2B5EF4-FFF2-40B4-BE49-F238E27FC236}">
              <a16:creationId xmlns:a16="http://schemas.microsoft.com/office/drawing/2014/main" id="{0BEDB54C-3010-49CE-A63E-7E1F0EC549E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0881" name="AutoShape 12">
          <a:extLst>
            <a:ext uri="{FF2B5EF4-FFF2-40B4-BE49-F238E27FC236}">
              <a16:creationId xmlns:a16="http://schemas.microsoft.com/office/drawing/2014/main" id="{477DA808-2AD1-4308-AE0D-257D210CF52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0882" name="AutoShape 12">
          <a:extLst>
            <a:ext uri="{FF2B5EF4-FFF2-40B4-BE49-F238E27FC236}">
              <a16:creationId xmlns:a16="http://schemas.microsoft.com/office/drawing/2014/main" id="{192D2484-FADE-4805-BB60-36A101CC28A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0883" name="AutoShape 12">
          <a:extLst>
            <a:ext uri="{FF2B5EF4-FFF2-40B4-BE49-F238E27FC236}">
              <a16:creationId xmlns:a16="http://schemas.microsoft.com/office/drawing/2014/main" id="{FFEE54D5-874F-4C2F-9E19-AC9AE5B6AFB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0884" name="AutoShape 12">
          <a:extLst>
            <a:ext uri="{FF2B5EF4-FFF2-40B4-BE49-F238E27FC236}">
              <a16:creationId xmlns:a16="http://schemas.microsoft.com/office/drawing/2014/main" id="{C7F0CE4A-0CCF-481C-9309-C973278866E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0885" name="AutoShape 12">
          <a:extLst>
            <a:ext uri="{FF2B5EF4-FFF2-40B4-BE49-F238E27FC236}">
              <a16:creationId xmlns:a16="http://schemas.microsoft.com/office/drawing/2014/main" id="{AD08EACF-D943-4D53-8680-FA0D5C438F7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0886" name="AutoShape 12">
          <a:extLst>
            <a:ext uri="{FF2B5EF4-FFF2-40B4-BE49-F238E27FC236}">
              <a16:creationId xmlns:a16="http://schemas.microsoft.com/office/drawing/2014/main" id="{CC329B27-EE18-4C6A-859F-FF61DC5728D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0887" name="AutoShape 12">
          <a:extLst>
            <a:ext uri="{FF2B5EF4-FFF2-40B4-BE49-F238E27FC236}">
              <a16:creationId xmlns:a16="http://schemas.microsoft.com/office/drawing/2014/main" id="{A8533C83-4177-4825-A61B-18D34ABD5D4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0888" name="AutoShape 12">
          <a:extLst>
            <a:ext uri="{FF2B5EF4-FFF2-40B4-BE49-F238E27FC236}">
              <a16:creationId xmlns:a16="http://schemas.microsoft.com/office/drawing/2014/main" id="{988CD95B-43C2-4A36-BE88-5A0B17167CD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0889" name="AutoShape 12">
          <a:extLst>
            <a:ext uri="{FF2B5EF4-FFF2-40B4-BE49-F238E27FC236}">
              <a16:creationId xmlns:a16="http://schemas.microsoft.com/office/drawing/2014/main" id="{5CA97FDF-4411-4B90-AA9C-A945C786552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0890" name="AutoShape 12">
          <a:extLst>
            <a:ext uri="{FF2B5EF4-FFF2-40B4-BE49-F238E27FC236}">
              <a16:creationId xmlns:a16="http://schemas.microsoft.com/office/drawing/2014/main" id="{94604A8E-3CA2-40DD-B2B0-2CB10458764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0891" name="AutoShape 12">
          <a:extLst>
            <a:ext uri="{FF2B5EF4-FFF2-40B4-BE49-F238E27FC236}">
              <a16:creationId xmlns:a16="http://schemas.microsoft.com/office/drawing/2014/main" id="{114ECD71-2417-4006-A466-955516A3ED8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0892" name="AutoShape 12">
          <a:extLst>
            <a:ext uri="{FF2B5EF4-FFF2-40B4-BE49-F238E27FC236}">
              <a16:creationId xmlns:a16="http://schemas.microsoft.com/office/drawing/2014/main" id="{8EF2800B-8218-4837-9CB5-D7242898FCA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0893" name="AutoShape 12">
          <a:extLst>
            <a:ext uri="{FF2B5EF4-FFF2-40B4-BE49-F238E27FC236}">
              <a16:creationId xmlns:a16="http://schemas.microsoft.com/office/drawing/2014/main" id="{87350C51-AA69-4350-B957-22CF6FF9465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0894" name="AutoShape 12">
          <a:extLst>
            <a:ext uri="{FF2B5EF4-FFF2-40B4-BE49-F238E27FC236}">
              <a16:creationId xmlns:a16="http://schemas.microsoft.com/office/drawing/2014/main" id="{29DEA54F-69FC-4AFD-A1AC-C84F9F0370E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0895" name="AutoShape 12">
          <a:extLst>
            <a:ext uri="{FF2B5EF4-FFF2-40B4-BE49-F238E27FC236}">
              <a16:creationId xmlns:a16="http://schemas.microsoft.com/office/drawing/2014/main" id="{CF771111-C1B2-419C-9927-0176A868704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0896" name="AutoShape 12">
          <a:extLst>
            <a:ext uri="{FF2B5EF4-FFF2-40B4-BE49-F238E27FC236}">
              <a16:creationId xmlns:a16="http://schemas.microsoft.com/office/drawing/2014/main" id="{CC113F41-2970-44AB-9929-FA682B3AD42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0897" name="AutoShape 12">
          <a:extLst>
            <a:ext uri="{FF2B5EF4-FFF2-40B4-BE49-F238E27FC236}">
              <a16:creationId xmlns:a16="http://schemas.microsoft.com/office/drawing/2014/main" id="{F98E96C1-A214-4D28-B8FD-C34DCF9EC5F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0898" name="AutoShape 12">
          <a:extLst>
            <a:ext uri="{FF2B5EF4-FFF2-40B4-BE49-F238E27FC236}">
              <a16:creationId xmlns:a16="http://schemas.microsoft.com/office/drawing/2014/main" id="{CACA0465-7A07-4B0B-8DBD-D020B5A939B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0899" name="AutoShape 12">
          <a:extLst>
            <a:ext uri="{FF2B5EF4-FFF2-40B4-BE49-F238E27FC236}">
              <a16:creationId xmlns:a16="http://schemas.microsoft.com/office/drawing/2014/main" id="{C7DF1FAA-EFA8-4E2A-B914-405C84F1537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0900" name="AutoShape 12">
          <a:extLst>
            <a:ext uri="{FF2B5EF4-FFF2-40B4-BE49-F238E27FC236}">
              <a16:creationId xmlns:a16="http://schemas.microsoft.com/office/drawing/2014/main" id="{33FC4284-C79D-4D34-8777-87D1BCE47D2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0901" name="AutoShape 12">
          <a:extLst>
            <a:ext uri="{FF2B5EF4-FFF2-40B4-BE49-F238E27FC236}">
              <a16:creationId xmlns:a16="http://schemas.microsoft.com/office/drawing/2014/main" id="{8EF1FEED-F875-4FA2-A96A-A4FD0737015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0902" name="AutoShape 12">
          <a:extLst>
            <a:ext uri="{FF2B5EF4-FFF2-40B4-BE49-F238E27FC236}">
              <a16:creationId xmlns:a16="http://schemas.microsoft.com/office/drawing/2014/main" id="{660B6C5F-3FCE-43E7-91E3-97DFAC13BAF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0903" name="AutoShape 12">
          <a:extLst>
            <a:ext uri="{FF2B5EF4-FFF2-40B4-BE49-F238E27FC236}">
              <a16:creationId xmlns:a16="http://schemas.microsoft.com/office/drawing/2014/main" id="{EF205B10-3588-4CF2-B3E3-929EA1C75CF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0904" name="AutoShape 12">
          <a:extLst>
            <a:ext uri="{FF2B5EF4-FFF2-40B4-BE49-F238E27FC236}">
              <a16:creationId xmlns:a16="http://schemas.microsoft.com/office/drawing/2014/main" id="{089978F0-75A0-4F3C-BCD1-11FC7CDDD02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0905" name="AutoShape 12">
          <a:extLst>
            <a:ext uri="{FF2B5EF4-FFF2-40B4-BE49-F238E27FC236}">
              <a16:creationId xmlns:a16="http://schemas.microsoft.com/office/drawing/2014/main" id="{08516782-5DF5-436A-A651-C40F7FF4983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0906" name="AutoShape 12">
          <a:extLst>
            <a:ext uri="{FF2B5EF4-FFF2-40B4-BE49-F238E27FC236}">
              <a16:creationId xmlns:a16="http://schemas.microsoft.com/office/drawing/2014/main" id="{A1186BF3-6F29-4CB0-8809-E0A4B964E52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0907" name="AutoShape 12">
          <a:extLst>
            <a:ext uri="{FF2B5EF4-FFF2-40B4-BE49-F238E27FC236}">
              <a16:creationId xmlns:a16="http://schemas.microsoft.com/office/drawing/2014/main" id="{B9CD3B3E-197C-4044-AFE4-491B21BE3A5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0908" name="AutoShape 12">
          <a:extLst>
            <a:ext uri="{FF2B5EF4-FFF2-40B4-BE49-F238E27FC236}">
              <a16:creationId xmlns:a16="http://schemas.microsoft.com/office/drawing/2014/main" id="{E3692E4B-D960-418E-99BE-0EAD0D0B1C5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0909" name="AutoShape 12">
          <a:extLst>
            <a:ext uri="{FF2B5EF4-FFF2-40B4-BE49-F238E27FC236}">
              <a16:creationId xmlns:a16="http://schemas.microsoft.com/office/drawing/2014/main" id="{5634F235-FE0A-414D-A4D8-901717E357F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0910" name="AutoShape 12">
          <a:extLst>
            <a:ext uri="{FF2B5EF4-FFF2-40B4-BE49-F238E27FC236}">
              <a16:creationId xmlns:a16="http://schemas.microsoft.com/office/drawing/2014/main" id="{FB42D997-5DB7-41D4-A191-D8ABFD97AD6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0911" name="AutoShape 12">
          <a:extLst>
            <a:ext uri="{FF2B5EF4-FFF2-40B4-BE49-F238E27FC236}">
              <a16:creationId xmlns:a16="http://schemas.microsoft.com/office/drawing/2014/main" id="{EEF1F08E-C010-4B1C-9844-EBEEBB3CFAE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0912" name="AutoShape 12">
          <a:extLst>
            <a:ext uri="{FF2B5EF4-FFF2-40B4-BE49-F238E27FC236}">
              <a16:creationId xmlns:a16="http://schemas.microsoft.com/office/drawing/2014/main" id="{4F614B16-4B54-4E4C-947C-95747F81996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0913" name="AutoShape 12">
          <a:extLst>
            <a:ext uri="{FF2B5EF4-FFF2-40B4-BE49-F238E27FC236}">
              <a16:creationId xmlns:a16="http://schemas.microsoft.com/office/drawing/2014/main" id="{64E72D6B-3330-430D-9671-94602D17CD9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0914" name="AutoShape 12">
          <a:extLst>
            <a:ext uri="{FF2B5EF4-FFF2-40B4-BE49-F238E27FC236}">
              <a16:creationId xmlns:a16="http://schemas.microsoft.com/office/drawing/2014/main" id="{857D78EF-F151-41D6-ADD1-15CC44753A0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0915" name="AutoShape 12">
          <a:extLst>
            <a:ext uri="{FF2B5EF4-FFF2-40B4-BE49-F238E27FC236}">
              <a16:creationId xmlns:a16="http://schemas.microsoft.com/office/drawing/2014/main" id="{E5D621C2-ACBB-41A5-9B1B-2CBB9A1F3B1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0916" name="AutoShape 12">
          <a:extLst>
            <a:ext uri="{FF2B5EF4-FFF2-40B4-BE49-F238E27FC236}">
              <a16:creationId xmlns:a16="http://schemas.microsoft.com/office/drawing/2014/main" id="{105C95A7-71F7-4C7B-A664-A6B12940B26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0917" name="AutoShape 12">
          <a:extLst>
            <a:ext uri="{FF2B5EF4-FFF2-40B4-BE49-F238E27FC236}">
              <a16:creationId xmlns:a16="http://schemas.microsoft.com/office/drawing/2014/main" id="{2BF432F0-16EB-4C16-9547-7DCA21F933D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0918" name="AutoShape 12">
          <a:extLst>
            <a:ext uri="{FF2B5EF4-FFF2-40B4-BE49-F238E27FC236}">
              <a16:creationId xmlns:a16="http://schemas.microsoft.com/office/drawing/2014/main" id="{E177BAD1-C81B-477A-BF2C-3447B87AC5B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0919" name="AutoShape 12">
          <a:extLst>
            <a:ext uri="{FF2B5EF4-FFF2-40B4-BE49-F238E27FC236}">
              <a16:creationId xmlns:a16="http://schemas.microsoft.com/office/drawing/2014/main" id="{7DF51679-2559-439C-B42A-0E9B9CD393E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0920" name="AutoShape 12">
          <a:extLst>
            <a:ext uri="{FF2B5EF4-FFF2-40B4-BE49-F238E27FC236}">
              <a16:creationId xmlns:a16="http://schemas.microsoft.com/office/drawing/2014/main" id="{3CA42E85-ACE6-41BE-9CDE-06E54AB37EE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0921" name="AutoShape 12">
          <a:extLst>
            <a:ext uri="{FF2B5EF4-FFF2-40B4-BE49-F238E27FC236}">
              <a16:creationId xmlns:a16="http://schemas.microsoft.com/office/drawing/2014/main" id="{848BA337-9944-4831-95A7-7A938478F77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0922" name="AutoShape 12">
          <a:extLst>
            <a:ext uri="{FF2B5EF4-FFF2-40B4-BE49-F238E27FC236}">
              <a16:creationId xmlns:a16="http://schemas.microsoft.com/office/drawing/2014/main" id="{E50DBA90-76F4-46B7-AFB0-CEC7DD70FFB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0923" name="AutoShape 12">
          <a:extLst>
            <a:ext uri="{FF2B5EF4-FFF2-40B4-BE49-F238E27FC236}">
              <a16:creationId xmlns:a16="http://schemas.microsoft.com/office/drawing/2014/main" id="{E8168CF5-A77A-4DE4-A25A-7B4381282C6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0924" name="AutoShape 12">
          <a:extLst>
            <a:ext uri="{FF2B5EF4-FFF2-40B4-BE49-F238E27FC236}">
              <a16:creationId xmlns:a16="http://schemas.microsoft.com/office/drawing/2014/main" id="{579BF176-0B23-45FC-B177-E62473121D1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0925" name="AutoShape 12">
          <a:extLst>
            <a:ext uri="{FF2B5EF4-FFF2-40B4-BE49-F238E27FC236}">
              <a16:creationId xmlns:a16="http://schemas.microsoft.com/office/drawing/2014/main" id="{90CDCE3F-0911-4FAC-9E41-1D1CBFD809A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0926" name="AutoShape 12">
          <a:extLst>
            <a:ext uri="{FF2B5EF4-FFF2-40B4-BE49-F238E27FC236}">
              <a16:creationId xmlns:a16="http://schemas.microsoft.com/office/drawing/2014/main" id="{394AF028-6BA4-4BB7-B761-967F9C8C417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0927" name="AutoShape 12">
          <a:extLst>
            <a:ext uri="{FF2B5EF4-FFF2-40B4-BE49-F238E27FC236}">
              <a16:creationId xmlns:a16="http://schemas.microsoft.com/office/drawing/2014/main" id="{7384BDCE-B575-4EDF-99D9-97DF2AEC5C2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0928" name="AutoShape 12">
          <a:extLst>
            <a:ext uri="{FF2B5EF4-FFF2-40B4-BE49-F238E27FC236}">
              <a16:creationId xmlns:a16="http://schemas.microsoft.com/office/drawing/2014/main" id="{FE68AE7D-A579-4301-80BE-024E32A0547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0929" name="AutoShape 12">
          <a:extLst>
            <a:ext uri="{FF2B5EF4-FFF2-40B4-BE49-F238E27FC236}">
              <a16:creationId xmlns:a16="http://schemas.microsoft.com/office/drawing/2014/main" id="{352A3D22-9C23-4782-BA78-EFD197BE4CC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0930" name="AutoShape 12">
          <a:extLst>
            <a:ext uri="{FF2B5EF4-FFF2-40B4-BE49-F238E27FC236}">
              <a16:creationId xmlns:a16="http://schemas.microsoft.com/office/drawing/2014/main" id="{95FF5615-A1FA-4984-B36D-0DD45F42ABE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0931" name="AutoShape 12">
          <a:extLst>
            <a:ext uri="{FF2B5EF4-FFF2-40B4-BE49-F238E27FC236}">
              <a16:creationId xmlns:a16="http://schemas.microsoft.com/office/drawing/2014/main" id="{E9FE2A83-A924-4833-9148-C1891778F8E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0932" name="AutoShape 12">
          <a:extLst>
            <a:ext uri="{FF2B5EF4-FFF2-40B4-BE49-F238E27FC236}">
              <a16:creationId xmlns:a16="http://schemas.microsoft.com/office/drawing/2014/main" id="{1DE29B48-300F-4FE1-AF2A-E0027436EFF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0933" name="AutoShape 12">
          <a:extLst>
            <a:ext uri="{FF2B5EF4-FFF2-40B4-BE49-F238E27FC236}">
              <a16:creationId xmlns:a16="http://schemas.microsoft.com/office/drawing/2014/main" id="{A0B68F32-3E44-4429-82B1-3F71ECED758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0934" name="AutoShape 12">
          <a:extLst>
            <a:ext uri="{FF2B5EF4-FFF2-40B4-BE49-F238E27FC236}">
              <a16:creationId xmlns:a16="http://schemas.microsoft.com/office/drawing/2014/main" id="{7FF7157D-DBD8-4186-98B1-995DD0E1DB7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0935" name="AutoShape 12">
          <a:extLst>
            <a:ext uri="{FF2B5EF4-FFF2-40B4-BE49-F238E27FC236}">
              <a16:creationId xmlns:a16="http://schemas.microsoft.com/office/drawing/2014/main" id="{F439381F-B816-41E2-9050-D8079732A47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0936" name="AutoShape 12">
          <a:extLst>
            <a:ext uri="{FF2B5EF4-FFF2-40B4-BE49-F238E27FC236}">
              <a16:creationId xmlns:a16="http://schemas.microsoft.com/office/drawing/2014/main" id="{2D8D342E-2E96-4FA3-9604-32DFAE74369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0937" name="AutoShape 12">
          <a:extLst>
            <a:ext uri="{FF2B5EF4-FFF2-40B4-BE49-F238E27FC236}">
              <a16:creationId xmlns:a16="http://schemas.microsoft.com/office/drawing/2014/main" id="{B4728760-923D-4D98-AF55-7D41C7B3051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0938" name="AutoShape 12">
          <a:extLst>
            <a:ext uri="{FF2B5EF4-FFF2-40B4-BE49-F238E27FC236}">
              <a16:creationId xmlns:a16="http://schemas.microsoft.com/office/drawing/2014/main" id="{12CBC27D-5CB0-4F4D-B8DE-A01F6BF83F0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0939" name="AutoShape 12">
          <a:extLst>
            <a:ext uri="{FF2B5EF4-FFF2-40B4-BE49-F238E27FC236}">
              <a16:creationId xmlns:a16="http://schemas.microsoft.com/office/drawing/2014/main" id="{9BDD154A-9AB3-4C05-B5AA-ECA05BD978B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0940" name="AutoShape 12">
          <a:extLst>
            <a:ext uri="{FF2B5EF4-FFF2-40B4-BE49-F238E27FC236}">
              <a16:creationId xmlns:a16="http://schemas.microsoft.com/office/drawing/2014/main" id="{ACBEFA68-4ECA-48FB-9763-FB093CFB861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0941" name="AutoShape 12">
          <a:extLst>
            <a:ext uri="{FF2B5EF4-FFF2-40B4-BE49-F238E27FC236}">
              <a16:creationId xmlns:a16="http://schemas.microsoft.com/office/drawing/2014/main" id="{AD0CB9CC-6358-4EA8-800A-D2EFA984877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0942" name="AutoShape 12">
          <a:extLst>
            <a:ext uri="{FF2B5EF4-FFF2-40B4-BE49-F238E27FC236}">
              <a16:creationId xmlns:a16="http://schemas.microsoft.com/office/drawing/2014/main" id="{C7655EE5-894B-47D3-8447-F8DA0F668CF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0943" name="AutoShape 12">
          <a:extLst>
            <a:ext uri="{FF2B5EF4-FFF2-40B4-BE49-F238E27FC236}">
              <a16:creationId xmlns:a16="http://schemas.microsoft.com/office/drawing/2014/main" id="{2E98D021-A73C-4A97-977A-560FD76B6C1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0944" name="AutoShape 12">
          <a:extLst>
            <a:ext uri="{FF2B5EF4-FFF2-40B4-BE49-F238E27FC236}">
              <a16:creationId xmlns:a16="http://schemas.microsoft.com/office/drawing/2014/main" id="{5A42088B-84AF-4270-A6EA-ACBFC6379E1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0945" name="AutoShape 12">
          <a:extLst>
            <a:ext uri="{FF2B5EF4-FFF2-40B4-BE49-F238E27FC236}">
              <a16:creationId xmlns:a16="http://schemas.microsoft.com/office/drawing/2014/main" id="{E449C05F-BEA7-4CE4-8312-9A1D88D71E7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0946" name="AutoShape 12">
          <a:extLst>
            <a:ext uri="{FF2B5EF4-FFF2-40B4-BE49-F238E27FC236}">
              <a16:creationId xmlns:a16="http://schemas.microsoft.com/office/drawing/2014/main" id="{500F0BD4-DC8A-4DB4-B303-3862BC1F7F7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0947" name="AutoShape 12">
          <a:extLst>
            <a:ext uri="{FF2B5EF4-FFF2-40B4-BE49-F238E27FC236}">
              <a16:creationId xmlns:a16="http://schemas.microsoft.com/office/drawing/2014/main" id="{9F877B5E-68E8-4706-B65B-83E69312CA1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0948" name="AutoShape 12">
          <a:extLst>
            <a:ext uri="{FF2B5EF4-FFF2-40B4-BE49-F238E27FC236}">
              <a16:creationId xmlns:a16="http://schemas.microsoft.com/office/drawing/2014/main" id="{6BE4AE41-63BB-4F64-A147-D1805922935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0949" name="AutoShape 12">
          <a:extLst>
            <a:ext uri="{FF2B5EF4-FFF2-40B4-BE49-F238E27FC236}">
              <a16:creationId xmlns:a16="http://schemas.microsoft.com/office/drawing/2014/main" id="{6AD1B3F7-0F1B-4F77-94E7-E8BAADE22F6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0950" name="AutoShape 12">
          <a:extLst>
            <a:ext uri="{FF2B5EF4-FFF2-40B4-BE49-F238E27FC236}">
              <a16:creationId xmlns:a16="http://schemas.microsoft.com/office/drawing/2014/main" id="{B310080A-3668-4356-BD3C-E0B62CBF5F0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0951" name="AutoShape 12">
          <a:extLst>
            <a:ext uri="{FF2B5EF4-FFF2-40B4-BE49-F238E27FC236}">
              <a16:creationId xmlns:a16="http://schemas.microsoft.com/office/drawing/2014/main" id="{4F298CE3-6F98-42E1-9D55-F031E0B46E1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0952" name="AutoShape 12">
          <a:extLst>
            <a:ext uri="{FF2B5EF4-FFF2-40B4-BE49-F238E27FC236}">
              <a16:creationId xmlns:a16="http://schemas.microsoft.com/office/drawing/2014/main" id="{4C5841B3-D339-4574-ADC4-66E566C8964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0953" name="AutoShape 12">
          <a:extLst>
            <a:ext uri="{FF2B5EF4-FFF2-40B4-BE49-F238E27FC236}">
              <a16:creationId xmlns:a16="http://schemas.microsoft.com/office/drawing/2014/main" id="{B2695F97-F6A4-4D8A-914A-FE600757C49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0954" name="AutoShape 12">
          <a:extLst>
            <a:ext uri="{FF2B5EF4-FFF2-40B4-BE49-F238E27FC236}">
              <a16:creationId xmlns:a16="http://schemas.microsoft.com/office/drawing/2014/main" id="{769CC077-4854-4F68-9ED8-AC23C538D1C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0955" name="AutoShape 12">
          <a:extLst>
            <a:ext uri="{FF2B5EF4-FFF2-40B4-BE49-F238E27FC236}">
              <a16:creationId xmlns:a16="http://schemas.microsoft.com/office/drawing/2014/main" id="{646A4D25-AD17-45B8-87CC-FC263027FBD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0956" name="AutoShape 12">
          <a:extLst>
            <a:ext uri="{FF2B5EF4-FFF2-40B4-BE49-F238E27FC236}">
              <a16:creationId xmlns:a16="http://schemas.microsoft.com/office/drawing/2014/main" id="{E6172691-6008-489F-8279-8CDA94D0910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0957" name="AutoShape 12">
          <a:extLst>
            <a:ext uri="{FF2B5EF4-FFF2-40B4-BE49-F238E27FC236}">
              <a16:creationId xmlns:a16="http://schemas.microsoft.com/office/drawing/2014/main" id="{CD2F82E2-CEF9-4F02-9074-2C9EEBA15ED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0958" name="AutoShape 12">
          <a:extLst>
            <a:ext uri="{FF2B5EF4-FFF2-40B4-BE49-F238E27FC236}">
              <a16:creationId xmlns:a16="http://schemas.microsoft.com/office/drawing/2014/main" id="{A40681A3-B57E-4486-AC9E-0743F188BD2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0959" name="AutoShape 12">
          <a:extLst>
            <a:ext uri="{FF2B5EF4-FFF2-40B4-BE49-F238E27FC236}">
              <a16:creationId xmlns:a16="http://schemas.microsoft.com/office/drawing/2014/main" id="{E1A8E589-17BC-4280-A42F-064B4EE5047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0960" name="AutoShape 12">
          <a:extLst>
            <a:ext uri="{FF2B5EF4-FFF2-40B4-BE49-F238E27FC236}">
              <a16:creationId xmlns:a16="http://schemas.microsoft.com/office/drawing/2014/main" id="{CBD61714-C940-4E4D-8F22-ED7CC5F4EF1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0961" name="AutoShape 12">
          <a:extLst>
            <a:ext uri="{FF2B5EF4-FFF2-40B4-BE49-F238E27FC236}">
              <a16:creationId xmlns:a16="http://schemas.microsoft.com/office/drawing/2014/main" id="{FC24C08F-5BE9-4FA7-9D0B-EB1FC612D3E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0962" name="AutoShape 12">
          <a:extLst>
            <a:ext uri="{FF2B5EF4-FFF2-40B4-BE49-F238E27FC236}">
              <a16:creationId xmlns:a16="http://schemas.microsoft.com/office/drawing/2014/main" id="{C0E60FA6-34B6-4883-BDDF-B147A4D928E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0963" name="AutoShape 12">
          <a:extLst>
            <a:ext uri="{FF2B5EF4-FFF2-40B4-BE49-F238E27FC236}">
              <a16:creationId xmlns:a16="http://schemas.microsoft.com/office/drawing/2014/main" id="{E7AE4EBC-CB4E-46AD-99FE-926C6736AD1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0964" name="AutoShape 12">
          <a:extLst>
            <a:ext uri="{FF2B5EF4-FFF2-40B4-BE49-F238E27FC236}">
              <a16:creationId xmlns:a16="http://schemas.microsoft.com/office/drawing/2014/main" id="{85565BD7-4BF4-4433-AAD4-E2593DCCBD5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0965" name="AutoShape 12">
          <a:extLst>
            <a:ext uri="{FF2B5EF4-FFF2-40B4-BE49-F238E27FC236}">
              <a16:creationId xmlns:a16="http://schemas.microsoft.com/office/drawing/2014/main" id="{09650725-B5D7-4AA0-88C6-E833509E5BC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0966" name="AutoShape 12">
          <a:extLst>
            <a:ext uri="{FF2B5EF4-FFF2-40B4-BE49-F238E27FC236}">
              <a16:creationId xmlns:a16="http://schemas.microsoft.com/office/drawing/2014/main" id="{48FA2D1D-CD46-4BA7-9E23-1D88E067DD3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0967" name="AutoShape 12">
          <a:extLst>
            <a:ext uri="{FF2B5EF4-FFF2-40B4-BE49-F238E27FC236}">
              <a16:creationId xmlns:a16="http://schemas.microsoft.com/office/drawing/2014/main" id="{2477E57C-C464-4B4F-A78C-A343240195B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0968" name="AutoShape 12">
          <a:extLst>
            <a:ext uri="{FF2B5EF4-FFF2-40B4-BE49-F238E27FC236}">
              <a16:creationId xmlns:a16="http://schemas.microsoft.com/office/drawing/2014/main" id="{FCA4C6A7-0526-4E2A-B714-73298CB27F0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0969" name="AutoShape 12">
          <a:extLst>
            <a:ext uri="{FF2B5EF4-FFF2-40B4-BE49-F238E27FC236}">
              <a16:creationId xmlns:a16="http://schemas.microsoft.com/office/drawing/2014/main" id="{F693B9F1-5582-4F60-96AA-39B62EC4D93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0970" name="AutoShape 12">
          <a:extLst>
            <a:ext uri="{FF2B5EF4-FFF2-40B4-BE49-F238E27FC236}">
              <a16:creationId xmlns:a16="http://schemas.microsoft.com/office/drawing/2014/main" id="{942275E7-5510-4468-B0C4-06BED6EC42B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0971" name="AutoShape 12">
          <a:extLst>
            <a:ext uri="{FF2B5EF4-FFF2-40B4-BE49-F238E27FC236}">
              <a16:creationId xmlns:a16="http://schemas.microsoft.com/office/drawing/2014/main" id="{13A33BFE-345F-435D-92C3-8D5B3D88707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0972" name="AutoShape 12">
          <a:extLst>
            <a:ext uri="{FF2B5EF4-FFF2-40B4-BE49-F238E27FC236}">
              <a16:creationId xmlns:a16="http://schemas.microsoft.com/office/drawing/2014/main" id="{5E967730-1583-458F-9791-687483F5984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0973" name="AutoShape 12">
          <a:extLst>
            <a:ext uri="{FF2B5EF4-FFF2-40B4-BE49-F238E27FC236}">
              <a16:creationId xmlns:a16="http://schemas.microsoft.com/office/drawing/2014/main" id="{8F0DE73C-9BF2-4CCB-8EED-38498A529F8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0974" name="AutoShape 12">
          <a:extLst>
            <a:ext uri="{FF2B5EF4-FFF2-40B4-BE49-F238E27FC236}">
              <a16:creationId xmlns:a16="http://schemas.microsoft.com/office/drawing/2014/main" id="{7052EFB4-9895-4039-BC43-53A99107EAA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0975" name="AutoShape 12">
          <a:extLst>
            <a:ext uri="{FF2B5EF4-FFF2-40B4-BE49-F238E27FC236}">
              <a16:creationId xmlns:a16="http://schemas.microsoft.com/office/drawing/2014/main" id="{51B37ADF-FC99-4AF1-9688-CBB20AE560E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0976" name="AutoShape 12">
          <a:extLst>
            <a:ext uri="{FF2B5EF4-FFF2-40B4-BE49-F238E27FC236}">
              <a16:creationId xmlns:a16="http://schemas.microsoft.com/office/drawing/2014/main" id="{1EDD328D-8EDC-48D3-9A07-BD885557E0C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0977" name="AutoShape 12">
          <a:extLst>
            <a:ext uri="{FF2B5EF4-FFF2-40B4-BE49-F238E27FC236}">
              <a16:creationId xmlns:a16="http://schemas.microsoft.com/office/drawing/2014/main" id="{4594A030-A38F-47CA-A6E0-8A10703A76B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0978" name="AutoShape 12">
          <a:extLst>
            <a:ext uri="{FF2B5EF4-FFF2-40B4-BE49-F238E27FC236}">
              <a16:creationId xmlns:a16="http://schemas.microsoft.com/office/drawing/2014/main" id="{B5598749-D020-4993-A9F4-FABF8E6A0F6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0979" name="AutoShape 12">
          <a:extLst>
            <a:ext uri="{FF2B5EF4-FFF2-40B4-BE49-F238E27FC236}">
              <a16:creationId xmlns:a16="http://schemas.microsoft.com/office/drawing/2014/main" id="{ACDC57A9-1627-4AEA-BD3D-B11DA53344B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0980" name="AutoShape 12">
          <a:extLst>
            <a:ext uri="{FF2B5EF4-FFF2-40B4-BE49-F238E27FC236}">
              <a16:creationId xmlns:a16="http://schemas.microsoft.com/office/drawing/2014/main" id="{73F547DA-5C10-4C60-BB62-25B9AF38355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0981" name="AutoShape 12">
          <a:extLst>
            <a:ext uri="{FF2B5EF4-FFF2-40B4-BE49-F238E27FC236}">
              <a16:creationId xmlns:a16="http://schemas.microsoft.com/office/drawing/2014/main" id="{08D00E28-565F-4AB6-91BA-73FA69D22C8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0982" name="AutoShape 12">
          <a:extLst>
            <a:ext uri="{FF2B5EF4-FFF2-40B4-BE49-F238E27FC236}">
              <a16:creationId xmlns:a16="http://schemas.microsoft.com/office/drawing/2014/main" id="{64F37901-09A3-4BD9-B31E-51C9A758407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0983" name="AutoShape 12">
          <a:extLst>
            <a:ext uri="{FF2B5EF4-FFF2-40B4-BE49-F238E27FC236}">
              <a16:creationId xmlns:a16="http://schemas.microsoft.com/office/drawing/2014/main" id="{3768C15C-C996-4BDC-BFD9-4910E0353A8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0984" name="AutoShape 12">
          <a:extLst>
            <a:ext uri="{FF2B5EF4-FFF2-40B4-BE49-F238E27FC236}">
              <a16:creationId xmlns:a16="http://schemas.microsoft.com/office/drawing/2014/main" id="{079C2DA1-5981-4424-8012-8A2B7B46662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0985" name="AutoShape 12">
          <a:extLst>
            <a:ext uri="{FF2B5EF4-FFF2-40B4-BE49-F238E27FC236}">
              <a16:creationId xmlns:a16="http://schemas.microsoft.com/office/drawing/2014/main" id="{1BD64F58-B01A-418F-A30D-D9A3C78A71D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0986" name="AutoShape 12">
          <a:extLst>
            <a:ext uri="{FF2B5EF4-FFF2-40B4-BE49-F238E27FC236}">
              <a16:creationId xmlns:a16="http://schemas.microsoft.com/office/drawing/2014/main" id="{3BA78F59-AF4C-4D56-9458-EF3DF6389AA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0987" name="AutoShape 12">
          <a:extLst>
            <a:ext uri="{FF2B5EF4-FFF2-40B4-BE49-F238E27FC236}">
              <a16:creationId xmlns:a16="http://schemas.microsoft.com/office/drawing/2014/main" id="{485E54C3-8C96-4686-AE1A-F12D1D5BA4C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0988" name="AutoShape 12">
          <a:extLst>
            <a:ext uri="{FF2B5EF4-FFF2-40B4-BE49-F238E27FC236}">
              <a16:creationId xmlns:a16="http://schemas.microsoft.com/office/drawing/2014/main" id="{52765270-D1A4-4B3A-9789-AB8AB1A1657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0989" name="AutoShape 12">
          <a:extLst>
            <a:ext uri="{FF2B5EF4-FFF2-40B4-BE49-F238E27FC236}">
              <a16:creationId xmlns:a16="http://schemas.microsoft.com/office/drawing/2014/main" id="{85217F1C-2AF3-4212-99C7-7806F2F1D79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0990" name="AutoShape 12">
          <a:extLst>
            <a:ext uri="{FF2B5EF4-FFF2-40B4-BE49-F238E27FC236}">
              <a16:creationId xmlns:a16="http://schemas.microsoft.com/office/drawing/2014/main" id="{35B5A512-7A4A-46E6-9057-629E72E3C03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0991" name="AutoShape 12">
          <a:extLst>
            <a:ext uri="{FF2B5EF4-FFF2-40B4-BE49-F238E27FC236}">
              <a16:creationId xmlns:a16="http://schemas.microsoft.com/office/drawing/2014/main" id="{3057E841-19CD-4229-9AE6-16F70C2A1AE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0992" name="AutoShape 12">
          <a:extLst>
            <a:ext uri="{FF2B5EF4-FFF2-40B4-BE49-F238E27FC236}">
              <a16:creationId xmlns:a16="http://schemas.microsoft.com/office/drawing/2014/main" id="{C27CBAE8-AB45-4289-B72C-73A2D1A64EF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0993" name="AutoShape 12">
          <a:extLst>
            <a:ext uri="{FF2B5EF4-FFF2-40B4-BE49-F238E27FC236}">
              <a16:creationId xmlns:a16="http://schemas.microsoft.com/office/drawing/2014/main" id="{59B7B059-508E-416B-8C09-C009583D878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0994" name="AutoShape 12">
          <a:extLst>
            <a:ext uri="{FF2B5EF4-FFF2-40B4-BE49-F238E27FC236}">
              <a16:creationId xmlns:a16="http://schemas.microsoft.com/office/drawing/2014/main" id="{72078D8C-0D46-41A6-8B40-DA161AC4F2C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0995" name="AutoShape 12">
          <a:extLst>
            <a:ext uri="{FF2B5EF4-FFF2-40B4-BE49-F238E27FC236}">
              <a16:creationId xmlns:a16="http://schemas.microsoft.com/office/drawing/2014/main" id="{F60A58A7-83BC-4ADD-9BD4-55CC86279BE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0996" name="AutoShape 12">
          <a:extLst>
            <a:ext uri="{FF2B5EF4-FFF2-40B4-BE49-F238E27FC236}">
              <a16:creationId xmlns:a16="http://schemas.microsoft.com/office/drawing/2014/main" id="{DB9E7BF1-3641-407D-B80F-E5B126CE8FD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0997" name="AutoShape 12">
          <a:extLst>
            <a:ext uri="{FF2B5EF4-FFF2-40B4-BE49-F238E27FC236}">
              <a16:creationId xmlns:a16="http://schemas.microsoft.com/office/drawing/2014/main" id="{E0FC403E-671A-4F58-BE85-A4E6D118A58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0998" name="AutoShape 12">
          <a:extLst>
            <a:ext uri="{FF2B5EF4-FFF2-40B4-BE49-F238E27FC236}">
              <a16:creationId xmlns:a16="http://schemas.microsoft.com/office/drawing/2014/main" id="{F119CFC5-EEAF-4574-A20F-DE50811224D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0999" name="AutoShape 12">
          <a:extLst>
            <a:ext uri="{FF2B5EF4-FFF2-40B4-BE49-F238E27FC236}">
              <a16:creationId xmlns:a16="http://schemas.microsoft.com/office/drawing/2014/main" id="{E938B05C-3F65-4CAD-AC5A-7740A688429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1000" name="AutoShape 12">
          <a:extLst>
            <a:ext uri="{FF2B5EF4-FFF2-40B4-BE49-F238E27FC236}">
              <a16:creationId xmlns:a16="http://schemas.microsoft.com/office/drawing/2014/main" id="{8978331C-BBD6-45C5-A26A-465F8E78AD0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1001" name="AutoShape 12">
          <a:extLst>
            <a:ext uri="{FF2B5EF4-FFF2-40B4-BE49-F238E27FC236}">
              <a16:creationId xmlns:a16="http://schemas.microsoft.com/office/drawing/2014/main" id="{62C80535-1CD9-4BDF-AE3B-CF3E29A4328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1002" name="AutoShape 12">
          <a:extLst>
            <a:ext uri="{FF2B5EF4-FFF2-40B4-BE49-F238E27FC236}">
              <a16:creationId xmlns:a16="http://schemas.microsoft.com/office/drawing/2014/main" id="{6A371EA9-C7A5-43C0-BDAA-A258E3FE1C9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1003" name="AutoShape 12">
          <a:extLst>
            <a:ext uri="{FF2B5EF4-FFF2-40B4-BE49-F238E27FC236}">
              <a16:creationId xmlns:a16="http://schemas.microsoft.com/office/drawing/2014/main" id="{5B61D7B3-5C1B-460F-B5AD-2BDE7401CDC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1004" name="AutoShape 12">
          <a:extLst>
            <a:ext uri="{FF2B5EF4-FFF2-40B4-BE49-F238E27FC236}">
              <a16:creationId xmlns:a16="http://schemas.microsoft.com/office/drawing/2014/main" id="{90F5CE3E-ECB5-4347-884C-B975BB003AC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1005" name="AutoShape 12">
          <a:extLst>
            <a:ext uri="{FF2B5EF4-FFF2-40B4-BE49-F238E27FC236}">
              <a16:creationId xmlns:a16="http://schemas.microsoft.com/office/drawing/2014/main" id="{666FC29C-C6F1-4AF8-909F-A83453B7F03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1006" name="AutoShape 12">
          <a:extLst>
            <a:ext uri="{FF2B5EF4-FFF2-40B4-BE49-F238E27FC236}">
              <a16:creationId xmlns:a16="http://schemas.microsoft.com/office/drawing/2014/main" id="{723C7AB4-3676-4C52-95EB-8E9AE1C1E28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1007" name="AutoShape 12">
          <a:extLst>
            <a:ext uri="{FF2B5EF4-FFF2-40B4-BE49-F238E27FC236}">
              <a16:creationId xmlns:a16="http://schemas.microsoft.com/office/drawing/2014/main" id="{FFF396F8-2633-4CA1-94F6-5F9CEB21DD6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1008" name="AutoShape 12">
          <a:extLst>
            <a:ext uri="{FF2B5EF4-FFF2-40B4-BE49-F238E27FC236}">
              <a16:creationId xmlns:a16="http://schemas.microsoft.com/office/drawing/2014/main" id="{8CC76C66-5721-4D07-81E7-BA266BEF255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1009" name="AutoShape 12">
          <a:extLst>
            <a:ext uri="{FF2B5EF4-FFF2-40B4-BE49-F238E27FC236}">
              <a16:creationId xmlns:a16="http://schemas.microsoft.com/office/drawing/2014/main" id="{9E269C3A-7CE9-4939-B9AC-6F149F23BA7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1010" name="AutoShape 12">
          <a:extLst>
            <a:ext uri="{FF2B5EF4-FFF2-40B4-BE49-F238E27FC236}">
              <a16:creationId xmlns:a16="http://schemas.microsoft.com/office/drawing/2014/main" id="{E4AE1C25-1275-4CC4-B4B6-6755AFBD760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1011" name="AutoShape 12">
          <a:extLst>
            <a:ext uri="{FF2B5EF4-FFF2-40B4-BE49-F238E27FC236}">
              <a16:creationId xmlns:a16="http://schemas.microsoft.com/office/drawing/2014/main" id="{173601CA-F83D-4EC5-BF84-5241A486508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1012" name="AutoShape 12">
          <a:extLst>
            <a:ext uri="{FF2B5EF4-FFF2-40B4-BE49-F238E27FC236}">
              <a16:creationId xmlns:a16="http://schemas.microsoft.com/office/drawing/2014/main" id="{17BBF401-30D0-4E3F-A92D-BAB044D4AC7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1013" name="AutoShape 12">
          <a:extLst>
            <a:ext uri="{FF2B5EF4-FFF2-40B4-BE49-F238E27FC236}">
              <a16:creationId xmlns:a16="http://schemas.microsoft.com/office/drawing/2014/main" id="{D27BA4B1-2F78-4C8D-8864-0676140B95C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1014" name="AutoShape 12">
          <a:extLst>
            <a:ext uri="{FF2B5EF4-FFF2-40B4-BE49-F238E27FC236}">
              <a16:creationId xmlns:a16="http://schemas.microsoft.com/office/drawing/2014/main" id="{2F2719FB-6171-48D3-A4B0-3A35A91BB55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1015" name="AutoShape 12">
          <a:extLst>
            <a:ext uri="{FF2B5EF4-FFF2-40B4-BE49-F238E27FC236}">
              <a16:creationId xmlns:a16="http://schemas.microsoft.com/office/drawing/2014/main" id="{B7F27679-95CD-4EF8-A75E-C69EAEDCFB0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1016" name="AutoShape 12">
          <a:extLst>
            <a:ext uri="{FF2B5EF4-FFF2-40B4-BE49-F238E27FC236}">
              <a16:creationId xmlns:a16="http://schemas.microsoft.com/office/drawing/2014/main" id="{14203A1F-F5F8-4663-927D-A99922CC6DC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1017" name="AutoShape 12">
          <a:extLst>
            <a:ext uri="{FF2B5EF4-FFF2-40B4-BE49-F238E27FC236}">
              <a16:creationId xmlns:a16="http://schemas.microsoft.com/office/drawing/2014/main" id="{7B1C036A-65BB-4C77-843C-0E4C0C2E39A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1018" name="AutoShape 12">
          <a:extLst>
            <a:ext uri="{FF2B5EF4-FFF2-40B4-BE49-F238E27FC236}">
              <a16:creationId xmlns:a16="http://schemas.microsoft.com/office/drawing/2014/main" id="{928E8521-3BCC-4BD6-8A49-B3DCBA4A0DA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1019" name="AutoShape 12">
          <a:extLst>
            <a:ext uri="{FF2B5EF4-FFF2-40B4-BE49-F238E27FC236}">
              <a16:creationId xmlns:a16="http://schemas.microsoft.com/office/drawing/2014/main" id="{D0C40F66-613B-4B38-AF23-2E2B507842D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1020" name="AutoShape 12">
          <a:extLst>
            <a:ext uri="{FF2B5EF4-FFF2-40B4-BE49-F238E27FC236}">
              <a16:creationId xmlns:a16="http://schemas.microsoft.com/office/drawing/2014/main" id="{E8387D73-B809-46B2-AF3D-C3720B0F249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1021" name="AutoShape 12">
          <a:extLst>
            <a:ext uri="{FF2B5EF4-FFF2-40B4-BE49-F238E27FC236}">
              <a16:creationId xmlns:a16="http://schemas.microsoft.com/office/drawing/2014/main" id="{2207D894-443E-470B-8E14-EDDFD24F7FF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1022" name="AutoShape 12">
          <a:extLst>
            <a:ext uri="{FF2B5EF4-FFF2-40B4-BE49-F238E27FC236}">
              <a16:creationId xmlns:a16="http://schemas.microsoft.com/office/drawing/2014/main" id="{5270853F-AB6D-49FD-9557-88FB7A11C01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1023" name="AutoShape 12">
          <a:extLst>
            <a:ext uri="{FF2B5EF4-FFF2-40B4-BE49-F238E27FC236}">
              <a16:creationId xmlns:a16="http://schemas.microsoft.com/office/drawing/2014/main" id="{AA2E88FD-5A02-4742-818C-388C99F670A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1024" name="AutoShape 12">
          <a:extLst>
            <a:ext uri="{FF2B5EF4-FFF2-40B4-BE49-F238E27FC236}">
              <a16:creationId xmlns:a16="http://schemas.microsoft.com/office/drawing/2014/main" id="{67EA4FE1-FCF4-40FD-9D66-E02B5E8FC01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1025" name="AutoShape 12">
          <a:extLst>
            <a:ext uri="{FF2B5EF4-FFF2-40B4-BE49-F238E27FC236}">
              <a16:creationId xmlns:a16="http://schemas.microsoft.com/office/drawing/2014/main" id="{56ADA384-9F82-44F9-8105-6520031D032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1026" name="AutoShape 12">
          <a:extLst>
            <a:ext uri="{FF2B5EF4-FFF2-40B4-BE49-F238E27FC236}">
              <a16:creationId xmlns:a16="http://schemas.microsoft.com/office/drawing/2014/main" id="{0C388473-8AD5-41CE-861C-01EA08941CC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1027" name="AutoShape 12">
          <a:extLst>
            <a:ext uri="{FF2B5EF4-FFF2-40B4-BE49-F238E27FC236}">
              <a16:creationId xmlns:a16="http://schemas.microsoft.com/office/drawing/2014/main" id="{F59ECD71-772A-4CDB-A51B-EF0F7618541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1028" name="AutoShape 12">
          <a:extLst>
            <a:ext uri="{FF2B5EF4-FFF2-40B4-BE49-F238E27FC236}">
              <a16:creationId xmlns:a16="http://schemas.microsoft.com/office/drawing/2014/main" id="{74425325-1345-4A6C-84D8-5A5D3B85703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1029" name="AutoShape 12">
          <a:extLst>
            <a:ext uri="{FF2B5EF4-FFF2-40B4-BE49-F238E27FC236}">
              <a16:creationId xmlns:a16="http://schemas.microsoft.com/office/drawing/2014/main" id="{73AE94E6-236D-4FE2-AF4A-53C0E6C5B34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1030" name="AutoShape 12">
          <a:extLst>
            <a:ext uri="{FF2B5EF4-FFF2-40B4-BE49-F238E27FC236}">
              <a16:creationId xmlns:a16="http://schemas.microsoft.com/office/drawing/2014/main" id="{864ED5AD-4A88-426F-96A3-B734A742B1B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1031" name="AutoShape 12">
          <a:extLst>
            <a:ext uri="{FF2B5EF4-FFF2-40B4-BE49-F238E27FC236}">
              <a16:creationId xmlns:a16="http://schemas.microsoft.com/office/drawing/2014/main" id="{DFC72984-2803-492F-B0E7-3643FDF1F09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1032" name="AutoShape 12">
          <a:extLst>
            <a:ext uri="{FF2B5EF4-FFF2-40B4-BE49-F238E27FC236}">
              <a16:creationId xmlns:a16="http://schemas.microsoft.com/office/drawing/2014/main" id="{33C0A4ED-BBE1-4007-8B92-D60403A8BD7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1033" name="AutoShape 12">
          <a:extLst>
            <a:ext uri="{FF2B5EF4-FFF2-40B4-BE49-F238E27FC236}">
              <a16:creationId xmlns:a16="http://schemas.microsoft.com/office/drawing/2014/main" id="{2ECE36C9-0A3E-46AF-8059-74871BADFD1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1034" name="AutoShape 12">
          <a:extLst>
            <a:ext uri="{FF2B5EF4-FFF2-40B4-BE49-F238E27FC236}">
              <a16:creationId xmlns:a16="http://schemas.microsoft.com/office/drawing/2014/main" id="{27A5E24C-967A-40FA-B452-AC503CD2620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1035" name="AutoShape 12">
          <a:extLst>
            <a:ext uri="{FF2B5EF4-FFF2-40B4-BE49-F238E27FC236}">
              <a16:creationId xmlns:a16="http://schemas.microsoft.com/office/drawing/2014/main" id="{208F7A70-F2B7-4B64-9309-C84A810B8DE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1036" name="AutoShape 12">
          <a:extLst>
            <a:ext uri="{FF2B5EF4-FFF2-40B4-BE49-F238E27FC236}">
              <a16:creationId xmlns:a16="http://schemas.microsoft.com/office/drawing/2014/main" id="{A24F76B5-7594-4C96-9D50-F357F8F9A6B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1037" name="AutoShape 12">
          <a:extLst>
            <a:ext uri="{FF2B5EF4-FFF2-40B4-BE49-F238E27FC236}">
              <a16:creationId xmlns:a16="http://schemas.microsoft.com/office/drawing/2014/main" id="{2A9E36DB-B0F7-4FEC-8024-349BEE1DC02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1038" name="AutoShape 12">
          <a:extLst>
            <a:ext uri="{FF2B5EF4-FFF2-40B4-BE49-F238E27FC236}">
              <a16:creationId xmlns:a16="http://schemas.microsoft.com/office/drawing/2014/main" id="{1922AAF9-5BCF-4049-8A89-A501EEF1E6F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1039" name="AutoShape 12">
          <a:extLst>
            <a:ext uri="{FF2B5EF4-FFF2-40B4-BE49-F238E27FC236}">
              <a16:creationId xmlns:a16="http://schemas.microsoft.com/office/drawing/2014/main" id="{8A57496F-BB5E-42FF-AA63-D21DD274CD3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1040" name="AutoShape 12">
          <a:extLst>
            <a:ext uri="{FF2B5EF4-FFF2-40B4-BE49-F238E27FC236}">
              <a16:creationId xmlns:a16="http://schemas.microsoft.com/office/drawing/2014/main" id="{891CE9B8-DB9D-444B-8126-EC2F13F1E6E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1041" name="AutoShape 12">
          <a:extLst>
            <a:ext uri="{FF2B5EF4-FFF2-40B4-BE49-F238E27FC236}">
              <a16:creationId xmlns:a16="http://schemas.microsoft.com/office/drawing/2014/main" id="{E340BA06-36F7-4E01-B12E-AEFF4D13B0B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1042" name="AutoShape 12">
          <a:extLst>
            <a:ext uri="{FF2B5EF4-FFF2-40B4-BE49-F238E27FC236}">
              <a16:creationId xmlns:a16="http://schemas.microsoft.com/office/drawing/2014/main" id="{CF329F56-81AF-4C1B-B98C-9C338F4CF7F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1043" name="AutoShape 12">
          <a:extLst>
            <a:ext uri="{FF2B5EF4-FFF2-40B4-BE49-F238E27FC236}">
              <a16:creationId xmlns:a16="http://schemas.microsoft.com/office/drawing/2014/main" id="{751690AB-27F4-445D-8843-64999E781BE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1044" name="AutoShape 12">
          <a:extLst>
            <a:ext uri="{FF2B5EF4-FFF2-40B4-BE49-F238E27FC236}">
              <a16:creationId xmlns:a16="http://schemas.microsoft.com/office/drawing/2014/main" id="{8409656C-897E-40E4-AF38-AA4BE82B186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1045" name="AutoShape 12">
          <a:extLst>
            <a:ext uri="{FF2B5EF4-FFF2-40B4-BE49-F238E27FC236}">
              <a16:creationId xmlns:a16="http://schemas.microsoft.com/office/drawing/2014/main" id="{77B3A133-607F-4315-9515-45FB317B8E3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1046" name="AutoShape 12">
          <a:extLst>
            <a:ext uri="{FF2B5EF4-FFF2-40B4-BE49-F238E27FC236}">
              <a16:creationId xmlns:a16="http://schemas.microsoft.com/office/drawing/2014/main" id="{20F64DC1-B6C1-4C0F-99CD-F7B88364C7A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1047" name="AutoShape 12">
          <a:extLst>
            <a:ext uri="{FF2B5EF4-FFF2-40B4-BE49-F238E27FC236}">
              <a16:creationId xmlns:a16="http://schemas.microsoft.com/office/drawing/2014/main" id="{2D724901-A0E5-4119-9E41-62EF7E7BF2B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1048" name="AutoShape 12">
          <a:extLst>
            <a:ext uri="{FF2B5EF4-FFF2-40B4-BE49-F238E27FC236}">
              <a16:creationId xmlns:a16="http://schemas.microsoft.com/office/drawing/2014/main" id="{76C7425B-818A-4048-8FC7-42E14AFA827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1049" name="AutoShape 12">
          <a:extLst>
            <a:ext uri="{FF2B5EF4-FFF2-40B4-BE49-F238E27FC236}">
              <a16:creationId xmlns:a16="http://schemas.microsoft.com/office/drawing/2014/main" id="{6A341E9F-3267-415F-8098-1109618E7AB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1050" name="AutoShape 12">
          <a:extLst>
            <a:ext uri="{FF2B5EF4-FFF2-40B4-BE49-F238E27FC236}">
              <a16:creationId xmlns:a16="http://schemas.microsoft.com/office/drawing/2014/main" id="{DB81A614-81EC-4978-A645-DAA3232A434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1051" name="AutoShape 12">
          <a:extLst>
            <a:ext uri="{FF2B5EF4-FFF2-40B4-BE49-F238E27FC236}">
              <a16:creationId xmlns:a16="http://schemas.microsoft.com/office/drawing/2014/main" id="{43E8506E-344A-4D61-B8AD-93C79D1FCF8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1052" name="AutoShape 12">
          <a:extLst>
            <a:ext uri="{FF2B5EF4-FFF2-40B4-BE49-F238E27FC236}">
              <a16:creationId xmlns:a16="http://schemas.microsoft.com/office/drawing/2014/main" id="{ED53085B-9055-4F57-90FE-C59BE03CE52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1053" name="AutoShape 12">
          <a:extLst>
            <a:ext uri="{FF2B5EF4-FFF2-40B4-BE49-F238E27FC236}">
              <a16:creationId xmlns:a16="http://schemas.microsoft.com/office/drawing/2014/main" id="{C0AAA952-2502-4E7F-8B1D-2F323A5A614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1054" name="AutoShape 12">
          <a:extLst>
            <a:ext uri="{FF2B5EF4-FFF2-40B4-BE49-F238E27FC236}">
              <a16:creationId xmlns:a16="http://schemas.microsoft.com/office/drawing/2014/main" id="{61C18A18-2F64-4DAC-BAFF-26E1F06AAFB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1055" name="AutoShape 12">
          <a:extLst>
            <a:ext uri="{FF2B5EF4-FFF2-40B4-BE49-F238E27FC236}">
              <a16:creationId xmlns:a16="http://schemas.microsoft.com/office/drawing/2014/main" id="{42142003-63AD-431B-AF2A-D6B65E2D2C6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1056" name="AutoShape 12">
          <a:extLst>
            <a:ext uri="{FF2B5EF4-FFF2-40B4-BE49-F238E27FC236}">
              <a16:creationId xmlns:a16="http://schemas.microsoft.com/office/drawing/2014/main" id="{CCE06351-3372-4EF5-8E3C-B712E9CCA94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1057" name="AutoShape 12">
          <a:extLst>
            <a:ext uri="{FF2B5EF4-FFF2-40B4-BE49-F238E27FC236}">
              <a16:creationId xmlns:a16="http://schemas.microsoft.com/office/drawing/2014/main" id="{DE55ACC8-ABC9-4189-9C33-6E38EC82C9F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1058" name="AutoShape 12">
          <a:extLst>
            <a:ext uri="{FF2B5EF4-FFF2-40B4-BE49-F238E27FC236}">
              <a16:creationId xmlns:a16="http://schemas.microsoft.com/office/drawing/2014/main" id="{D9CE79F6-F82B-4627-B5A6-AD47EE33F61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1059" name="AutoShape 12">
          <a:extLst>
            <a:ext uri="{FF2B5EF4-FFF2-40B4-BE49-F238E27FC236}">
              <a16:creationId xmlns:a16="http://schemas.microsoft.com/office/drawing/2014/main" id="{82C8CACD-694C-425F-96F5-E069A02F9E2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1060" name="AutoShape 12">
          <a:extLst>
            <a:ext uri="{FF2B5EF4-FFF2-40B4-BE49-F238E27FC236}">
              <a16:creationId xmlns:a16="http://schemas.microsoft.com/office/drawing/2014/main" id="{22413489-03A1-4871-B19E-2F303CAED67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1061" name="AutoShape 12">
          <a:extLst>
            <a:ext uri="{FF2B5EF4-FFF2-40B4-BE49-F238E27FC236}">
              <a16:creationId xmlns:a16="http://schemas.microsoft.com/office/drawing/2014/main" id="{FC575C47-C45A-406B-B5AD-570F9E73DF2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1062" name="AutoShape 12">
          <a:extLst>
            <a:ext uri="{FF2B5EF4-FFF2-40B4-BE49-F238E27FC236}">
              <a16:creationId xmlns:a16="http://schemas.microsoft.com/office/drawing/2014/main" id="{7305ECC8-5A74-4F53-9F01-03929F6BE6C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1063" name="AutoShape 12">
          <a:extLst>
            <a:ext uri="{FF2B5EF4-FFF2-40B4-BE49-F238E27FC236}">
              <a16:creationId xmlns:a16="http://schemas.microsoft.com/office/drawing/2014/main" id="{CD404FC0-366B-413B-9E7C-9E16E522F81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1064" name="AutoShape 12">
          <a:extLst>
            <a:ext uri="{FF2B5EF4-FFF2-40B4-BE49-F238E27FC236}">
              <a16:creationId xmlns:a16="http://schemas.microsoft.com/office/drawing/2014/main" id="{DACFF4DC-A5B6-4D53-B3A6-C796FCCB3E0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1065" name="AutoShape 12">
          <a:extLst>
            <a:ext uri="{FF2B5EF4-FFF2-40B4-BE49-F238E27FC236}">
              <a16:creationId xmlns:a16="http://schemas.microsoft.com/office/drawing/2014/main" id="{54F6D8E5-77F0-41BD-AD62-0827D75A4FA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1066" name="AutoShape 12">
          <a:extLst>
            <a:ext uri="{FF2B5EF4-FFF2-40B4-BE49-F238E27FC236}">
              <a16:creationId xmlns:a16="http://schemas.microsoft.com/office/drawing/2014/main" id="{69C63CEE-10BC-48C8-82DE-412869860E2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1067" name="AutoShape 12">
          <a:extLst>
            <a:ext uri="{FF2B5EF4-FFF2-40B4-BE49-F238E27FC236}">
              <a16:creationId xmlns:a16="http://schemas.microsoft.com/office/drawing/2014/main" id="{2B48015C-35E6-437F-965A-DDF1E771678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1068" name="AutoShape 12">
          <a:extLst>
            <a:ext uri="{FF2B5EF4-FFF2-40B4-BE49-F238E27FC236}">
              <a16:creationId xmlns:a16="http://schemas.microsoft.com/office/drawing/2014/main" id="{F6C8BB9C-C0D1-4232-A333-47050CE861D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1069" name="AutoShape 12">
          <a:extLst>
            <a:ext uri="{FF2B5EF4-FFF2-40B4-BE49-F238E27FC236}">
              <a16:creationId xmlns:a16="http://schemas.microsoft.com/office/drawing/2014/main" id="{3BB3B7F2-01CA-4EB9-B07B-7A95D5279BA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1070" name="AutoShape 12">
          <a:extLst>
            <a:ext uri="{FF2B5EF4-FFF2-40B4-BE49-F238E27FC236}">
              <a16:creationId xmlns:a16="http://schemas.microsoft.com/office/drawing/2014/main" id="{CF55D6A5-505C-4BB8-8A12-79E21B2780B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1071" name="AutoShape 12">
          <a:extLst>
            <a:ext uri="{FF2B5EF4-FFF2-40B4-BE49-F238E27FC236}">
              <a16:creationId xmlns:a16="http://schemas.microsoft.com/office/drawing/2014/main" id="{5CC0C2DD-0DCA-417F-9F44-D4ABDD18F1F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1072" name="AutoShape 12">
          <a:extLst>
            <a:ext uri="{FF2B5EF4-FFF2-40B4-BE49-F238E27FC236}">
              <a16:creationId xmlns:a16="http://schemas.microsoft.com/office/drawing/2014/main" id="{EEA96B62-8365-44C6-B9E3-5DEE3EE3336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1073" name="AutoShape 12">
          <a:extLst>
            <a:ext uri="{FF2B5EF4-FFF2-40B4-BE49-F238E27FC236}">
              <a16:creationId xmlns:a16="http://schemas.microsoft.com/office/drawing/2014/main" id="{18C55F58-498A-4B92-AD79-091597E4DB1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1074" name="AutoShape 12">
          <a:extLst>
            <a:ext uri="{FF2B5EF4-FFF2-40B4-BE49-F238E27FC236}">
              <a16:creationId xmlns:a16="http://schemas.microsoft.com/office/drawing/2014/main" id="{417AD1CF-FC1E-402D-8238-3B4E759BDB1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1075" name="AutoShape 12">
          <a:extLst>
            <a:ext uri="{FF2B5EF4-FFF2-40B4-BE49-F238E27FC236}">
              <a16:creationId xmlns:a16="http://schemas.microsoft.com/office/drawing/2014/main" id="{FB8B7811-B5AD-44AB-9653-7C1703F635C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1076" name="AutoShape 12">
          <a:extLst>
            <a:ext uri="{FF2B5EF4-FFF2-40B4-BE49-F238E27FC236}">
              <a16:creationId xmlns:a16="http://schemas.microsoft.com/office/drawing/2014/main" id="{4AE5201D-0423-437D-9002-0148008097F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1077" name="AutoShape 12">
          <a:extLst>
            <a:ext uri="{FF2B5EF4-FFF2-40B4-BE49-F238E27FC236}">
              <a16:creationId xmlns:a16="http://schemas.microsoft.com/office/drawing/2014/main" id="{7F4EC4BE-568A-4D95-A870-F1DE0AA111E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1078" name="AutoShape 12">
          <a:extLst>
            <a:ext uri="{FF2B5EF4-FFF2-40B4-BE49-F238E27FC236}">
              <a16:creationId xmlns:a16="http://schemas.microsoft.com/office/drawing/2014/main" id="{57083F98-E53B-4A41-BD7F-DF8BD4B0504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1079" name="AutoShape 12">
          <a:extLst>
            <a:ext uri="{FF2B5EF4-FFF2-40B4-BE49-F238E27FC236}">
              <a16:creationId xmlns:a16="http://schemas.microsoft.com/office/drawing/2014/main" id="{11A41B0A-F6DC-451D-BC01-EEFCF7A59A9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1080" name="AutoShape 12">
          <a:extLst>
            <a:ext uri="{FF2B5EF4-FFF2-40B4-BE49-F238E27FC236}">
              <a16:creationId xmlns:a16="http://schemas.microsoft.com/office/drawing/2014/main" id="{8FC8ED5B-031C-4181-BC36-4C94C70296D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1081" name="AutoShape 12">
          <a:extLst>
            <a:ext uri="{FF2B5EF4-FFF2-40B4-BE49-F238E27FC236}">
              <a16:creationId xmlns:a16="http://schemas.microsoft.com/office/drawing/2014/main" id="{4CC9F49A-4E44-4FFF-9B89-292147CFE8C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1082" name="AutoShape 12">
          <a:extLst>
            <a:ext uri="{FF2B5EF4-FFF2-40B4-BE49-F238E27FC236}">
              <a16:creationId xmlns:a16="http://schemas.microsoft.com/office/drawing/2014/main" id="{C6D7676C-14F9-467F-9D99-A476CFD589A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1083" name="AutoShape 12">
          <a:extLst>
            <a:ext uri="{FF2B5EF4-FFF2-40B4-BE49-F238E27FC236}">
              <a16:creationId xmlns:a16="http://schemas.microsoft.com/office/drawing/2014/main" id="{E1A1CBF7-2F34-42B0-B437-5C7F16DA66E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1084" name="AutoShape 12">
          <a:extLst>
            <a:ext uri="{FF2B5EF4-FFF2-40B4-BE49-F238E27FC236}">
              <a16:creationId xmlns:a16="http://schemas.microsoft.com/office/drawing/2014/main" id="{7DA77E2E-2CF2-475B-881B-CEEE6F250DE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1085" name="AutoShape 12">
          <a:extLst>
            <a:ext uri="{FF2B5EF4-FFF2-40B4-BE49-F238E27FC236}">
              <a16:creationId xmlns:a16="http://schemas.microsoft.com/office/drawing/2014/main" id="{65D7D3FF-0DE1-4CAE-A6E9-B523F4C28C3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1086" name="AutoShape 12">
          <a:extLst>
            <a:ext uri="{FF2B5EF4-FFF2-40B4-BE49-F238E27FC236}">
              <a16:creationId xmlns:a16="http://schemas.microsoft.com/office/drawing/2014/main" id="{DC5A12A8-CE43-4E6F-AE25-80E66F0A902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1087" name="AutoShape 12">
          <a:extLst>
            <a:ext uri="{FF2B5EF4-FFF2-40B4-BE49-F238E27FC236}">
              <a16:creationId xmlns:a16="http://schemas.microsoft.com/office/drawing/2014/main" id="{4317BAF9-F486-4980-887D-81D36C1E9CE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1088" name="AutoShape 12">
          <a:extLst>
            <a:ext uri="{FF2B5EF4-FFF2-40B4-BE49-F238E27FC236}">
              <a16:creationId xmlns:a16="http://schemas.microsoft.com/office/drawing/2014/main" id="{39E1B6D8-6EFB-42D7-AA54-CC9A94CD464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1089" name="AutoShape 12">
          <a:extLst>
            <a:ext uri="{FF2B5EF4-FFF2-40B4-BE49-F238E27FC236}">
              <a16:creationId xmlns:a16="http://schemas.microsoft.com/office/drawing/2014/main" id="{A5B05201-FF34-4F2B-BED0-2B0164EFB0F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1090" name="AutoShape 12">
          <a:extLst>
            <a:ext uri="{FF2B5EF4-FFF2-40B4-BE49-F238E27FC236}">
              <a16:creationId xmlns:a16="http://schemas.microsoft.com/office/drawing/2014/main" id="{F7955775-C6B1-497A-90D0-0E156FF2779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1091" name="AutoShape 12">
          <a:extLst>
            <a:ext uri="{FF2B5EF4-FFF2-40B4-BE49-F238E27FC236}">
              <a16:creationId xmlns:a16="http://schemas.microsoft.com/office/drawing/2014/main" id="{28847219-3809-440E-87E3-F8736C15508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1092" name="AutoShape 12">
          <a:extLst>
            <a:ext uri="{FF2B5EF4-FFF2-40B4-BE49-F238E27FC236}">
              <a16:creationId xmlns:a16="http://schemas.microsoft.com/office/drawing/2014/main" id="{BA163A0D-EEBA-4952-849E-83E958D47E4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1093" name="AutoShape 12">
          <a:extLst>
            <a:ext uri="{FF2B5EF4-FFF2-40B4-BE49-F238E27FC236}">
              <a16:creationId xmlns:a16="http://schemas.microsoft.com/office/drawing/2014/main" id="{9F47DF0A-70C9-4099-91AE-183EA5BEB0A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1094" name="AutoShape 12">
          <a:extLst>
            <a:ext uri="{FF2B5EF4-FFF2-40B4-BE49-F238E27FC236}">
              <a16:creationId xmlns:a16="http://schemas.microsoft.com/office/drawing/2014/main" id="{A5B168B0-6BAE-4012-9AAA-BBEEE23F9A8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1095" name="AutoShape 12">
          <a:extLst>
            <a:ext uri="{FF2B5EF4-FFF2-40B4-BE49-F238E27FC236}">
              <a16:creationId xmlns:a16="http://schemas.microsoft.com/office/drawing/2014/main" id="{C6BEC09B-2C04-44CA-ABD4-C13A9EBE40F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1096" name="AutoShape 12">
          <a:extLst>
            <a:ext uri="{FF2B5EF4-FFF2-40B4-BE49-F238E27FC236}">
              <a16:creationId xmlns:a16="http://schemas.microsoft.com/office/drawing/2014/main" id="{BA0E6E83-1662-44C3-B5F8-E4FD1F59E62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1097" name="AutoShape 12">
          <a:extLst>
            <a:ext uri="{FF2B5EF4-FFF2-40B4-BE49-F238E27FC236}">
              <a16:creationId xmlns:a16="http://schemas.microsoft.com/office/drawing/2014/main" id="{717B1659-DEE6-4D48-80BF-1DC2740E3FC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1098" name="AutoShape 12">
          <a:extLst>
            <a:ext uri="{FF2B5EF4-FFF2-40B4-BE49-F238E27FC236}">
              <a16:creationId xmlns:a16="http://schemas.microsoft.com/office/drawing/2014/main" id="{932A387B-F21A-4568-9C2C-85CD5ADB4EC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1099" name="AutoShape 12">
          <a:extLst>
            <a:ext uri="{FF2B5EF4-FFF2-40B4-BE49-F238E27FC236}">
              <a16:creationId xmlns:a16="http://schemas.microsoft.com/office/drawing/2014/main" id="{FB9EF32A-295F-4BDD-A69F-29CCFAC9C52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1100" name="AutoShape 12">
          <a:extLst>
            <a:ext uri="{FF2B5EF4-FFF2-40B4-BE49-F238E27FC236}">
              <a16:creationId xmlns:a16="http://schemas.microsoft.com/office/drawing/2014/main" id="{3F1C24F9-B0D0-45FA-940D-68D099D471A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1101" name="AutoShape 12">
          <a:extLst>
            <a:ext uri="{FF2B5EF4-FFF2-40B4-BE49-F238E27FC236}">
              <a16:creationId xmlns:a16="http://schemas.microsoft.com/office/drawing/2014/main" id="{56657258-D435-4D3C-AA5C-A481FEE565B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1102" name="AutoShape 12">
          <a:extLst>
            <a:ext uri="{FF2B5EF4-FFF2-40B4-BE49-F238E27FC236}">
              <a16:creationId xmlns:a16="http://schemas.microsoft.com/office/drawing/2014/main" id="{CEF849FA-0E36-4667-8917-4B085A8EF8D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1103" name="AutoShape 12">
          <a:extLst>
            <a:ext uri="{FF2B5EF4-FFF2-40B4-BE49-F238E27FC236}">
              <a16:creationId xmlns:a16="http://schemas.microsoft.com/office/drawing/2014/main" id="{914B7908-3F22-4627-9ACB-2E4B08B2AF7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1104" name="AutoShape 12">
          <a:extLst>
            <a:ext uri="{FF2B5EF4-FFF2-40B4-BE49-F238E27FC236}">
              <a16:creationId xmlns:a16="http://schemas.microsoft.com/office/drawing/2014/main" id="{1968E319-EF9E-42E1-8859-024C31B80CE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1105" name="AutoShape 12">
          <a:extLst>
            <a:ext uri="{FF2B5EF4-FFF2-40B4-BE49-F238E27FC236}">
              <a16:creationId xmlns:a16="http://schemas.microsoft.com/office/drawing/2014/main" id="{9794ED6F-404D-46D3-ADD0-07B36EFFB75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1106" name="AutoShape 12">
          <a:extLst>
            <a:ext uri="{FF2B5EF4-FFF2-40B4-BE49-F238E27FC236}">
              <a16:creationId xmlns:a16="http://schemas.microsoft.com/office/drawing/2014/main" id="{99CC422F-04A2-44A8-9B9E-E876F128FF1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1107" name="AutoShape 12">
          <a:extLst>
            <a:ext uri="{FF2B5EF4-FFF2-40B4-BE49-F238E27FC236}">
              <a16:creationId xmlns:a16="http://schemas.microsoft.com/office/drawing/2014/main" id="{CFB74555-0BF2-4B18-A947-A4063533B7A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1108" name="AutoShape 12">
          <a:extLst>
            <a:ext uri="{FF2B5EF4-FFF2-40B4-BE49-F238E27FC236}">
              <a16:creationId xmlns:a16="http://schemas.microsoft.com/office/drawing/2014/main" id="{12F9870E-CFC5-4EA6-B6A0-F4021D38FD4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1109" name="AutoShape 12">
          <a:extLst>
            <a:ext uri="{FF2B5EF4-FFF2-40B4-BE49-F238E27FC236}">
              <a16:creationId xmlns:a16="http://schemas.microsoft.com/office/drawing/2014/main" id="{6E393099-47C1-48F3-8328-D133BEDBBAE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1110" name="AutoShape 12">
          <a:extLst>
            <a:ext uri="{FF2B5EF4-FFF2-40B4-BE49-F238E27FC236}">
              <a16:creationId xmlns:a16="http://schemas.microsoft.com/office/drawing/2014/main" id="{F1849E12-9C9E-4925-A97F-61AC9F2856E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1111" name="AutoShape 12">
          <a:extLst>
            <a:ext uri="{FF2B5EF4-FFF2-40B4-BE49-F238E27FC236}">
              <a16:creationId xmlns:a16="http://schemas.microsoft.com/office/drawing/2014/main" id="{25A5255F-3650-45A3-99D6-76304D17698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1112" name="AutoShape 12">
          <a:extLst>
            <a:ext uri="{FF2B5EF4-FFF2-40B4-BE49-F238E27FC236}">
              <a16:creationId xmlns:a16="http://schemas.microsoft.com/office/drawing/2014/main" id="{9632C94A-458E-43A6-B41F-AAC8CD50023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1113" name="AutoShape 12">
          <a:extLst>
            <a:ext uri="{FF2B5EF4-FFF2-40B4-BE49-F238E27FC236}">
              <a16:creationId xmlns:a16="http://schemas.microsoft.com/office/drawing/2014/main" id="{DAB42539-CB90-457A-B152-13A1792DCFB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1114" name="AutoShape 12">
          <a:extLst>
            <a:ext uri="{FF2B5EF4-FFF2-40B4-BE49-F238E27FC236}">
              <a16:creationId xmlns:a16="http://schemas.microsoft.com/office/drawing/2014/main" id="{ADE20CD9-DA0C-4DE3-8EC3-1F69A881F7E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1115" name="AutoShape 12">
          <a:extLst>
            <a:ext uri="{FF2B5EF4-FFF2-40B4-BE49-F238E27FC236}">
              <a16:creationId xmlns:a16="http://schemas.microsoft.com/office/drawing/2014/main" id="{A2EA0BBE-BCF5-4FC3-B361-907D1EF1DA4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1116" name="AutoShape 12">
          <a:extLst>
            <a:ext uri="{FF2B5EF4-FFF2-40B4-BE49-F238E27FC236}">
              <a16:creationId xmlns:a16="http://schemas.microsoft.com/office/drawing/2014/main" id="{D06FAB24-5A2F-4313-9D66-991C774631C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1117" name="AutoShape 12">
          <a:extLst>
            <a:ext uri="{FF2B5EF4-FFF2-40B4-BE49-F238E27FC236}">
              <a16:creationId xmlns:a16="http://schemas.microsoft.com/office/drawing/2014/main" id="{0CE0F99B-774E-44A1-886D-2DAA0DFB784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1118" name="AutoShape 12">
          <a:extLst>
            <a:ext uri="{FF2B5EF4-FFF2-40B4-BE49-F238E27FC236}">
              <a16:creationId xmlns:a16="http://schemas.microsoft.com/office/drawing/2014/main" id="{66A27238-1D8B-4BCC-8C2A-1B68CB7D8F2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1119" name="AutoShape 12">
          <a:extLst>
            <a:ext uri="{FF2B5EF4-FFF2-40B4-BE49-F238E27FC236}">
              <a16:creationId xmlns:a16="http://schemas.microsoft.com/office/drawing/2014/main" id="{6AEB624C-997B-4428-964F-F8E988F0984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1120" name="AutoShape 12">
          <a:extLst>
            <a:ext uri="{FF2B5EF4-FFF2-40B4-BE49-F238E27FC236}">
              <a16:creationId xmlns:a16="http://schemas.microsoft.com/office/drawing/2014/main" id="{7EA3D8AF-4C9B-4D59-8DE4-C3E40AD1800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1121" name="AutoShape 12">
          <a:extLst>
            <a:ext uri="{FF2B5EF4-FFF2-40B4-BE49-F238E27FC236}">
              <a16:creationId xmlns:a16="http://schemas.microsoft.com/office/drawing/2014/main" id="{C9FB7B34-772F-4430-9439-3AD82EA8BB0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1122" name="AutoShape 12">
          <a:extLst>
            <a:ext uri="{FF2B5EF4-FFF2-40B4-BE49-F238E27FC236}">
              <a16:creationId xmlns:a16="http://schemas.microsoft.com/office/drawing/2014/main" id="{5ABDDABF-F6C2-4538-B408-DE6DB682C42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1123" name="AutoShape 12">
          <a:extLst>
            <a:ext uri="{FF2B5EF4-FFF2-40B4-BE49-F238E27FC236}">
              <a16:creationId xmlns:a16="http://schemas.microsoft.com/office/drawing/2014/main" id="{31F0441B-1BFF-46FE-A161-F250CEEFE94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1124" name="AutoShape 12">
          <a:extLst>
            <a:ext uri="{FF2B5EF4-FFF2-40B4-BE49-F238E27FC236}">
              <a16:creationId xmlns:a16="http://schemas.microsoft.com/office/drawing/2014/main" id="{F1025B27-20A7-499F-A1E6-B32C08CC749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1125" name="AutoShape 12">
          <a:extLst>
            <a:ext uri="{FF2B5EF4-FFF2-40B4-BE49-F238E27FC236}">
              <a16:creationId xmlns:a16="http://schemas.microsoft.com/office/drawing/2014/main" id="{9D932D94-0AD2-445E-A535-605A75909CE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1126" name="AutoShape 12">
          <a:extLst>
            <a:ext uri="{FF2B5EF4-FFF2-40B4-BE49-F238E27FC236}">
              <a16:creationId xmlns:a16="http://schemas.microsoft.com/office/drawing/2014/main" id="{8C26E1AC-80CB-40A4-A0BD-1F4EBE5ADED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1127" name="AutoShape 12">
          <a:extLst>
            <a:ext uri="{FF2B5EF4-FFF2-40B4-BE49-F238E27FC236}">
              <a16:creationId xmlns:a16="http://schemas.microsoft.com/office/drawing/2014/main" id="{3899C665-44B3-4BB1-89A1-25AE7D13DBE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1128" name="AutoShape 12">
          <a:extLst>
            <a:ext uri="{FF2B5EF4-FFF2-40B4-BE49-F238E27FC236}">
              <a16:creationId xmlns:a16="http://schemas.microsoft.com/office/drawing/2014/main" id="{D662B111-6372-4B02-BC0B-9CDC47F1734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1129" name="AutoShape 12">
          <a:extLst>
            <a:ext uri="{FF2B5EF4-FFF2-40B4-BE49-F238E27FC236}">
              <a16:creationId xmlns:a16="http://schemas.microsoft.com/office/drawing/2014/main" id="{00AFBF91-0344-424E-AD45-14BBEA06BBD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1130" name="AutoShape 12">
          <a:extLst>
            <a:ext uri="{FF2B5EF4-FFF2-40B4-BE49-F238E27FC236}">
              <a16:creationId xmlns:a16="http://schemas.microsoft.com/office/drawing/2014/main" id="{790B8685-7514-4F6A-A492-F3E54FA7D9B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1131" name="AutoShape 12">
          <a:extLst>
            <a:ext uri="{FF2B5EF4-FFF2-40B4-BE49-F238E27FC236}">
              <a16:creationId xmlns:a16="http://schemas.microsoft.com/office/drawing/2014/main" id="{E5FA56C9-1812-460F-B187-6884B71623F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1132" name="AutoShape 12">
          <a:extLst>
            <a:ext uri="{FF2B5EF4-FFF2-40B4-BE49-F238E27FC236}">
              <a16:creationId xmlns:a16="http://schemas.microsoft.com/office/drawing/2014/main" id="{788AF736-FF7A-4134-93A1-F1DB5EC9FED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1133" name="AutoShape 12">
          <a:extLst>
            <a:ext uri="{FF2B5EF4-FFF2-40B4-BE49-F238E27FC236}">
              <a16:creationId xmlns:a16="http://schemas.microsoft.com/office/drawing/2014/main" id="{DCFE6C9C-054F-4039-B968-D5B58E68F48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1134" name="AutoShape 12">
          <a:extLst>
            <a:ext uri="{FF2B5EF4-FFF2-40B4-BE49-F238E27FC236}">
              <a16:creationId xmlns:a16="http://schemas.microsoft.com/office/drawing/2014/main" id="{EC46518E-D586-42C7-B58A-2F470D74138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1135" name="AutoShape 12">
          <a:extLst>
            <a:ext uri="{FF2B5EF4-FFF2-40B4-BE49-F238E27FC236}">
              <a16:creationId xmlns:a16="http://schemas.microsoft.com/office/drawing/2014/main" id="{5F333FB5-A50C-4C99-B6D1-B1E142F543F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1136" name="AutoShape 12">
          <a:extLst>
            <a:ext uri="{FF2B5EF4-FFF2-40B4-BE49-F238E27FC236}">
              <a16:creationId xmlns:a16="http://schemas.microsoft.com/office/drawing/2014/main" id="{0D8C8ED7-546B-4BB5-A95D-7FABFA3A44F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1137" name="AutoShape 12">
          <a:extLst>
            <a:ext uri="{FF2B5EF4-FFF2-40B4-BE49-F238E27FC236}">
              <a16:creationId xmlns:a16="http://schemas.microsoft.com/office/drawing/2014/main" id="{219E18CC-1EB1-40E2-852B-992CE3113B2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1138" name="AutoShape 12">
          <a:extLst>
            <a:ext uri="{FF2B5EF4-FFF2-40B4-BE49-F238E27FC236}">
              <a16:creationId xmlns:a16="http://schemas.microsoft.com/office/drawing/2014/main" id="{F7BCE1EF-53B3-42E4-95D9-E55FA3ED4A7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1139" name="AutoShape 12">
          <a:extLst>
            <a:ext uri="{FF2B5EF4-FFF2-40B4-BE49-F238E27FC236}">
              <a16:creationId xmlns:a16="http://schemas.microsoft.com/office/drawing/2014/main" id="{FBBAF9FF-C7CA-4FEB-9065-2EB8CF8D0F3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1140" name="AutoShape 12">
          <a:extLst>
            <a:ext uri="{FF2B5EF4-FFF2-40B4-BE49-F238E27FC236}">
              <a16:creationId xmlns:a16="http://schemas.microsoft.com/office/drawing/2014/main" id="{0DC31618-260C-4220-8BE0-090FB2F9452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1141" name="AutoShape 12">
          <a:extLst>
            <a:ext uri="{FF2B5EF4-FFF2-40B4-BE49-F238E27FC236}">
              <a16:creationId xmlns:a16="http://schemas.microsoft.com/office/drawing/2014/main" id="{FF0B4444-C0FD-480E-89C7-CC0CFE1E628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1142" name="AutoShape 12">
          <a:extLst>
            <a:ext uri="{FF2B5EF4-FFF2-40B4-BE49-F238E27FC236}">
              <a16:creationId xmlns:a16="http://schemas.microsoft.com/office/drawing/2014/main" id="{1AD10D19-95D8-4D5E-84CB-B7D095C5F7C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1143" name="AutoShape 12">
          <a:extLst>
            <a:ext uri="{FF2B5EF4-FFF2-40B4-BE49-F238E27FC236}">
              <a16:creationId xmlns:a16="http://schemas.microsoft.com/office/drawing/2014/main" id="{351BDB68-847B-4FB3-94F1-E2DF687FF31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1144" name="AutoShape 12">
          <a:extLst>
            <a:ext uri="{FF2B5EF4-FFF2-40B4-BE49-F238E27FC236}">
              <a16:creationId xmlns:a16="http://schemas.microsoft.com/office/drawing/2014/main" id="{241DB1E6-E1B9-457E-BFBF-C7738070572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1145" name="AutoShape 12">
          <a:extLst>
            <a:ext uri="{FF2B5EF4-FFF2-40B4-BE49-F238E27FC236}">
              <a16:creationId xmlns:a16="http://schemas.microsoft.com/office/drawing/2014/main" id="{B1521D5C-CE81-428F-9B46-0E4CC138ECC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1146" name="AutoShape 12">
          <a:extLst>
            <a:ext uri="{FF2B5EF4-FFF2-40B4-BE49-F238E27FC236}">
              <a16:creationId xmlns:a16="http://schemas.microsoft.com/office/drawing/2014/main" id="{16361EFE-67D8-4303-99AA-1D089FCCDE2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1147" name="AutoShape 12">
          <a:extLst>
            <a:ext uri="{FF2B5EF4-FFF2-40B4-BE49-F238E27FC236}">
              <a16:creationId xmlns:a16="http://schemas.microsoft.com/office/drawing/2014/main" id="{5543B6DB-8E79-486C-B848-AC75B5D4AAB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1148" name="AutoShape 12">
          <a:extLst>
            <a:ext uri="{FF2B5EF4-FFF2-40B4-BE49-F238E27FC236}">
              <a16:creationId xmlns:a16="http://schemas.microsoft.com/office/drawing/2014/main" id="{30F4EA58-ADD1-4475-9214-E42DEADC4B5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1149" name="AutoShape 12">
          <a:extLst>
            <a:ext uri="{FF2B5EF4-FFF2-40B4-BE49-F238E27FC236}">
              <a16:creationId xmlns:a16="http://schemas.microsoft.com/office/drawing/2014/main" id="{19CA60AC-B9DA-4A6E-8DFD-8817BBE1841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1150" name="AutoShape 12">
          <a:extLst>
            <a:ext uri="{FF2B5EF4-FFF2-40B4-BE49-F238E27FC236}">
              <a16:creationId xmlns:a16="http://schemas.microsoft.com/office/drawing/2014/main" id="{56BE5A90-67B6-4606-BA83-4DAEC7B6F3D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1151" name="AutoShape 12">
          <a:extLst>
            <a:ext uri="{FF2B5EF4-FFF2-40B4-BE49-F238E27FC236}">
              <a16:creationId xmlns:a16="http://schemas.microsoft.com/office/drawing/2014/main" id="{06C714F8-B874-4FB1-8638-D07B1379C81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1152" name="AutoShape 12">
          <a:extLst>
            <a:ext uri="{FF2B5EF4-FFF2-40B4-BE49-F238E27FC236}">
              <a16:creationId xmlns:a16="http://schemas.microsoft.com/office/drawing/2014/main" id="{93324566-5475-4415-AF03-94FD2FCEC52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1153" name="AutoShape 12">
          <a:extLst>
            <a:ext uri="{FF2B5EF4-FFF2-40B4-BE49-F238E27FC236}">
              <a16:creationId xmlns:a16="http://schemas.microsoft.com/office/drawing/2014/main" id="{2AB7BA77-4A70-40CC-8AFE-19E0695FF50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1321</xdr:row>
      <xdr:rowOff>0</xdr:rowOff>
    </xdr:from>
    <xdr:ext cx="304800" cy="304094"/>
    <xdr:sp macro="" textlink="">
      <xdr:nvSpPr>
        <xdr:cNvPr id="11154" name="AutoShape 12">
          <a:extLst>
            <a:ext uri="{FF2B5EF4-FFF2-40B4-BE49-F238E27FC236}">
              <a16:creationId xmlns:a16="http://schemas.microsoft.com/office/drawing/2014/main" id="{AB2ACA5F-CEAC-48F9-9A7C-BB7DD9AECAB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155" name="AutoShape 12">
          <a:extLst>
            <a:ext uri="{FF2B5EF4-FFF2-40B4-BE49-F238E27FC236}">
              <a16:creationId xmlns:a16="http://schemas.microsoft.com/office/drawing/2014/main" id="{B67AF7F2-21F1-4A43-9151-F0A87F57FD0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156" name="AutoShape 12">
          <a:extLst>
            <a:ext uri="{FF2B5EF4-FFF2-40B4-BE49-F238E27FC236}">
              <a16:creationId xmlns:a16="http://schemas.microsoft.com/office/drawing/2014/main" id="{24EE70D4-6929-4228-A710-D2EA9E09D02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157" name="AutoShape 12">
          <a:extLst>
            <a:ext uri="{FF2B5EF4-FFF2-40B4-BE49-F238E27FC236}">
              <a16:creationId xmlns:a16="http://schemas.microsoft.com/office/drawing/2014/main" id="{F0D0A881-FCC8-44E4-85A3-400C8341A7D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158" name="AutoShape 12">
          <a:extLst>
            <a:ext uri="{FF2B5EF4-FFF2-40B4-BE49-F238E27FC236}">
              <a16:creationId xmlns:a16="http://schemas.microsoft.com/office/drawing/2014/main" id="{1CD1D519-6A92-4CF2-8BE6-146F5AC303F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159" name="AutoShape 12">
          <a:extLst>
            <a:ext uri="{FF2B5EF4-FFF2-40B4-BE49-F238E27FC236}">
              <a16:creationId xmlns:a16="http://schemas.microsoft.com/office/drawing/2014/main" id="{E27501A9-5431-46E0-BEF7-771D8F78F60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160" name="AutoShape 12">
          <a:extLst>
            <a:ext uri="{FF2B5EF4-FFF2-40B4-BE49-F238E27FC236}">
              <a16:creationId xmlns:a16="http://schemas.microsoft.com/office/drawing/2014/main" id="{A9E687B1-2F4E-4EE2-A41A-6ED51EBF081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161" name="AutoShape 12">
          <a:extLst>
            <a:ext uri="{FF2B5EF4-FFF2-40B4-BE49-F238E27FC236}">
              <a16:creationId xmlns:a16="http://schemas.microsoft.com/office/drawing/2014/main" id="{6876274E-FFB8-4C54-9A27-421D907A6AB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162" name="AutoShape 12">
          <a:extLst>
            <a:ext uri="{FF2B5EF4-FFF2-40B4-BE49-F238E27FC236}">
              <a16:creationId xmlns:a16="http://schemas.microsoft.com/office/drawing/2014/main" id="{C2060FCE-C8C0-4174-BA90-73C71B839D3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163" name="AutoShape 12">
          <a:extLst>
            <a:ext uri="{FF2B5EF4-FFF2-40B4-BE49-F238E27FC236}">
              <a16:creationId xmlns:a16="http://schemas.microsoft.com/office/drawing/2014/main" id="{7E789500-EE44-4AF4-B682-764266EDB02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164" name="AutoShape 12">
          <a:extLst>
            <a:ext uri="{FF2B5EF4-FFF2-40B4-BE49-F238E27FC236}">
              <a16:creationId xmlns:a16="http://schemas.microsoft.com/office/drawing/2014/main" id="{0C4B853A-8471-4199-B51C-FE98BE3FE41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165" name="AutoShape 12">
          <a:extLst>
            <a:ext uri="{FF2B5EF4-FFF2-40B4-BE49-F238E27FC236}">
              <a16:creationId xmlns:a16="http://schemas.microsoft.com/office/drawing/2014/main" id="{0367008B-C5B7-4E5C-A5C6-A9B854B49F3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166" name="AutoShape 12">
          <a:extLst>
            <a:ext uri="{FF2B5EF4-FFF2-40B4-BE49-F238E27FC236}">
              <a16:creationId xmlns:a16="http://schemas.microsoft.com/office/drawing/2014/main" id="{C66FC780-B0CF-4D32-8FA7-EB61A2A1DE8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167" name="AutoShape 12">
          <a:extLst>
            <a:ext uri="{FF2B5EF4-FFF2-40B4-BE49-F238E27FC236}">
              <a16:creationId xmlns:a16="http://schemas.microsoft.com/office/drawing/2014/main" id="{37C80303-08F0-4788-9873-CE05ABA70A8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168" name="AutoShape 12">
          <a:extLst>
            <a:ext uri="{FF2B5EF4-FFF2-40B4-BE49-F238E27FC236}">
              <a16:creationId xmlns:a16="http://schemas.microsoft.com/office/drawing/2014/main" id="{A0EFC150-A7DD-499C-99B2-EF00A908A73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169" name="AutoShape 12">
          <a:extLst>
            <a:ext uri="{FF2B5EF4-FFF2-40B4-BE49-F238E27FC236}">
              <a16:creationId xmlns:a16="http://schemas.microsoft.com/office/drawing/2014/main" id="{DA106181-A08C-4366-8817-B980EE5FBD9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170" name="AutoShape 12">
          <a:extLst>
            <a:ext uri="{FF2B5EF4-FFF2-40B4-BE49-F238E27FC236}">
              <a16:creationId xmlns:a16="http://schemas.microsoft.com/office/drawing/2014/main" id="{5BD8D3C6-B4DA-4B42-BB36-2F5BABF99F3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171" name="AutoShape 12">
          <a:extLst>
            <a:ext uri="{FF2B5EF4-FFF2-40B4-BE49-F238E27FC236}">
              <a16:creationId xmlns:a16="http://schemas.microsoft.com/office/drawing/2014/main" id="{3D068994-684E-4E66-9AD0-2725D365A63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172" name="AutoShape 12">
          <a:extLst>
            <a:ext uri="{FF2B5EF4-FFF2-40B4-BE49-F238E27FC236}">
              <a16:creationId xmlns:a16="http://schemas.microsoft.com/office/drawing/2014/main" id="{B4964CDF-8D10-417F-A374-2AD1C78170A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173" name="AutoShape 12">
          <a:extLst>
            <a:ext uri="{FF2B5EF4-FFF2-40B4-BE49-F238E27FC236}">
              <a16:creationId xmlns:a16="http://schemas.microsoft.com/office/drawing/2014/main" id="{517353DD-CC6D-445D-B74E-4B2F4013BB9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174" name="AutoShape 12">
          <a:extLst>
            <a:ext uri="{FF2B5EF4-FFF2-40B4-BE49-F238E27FC236}">
              <a16:creationId xmlns:a16="http://schemas.microsoft.com/office/drawing/2014/main" id="{FF702779-260E-404C-A637-E19198A71DC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175" name="AutoShape 12">
          <a:extLst>
            <a:ext uri="{FF2B5EF4-FFF2-40B4-BE49-F238E27FC236}">
              <a16:creationId xmlns:a16="http://schemas.microsoft.com/office/drawing/2014/main" id="{FB0D02D8-3A23-410E-8DF1-0D4A3894E68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176" name="AutoShape 12">
          <a:extLst>
            <a:ext uri="{FF2B5EF4-FFF2-40B4-BE49-F238E27FC236}">
              <a16:creationId xmlns:a16="http://schemas.microsoft.com/office/drawing/2014/main" id="{86E4C757-6F3C-4ABF-88CF-674C770D79B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177" name="AutoShape 12">
          <a:extLst>
            <a:ext uri="{FF2B5EF4-FFF2-40B4-BE49-F238E27FC236}">
              <a16:creationId xmlns:a16="http://schemas.microsoft.com/office/drawing/2014/main" id="{850BC44B-030C-4B2F-9B60-C7EBA48AE0E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178" name="AutoShape 12">
          <a:extLst>
            <a:ext uri="{FF2B5EF4-FFF2-40B4-BE49-F238E27FC236}">
              <a16:creationId xmlns:a16="http://schemas.microsoft.com/office/drawing/2014/main" id="{9E34BFFD-B459-4BC5-8799-C4E43B6BE8A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179" name="AutoShape 12">
          <a:extLst>
            <a:ext uri="{FF2B5EF4-FFF2-40B4-BE49-F238E27FC236}">
              <a16:creationId xmlns:a16="http://schemas.microsoft.com/office/drawing/2014/main" id="{86A42E80-F801-4714-B8FD-E00DFD3CC99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180" name="AutoShape 12">
          <a:extLst>
            <a:ext uri="{FF2B5EF4-FFF2-40B4-BE49-F238E27FC236}">
              <a16:creationId xmlns:a16="http://schemas.microsoft.com/office/drawing/2014/main" id="{F512807F-45A5-4D89-AC0F-ACED8AB3024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181" name="AutoShape 12">
          <a:extLst>
            <a:ext uri="{FF2B5EF4-FFF2-40B4-BE49-F238E27FC236}">
              <a16:creationId xmlns:a16="http://schemas.microsoft.com/office/drawing/2014/main" id="{A12C427B-AEDE-4A1B-9A01-67221BE1397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182" name="AutoShape 12">
          <a:extLst>
            <a:ext uri="{FF2B5EF4-FFF2-40B4-BE49-F238E27FC236}">
              <a16:creationId xmlns:a16="http://schemas.microsoft.com/office/drawing/2014/main" id="{08B8467A-B71B-48D4-9D5D-B1EA0894D79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183" name="AutoShape 12">
          <a:extLst>
            <a:ext uri="{FF2B5EF4-FFF2-40B4-BE49-F238E27FC236}">
              <a16:creationId xmlns:a16="http://schemas.microsoft.com/office/drawing/2014/main" id="{653264C0-CB1D-4090-85DA-6E5708E557F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184" name="AutoShape 12">
          <a:extLst>
            <a:ext uri="{FF2B5EF4-FFF2-40B4-BE49-F238E27FC236}">
              <a16:creationId xmlns:a16="http://schemas.microsoft.com/office/drawing/2014/main" id="{DFC4A718-96E1-4545-97EF-48235D5F374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185" name="AutoShape 12">
          <a:extLst>
            <a:ext uri="{FF2B5EF4-FFF2-40B4-BE49-F238E27FC236}">
              <a16:creationId xmlns:a16="http://schemas.microsoft.com/office/drawing/2014/main" id="{34136DCA-1CC3-419F-BAAB-9D99A1847D7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186" name="AutoShape 12">
          <a:extLst>
            <a:ext uri="{FF2B5EF4-FFF2-40B4-BE49-F238E27FC236}">
              <a16:creationId xmlns:a16="http://schemas.microsoft.com/office/drawing/2014/main" id="{79F1AFE6-D5A0-41E0-8050-BBC9AF36DBB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187" name="AutoShape 12">
          <a:extLst>
            <a:ext uri="{FF2B5EF4-FFF2-40B4-BE49-F238E27FC236}">
              <a16:creationId xmlns:a16="http://schemas.microsoft.com/office/drawing/2014/main" id="{44BFF313-90E6-4553-A0C6-8A8DDC6A202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188" name="AutoShape 12">
          <a:extLst>
            <a:ext uri="{FF2B5EF4-FFF2-40B4-BE49-F238E27FC236}">
              <a16:creationId xmlns:a16="http://schemas.microsoft.com/office/drawing/2014/main" id="{4083EC58-CD85-4EBF-BFFA-B6CFC865BAF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189" name="AutoShape 12">
          <a:extLst>
            <a:ext uri="{FF2B5EF4-FFF2-40B4-BE49-F238E27FC236}">
              <a16:creationId xmlns:a16="http://schemas.microsoft.com/office/drawing/2014/main" id="{91B5D781-9353-4718-8D14-3A148203828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190" name="AutoShape 12">
          <a:extLst>
            <a:ext uri="{FF2B5EF4-FFF2-40B4-BE49-F238E27FC236}">
              <a16:creationId xmlns:a16="http://schemas.microsoft.com/office/drawing/2014/main" id="{73B86566-4B11-4813-9D3D-334E9AA2752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191" name="AutoShape 12">
          <a:extLst>
            <a:ext uri="{FF2B5EF4-FFF2-40B4-BE49-F238E27FC236}">
              <a16:creationId xmlns:a16="http://schemas.microsoft.com/office/drawing/2014/main" id="{781666DA-19A5-4DD3-9273-8AA07D53165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192" name="AutoShape 12">
          <a:extLst>
            <a:ext uri="{FF2B5EF4-FFF2-40B4-BE49-F238E27FC236}">
              <a16:creationId xmlns:a16="http://schemas.microsoft.com/office/drawing/2014/main" id="{8E796B51-5796-4204-8F2A-34865D3910D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193" name="AutoShape 12">
          <a:extLst>
            <a:ext uri="{FF2B5EF4-FFF2-40B4-BE49-F238E27FC236}">
              <a16:creationId xmlns:a16="http://schemas.microsoft.com/office/drawing/2014/main" id="{834BE80B-A208-484A-9F61-9B5037E2C00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194" name="AutoShape 12">
          <a:extLst>
            <a:ext uri="{FF2B5EF4-FFF2-40B4-BE49-F238E27FC236}">
              <a16:creationId xmlns:a16="http://schemas.microsoft.com/office/drawing/2014/main" id="{A3A76EE3-B5B8-4806-B68C-2377E41F027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195" name="AutoShape 12">
          <a:extLst>
            <a:ext uri="{FF2B5EF4-FFF2-40B4-BE49-F238E27FC236}">
              <a16:creationId xmlns:a16="http://schemas.microsoft.com/office/drawing/2014/main" id="{13B8E260-87D4-4ED4-9412-B12E3284C10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196" name="AutoShape 12">
          <a:extLst>
            <a:ext uri="{FF2B5EF4-FFF2-40B4-BE49-F238E27FC236}">
              <a16:creationId xmlns:a16="http://schemas.microsoft.com/office/drawing/2014/main" id="{77AD50AF-6807-4289-B2C5-6B7FE71B870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197" name="AutoShape 12">
          <a:extLst>
            <a:ext uri="{FF2B5EF4-FFF2-40B4-BE49-F238E27FC236}">
              <a16:creationId xmlns:a16="http://schemas.microsoft.com/office/drawing/2014/main" id="{FA18669C-D7B9-4E22-BEC3-CDFF001807A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198" name="AutoShape 12">
          <a:extLst>
            <a:ext uri="{FF2B5EF4-FFF2-40B4-BE49-F238E27FC236}">
              <a16:creationId xmlns:a16="http://schemas.microsoft.com/office/drawing/2014/main" id="{F9B35710-BBCA-4EC0-B25B-41F1E5AB7AA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199" name="AutoShape 12">
          <a:extLst>
            <a:ext uri="{FF2B5EF4-FFF2-40B4-BE49-F238E27FC236}">
              <a16:creationId xmlns:a16="http://schemas.microsoft.com/office/drawing/2014/main" id="{450E2440-BA6D-4CE5-9C74-EDFF0757734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200" name="AutoShape 12">
          <a:extLst>
            <a:ext uri="{FF2B5EF4-FFF2-40B4-BE49-F238E27FC236}">
              <a16:creationId xmlns:a16="http://schemas.microsoft.com/office/drawing/2014/main" id="{96C33036-AA7D-452E-8717-E86D61F3E53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201" name="AutoShape 12">
          <a:extLst>
            <a:ext uri="{FF2B5EF4-FFF2-40B4-BE49-F238E27FC236}">
              <a16:creationId xmlns:a16="http://schemas.microsoft.com/office/drawing/2014/main" id="{FBFBD4F5-DFB4-4FF3-A35B-9BDC7DC6DEF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202" name="AutoShape 12">
          <a:extLst>
            <a:ext uri="{FF2B5EF4-FFF2-40B4-BE49-F238E27FC236}">
              <a16:creationId xmlns:a16="http://schemas.microsoft.com/office/drawing/2014/main" id="{3E378C9F-0435-403A-804F-838822856F7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203" name="AutoShape 12">
          <a:extLst>
            <a:ext uri="{FF2B5EF4-FFF2-40B4-BE49-F238E27FC236}">
              <a16:creationId xmlns:a16="http://schemas.microsoft.com/office/drawing/2014/main" id="{BD10942E-534D-4428-B5F6-7CD2690B136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204" name="AutoShape 12">
          <a:extLst>
            <a:ext uri="{FF2B5EF4-FFF2-40B4-BE49-F238E27FC236}">
              <a16:creationId xmlns:a16="http://schemas.microsoft.com/office/drawing/2014/main" id="{1FC92AC6-2807-4537-A13D-F3E9908E816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205" name="AutoShape 12">
          <a:extLst>
            <a:ext uri="{FF2B5EF4-FFF2-40B4-BE49-F238E27FC236}">
              <a16:creationId xmlns:a16="http://schemas.microsoft.com/office/drawing/2014/main" id="{368BE692-5FDD-4A7D-903D-3F6B32DFE33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206" name="AutoShape 12">
          <a:extLst>
            <a:ext uri="{FF2B5EF4-FFF2-40B4-BE49-F238E27FC236}">
              <a16:creationId xmlns:a16="http://schemas.microsoft.com/office/drawing/2014/main" id="{D83E283C-0F8C-4029-B159-F48354D80FE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207" name="AutoShape 12">
          <a:extLst>
            <a:ext uri="{FF2B5EF4-FFF2-40B4-BE49-F238E27FC236}">
              <a16:creationId xmlns:a16="http://schemas.microsoft.com/office/drawing/2014/main" id="{E93A71AD-8785-46E8-A714-0239CCC1D0B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208" name="AutoShape 12">
          <a:extLst>
            <a:ext uri="{FF2B5EF4-FFF2-40B4-BE49-F238E27FC236}">
              <a16:creationId xmlns:a16="http://schemas.microsoft.com/office/drawing/2014/main" id="{7F412FCE-F9DA-4DF4-8D43-466BE89C853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209" name="AutoShape 12">
          <a:extLst>
            <a:ext uri="{FF2B5EF4-FFF2-40B4-BE49-F238E27FC236}">
              <a16:creationId xmlns:a16="http://schemas.microsoft.com/office/drawing/2014/main" id="{8BC25B26-400D-409A-B12B-FBA1F82DE6E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210" name="AutoShape 12">
          <a:extLst>
            <a:ext uri="{FF2B5EF4-FFF2-40B4-BE49-F238E27FC236}">
              <a16:creationId xmlns:a16="http://schemas.microsoft.com/office/drawing/2014/main" id="{DA8EE457-FD82-4E64-8C5D-AF977087761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211" name="AutoShape 12">
          <a:extLst>
            <a:ext uri="{FF2B5EF4-FFF2-40B4-BE49-F238E27FC236}">
              <a16:creationId xmlns:a16="http://schemas.microsoft.com/office/drawing/2014/main" id="{94B152A0-63D0-41F2-88DA-D951DA21FA7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212" name="AutoShape 12">
          <a:extLst>
            <a:ext uri="{FF2B5EF4-FFF2-40B4-BE49-F238E27FC236}">
              <a16:creationId xmlns:a16="http://schemas.microsoft.com/office/drawing/2014/main" id="{5BAFD817-FA23-4EA6-8191-32A79B0D1B5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213" name="AutoShape 12">
          <a:extLst>
            <a:ext uri="{FF2B5EF4-FFF2-40B4-BE49-F238E27FC236}">
              <a16:creationId xmlns:a16="http://schemas.microsoft.com/office/drawing/2014/main" id="{0A788AF5-69A7-4FD8-8F29-466AF794675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214" name="AutoShape 12">
          <a:extLst>
            <a:ext uri="{FF2B5EF4-FFF2-40B4-BE49-F238E27FC236}">
              <a16:creationId xmlns:a16="http://schemas.microsoft.com/office/drawing/2014/main" id="{DDD03523-F2FF-4CA7-B099-7AABEE7B6EE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215" name="AutoShape 12">
          <a:extLst>
            <a:ext uri="{FF2B5EF4-FFF2-40B4-BE49-F238E27FC236}">
              <a16:creationId xmlns:a16="http://schemas.microsoft.com/office/drawing/2014/main" id="{29988C76-31AB-4858-A01E-B73B3785E2A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216" name="AutoShape 12">
          <a:extLst>
            <a:ext uri="{FF2B5EF4-FFF2-40B4-BE49-F238E27FC236}">
              <a16:creationId xmlns:a16="http://schemas.microsoft.com/office/drawing/2014/main" id="{2DDEE1AA-CD12-4D8E-95DC-3252C977819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217" name="AutoShape 12">
          <a:extLst>
            <a:ext uri="{FF2B5EF4-FFF2-40B4-BE49-F238E27FC236}">
              <a16:creationId xmlns:a16="http://schemas.microsoft.com/office/drawing/2014/main" id="{527D3F6D-4EA6-4827-AE3A-53CA548481A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218" name="AutoShape 12">
          <a:extLst>
            <a:ext uri="{FF2B5EF4-FFF2-40B4-BE49-F238E27FC236}">
              <a16:creationId xmlns:a16="http://schemas.microsoft.com/office/drawing/2014/main" id="{43A8728A-C131-46C7-A784-2152664D86F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219" name="AutoShape 12">
          <a:extLst>
            <a:ext uri="{FF2B5EF4-FFF2-40B4-BE49-F238E27FC236}">
              <a16:creationId xmlns:a16="http://schemas.microsoft.com/office/drawing/2014/main" id="{6FDC11C2-D9B9-408D-973E-EC954EE47AE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220" name="AutoShape 12">
          <a:extLst>
            <a:ext uri="{FF2B5EF4-FFF2-40B4-BE49-F238E27FC236}">
              <a16:creationId xmlns:a16="http://schemas.microsoft.com/office/drawing/2014/main" id="{BA9A2251-F5D5-42CD-965C-A20C4D8EA4C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221" name="AutoShape 12">
          <a:extLst>
            <a:ext uri="{FF2B5EF4-FFF2-40B4-BE49-F238E27FC236}">
              <a16:creationId xmlns:a16="http://schemas.microsoft.com/office/drawing/2014/main" id="{7E47DEA5-7F79-409A-B3EE-0241E0E7948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222" name="AutoShape 12">
          <a:extLst>
            <a:ext uri="{FF2B5EF4-FFF2-40B4-BE49-F238E27FC236}">
              <a16:creationId xmlns:a16="http://schemas.microsoft.com/office/drawing/2014/main" id="{25EE1BA2-EA51-47DD-954C-F26E69F8E6A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223" name="AutoShape 12">
          <a:extLst>
            <a:ext uri="{FF2B5EF4-FFF2-40B4-BE49-F238E27FC236}">
              <a16:creationId xmlns:a16="http://schemas.microsoft.com/office/drawing/2014/main" id="{E9AC3E80-A373-4B4C-8B41-284979E00EC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224" name="AutoShape 12">
          <a:extLst>
            <a:ext uri="{FF2B5EF4-FFF2-40B4-BE49-F238E27FC236}">
              <a16:creationId xmlns:a16="http://schemas.microsoft.com/office/drawing/2014/main" id="{414D88C5-E5BA-46FE-974D-898E29DDF4D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225" name="AutoShape 12">
          <a:extLst>
            <a:ext uri="{FF2B5EF4-FFF2-40B4-BE49-F238E27FC236}">
              <a16:creationId xmlns:a16="http://schemas.microsoft.com/office/drawing/2014/main" id="{78E7BFD5-8924-4ED6-941F-3A4D6FA1562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226" name="AutoShape 12">
          <a:extLst>
            <a:ext uri="{FF2B5EF4-FFF2-40B4-BE49-F238E27FC236}">
              <a16:creationId xmlns:a16="http://schemas.microsoft.com/office/drawing/2014/main" id="{1C867BCE-E808-4888-9946-77CC350EE3A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227" name="AutoShape 12">
          <a:extLst>
            <a:ext uri="{FF2B5EF4-FFF2-40B4-BE49-F238E27FC236}">
              <a16:creationId xmlns:a16="http://schemas.microsoft.com/office/drawing/2014/main" id="{578F5704-4A15-4A19-8C69-CCED5EF1DF4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228" name="AutoShape 12">
          <a:extLst>
            <a:ext uri="{FF2B5EF4-FFF2-40B4-BE49-F238E27FC236}">
              <a16:creationId xmlns:a16="http://schemas.microsoft.com/office/drawing/2014/main" id="{2359B834-8B19-4B34-B133-195041C545F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229" name="AutoShape 12">
          <a:extLst>
            <a:ext uri="{FF2B5EF4-FFF2-40B4-BE49-F238E27FC236}">
              <a16:creationId xmlns:a16="http://schemas.microsoft.com/office/drawing/2014/main" id="{D1E3B1A2-37C6-42A5-9F4B-E153D7FA86C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230" name="AutoShape 12">
          <a:extLst>
            <a:ext uri="{FF2B5EF4-FFF2-40B4-BE49-F238E27FC236}">
              <a16:creationId xmlns:a16="http://schemas.microsoft.com/office/drawing/2014/main" id="{A6742E08-0189-4C99-9F3B-6A5A7C27F1F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231" name="AutoShape 12">
          <a:extLst>
            <a:ext uri="{FF2B5EF4-FFF2-40B4-BE49-F238E27FC236}">
              <a16:creationId xmlns:a16="http://schemas.microsoft.com/office/drawing/2014/main" id="{C6BF5FF9-2A7A-4E7A-AE0D-157972BD778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232" name="AutoShape 12">
          <a:extLst>
            <a:ext uri="{FF2B5EF4-FFF2-40B4-BE49-F238E27FC236}">
              <a16:creationId xmlns:a16="http://schemas.microsoft.com/office/drawing/2014/main" id="{ABC8DBA6-58B8-4A7F-B131-30F87A59100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233" name="AutoShape 12">
          <a:extLst>
            <a:ext uri="{FF2B5EF4-FFF2-40B4-BE49-F238E27FC236}">
              <a16:creationId xmlns:a16="http://schemas.microsoft.com/office/drawing/2014/main" id="{72404DB2-4928-432A-95CC-F54027DDBC8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234" name="AutoShape 12">
          <a:extLst>
            <a:ext uri="{FF2B5EF4-FFF2-40B4-BE49-F238E27FC236}">
              <a16:creationId xmlns:a16="http://schemas.microsoft.com/office/drawing/2014/main" id="{E403187E-B699-4CAD-BBB8-6E22ED06988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235" name="AutoShape 12">
          <a:extLst>
            <a:ext uri="{FF2B5EF4-FFF2-40B4-BE49-F238E27FC236}">
              <a16:creationId xmlns:a16="http://schemas.microsoft.com/office/drawing/2014/main" id="{0FAAB556-7953-4759-B0FF-D27FE988838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236" name="AutoShape 12">
          <a:extLst>
            <a:ext uri="{FF2B5EF4-FFF2-40B4-BE49-F238E27FC236}">
              <a16:creationId xmlns:a16="http://schemas.microsoft.com/office/drawing/2014/main" id="{3155FC9D-29FC-4EB5-8804-8C2D1D1C715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237" name="AutoShape 12">
          <a:extLst>
            <a:ext uri="{FF2B5EF4-FFF2-40B4-BE49-F238E27FC236}">
              <a16:creationId xmlns:a16="http://schemas.microsoft.com/office/drawing/2014/main" id="{B601EFB8-70E3-44C8-862B-701D421A718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238" name="AutoShape 12">
          <a:extLst>
            <a:ext uri="{FF2B5EF4-FFF2-40B4-BE49-F238E27FC236}">
              <a16:creationId xmlns:a16="http://schemas.microsoft.com/office/drawing/2014/main" id="{DB3ED04B-0288-442F-B5DA-0C074833E41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239" name="AutoShape 12">
          <a:extLst>
            <a:ext uri="{FF2B5EF4-FFF2-40B4-BE49-F238E27FC236}">
              <a16:creationId xmlns:a16="http://schemas.microsoft.com/office/drawing/2014/main" id="{E8D787A6-C8AA-407C-B836-8ADB1A844BB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240" name="AutoShape 12">
          <a:extLst>
            <a:ext uri="{FF2B5EF4-FFF2-40B4-BE49-F238E27FC236}">
              <a16:creationId xmlns:a16="http://schemas.microsoft.com/office/drawing/2014/main" id="{D495BE57-37B2-405C-B3F3-E1A75A04A8F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241" name="AutoShape 12">
          <a:extLst>
            <a:ext uri="{FF2B5EF4-FFF2-40B4-BE49-F238E27FC236}">
              <a16:creationId xmlns:a16="http://schemas.microsoft.com/office/drawing/2014/main" id="{4C19A75F-039C-4158-B9C1-C125408C281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242" name="AutoShape 12">
          <a:extLst>
            <a:ext uri="{FF2B5EF4-FFF2-40B4-BE49-F238E27FC236}">
              <a16:creationId xmlns:a16="http://schemas.microsoft.com/office/drawing/2014/main" id="{5EBC0E13-3B3A-4D04-B7F4-8FEFE6B859D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243" name="AutoShape 12">
          <a:extLst>
            <a:ext uri="{FF2B5EF4-FFF2-40B4-BE49-F238E27FC236}">
              <a16:creationId xmlns:a16="http://schemas.microsoft.com/office/drawing/2014/main" id="{0CB13955-B9FE-4407-A384-50C294741BC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244" name="AutoShape 12">
          <a:extLst>
            <a:ext uri="{FF2B5EF4-FFF2-40B4-BE49-F238E27FC236}">
              <a16:creationId xmlns:a16="http://schemas.microsoft.com/office/drawing/2014/main" id="{AE1CBC65-BFA4-4607-BA68-D7122F4BAF7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245" name="AutoShape 12">
          <a:extLst>
            <a:ext uri="{FF2B5EF4-FFF2-40B4-BE49-F238E27FC236}">
              <a16:creationId xmlns:a16="http://schemas.microsoft.com/office/drawing/2014/main" id="{A23161C5-C625-4D9D-A953-AC7F117E1DD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246" name="AutoShape 12">
          <a:extLst>
            <a:ext uri="{FF2B5EF4-FFF2-40B4-BE49-F238E27FC236}">
              <a16:creationId xmlns:a16="http://schemas.microsoft.com/office/drawing/2014/main" id="{B4D1841D-64B3-4B28-A243-D2ED531CE74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247" name="AutoShape 12">
          <a:extLst>
            <a:ext uri="{FF2B5EF4-FFF2-40B4-BE49-F238E27FC236}">
              <a16:creationId xmlns:a16="http://schemas.microsoft.com/office/drawing/2014/main" id="{0A5DEA88-88AE-47CB-8B0D-F8ED86A9165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248" name="AutoShape 12">
          <a:extLst>
            <a:ext uri="{FF2B5EF4-FFF2-40B4-BE49-F238E27FC236}">
              <a16:creationId xmlns:a16="http://schemas.microsoft.com/office/drawing/2014/main" id="{D186C395-7228-4F7A-AB19-BC98ADBF0CD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249" name="AutoShape 12">
          <a:extLst>
            <a:ext uri="{FF2B5EF4-FFF2-40B4-BE49-F238E27FC236}">
              <a16:creationId xmlns:a16="http://schemas.microsoft.com/office/drawing/2014/main" id="{85AF886A-58EC-4FD8-8A3F-9FEB984E41C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250" name="AutoShape 12">
          <a:extLst>
            <a:ext uri="{FF2B5EF4-FFF2-40B4-BE49-F238E27FC236}">
              <a16:creationId xmlns:a16="http://schemas.microsoft.com/office/drawing/2014/main" id="{94D1C38E-7849-457B-B87E-DFF07E130D4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251" name="AutoShape 12">
          <a:extLst>
            <a:ext uri="{FF2B5EF4-FFF2-40B4-BE49-F238E27FC236}">
              <a16:creationId xmlns:a16="http://schemas.microsoft.com/office/drawing/2014/main" id="{33D74AD6-EBDD-4208-97A6-67DA788B85A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252" name="AutoShape 12">
          <a:extLst>
            <a:ext uri="{FF2B5EF4-FFF2-40B4-BE49-F238E27FC236}">
              <a16:creationId xmlns:a16="http://schemas.microsoft.com/office/drawing/2014/main" id="{4DB91577-6600-46E2-8823-EF0607D0A2E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253" name="AutoShape 12">
          <a:extLst>
            <a:ext uri="{FF2B5EF4-FFF2-40B4-BE49-F238E27FC236}">
              <a16:creationId xmlns:a16="http://schemas.microsoft.com/office/drawing/2014/main" id="{01854E79-9AAB-4952-88D7-FCD18402C50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254" name="AutoShape 12">
          <a:extLst>
            <a:ext uri="{FF2B5EF4-FFF2-40B4-BE49-F238E27FC236}">
              <a16:creationId xmlns:a16="http://schemas.microsoft.com/office/drawing/2014/main" id="{3A8BFD7A-E53B-419C-BD07-00DDFB5FA68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255" name="AutoShape 12">
          <a:extLst>
            <a:ext uri="{FF2B5EF4-FFF2-40B4-BE49-F238E27FC236}">
              <a16:creationId xmlns:a16="http://schemas.microsoft.com/office/drawing/2014/main" id="{02978FFA-EF7F-4F85-AE9F-372D10132EC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256" name="AutoShape 12">
          <a:extLst>
            <a:ext uri="{FF2B5EF4-FFF2-40B4-BE49-F238E27FC236}">
              <a16:creationId xmlns:a16="http://schemas.microsoft.com/office/drawing/2014/main" id="{745573FA-51ED-4ED7-BEB3-137FDF51D8B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257" name="AutoShape 12">
          <a:extLst>
            <a:ext uri="{FF2B5EF4-FFF2-40B4-BE49-F238E27FC236}">
              <a16:creationId xmlns:a16="http://schemas.microsoft.com/office/drawing/2014/main" id="{D462D8C9-8B13-48C9-9E9F-82A21C03614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258" name="AutoShape 12">
          <a:extLst>
            <a:ext uri="{FF2B5EF4-FFF2-40B4-BE49-F238E27FC236}">
              <a16:creationId xmlns:a16="http://schemas.microsoft.com/office/drawing/2014/main" id="{89820FFA-F78C-4117-B681-96D7AEFE610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259" name="AutoShape 12">
          <a:extLst>
            <a:ext uri="{FF2B5EF4-FFF2-40B4-BE49-F238E27FC236}">
              <a16:creationId xmlns:a16="http://schemas.microsoft.com/office/drawing/2014/main" id="{AAADF39F-6160-4F3E-B7BD-1A62B997373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260" name="AutoShape 12">
          <a:extLst>
            <a:ext uri="{FF2B5EF4-FFF2-40B4-BE49-F238E27FC236}">
              <a16:creationId xmlns:a16="http://schemas.microsoft.com/office/drawing/2014/main" id="{DC8316BF-0465-40D5-A89D-024259D4E15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261" name="AutoShape 12">
          <a:extLst>
            <a:ext uri="{FF2B5EF4-FFF2-40B4-BE49-F238E27FC236}">
              <a16:creationId xmlns:a16="http://schemas.microsoft.com/office/drawing/2014/main" id="{27E659F2-B620-4FA5-83D4-A40A5C9B1F7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262" name="AutoShape 12">
          <a:extLst>
            <a:ext uri="{FF2B5EF4-FFF2-40B4-BE49-F238E27FC236}">
              <a16:creationId xmlns:a16="http://schemas.microsoft.com/office/drawing/2014/main" id="{AA994D26-03DD-406E-BB51-441DE425E42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263" name="AutoShape 12">
          <a:extLst>
            <a:ext uri="{FF2B5EF4-FFF2-40B4-BE49-F238E27FC236}">
              <a16:creationId xmlns:a16="http://schemas.microsoft.com/office/drawing/2014/main" id="{991BA1B8-F208-46D8-87DC-4779A37CDA0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264" name="AutoShape 12">
          <a:extLst>
            <a:ext uri="{FF2B5EF4-FFF2-40B4-BE49-F238E27FC236}">
              <a16:creationId xmlns:a16="http://schemas.microsoft.com/office/drawing/2014/main" id="{3D65AA99-9906-47E5-9DE4-A515127DE4E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265" name="AutoShape 12">
          <a:extLst>
            <a:ext uri="{FF2B5EF4-FFF2-40B4-BE49-F238E27FC236}">
              <a16:creationId xmlns:a16="http://schemas.microsoft.com/office/drawing/2014/main" id="{24097A01-7E33-49FA-AF6B-B072990D319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266" name="AutoShape 12">
          <a:extLst>
            <a:ext uri="{FF2B5EF4-FFF2-40B4-BE49-F238E27FC236}">
              <a16:creationId xmlns:a16="http://schemas.microsoft.com/office/drawing/2014/main" id="{9D2D5BD7-52F5-4335-BDE0-FF5887814BE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267" name="AutoShape 12">
          <a:extLst>
            <a:ext uri="{FF2B5EF4-FFF2-40B4-BE49-F238E27FC236}">
              <a16:creationId xmlns:a16="http://schemas.microsoft.com/office/drawing/2014/main" id="{7DD0A400-8C5D-44D7-BE31-8091492D458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268" name="AutoShape 12">
          <a:extLst>
            <a:ext uri="{FF2B5EF4-FFF2-40B4-BE49-F238E27FC236}">
              <a16:creationId xmlns:a16="http://schemas.microsoft.com/office/drawing/2014/main" id="{F9D23383-B406-45E0-9C80-ACFDFDE09B9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269" name="AutoShape 12">
          <a:extLst>
            <a:ext uri="{FF2B5EF4-FFF2-40B4-BE49-F238E27FC236}">
              <a16:creationId xmlns:a16="http://schemas.microsoft.com/office/drawing/2014/main" id="{B3971912-11D1-44A8-BD34-3F767FE55B1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270" name="AutoShape 12">
          <a:extLst>
            <a:ext uri="{FF2B5EF4-FFF2-40B4-BE49-F238E27FC236}">
              <a16:creationId xmlns:a16="http://schemas.microsoft.com/office/drawing/2014/main" id="{956C1323-18EE-4CC3-8B55-EA963C9CDA1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271" name="AutoShape 12">
          <a:extLst>
            <a:ext uri="{FF2B5EF4-FFF2-40B4-BE49-F238E27FC236}">
              <a16:creationId xmlns:a16="http://schemas.microsoft.com/office/drawing/2014/main" id="{D6E667A7-3BB1-4DB7-980B-2D89A40BB52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272" name="AutoShape 12">
          <a:extLst>
            <a:ext uri="{FF2B5EF4-FFF2-40B4-BE49-F238E27FC236}">
              <a16:creationId xmlns:a16="http://schemas.microsoft.com/office/drawing/2014/main" id="{19F57D15-5981-4AF4-A4BB-050B7FA7B65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273" name="AutoShape 12">
          <a:extLst>
            <a:ext uri="{FF2B5EF4-FFF2-40B4-BE49-F238E27FC236}">
              <a16:creationId xmlns:a16="http://schemas.microsoft.com/office/drawing/2014/main" id="{6C038A53-042B-49A0-840E-65C549D5153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274" name="AutoShape 12">
          <a:extLst>
            <a:ext uri="{FF2B5EF4-FFF2-40B4-BE49-F238E27FC236}">
              <a16:creationId xmlns:a16="http://schemas.microsoft.com/office/drawing/2014/main" id="{944DAED8-536C-4707-AA16-EAE916AA425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275" name="AutoShape 12">
          <a:extLst>
            <a:ext uri="{FF2B5EF4-FFF2-40B4-BE49-F238E27FC236}">
              <a16:creationId xmlns:a16="http://schemas.microsoft.com/office/drawing/2014/main" id="{272917C1-A279-4206-A32D-3F1E08C4A5B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276" name="AutoShape 12">
          <a:extLst>
            <a:ext uri="{FF2B5EF4-FFF2-40B4-BE49-F238E27FC236}">
              <a16:creationId xmlns:a16="http://schemas.microsoft.com/office/drawing/2014/main" id="{5295C557-2F04-461A-8529-1652C8355D2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277" name="AutoShape 12">
          <a:extLst>
            <a:ext uri="{FF2B5EF4-FFF2-40B4-BE49-F238E27FC236}">
              <a16:creationId xmlns:a16="http://schemas.microsoft.com/office/drawing/2014/main" id="{9D08A39F-C0D8-409D-AA9C-6E5C04F18FC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278" name="AutoShape 12">
          <a:extLst>
            <a:ext uri="{FF2B5EF4-FFF2-40B4-BE49-F238E27FC236}">
              <a16:creationId xmlns:a16="http://schemas.microsoft.com/office/drawing/2014/main" id="{41D44C50-4051-4758-97F2-A49EAE25EAB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279" name="AutoShape 12">
          <a:extLst>
            <a:ext uri="{FF2B5EF4-FFF2-40B4-BE49-F238E27FC236}">
              <a16:creationId xmlns:a16="http://schemas.microsoft.com/office/drawing/2014/main" id="{8226596A-65BD-4696-923C-E16459124E0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280" name="AutoShape 12">
          <a:extLst>
            <a:ext uri="{FF2B5EF4-FFF2-40B4-BE49-F238E27FC236}">
              <a16:creationId xmlns:a16="http://schemas.microsoft.com/office/drawing/2014/main" id="{3066E492-1A41-41DA-BF82-06DB80B0738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281" name="AutoShape 12">
          <a:extLst>
            <a:ext uri="{FF2B5EF4-FFF2-40B4-BE49-F238E27FC236}">
              <a16:creationId xmlns:a16="http://schemas.microsoft.com/office/drawing/2014/main" id="{D62CAE96-3223-4D34-AE37-8F924F3DA5F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282" name="AutoShape 12">
          <a:extLst>
            <a:ext uri="{FF2B5EF4-FFF2-40B4-BE49-F238E27FC236}">
              <a16:creationId xmlns:a16="http://schemas.microsoft.com/office/drawing/2014/main" id="{8A86D471-5E8F-4347-A4EC-6E157AA93D5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283" name="AutoShape 12">
          <a:extLst>
            <a:ext uri="{FF2B5EF4-FFF2-40B4-BE49-F238E27FC236}">
              <a16:creationId xmlns:a16="http://schemas.microsoft.com/office/drawing/2014/main" id="{5F7FCE5E-649D-415C-9A7A-1B519F05B50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284" name="AutoShape 12">
          <a:extLst>
            <a:ext uri="{FF2B5EF4-FFF2-40B4-BE49-F238E27FC236}">
              <a16:creationId xmlns:a16="http://schemas.microsoft.com/office/drawing/2014/main" id="{530B0F02-438D-4E60-9163-9CBBC9A6398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285" name="AutoShape 12">
          <a:extLst>
            <a:ext uri="{FF2B5EF4-FFF2-40B4-BE49-F238E27FC236}">
              <a16:creationId xmlns:a16="http://schemas.microsoft.com/office/drawing/2014/main" id="{09C4BBC4-06EF-4114-A3E3-6D2AE77C0CD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286" name="AutoShape 12">
          <a:extLst>
            <a:ext uri="{FF2B5EF4-FFF2-40B4-BE49-F238E27FC236}">
              <a16:creationId xmlns:a16="http://schemas.microsoft.com/office/drawing/2014/main" id="{EDE717D2-2719-49DC-84BF-508B362BB2D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287" name="AutoShape 12">
          <a:extLst>
            <a:ext uri="{FF2B5EF4-FFF2-40B4-BE49-F238E27FC236}">
              <a16:creationId xmlns:a16="http://schemas.microsoft.com/office/drawing/2014/main" id="{6B5A9B67-23F6-4873-B399-F8127BF225D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288" name="AutoShape 12">
          <a:extLst>
            <a:ext uri="{FF2B5EF4-FFF2-40B4-BE49-F238E27FC236}">
              <a16:creationId xmlns:a16="http://schemas.microsoft.com/office/drawing/2014/main" id="{B3C75BAC-9F83-4329-8947-39935AF8387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289" name="AutoShape 12">
          <a:extLst>
            <a:ext uri="{FF2B5EF4-FFF2-40B4-BE49-F238E27FC236}">
              <a16:creationId xmlns:a16="http://schemas.microsoft.com/office/drawing/2014/main" id="{804B41C3-7A31-4442-AAB0-BF94D4432C2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290" name="AutoShape 12">
          <a:extLst>
            <a:ext uri="{FF2B5EF4-FFF2-40B4-BE49-F238E27FC236}">
              <a16:creationId xmlns:a16="http://schemas.microsoft.com/office/drawing/2014/main" id="{F3BDE5D2-2C44-4521-A83B-2A56D1F19CC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291" name="AutoShape 12">
          <a:extLst>
            <a:ext uri="{FF2B5EF4-FFF2-40B4-BE49-F238E27FC236}">
              <a16:creationId xmlns:a16="http://schemas.microsoft.com/office/drawing/2014/main" id="{C32D504C-B8A6-4F2A-8FB9-FE1ACB05643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292" name="AutoShape 12">
          <a:extLst>
            <a:ext uri="{FF2B5EF4-FFF2-40B4-BE49-F238E27FC236}">
              <a16:creationId xmlns:a16="http://schemas.microsoft.com/office/drawing/2014/main" id="{A43D36F9-FD53-4501-84F4-DAC045553AD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293" name="AutoShape 12">
          <a:extLst>
            <a:ext uri="{FF2B5EF4-FFF2-40B4-BE49-F238E27FC236}">
              <a16:creationId xmlns:a16="http://schemas.microsoft.com/office/drawing/2014/main" id="{E5DCB523-1922-45EE-9642-68C59728D90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294" name="AutoShape 12">
          <a:extLst>
            <a:ext uri="{FF2B5EF4-FFF2-40B4-BE49-F238E27FC236}">
              <a16:creationId xmlns:a16="http://schemas.microsoft.com/office/drawing/2014/main" id="{60523FDF-6121-4809-90C6-545FAF47C75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295" name="AutoShape 12">
          <a:extLst>
            <a:ext uri="{FF2B5EF4-FFF2-40B4-BE49-F238E27FC236}">
              <a16:creationId xmlns:a16="http://schemas.microsoft.com/office/drawing/2014/main" id="{F5153E23-7F60-47A3-A406-17DA399FC33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296" name="AutoShape 12">
          <a:extLst>
            <a:ext uri="{FF2B5EF4-FFF2-40B4-BE49-F238E27FC236}">
              <a16:creationId xmlns:a16="http://schemas.microsoft.com/office/drawing/2014/main" id="{5100ADEE-1748-4DC4-B731-6EAC02F9930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297" name="AutoShape 12">
          <a:extLst>
            <a:ext uri="{FF2B5EF4-FFF2-40B4-BE49-F238E27FC236}">
              <a16:creationId xmlns:a16="http://schemas.microsoft.com/office/drawing/2014/main" id="{45747A68-0E93-4124-9CB5-C666484088A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298" name="AutoShape 12">
          <a:extLst>
            <a:ext uri="{FF2B5EF4-FFF2-40B4-BE49-F238E27FC236}">
              <a16:creationId xmlns:a16="http://schemas.microsoft.com/office/drawing/2014/main" id="{A8571868-CFE6-4BD9-B335-FEBB4B15DBA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299" name="AutoShape 12">
          <a:extLst>
            <a:ext uri="{FF2B5EF4-FFF2-40B4-BE49-F238E27FC236}">
              <a16:creationId xmlns:a16="http://schemas.microsoft.com/office/drawing/2014/main" id="{3A03D96D-A02C-4E3C-BC8C-D22D2EB709E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300" name="AutoShape 12">
          <a:extLst>
            <a:ext uri="{FF2B5EF4-FFF2-40B4-BE49-F238E27FC236}">
              <a16:creationId xmlns:a16="http://schemas.microsoft.com/office/drawing/2014/main" id="{59623F86-0903-4CA8-AF16-C3D04E382FB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301" name="AutoShape 12">
          <a:extLst>
            <a:ext uri="{FF2B5EF4-FFF2-40B4-BE49-F238E27FC236}">
              <a16:creationId xmlns:a16="http://schemas.microsoft.com/office/drawing/2014/main" id="{2802B1BB-DB93-4B9C-9CE3-7BB1241BD35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302" name="AutoShape 12">
          <a:extLst>
            <a:ext uri="{FF2B5EF4-FFF2-40B4-BE49-F238E27FC236}">
              <a16:creationId xmlns:a16="http://schemas.microsoft.com/office/drawing/2014/main" id="{2FAF9B6B-F28E-409B-9C87-4F57E65FAB3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303" name="AutoShape 12">
          <a:extLst>
            <a:ext uri="{FF2B5EF4-FFF2-40B4-BE49-F238E27FC236}">
              <a16:creationId xmlns:a16="http://schemas.microsoft.com/office/drawing/2014/main" id="{73AF6DF3-0899-4A0C-8AA0-85BCB43461C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304" name="AutoShape 12">
          <a:extLst>
            <a:ext uri="{FF2B5EF4-FFF2-40B4-BE49-F238E27FC236}">
              <a16:creationId xmlns:a16="http://schemas.microsoft.com/office/drawing/2014/main" id="{F667C8D3-E79A-4356-A6DF-A4E8342FF83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305" name="AutoShape 12">
          <a:extLst>
            <a:ext uri="{FF2B5EF4-FFF2-40B4-BE49-F238E27FC236}">
              <a16:creationId xmlns:a16="http://schemas.microsoft.com/office/drawing/2014/main" id="{3D8E2DD3-34BC-4A7F-9B22-A8B9FD55043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306" name="AutoShape 12">
          <a:extLst>
            <a:ext uri="{FF2B5EF4-FFF2-40B4-BE49-F238E27FC236}">
              <a16:creationId xmlns:a16="http://schemas.microsoft.com/office/drawing/2014/main" id="{9BC35B89-DA29-4618-873C-FB54A97C830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307" name="AutoShape 12">
          <a:extLst>
            <a:ext uri="{FF2B5EF4-FFF2-40B4-BE49-F238E27FC236}">
              <a16:creationId xmlns:a16="http://schemas.microsoft.com/office/drawing/2014/main" id="{55E4D598-B648-4231-AE20-6378DAACAF1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308" name="AutoShape 12">
          <a:extLst>
            <a:ext uri="{FF2B5EF4-FFF2-40B4-BE49-F238E27FC236}">
              <a16:creationId xmlns:a16="http://schemas.microsoft.com/office/drawing/2014/main" id="{F95DA8B8-E8A9-46FD-A340-E8CA6ACB60B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309" name="AutoShape 12">
          <a:extLst>
            <a:ext uri="{FF2B5EF4-FFF2-40B4-BE49-F238E27FC236}">
              <a16:creationId xmlns:a16="http://schemas.microsoft.com/office/drawing/2014/main" id="{D5783103-9FBA-4C0D-9D2A-C8FE1FA3B4E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310" name="AutoShape 12">
          <a:extLst>
            <a:ext uri="{FF2B5EF4-FFF2-40B4-BE49-F238E27FC236}">
              <a16:creationId xmlns:a16="http://schemas.microsoft.com/office/drawing/2014/main" id="{D9EAD30E-9540-4C25-AF44-591743F5A50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311" name="AutoShape 12">
          <a:extLst>
            <a:ext uri="{FF2B5EF4-FFF2-40B4-BE49-F238E27FC236}">
              <a16:creationId xmlns:a16="http://schemas.microsoft.com/office/drawing/2014/main" id="{6321A14D-9474-410D-85E6-4AA05583E51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312" name="AutoShape 12">
          <a:extLst>
            <a:ext uri="{FF2B5EF4-FFF2-40B4-BE49-F238E27FC236}">
              <a16:creationId xmlns:a16="http://schemas.microsoft.com/office/drawing/2014/main" id="{8DE9DCEA-AF5E-4BC0-827D-8F0AA7B70C9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313" name="AutoShape 12">
          <a:extLst>
            <a:ext uri="{FF2B5EF4-FFF2-40B4-BE49-F238E27FC236}">
              <a16:creationId xmlns:a16="http://schemas.microsoft.com/office/drawing/2014/main" id="{23F1BB85-2150-43BE-BA0F-4D36DD632D1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314" name="AutoShape 12">
          <a:extLst>
            <a:ext uri="{FF2B5EF4-FFF2-40B4-BE49-F238E27FC236}">
              <a16:creationId xmlns:a16="http://schemas.microsoft.com/office/drawing/2014/main" id="{B5428D6E-A8F0-445A-9E35-B880F1DD26C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315" name="AutoShape 12">
          <a:extLst>
            <a:ext uri="{FF2B5EF4-FFF2-40B4-BE49-F238E27FC236}">
              <a16:creationId xmlns:a16="http://schemas.microsoft.com/office/drawing/2014/main" id="{E8909AB8-9229-41CC-95B8-1FD8BDCFCBF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316" name="AutoShape 12">
          <a:extLst>
            <a:ext uri="{FF2B5EF4-FFF2-40B4-BE49-F238E27FC236}">
              <a16:creationId xmlns:a16="http://schemas.microsoft.com/office/drawing/2014/main" id="{6A5CDCBF-AA0D-43EF-A077-41150B43045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317" name="AutoShape 12">
          <a:extLst>
            <a:ext uri="{FF2B5EF4-FFF2-40B4-BE49-F238E27FC236}">
              <a16:creationId xmlns:a16="http://schemas.microsoft.com/office/drawing/2014/main" id="{FA503E57-1C32-40EE-B5C6-AF9222A12BC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318" name="AutoShape 12">
          <a:extLst>
            <a:ext uri="{FF2B5EF4-FFF2-40B4-BE49-F238E27FC236}">
              <a16:creationId xmlns:a16="http://schemas.microsoft.com/office/drawing/2014/main" id="{F73E2714-C5C3-4A89-9521-488F1F6DB78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319" name="AutoShape 12">
          <a:extLst>
            <a:ext uri="{FF2B5EF4-FFF2-40B4-BE49-F238E27FC236}">
              <a16:creationId xmlns:a16="http://schemas.microsoft.com/office/drawing/2014/main" id="{B0BD76ED-BA97-4681-9934-F4F6C21EB9E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320" name="AutoShape 12">
          <a:extLst>
            <a:ext uri="{FF2B5EF4-FFF2-40B4-BE49-F238E27FC236}">
              <a16:creationId xmlns:a16="http://schemas.microsoft.com/office/drawing/2014/main" id="{8CC0A51D-8697-4685-A4DE-931E287D42F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321" name="AutoShape 12">
          <a:extLst>
            <a:ext uri="{FF2B5EF4-FFF2-40B4-BE49-F238E27FC236}">
              <a16:creationId xmlns:a16="http://schemas.microsoft.com/office/drawing/2014/main" id="{4FA2F9FA-B3F5-4A55-A839-18515EA0469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322" name="AutoShape 12">
          <a:extLst>
            <a:ext uri="{FF2B5EF4-FFF2-40B4-BE49-F238E27FC236}">
              <a16:creationId xmlns:a16="http://schemas.microsoft.com/office/drawing/2014/main" id="{E8197947-96DD-4477-B06B-617D8A3050A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323" name="AutoShape 12">
          <a:extLst>
            <a:ext uri="{FF2B5EF4-FFF2-40B4-BE49-F238E27FC236}">
              <a16:creationId xmlns:a16="http://schemas.microsoft.com/office/drawing/2014/main" id="{360DF9FD-4B86-4F48-B368-A3D4AE58AE3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324" name="AutoShape 12">
          <a:extLst>
            <a:ext uri="{FF2B5EF4-FFF2-40B4-BE49-F238E27FC236}">
              <a16:creationId xmlns:a16="http://schemas.microsoft.com/office/drawing/2014/main" id="{36413B5E-43B6-407C-8565-50834D6DEA5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325" name="AutoShape 12">
          <a:extLst>
            <a:ext uri="{FF2B5EF4-FFF2-40B4-BE49-F238E27FC236}">
              <a16:creationId xmlns:a16="http://schemas.microsoft.com/office/drawing/2014/main" id="{CD3E76DD-FCF0-4033-9384-6C1608448FC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326" name="AutoShape 12">
          <a:extLst>
            <a:ext uri="{FF2B5EF4-FFF2-40B4-BE49-F238E27FC236}">
              <a16:creationId xmlns:a16="http://schemas.microsoft.com/office/drawing/2014/main" id="{A0F3D682-8A7C-4BD2-B33D-8A8FC7A6A2A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327" name="AutoShape 12">
          <a:extLst>
            <a:ext uri="{FF2B5EF4-FFF2-40B4-BE49-F238E27FC236}">
              <a16:creationId xmlns:a16="http://schemas.microsoft.com/office/drawing/2014/main" id="{CAC3F4C9-6CF3-40A6-AAD7-5BCAE30DFEA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328" name="AutoShape 12">
          <a:extLst>
            <a:ext uri="{FF2B5EF4-FFF2-40B4-BE49-F238E27FC236}">
              <a16:creationId xmlns:a16="http://schemas.microsoft.com/office/drawing/2014/main" id="{95BF444D-9C99-4685-A47C-C5848CFE689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329" name="AutoShape 12">
          <a:extLst>
            <a:ext uri="{FF2B5EF4-FFF2-40B4-BE49-F238E27FC236}">
              <a16:creationId xmlns:a16="http://schemas.microsoft.com/office/drawing/2014/main" id="{EE174D0E-F2F7-4E94-95C0-A814F558E44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330" name="AutoShape 12">
          <a:extLst>
            <a:ext uri="{FF2B5EF4-FFF2-40B4-BE49-F238E27FC236}">
              <a16:creationId xmlns:a16="http://schemas.microsoft.com/office/drawing/2014/main" id="{1BDEE229-5CFC-47D4-AD94-11153414DCC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331" name="AutoShape 12">
          <a:extLst>
            <a:ext uri="{FF2B5EF4-FFF2-40B4-BE49-F238E27FC236}">
              <a16:creationId xmlns:a16="http://schemas.microsoft.com/office/drawing/2014/main" id="{456E27B5-0157-4EC4-B38A-69AFA65344B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332" name="AutoShape 12">
          <a:extLst>
            <a:ext uri="{FF2B5EF4-FFF2-40B4-BE49-F238E27FC236}">
              <a16:creationId xmlns:a16="http://schemas.microsoft.com/office/drawing/2014/main" id="{A1A6765C-87DA-43DD-9D9E-EAA50D89265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333" name="AutoShape 12">
          <a:extLst>
            <a:ext uri="{FF2B5EF4-FFF2-40B4-BE49-F238E27FC236}">
              <a16:creationId xmlns:a16="http://schemas.microsoft.com/office/drawing/2014/main" id="{E27CA48B-1199-43B9-BAAD-EE379AA92FC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334" name="AutoShape 12">
          <a:extLst>
            <a:ext uri="{FF2B5EF4-FFF2-40B4-BE49-F238E27FC236}">
              <a16:creationId xmlns:a16="http://schemas.microsoft.com/office/drawing/2014/main" id="{C5C61A5C-4942-4551-981F-3CCF83771DF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335" name="AutoShape 12">
          <a:extLst>
            <a:ext uri="{FF2B5EF4-FFF2-40B4-BE49-F238E27FC236}">
              <a16:creationId xmlns:a16="http://schemas.microsoft.com/office/drawing/2014/main" id="{75BABDC6-AB28-4F8A-BFCB-369A0773F5F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336" name="AutoShape 12">
          <a:extLst>
            <a:ext uri="{FF2B5EF4-FFF2-40B4-BE49-F238E27FC236}">
              <a16:creationId xmlns:a16="http://schemas.microsoft.com/office/drawing/2014/main" id="{742C6989-3534-41D1-88EC-F09B16A9867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337" name="AutoShape 12">
          <a:extLst>
            <a:ext uri="{FF2B5EF4-FFF2-40B4-BE49-F238E27FC236}">
              <a16:creationId xmlns:a16="http://schemas.microsoft.com/office/drawing/2014/main" id="{1822C6BE-96C8-4BE9-93CD-7C0B00CA91F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338" name="AutoShape 12">
          <a:extLst>
            <a:ext uri="{FF2B5EF4-FFF2-40B4-BE49-F238E27FC236}">
              <a16:creationId xmlns:a16="http://schemas.microsoft.com/office/drawing/2014/main" id="{FAE717C0-F346-4A72-A80F-4EAC303B9DE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339" name="AutoShape 12">
          <a:extLst>
            <a:ext uri="{FF2B5EF4-FFF2-40B4-BE49-F238E27FC236}">
              <a16:creationId xmlns:a16="http://schemas.microsoft.com/office/drawing/2014/main" id="{9412C385-2D57-466D-B24C-71505F054EF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340" name="AutoShape 12">
          <a:extLst>
            <a:ext uri="{FF2B5EF4-FFF2-40B4-BE49-F238E27FC236}">
              <a16:creationId xmlns:a16="http://schemas.microsoft.com/office/drawing/2014/main" id="{9320A362-21C2-45DE-8587-FE677CB5B88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341" name="AutoShape 12">
          <a:extLst>
            <a:ext uri="{FF2B5EF4-FFF2-40B4-BE49-F238E27FC236}">
              <a16:creationId xmlns:a16="http://schemas.microsoft.com/office/drawing/2014/main" id="{594C49B2-131A-462B-B540-69FDEE92B5E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342" name="AutoShape 12">
          <a:extLst>
            <a:ext uri="{FF2B5EF4-FFF2-40B4-BE49-F238E27FC236}">
              <a16:creationId xmlns:a16="http://schemas.microsoft.com/office/drawing/2014/main" id="{D38E47C1-40A0-439F-AC4F-496ED66BC0D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343" name="AutoShape 12">
          <a:extLst>
            <a:ext uri="{FF2B5EF4-FFF2-40B4-BE49-F238E27FC236}">
              <a16:creationId xmlns:a16="http://schemas.microsoft.com/office/drawing/2014/main" id="{148AD48D-B701-4808-A481-7306FBC0C9D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344" name="AutoShape 12">
          <a:extLst>
            <a:ext uri="{FF2B5EF4-FFF2-40B4-BE49-F238E27FC236}">
              <a16:creationId xmlns:a16="http://schemas.microsoft.com/office/drawing/2014/main" id="{0EA14947-EB7C-4AB5-A398-3544E58561F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345" name="AutoShape 12">
          <a:extLst>
            <a:ext uri="{FF2B5EF4-FFF2-40B4-BE49-F238E27FC236}">
              <a16:creationId xmlns:a16="http://schemas.microsoft.com/office/drawing/2014/main" id="{76413DBC-F453-4F8F-B8D6-42D9D76BADA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346" name="AutoShape 12">
          <a:extLst>
            <a:ext uri="{FF2B5EF4-FFF2-40B4-BE49-F238E27FC236}">
              <a16:creationId xmlns:a16="http://schemas.microsoft.com/office/drawing/2014/main" id="{68166118-AF54-4C32-942B-C785B0FF3E0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347" name="AutoShape 12">
          <a:extLst>
            <a:ext uri="{FF2B5EF4-FFF2-40B4-BE49-F238E27FC236}">
              <a16:creationId xmlns:a16="http://schemas.microsoft.com/office/drawing/2014/main" id="{82B46B98-745D-4C7E-80A5-505C28BC5E8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348" name="AutoShape 12">
          <a:extLst>
            <a:ext uri="{FF2B5EF4-FFF2-40B4-BE49-F238E27FC236}">
              <a16:creationId xmlns:a16="http://schemas.microsoft.com/office/drawing/2014/main" id="{146BC868-8D8F-41A3-962A-93CCB2F7000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349" name="AutoShape 12">
          <a:extLst>
            <a:ext uri="{FF2B5EF4-FFF2-40B4-BE49-F238E27FC236}">
              <a16:creationId xmlns:a16="http://schemas.microsoft.com/office/drawing/2014/main" id="{7355D0E4-8F4F-449B-B5A3-7088BC046FC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350" name="AutoShape 12">
          <a:extLst>
            <a:ext uri="{FF2B5EF4-FFF2-40B4-BE49-F238E27FC236}">
              <a16:creationId xmlns:a16="http://schemas.microsoft.com/office/drawing/2014/main" id="{EB207082-7566-4D30-82E7-A20C98741E0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351" name="AutoShape 12">
          <a:extLst>
            <a:ext uri="{FF2B5EF4-FFF2-40B4-BE49-F238E27FC236}">
              <a16:creationId xmlns:a16="http://schemas.microsoft.com/office/drawing/2014/main" id="{1BF40F89-7632-4D5E-879C-C8B99D66C57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352" name="AutoShape 12">
          <a:extLst>
            <a:ext uri="{FF2B5EF4-FFF2-40B4-BE49-F238E27FC236}">
              <a16:creationId xmlns:a16="http://schemas.microsoft.com/office/drawing/2014/main" id="{EC6AA41C-766A-4899-A2D2-671B4A74FE0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353" name="AutoShape 12">
          <a:extLst>
            <a:ext uri="{FF2B5EF4-FFF2-40B4-BE49-F238E27FC236}">
              <a16:creationId xmlns:a16="http://schemas.microsoft.com/office/drawing/2014/main" id="{11A88E0B-5A68-4483-BEE0-687D4BB3289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354" name="AutoShape 12">
          <a:extLst>
            <a:ext uri="{FF2B5EF4-FFF2-40B4-BE49-F238E27FC236}">
              <a16:creationId xmlns:a16="http://schemas.microsoft.com/office/drawing/2014/main" id="{4313D2FA-A32D-4A68-934D-858D41AAB5E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355" name="AutoShape 12">
          <a:extLst>
            <a:ext uri="{FF2B5EF4-FFF2-40B4-BE49-F238E27FC236}">
              <a16:creationId xmlns:a16="http://schemas.microsoft.com/office/drawing/2014/main" id="{2E7BB07B-A9E5-4FE7-B140-23A03DAFC47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356" name="AutoShape 12">
          <a:extLst>
            <a:ext uri="{FF2B5EF4-FFF2-40B4-BE49-F238E27FC236}">
              <a16:creationId xmlns:a16="http://schemas.microsoft.com/office/drawing/2014/main" id="{22E1FB2F-F3EB-4F22-A573-F5CFFB6FDC9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357" name="AutoShape 12">
          <a:extLst>
            <a:ext uri="{FF2B5EF4-FFF2-40B4-BE49-F238E27FC236}">
              <a16:creationId xmlns:a16="http://schemas.microsoft.com/office/drawing/2014/main" id="{3E17E7F0-2E11-4C72-A776-772729C24B2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358" name="AutoShape 12">
          <a:extLst>
            <a:ext uri="{FF2B5EF4-FFF2-40B4-BE49-F238E27FC236}">
              <a16:creationId xmlns:a16="http://schemas.microsoft.com/office/drawing/2014/main" id="{FB98D3AC-2D0D-427A-9CD8-EB3168A5C64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359" name="AutoShape 12">
          <a:extLst>
            <a:ext uri="{FF2B5EF4-FFF2-40B4-BE49-F238E27FC236}">
              <a16:creationId xmlns:a16="http://schemas.microsoft.com/office/drawing/2014/main" id="{8508D038-EE5F-4C73-8C47-ED6A9D0E047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360" name="AutoShape 12">
          <a:extLst>
            <a:ext uri="{FF2B5EF4-FFF2-40B4-BE49-F238E27FC236}">
              <a16:creationId xmlns:a16="http://schemas.microsoft.com/office/drawing/2014/main" id="{9AE3A714-B285-4C06-9959-58FCDCE1BCC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361" name="AutoShape 12">
          <a:extLst>
            <a:ext uri="{FF2B5EF4-FFF2-40B4-BE49-F238E27FC236}">
              <a16:creationId xmlns:a16="http://schemas.microsoft.com/office/drawing/2014/main" id="{4BFCF417-A4CC-4A3A-B238-CB403FC1675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362" name="AutoShape 12">
          <a:extLst>
            <a:ext uri="{FF2B5EF4-FFF2-40B4-BE49-F238E27FC236}">
              <a16:creationId xmlns:a16="http://schemas.microsoft.com/office/drawing/2014/main" id="{9CC6441B-7C68-4901-B9CF-6DB7F19908A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363" name="AutoShape 12">
          <a:extLst>
            <a:ext uri="{FF2B5EF4-FFF2-40B4-BE49-F238E27FC236}">
              <a16:creationId xmlns:a16="http://schemas.microsoft.com/office/drawing/2014/main" id="{0D5F6891-C44D-43BA-9C39-20C725F5146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364" name="AutoShape 12">
          <a:extLst>
            <a:ext uri="{FF2B5EF4-FFF2-40B4-BE49-F238E27FC236}">
              <a16:creationId xmlns:a16="http://schemas.microsoft.com/office/drawing/2014/main" id="{1E09F540-9F3D-45E1-BE1B-6832F462529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365" name="AutoShape 12">
          <a:extLst>
            <a:ext uri="{FF2B5EF4-FFF2-40B4-BE49-F238E27FC236}">
              <a16:creationId xmlns:a16="http://schemas.microsoft.com/office/drawing/2014/main" id="{A5129953-2652-4AF9-917D-2FB5E25FE79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366" name="AutoShape 12">
          <a:extLst>
            <a:ext uri="{FF2B5EF4-FFF2-40B4-BE49-F238E27FC236}">
              <a16:creationId xmlns:a16="http://schemas.microsoft.com/office/drawing/2014/main" id="{9C7AC4D2-F274-4CEB-A71E-893CD98A533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367" name="AutoShape 12">
          <a:extLst>
            <a:ext uri="{FF2B5EF4-FFF2-40B4-BE49-F238E27FC236}">
              <a16:creationId xmlns:a16="http://schemas.microsoft.com/office/drawing/2014/main" id="{152DDEB3-E8BE-4169-854C-12ACF647DBA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368" name="AutoShape 12">
          <a:extLst>
            <a:ext uri="{FF2B5EF4-FFF2-40B4-BE49-F238E27FC236}">
              <a16:creationId xmlns:a16="http://schemas.microsoft.com/office/drawing/2014/main" id="{D72A0A1D-EF0A-4112-9CAB-0880FF53EF6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369" name="AutoShape 12">
          <a:extLst>
            <a:ext uri="{FF2B5EF4-FFF2-40B4-BE49-F238E27FC236}">
              <a16:creationId xmlns:a16="http://schemas.microsoft.com/office/drawing/2014/main" id="{75C1AAB6-6FCD-4223-8742-4ED98AD0803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370" name="AutoShape 12">
          <a:extLst>
            <a:ext uri="{FF2B5EF4-FFF2-40B4-BE49-F238E27FC236}">
              <a16:creationId xmlns:a16="http://schemas.microsoft.com/office/drawing/2014/main" id="{66C826A9-18E6-42EF-A0EB-F01AE164328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371" name="AutoShape 12">
          <a:extLst>
            <a:ext uri="{FF2B5EF4-FFF2-40B4-BE49-F238E27FC236}">
              <a16:creationId xmlns:a16="http://schemas.microsoft.com/office/drawing/2014/main" id="{5112D396-0866-4BE5-BB31-C920F406E27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372" name="AutoShape 12">
          <a:extLst>
            <a:ext uri="{FF2B5EF4-FFF2-40B4-BE49-F238E27FC236}">
              <a16:creationId xmlns:a16="http://schemas.microsoft.com/office/drawing/2014/main" id="{D078EA5D-B711-4B3B-9179-DEA35E8A683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373" name="AutoShape 12">
          <a:extLst>
            <a:ext uri="{FF2B5EF4-FFF2-40B4-BE49-F238E27FC236}">
              <a16:creationId xmlns:a16="http://schemas.microsoft.com/office/drawing/2014/main" id="{896EC4E8-79CC-4BF9-B866-FDB92FC4B93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374" name="AutoShape 12">
          <a:extLst>
            <a:ext uri="{FF2B5EF4-FFF2-40B4-BE49-F238E27FC236}">
              <a16:creationId xmlns:a16="http://schemas.microsoft.com/office/drawing/2014/main" id="{97202102-731E-4A31-BC64-899E544C415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375" name="AutoShape 12">
          <a:extLst>
            <a:ext uri="{FF2B5EF4-FFF2-40B4-BE49-F238E27FC236}">
              <a16:creationId xmlns:a16="http://schemas.microsoft.com/office/drawing/2014/main" id="{04D302FC-025B-4DD3-BA72-8DD182A1130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376" name="AutoShape 12">
          <a:extLst>
            <a:ext uri="{FF2B5EF4-FFF2-40B4-BE49-F238E27FC236}">
              <a16:creationId xmlns:a16="http://schemas.microsoft.com/office/drawing/2014/main" id="{B495CAAF-3641-4747-AB10-2E0EB38159F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377" name="AutoShape 12">
          <a:extLst>
            <a:ext uri="{FF2B5EF4-FFF2-40B4-BE49-F238E27FC236}">
              <a16:creationId xmlns:a16="http://schemas.microsoft.com/office/drawing/2014/main" id="{EBEA2172-5C4E-4B76-B75D-006C1794AF2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378" name="AutoShape 12">
          <a:extLst>
            <a:ext uri="{FF2B5EF4-FFF2-40B4-BE49-F238E27FC236}">
              <a16:creationId xmlns:a16="http://schemas.microsoft.com/office/drawing/2014/main" id="{586DD9C4-3041-45CA-9B7F-3EF3D31E043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379" name="AutoShape 12">
          <a:extLst>
            <a:ext uri="{FF2B5EF4-FFF2-40B4-BE49-F238E27FC236}">
              <a16:creationId xmlns:a16="http://schemas.microsoft.com/office/drawing/2014/main" id="{463D3660-19AC-4BBC-97A5-C75D3111209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380" name="AutoShape 12">
          <a:extLst>
            <a:ext uri="{FF2B5EF4-FFF2-40B4-BE49-F238E27FC236}">
              <a16:creationId xmlns:a16="http://schemas.microsoft.com/office/drawing/2014/main" id="{1DA65D65-82BB-4BAE-A342-1ED2456956B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381" name="AutoShape 12">
          <a:extLst>
            <a:ext uri="{FF2B5EF4-FFF2-40B4-BE49-F238E27FC236}">
              <a16:creationId xmlns:a16="http://schemas.microsoft.com/office/drawing/2014/main" id="{7EE18CA2-DC54-4A60-8687-AC62CA34962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382" name="AutoShape 12">
          <a:extLst>
            <a:ext uri="{FF2B5EF4-FFF2-40B4-BE49-F238E27FC236}">
              <a16:creationId xmlns:a16="http://schemas.microsoft.com/office/drawing/2014/main" id="{F4E22CB3-79B5-4CF4-B239-5BFAFF1547E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383" name="AutoShape 12">
          <a:extLst>
            <a:ext uri="{FF2B5EF4-FFF2-40B4-BE49-F238E27FC236}">
              <a16:creationId xmlns:a16="http://schemas.microsoft.com/office/drawing/2014/main" id="{727349F5-F7A7-4BDC-B0C0-92B99DBD3B0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384" name="AutoShape 12">
          <a:extLst>
            <a:ext uri="{FF2B5EF4-FFF2-40B4-BE49-F238E27FC236}">
              <a16:creationId xmlns:a16="http://schemas.microsoft.com/office/drawing/2014/main" id="{4A0C051E-82FF-4B9D-ABC6-DDB0CA9B191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385" name="AutoShape 12">
          <a:extLst>
            <a:ext uri="{FF2B5EF4-FFF2-40B4-BE49-F238E27FC236}">
              <a16:creationId xmlns:a16="http://schemas.microsoft.com/office/drawing/2014/main" id="{049C4598-AB3B-432B-863A-33274FA30E9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386" name="AutoShape 12">
          <a:extLst>
            <a:ext uri="{FF2B5EF4-FFF2-40B4-BE49-F238E27FC236}">
              <a16:creationId xmlns:a16="http://schemas.microsoft.com/office/drawing/2014/main" id="{AAA47035-269B-4B80-9A35-2FFB7C4AE02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387" name="AutoShape 12">
          <a:extLst>
            <a:ext uri="{FF2B5EF4-FFF2-40B4-BE49-F238E27FC236}">
              <a16:creationId xmlns:a16="http://schemas.microsoft.com/office/drawing/2014/main" id="{0C71B654-73A0-4BEC-886A-AFE5648C817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388" name="AutoShape 12">
          <a:extLst>
            <a:ext uri="{FF2B5EF4-FFF2-40B4-BE49-F238E27FC236}">
              <a16:creationId xmlns:a16="http://schemas.microsoft.com/office/drawing/2014/main" id="{2F0FA4E1-7589-4106-B0ED-82111BF3390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389" name="AutoShape 12">
          <a:extLst>
            <a:ext uri="{FF2B5EF4-FFF2-40B4-BE49-F238E27FC236}">
              <a16:creationId xmlns:a16="http://schemas.microsoft.com/office/drawing/2014/main" id="{D8016C28-63E9-4FB9-9D42-5FA5E5A71FA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390" name="AutoShape 12">
          <a:extLst>
            <a:ext uri="{FF2B5EF4-FFF2-40B4-BE49-F238E27FC236}">
              <a16:creationId xmlns:a16="http://schemas.microsoft.com/office/drawing/2014/main" id="{8340BBF6-419E-4166-BA12-385576F34A9E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391" name="AutoShape 12">
          <a:extLst>
            <a:ext uri="{FF2B5EF4-FFF2-40B4-BE49-F238E27FC236}">
              <a16:creationId xmlns:a16="http://schemas.microsoft.com/office/drawing/2014/main" id="{11219CB0-5D12-4F1B-9F8A-8888CCF19D9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392" name="AutoShape 12">
          <a:extLst>
            <a:ext uri="{FF2B5EF4-FFF2-40B4-BE49-F238E27FC236}">
              <a16:creationId xmlns:a16="http://schemas.microsoft.com/office/drawing/2014/main" id="{3D2842CD-0A57-46E4-8CDF-BAC970ABE37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393" name="AutoShape 12">
          <a:extLst>
            <a:ext uri="{FF2B5EF4-FFF2-40B4-BE49-F238E27FC236}">
              <a16:creationId xmlns:a16="http://schemas.microsoft.com/office/drawing/2014/main" id="{B82735BD-129E-41F5-9D01-F496238CA72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394" name="AutoShape 12">
          <a:extLst>
            <a:ext uri="{FF2B5EF4-FFF2-40B4-BE49-F238E27FC236}">
              <a16:creationId xmlns:a16="http://schemas.microsoft.com/office/drawing/2014/main" id="{43F238BE-8F46-4071-A298-F5E98609455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395" name="AutoShape 12">
          <a:extLst>
            <a:ext uri="{FF2B5EF4-FFF2-40B4-BE49-F238E27FC236}">
              <a16:creationId xmlns:a16="http://schemas.microsoft.com/office/drawing/2014/main" id="{7EDBD919-59CB-4106-A90E-0D53DA6F9BC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396" name="AutoShape 12">
          <a:extLst>
            <a:ext uri="{FF2B5EF4-FFF2-40B4-BE49-F238E27FC236}">
              <a16:creationId xmlns:a16="http://schemas.microsoft.com/office/drawing/2014/main" id="{B3C41250-1ABD-4FB5-907B-19DDDE51E66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397" name="AutoShape 12">
          <a:extLst>
            <a:ext uri="{FF2B5EF4-FFF2-40B4-BE49-F238E27FC236}">
              <a16:creationId xmlns:a16="http://schemas.microsoft.com/office/drawing/2014/main" id="{05AD1526-2131-4EEC-BD5C-10A3636AA13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398" name="AutoShape 12">
          <a:extLst>
            <a:ext uri="{FF2B5EF4-FFF2-40B4-BE49-F238E27FC236}">
              <a16:creationId xmlns:a16="http://schemas.microsoft.com/office/drawing/2014/main" id="{8AB7E612-7EE3-4631-B9BC-14032CFD2E6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399" name="AutoShape 12">
          <a:extLst>
            <a:ext uri="{FF2B5EF4-FFF2-40B4-BE49-F238E27FC236}">
              <a16:creationId xmlns:a16="http://schemas.microsoft.com/office/drawing/2014/main" id="{2FC4EF3B-EB0B-4E73-ACCA-6163A75129D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400" name="AutoShape 12">
          <a:extLst>
            <a:ext uri="{FF2B5EF4-FFF2-40B4-BE49-F238E27FC236}">
              <a16:creationId xmlns:a16="http://schemas.microsoft.com/office/drawing/2014/main" id="{D7EAC079-A47D-4200-B6EF-435179C01AC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401" name="AutoShape 12">
          <a:extLst>
            <a:ext uri="{FF2B5EF4-FFF2-40B4-BE49-F238E27FC236}">
              <a16:creationId xmlns:a16="http://schemas.microsoft.com/office/drawing/2014/main" id="{2D6AB0CA-5DED-4B7C-8CA2-132666FC8F9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402" name="AutoShape 12">
          <a:extLst>
            <a:ext uri="{FF2B5EF4-FFF2-40B4-BE49-F238E27FC236}">
              <a16:creationId xmlns:a16="http://schemas.microsoft.com/office/drawing/2014/main" id="{C02AE69F-BC8B-40A9-A6ED-DED4812ABB0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403" name="AutoShape 12">
          <a:extLst>
            <a:ext uri="{FF2B5EF4-FFF2-40B4-BE49-F238E27FC236}">
              <a16:creationId xmlns:a16="http://schemas.microsoft.com/office/drawing/2014/main" id="{5895114D-9C2F-47C4-9C96-9302B113741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404" name="AutoShape 12">
          <a:extLst>
            <a:ext uri="{FF2B5EF4-FFF2-40B4-BE49-F238E27FC236}">
              <a16:creationId xmlns:a16="http://schemas.microsoft.com/office/drawing/2014/main" id="{8CC87824-0C56-41CD-8BCF-1D2B4D1EE13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405" name="AutoShape 12">
          <a:extLst>
            <a:ext uri="{FF2B5EF4-FFF2-40B4-BE49-F238E27FC236}">
              <a16:creationId xmlns:a16="http://schemas.microsoft.com/office/drawing/2014/main" id="{550AD9EB-98C0-42AD-A0B1-9F8FDC0FF01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406" name="AutoShape 12">
          <a:extLst>
            <a:ext uri="{FF2B5EF4-FFF2-40B4-BE49-F238E27FC236}">
              <a16:creationId xmlns:a16="http://schemas.microsoft.com/office/drawing/2014/main" id="{D55D02BC-D1D2-48B7-B385-7C83ED91C4B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407" name="AutoShape 12">
          <a:extLst>
            <a:ext uri="{FF2B5EF4-FFF2-40B4-BE49-F238E27FC236}">
              <a16:creationId xmlns:a16="http://schemas.microsoft.com/office/drawing/2014/main" id="{885F4C8E-20E2-4BC7-813F-6435C773939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408" name="AutoShape 12">
          <a:extLst>
            <a:ext uri="{FF2B5EF4-FFF2-40B4-BE49-F238E27FC236}">
              <a16:creationId xmlns:a16="http://schemas.microsoft.com/office/drawing/2014/main" id="{3A3F484B-3E28-4097-BE4C-3230E188C82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409" name="AutoShape 12">
          <a:extLst>
            <a:ext uri="{FF2B5EF4-FFF2-40B4-BE49-F238E27FC236}">
              <a16:creationId xmlns:a16="http://schemas.microsoft.com/office/drawing/2014/main" id="{4A5F5C93-BCE6-49E9-B059-D01F7BC6838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410" name="AutoShape 12">
          <a:extLst>
            <a:ext uri="{FF2B5EF4-FFF2-40B4-BE49-F238E27FC236}">
              <a16:creationId xmlns:a16="http://schemas.microsoft.com/office/drawing/2014/main" id="{E240BA7D-592F-4180-A864-BABD487B5BF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411" name="AutoShape 12">
          <a:extLst>
            <a:ext uri="{FF2B5EF4-FFF2-40B4-BE49-F238E27FC236}">
              <a16:creationId xmlns:a16="http://schemas.microsoft.com/office/drawing/2014/main" id="{71D91D63-A732-4BFB-B68E-A1B1E2FBA68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412" name="AutoShape 12">
          <a:extLst>
            <a:ext uri="{FF2B5EF4-FFF2-40B4-BE49-F238E27FC236}">
              <a16:creationId xmlns:a16="http://schemas.microsoft.com/office/drawing/2014/main" id="{8244A1DE-A6E2-43EB-AEC2-B22066BD761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413" name="AutoShape 12">
          <a:extLst>
            <a:ext uri="{FF2B5EF4-FFF2-40B4-BE49-F238E27FC236}">
              <a16:creationId xmlns:a16="http://schemas.microsoft.com/office/drawing/2014/main" id="{28C57D98-DF61-4136-BF37-CE45F109FE5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414" name="AutoShape 12">
          <a:extLst>
            <a:ext uri="{FF2B5EF4-FFF2-40B4-BE49-F238E27FC236}">
              <a16:creationId xmlns:a16="http://schemas.microsoft.com/office/drawing/2014/main" id="{41845165-BE28-440A-8319-191DB8D5248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415" name="AutoShape 12">
          <a:extLst>
            <a:ext uri="{FF2B5EF4-FFF2-40B4-BE49-F238E27FC236}">
              <a16:creationId xmlns:a16="http://schemas.microsoft.com/office/drawing/2014/main" id="{ACDCC559-FA48-4B1A-A982-F82FEE4868F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416" name="AutoShape 12">
          <a:extLst>
            <a:ext uri="{FF2B5EF4-FFF2-40B4-BE49-F238E27FC236}">
              <a16:creationId xmlns:a16="http://schemas.microsoft.com/office/drawing/2014/main" id="{4F9822C7-A4E3-4536-ABDF-7FE49681672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417" name="AutoShape 12">
          <a:extLst>
            <a:ext uri="{FF2B5EF4-FFF2-40B4-BE49-F238E27FC236}">
              <a16:creationId xmlns:a16="http://schemas.microsoft.com/office/drawing/2014/main" id="{6593A9FE-C4CD-4A41-8023-98F064A3385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418" name="AutoShape 12">
          <a:extLst>
            <a:ext uri="{FF2B5EF4-FFF2-40B4-BE49-F238E27FC236}">
              <a16:creationId xmlns:a16="http://schemas.microsoft.com/office/drawing/2014/main" id="{9D13D8D9-5901-4AA3-83EB-A87C1BF5CE1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419" name="AutoShape 12">
          <a:extLst>
            <a:ext uri="{FF2B5EF4-FFF2-40B4-BE49-F238E27FC236}">
              <a16:creationId xmlns:a16="http://schemas.microsoft.com/office/drawing/2014/main" id="{7E7CF8D9-B352-423B-B3E6-3DC434173406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420" name="AutoShape 12">
          <a:extLst>
            <a:ext uri="{FF2B5EF4-FFF2-40B4-BE49-F238E27FC236}">
              <a16:creationId xmlns:a16="http://schemas.microsoft.com/office/drawing/2014/main" id="{5ED218A4-A2AA-4999-A1E7-827561C7DAB9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421" name="AutoShape 12">
          <a:extLst>
            <a:ext uri="{FF2B5EF4-FFF2-40B4-BE49-F238E27FC236}">
              <a16:creationId xmlns:a16="http://schemas.microsoft.com/office/drawing/2014/main" id="{BEDB8801-345D-44BC-B1C0-6BE5C12BA997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422" name="AutoShape 12">
          <a:extLst>
            <a:ext uri="{FF2B5EF4-FFF2-40B4-BE49-F238E27FC236}">
              <a16:creationId xmlns:a16="http://schemas.microsoft.com/office/drawing/2014/main" id="{662C51B3-7BD7-49EA-8098-1D7062A367EF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423" name="AutoShape 12">
          <a:extLst>
            <a:ext uri="{FF2B5EF4-FFF2-40B4-BE49-F238E27FC236}">
              <a16:creationId xmlns:a16="http://schemas.microsoft.com/office/drawing/2014/main" id="{635753BD-3F5E-4444-A730-0F5BF2D62948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424" name="AutoShape 12">
          <a:extLst>
            <a:ext uri="{FF2B5EF4-FFF2-40B4-BE49-F238E27FC236}">
              <a16:creationId xmlns:a16="http://schemas.microsoft.com/office/drawing/2014/main" id="{049A1B91-9D59-47AB-920C-004A738F7B3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425" name="AutoShape 12">
          <a:extLst>
            <a:ext uri="{FF2B5EF4-FFF2-40B4-BE49-F238E27FC236}">
              <a16:creationId xmlns:a16="http://schemas.microsoft.com/office/drawing/2014/main" id="{228F0863-EF5F-4CC9-9DE3-55A1202A72F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426" name="AutoShape 12">
          <a:extLst>
            <a:ext uri="{FF2B5EF4-FFF2-40B4-BE49-F238E27FC236}">
              <a16:creationId xmlns:a16="http://schemas.microsoft.com/office/drawing/2014/main" id="{B7C5D31E-CA4C-4E77-BC74-72EE7079B40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427" name="AutoShape 12">
          <a:extLst>
            <a:ext uri="{FF2B5EF4-FFF2-40B4-BE49-F238E27FC236}">
              <a16:creationId xmlns:a16="http://schemas.microsoft.com/office/drawing/2014/main" id="{09B91B88-47C8-416F-A2CE-39CE9547B97B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428" name="AutoShape 12">
          <a:extLst>
            <a:ext uri="{FF2B5EF4-FFF2-40B4-BE49-F238E27FC236}">
              <a16:creationId xmlns:a16="http://schemas.microsoft.com/office/drawing/2014/main" id="{B0F523DF-FA53-43DD-A46C-5F9DD458AAA2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429" name="AutoShape 12">
          <a:extLst>
            <a:ext uri="{FF2B5EF4-FFF2-40B4-BE49-F238E27FC236}">
              <a16:creationId xmlns:a16="http://schemas.microsoft.com/office/drawing/2014/main" id="{CE7B3056-93A0-499E-A4C3-57ACE3B9979A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430" name="AutoShape 12">
          <a:extLst>
            <a:ext uri="{FF2B5EF4-FFF2-40B4-BE49-F238E27FC236}">
              <a16:creationId xmlns:a16="http://schemas.microsoft.com/office/drawing/2014/main" id="{FA0302CB-17E1-4A81-9156-609EBD29875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431" name="AutoShape 12">
          <a:extLst>
            <a:ext uri="{FF2B5EF4-FFF2-40B4-BE49-F238E27FC236}">
              <a16:creationId xmlns:a16="http://schemas.microsoft.com/office/drawing/2014/main" id="{4066E176-AB5A-4D1E-8EF3-0B45B04A980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432" name="AutoShape 12">
          <a:extLst>
            <a:ext uri="{FF2B5EF4-FFF2-40B4-BE49-F238E27FC236}">
              <a16:creationId xmlns:a16="http://schemas.microsoft.com/office/drawing/2014/main" id="{812CC996-4C39-4AC6-876F-B48D03D4D25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433" name="AutoShape 12">
          <a:extLst>
            <a:ext uri="{FF2B5EF4-FFF2-40B4-BE49-F238E27FC236}">
              <a16:creationId xmlns:a16="http://schemas.microsoft.com/office/drawing/2014/main" id="{E479AC0C-6A51-4988-9FFF-BC8EFF4B59BD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434" name="AutoShape 12">
          <a:extLst>
            <a:ext uri="{FF2B5EF4-FFF2-40B4-BE49-F238E27FC236}">
              <a16:creationId xmlns:a16="http://schemas.microsoft.com/office/drawing/2014/main" id="{12D80691-AA4C-4A5E-A4AE-F5320DE651A1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435" name="AutoShape 12">
          <a:extLst>
            <a:ext uri="{FF2B5EF4-FFF2-40B4-BE49-F238E27FC236}">
              <a16:creationId xmlns:a16="http://schemas.microsoft.com/office/drawing/2014/main" id="{38A42D3D-BB3A-45D5-A857-83C8A84D7A80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436" name="AutoShape 12">
          <a:extLst>
            <a:ext uri="{FF2B5EF4-FFF2-40B4-BE49-F238E27FC236}">
              <a16:creationId xmlns:a16="http://schemas.microsoft.com/office/drawing/2014/main" id="{9FD199ED-6062-402B-BFC1-3D62DE56833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437" name="AutoShape 12">
          <a:extLst>
            <a:ext uri="{FF2B5EF4-FFF2-40B4-BE49-F238E27FC236}">
              <a16:creationId xmlns:a16="http://schemas.microsoft.com/office/drawing/2014/main" id="{C907B9DC-9A07-4BB5-8AF1-6950F6379A8C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438" name="AutoShape 12">
          <a:extLst>
            <a:ext uri="{FF2B5EF4-FFF2-40B4-BE49-F238E27FC236}">
              <a16:creationId xmlns:a16="http://schemas.microsoft.com/office/drawing/2014/main" id="{BD418940-05F4-45A2-9252-82032A29EAE4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439" name="AutoShape 12">
          <a:extLst>
            <a:ext uri="{FF2B5EF4-FFF2-40B4-BE49-F238E27FC236}">
              <a16:creationId xmlns:a16="http://schemas.microsoft.com/office/drawing/2014/main" id="{0FB16DFF-46D9-4567-9837-4DDB636CCAE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440" name="AutoShape 12">
          <a:extLst>
            <a:ext uri="{FF2B5EF4-FFF2-40B4-BE49-F238E27FC236}">
              <a16:creationId xmlns:a16="http://schemas.microsoft.com/office/drawing/2014/main" id="{95357682-F028-45DD-9582-04EBF0A59643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1322</xdr:row>
      <xdr:rowOff>0</xdr:rowOff>
    </xdr:from>
    <xdr:ext cx="304800" cy="304094"/>
    <xdr:sp macro="" textlink="">
      <xdr:nvSpPr>
        <xdr:cNvPr id="11441" name="AutoShape 12">
          <a:extLst>
            <a:ext uri="{FF2B5EF4-FFF2-40B4-BE49-F238E27FC236}">
              <a16:creationId xmlns:a16="http://schemas.microsoft.com/office/drawing/2014/main" id="{AA7D7208-F593-4BE4-BD10-DCB1DB8EA285}"/>
            </a:ext>
          </a:extLst>
        </xdr:cNvPr>
        <xdr:cNvSpPr>
          <a:spLocks noChangeAspect="1" noChangeArrowheads="1"/>
        </xdr:cNvSpPr>
      </xdr:nvSpPr>
      <xdr:spPr bwMode="auto">
        <a:xfrm>
          <a:off x="4495800" y="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0</xdr:row>
      <xdr:rowOff>0</xdr:rowOff>
    </xdr:from>
    <xdr:ext cx="304800" cy="304094"/>
    <xdr:sp macro="" textlink="">
      <xdr:nvSpPr>
        <xdr:cNvPr id="2" name="AutoShape 12">
          <a:extLst>
            <a:ext uri="{FF2B5EF4-FFF2-40B4-BE49-F238E27FC236}">
              <a16:creationId xmlns:a16="http://schemas.microsoft.com/office/drawing/2014/main" id="{92A29574-DEFD-4998-A543-D0DB952DEF78}"/>
            </a:ext>
          </a:extLst>
        </xdr:cNvPr>
        <xdr:cNvSpPr>
          <a:spLocks noChangeAspect="1" noChangeArrowheads="1"/>
        </xdr:cNvSpPr>
      </xdr:nvSpPr>
      <xdr:spPr bwMode="auto">
        <a:xfrm>
          <a:off x="4419600" y="3508248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4094"/>
    <xdr:sp macro="" textlink="">
      <xdr:nvSpPr>
        <xdr:cNvPr id="3" name="AutoShape 12">
          <a:extLst>
            <a:ext uri="{FF2B5EF4-FFF2-40B4-BE49-F238E27FC236}">
              <a16:creationId xmlns:a16="http://schemas.microsoft.com/office/drawing/2014/main" id="{C666A7A9-03A7-428E-8497-24EF45A750B8}"/>
            </a:ext>
          </a:extLst>
        </xdr:cNvPr>
        <xdr:cNvSpPr>
          <a:spLocks noChangeAspect="1" noChangeArrowheads="1"/>
        </xdr:cNvSpPr>
      </xdr:nvSpPr>
      <xdr:spPr bwMode="auto">
        <a:xfrm>
          <a:off x="4419600" y="3508248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4094"/>
    <xdr:sp macro="" textlink="">
      <xdr:nvSpPr>
        <xdr:cNvPr id="4" name="AutoShape 12">
          <a:extLst>
            <a:ext uri="{FF2B5EF4-FFF2-40B4-BE49-F238E27FC236}">
              <a16:creationId xmlns:a16="http://schemas.microsoft.com/office/drawing/2014/main" id="{F157457F-E0F8-48EC-A95F-D8F137B84984}"/>
            </a:ext>
          </a:extLst>
        </xdr:cNvPr>
        <xdr:cNvSpPr>
          <a:spLocks noChangeAspect="1" noChangeArrowheads="1"/>
        </xdr:cNvSpPr>
      </xdr:nvSpPr>
      <xdr:spPr bwMode="auto">
        <a:xfrm>
          <a:off x="4419600" y="3526536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4094"/>
    <xdr:sp macro="" textlink="">
      <xdr:nvSpPr>
        <xdr:cNvPr id="5" name="AutoShape 12">
          <a:extLst>
            <a:ext uri="{FF2B5EF4-FFF2-40B4-BE49-F238E27FC236}">
              <a16:creationId xmlns:a16="http://schemas.microsoft.com/office/drawing/2014/main" id="{9613D948-7325-4D5F-9201-D5A4F438E3C1}"/>
            </a:ext>
          </a:extLst>
        </xdr:cNvPr>
        <xdr:cNvSpPr>
          <a:spLocks noChangeAspect="1" noChangeArrowheads="1"/>
        </xdr:cNvSpPr>
      </xdr:nvSpPr>
      <xdr:spPr bwMode="auto">
        <a:xfrm>
          <a:off x="4419600" y="3508248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4094"/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6EB7B958-01EE-4C71-B661-3F4A8423E57D}"/>
            </a:ext>
          </a:extLst>
        </xdr:cNvPr>
        <xdr:cNvSpPr>
          <a:spLocks noChangeAspect="1" noChangeArrowheads="1"/>
        </xdr:cNvSpPr>
      </xdr:nvSpPr>
      <xdr:spPr bwMode="auto">
        <a:xfrm>
          <a:off x="4419600" y="3526536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4094"/>
    <xdr:sp macro="" textlink="">
      <xdr:nvSpPr>
        <xdr:cNvPr id="7" name="AutoShape 12">
          <a:extLst>
            <a:ext uri="{FF2B5EF4-FFF2-40B4-BE49-F238E27FC236}">
              <a16:creationId xmlns:a16="http://schemas.microsoft.com/office/drawing/2014/main" id="{D7D1479B-12DC-4F9B-8507-A8F7FB928F65}"/>
            </a:ext>
          </a:extLst>
        </xdr:cNvPr>
        <xdr:cNvSpPr>
          <a:spLocks noChangeAspect="1" noChangeArrowheads="1"/>
        </xdr:cNvSpPr>
      </xdr:nvSpPr>
      <xdr:spPr bwMode="auto">
        <a:xfrm>
          <a:off x="4419600" y="3526536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4094"/>
    <xdr:sp macro="" textlink="">
      <xdr:nvSpPr>
        <xdr:cNvPr id="8" name="AutoShape 12">
          <a:extLst>
            <a:ext uri="{FF2B5EF4-FFF2-40B4-BE49-F238E27FC236}">
              <a16:creationId xmlns:a16="http://schemas.microsoft.com/office/drawing/2014/main" id="{3E9E333C-63E5-4DC8-9A95-EC8C27C34508}"/>
            </a:ext>
          </a:extLst>
        </xdr:cNvPr>
        <xdr:cNvSpPr>
          <a:spLocks noChangeAspect="1" noChangeArrowheads="1"/>
        </xdr:cNvSpPr>
      </xdr:nvSpPr>
      <xdr:spPr bwMode="auto">
        <a:xfrm>
          <a:off x="4419600" y="3508248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4094"/>
    <xdr:sp macro="" textlink="">
      <xdr:nvSpPr>
        <xdr:cNvPr id="9" name="AutoShape 12">
          <a:extLst>
            <a:ext uri="{FF2B5EF4-FFF2-40B4-BE49-F238E27FC236}">
              <a16:creationId xmlns:a16="http://schemas.microsoft.com/office/drawing/2014/main" id="{03B8D0E5-2C30-466F-8FA5-19E66AA9B46D}"/>
            </a:ext>
          </a:extLst>
        </xdr:cNvPr>
        <xdr:cNvSpPr>
          <a:spLocks noChangeAspect="1" noChangeArrowheads="1"/>
        </xdr:cNvSpPr>
      </xdr:nvSpPr>
      <xdr:spPr bwMode="auto">
        <a:xfrm>
          <a:off x="4419600" y="3526536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4094"/>
    <xdr:sp macro="" textlink="">
      <xdr:nvSpPr>
        <xdr:cNvPr id="10" name="AutoShape 12">
          <a:extLst>
            <a:ext uri="{FF2B5EF4-FFF2-40B4-BE49-F238E27FC236}">
              <a16:creationId xmlns:a16="http://schemas.microsoft.com/office/drawing/2014/main" id="{82E03883-1195-496E-AF99-4A70E1FA81A0}"/>
            </a:ext>
          </a:extLst>
        </xdr:cNvPr>
        <xdr:cNvSpPr>
          <a:spLocks noChangeAspect="1" noChangeArrowheads="1"/>
        </xdr:cNvSpPr>
      </xdr:nvSpPr>
      <xdr:spPr bwMode="auto">
        <a:xfrm>
          <a:off x="4419600" y="3526536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4094"/>
    <xdr:sp macro="" textlink="">
      <xdr:nvSpPr>
        <xdr:cNvPr id="11" name="AutoShape 12">
          <a:extLst>
            <a:ext uri="{FF2B5EF4-FFF2-40B4-BE49-F238E27FC236}">
              <a16:creationId xmlns:a16="http://schemas.microsoft.com/office/drawing/2014/main" id="{B2A1B9BC-9F18-4CD2-A6EB-57E6393BF6DD}"/>
            </a:ext>
          </a:extLst>
        </xdr:cNvPr>
        <xdr:cNvSpPr>
          <a:spLocks noChangeAspect="1" noChangeArrowheads="1"/>
        </xdr:cNvSpPr>
      </xdr:nvSpPr>
      <xdr:spPr bwMode="auto">
        <a:xfrm>
          <a:off x="4419600" y="3526536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4094"/>
    <xdr:sp macro="" textlink="">
      <xdr:nvSpPr>
        <xdr:cNvPr id="12" name="AutoShape 12">
          <a:extLst>
            <a:ext uri="{FF2B5EF4-FFF2-40B4-BE49-F238E27FC236}">
              <a16:creationId xmlns:a16="http://schemas.microsoft.com/office/drawing/2014/main" id="{AAB27762-6C1B-49B7-95D4-1CDED402072B}"/>
            </a:ext>
          </a:extLst>
        </xdr:cNvPr>
        <xdr:cNvSpPr>
          <a:spLocks noChangeAspect="1" noChangeArrowheads="1"/>
        </xdr:cNvSpPr>
      </xdr:nvSpPr>
      <xdr:spPr bwMode="auto">
        <a:xfrm>
          <a:off x="4419600" y="3508248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4094"/>
    <xdr:sp macro="" textlink="">
      <xdr:nvSpPr>
        <xdr:cNvPr id="13" name="AutoShape 12">
          <a:extLst>
            <a:ext uri="{FF2B5EF4-FFF2-40B4-BE49-F238E27FC236}">
              <a16:creationId xmlns:a16="http://schemas.microsoft.com/office/drawing/2014/main" id="{3F36F604-7B3C-4E60-94CD-3086B73C7677}"/>
            </a:ext>
          </a:extLst>
        </xdr:cNvPr>
        <xdr:cNvSpPr>
          <a:spLocks noChangeAspect="1" noChangeArrowheads="1"/>
        </xdr:cNvSpPr>
      </xdr:nvSpPr>
      <xdr:spPr bwMode="auto">
        <a:xfrm>
          <a:off x="4419600" y="3526536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4094"/>
    <xdr:sp macro="" textlink="">
      <xdr:nvSpPr>
        <xdr:cNvPr id="14" name="AutoShape 12">
          <a:extLst>
            <a:ext uri="{FF2B5EF4-FFF2-40B4-BE49-F238E27FC236}">
              <a16:creationId xmlns:a16="http://schemas.microsoft.com/office/drawing/2014/main" id="{6426B2B3-8842-4806-8D1C-955D91C02759}"/>
            </a:ext>
          </a:extLst>
        </xdr:cNvPr>
        <xdr:cNvSpPr>
          <a:spLocks noChangeAspect="1" noChangeArrowheads="1"/>
        </xdr:cNvSpPr>
      </xdr:nvSpPr>
      <xdr:spPr bwMode="auto">
        <a:xfrm>
          <a:off x="4419600" y="3526536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4094"/>
    <xdr:sp macro="" textlink="">
      <xdr:nvSpPr>
        <xdr:cNvPr id="15" name="AutoShape 12">
          <a:extLst>
            <a:ext uri="{FF2B5EF4-FFF2-40B4-BE49-F238E27FC236}">
              <a16:creationId xmlns:a16="http://schemas.microsoft.com/office/drawing/2014/main" id="{428BC8D3-2255-47E1-817A-25744B4DFB65}"/>
            </a:ext>
          </a:extLst>
        </xdr:cNvPr>
        <xdr:cNvSpPr>
          <a:spLocks noChangeAspect="1" noChangeArrowheads="1"/>
        </xdr:cNvSpPr>
      </xdr:nvSpPr>
      <xdr:spPr bwMode="auto">
        <a:xfrm>
          <a:off x="4419600" y="3526536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4094"/>
    <xdr:sp macro="" textlink="">
      <xdr:nvSpPr>
        <xdr:cNvPr id="16" name="AutoShape 12">
          <a:extLst>
            <a:ext uri="{FF2B5EF4-FFF2-40B4-BE49-F238E27FC236}">
              <a16:creationId xmlns:a16="http://schemas.microsoft.com/office/drawing/2014/main" id="{95E9D4A5-CCF8-484B-A2C2-F64156DCD873}"/>
            </a:ext>
          </a:extLst>
        </xdr:cNvPr>
        <xdr:cNvSpPr>
          <a:spLocks noChangeAspect="1" noChangeArrowheads="1"/>
        </xdr:cNvSpPr>
      </xdr:nvSpPr>
      <xdr:spPr bwMode="auto">
        <a:xfrm>
          <a:off x="4419600" y="3526536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4094"/>
    <xdr:sp macro="" textlink="">
      <xdr:nvSpPr>
        <xdr:cNvPr id="17" name="AutoShape 12">
          <a:extLst>
            <a:ext uri="{FF2B5EF4-FFF2-40B4-BE49-F238E27FC236}">
              <a16:creationId xmlns:a16="http://schemas.microsoft.com/office/drawing/2014/main" id="{DAF6F3A2-6DBA-4226-9382-219365225CAB}"/>
            </a:ext>
          </a:extLst>
        </xdr:cNvPr>
        <xdr:cNvSpPr>
          <a:spLocks noChangeAspect="1" noChangeArrowheads="1"/>
        </xdr:cNvSpPr>
      </xdr:nvSpPr>
      <xdr:spPr bwMode="auto">
        <a:xfrm>
          <a:off x="4419600" y="376428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4094"/>
    <xdr:sp macro="" textlink="">
      <xdr:nvSpPr>
        <xdr:cNvPr id="18" name="AutoShape 12">
          <a:extLst>
            <a:ext uri="{FF2B5EF4-FFF2-40B4-BE49-F238E27FC236}">
              <a16:creationId xmlns:a16="http://schemas.microsoft.com/office/drawing/2014/main" id="{EC09CEBC-1F6C-4344-B797-00D2E5F5FE83}"/>
            </a:ext>
          </a:extLst>
        </xdr:cNvPr>
        <xdr:cNvSpPr>
          <a:spLocks noChangeAspect="1" noChangeArrowheads="1"/>
        </xdr:cNvSpPr>
      </xdr:nvSpPr>
      <xdr:spPr bwMode="auto">
        <a:xfrm>
          <a:off x="4419600" y="376428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4094"/>
    <xdr:sp macro="" textlink="">
      <xdr:nvSpPr>
        <xdr:cNvPr id="19" name="AutoShape 12">
          <a:extLst>
            <a:ext uri="{FF2B5EF4-FFF2-40B4-BE49-F238E27FC236}">
              <a16:creationId xmlns:a16="http://schemas.microsoft.com/office/drawing/2014/main" id="{BD3D5E44-FC93-442A-A0DA-0D1CCEE9855B}"/>
            </a:ext>
          </a:extLst>
        </xdr:cNvPr>
        <xdr:cNvSpPr>
          <a:spLocks noChangeAspect="1" noChangeArrowheads="1"/>
        </xdr:cNvSpPr>
      </xdr:nvSpPr>
      <xdr:spPr bwMode="auto">
        <a:xfrm>
          <a:off x="4419600" y="376428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20" name="AutoShape 12">
          <a:extLst>
            <a:ext uri="{FF2B5EF4-FFF2-40B4-BE49-F238E27FC236}">
              <a16:creationId xmlns:a16="http://schemas.microsoft.com/office/drawing/2014/main" id="{90E413CD-234E-45C2-AB04-B83CC1FCA5C8}"/>
            </a:ext>
          </a:extLst>
        </xdr:cNvPr>
        <xdr:cNvSpPr>
          <a:spLocks noChangeAspect="1" noChangeArrowheads="1"/>
        </xdr:cNvSpPr>
      </xdr:nvSpPr>
      <xdr:spPr bwMode="auto">
        <a:xfrm>
          <a:off x="4419600" y="3782568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21" name="AutoShape 12">
          <a:extLst>
            <a:ext uri="{FF2B5EF4-FFF2-40B4-BE49-F238E27FC236}">
              <a16:creationId xmlns:a16="http://schemas.microsoft.com/office/drawing/2014/main" id="{0D7BE0DD-019A-4470-99DA-90249F342F43}"/>
            </a:ext>
          </a:extLst>
        </xdr:cNvPr>
        <xdr:cNvSpPr>
          <a:spLocks noChangeAspect="1" noChangeArrowheads="1"/>
        </xdr:cNvSpPr>
      </xdr:nvSpPr>
      <xdr:spPr bwMode="auto">
        <a:xfrm>
          <a:off x="4419600" y="3782568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4094"/>
    <xdr:sp macro="" textlink="">
      <xdr:nvSpPr>
        <xdr:cNvPr id="22" name="AutoShape 12">
          <a:extLst>
            <a:ext uri="{FF2B5EF4-FFF2-40B4-BE49-F238E27FC236}">
              <a16:creationId xmlns:a16="http://schemas.microsoft.com/office/drawing/2014/main" id="{01D1C5B6-92F4-461A-8267-4E0BE065B3A0}"/>
            </a:ext>
          </a:extLst>
        </xdr:cNvPr>
        <xdr:cNvSpPr>
          <a:spLocks noChangeAspect="1" noChangeArrowheads="1"/>
        </xdr:cNvSpPr>
      </xdr:nvSpPr>
      <xdr:spPr bwMode="auto">
        <a:xfrm>
          <a:off x="4419600" y="376428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4094"/>
    <xdr:sp macro="" textlink="">
      <xdr:nvSpPr>
        <xdr:cNvPr id="23" name="AutoShape 12">
          <a:extLst>
            <a:ext uri="{FF2B5EF4-FFF2-40B4-BE49-F238E27FC236}">
              <a16:creationId xmlns:a16="http://schemas.microsoft.com/office/drawing/2014/main" id="{DD8FC8FC-960F-400C-84B0-BF5BBAC619B0}"/>
            </a:ext>
          </a:extLst>
        </xdr:cNvPr>
        <xdr:cNvSpPr>
          <a:spLocks noChangeAspect="1" noChangeArrowheads="1"/>
        </xdr:cNvSpPr>
      </xdr:nvSpPr>
      <xdr:spPr bwMode="auto">
        <a:xfrm>
          <a:off x="4419600" y="376428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24" name="AutoShape 12">
          <a:extLst>
            <a:ext uri="{FF2B5EF4-FFF2-40B4-BE49-F238E27FC236}">
              <a16:creationId xmlns:a16="http://schemas.microsoft.com/office/drawing/2014/main" id="{A10F74AA-498A-42D7-A972-AC3A6FDAFB55}"/>
            </a:ext>
          </a:extLst>
        </xdr:cNvPr>
        <xdr:cNvSpPr>
          <a:spLocks noChangeAspect="1" noChangeArrowheads="1"/>
        </xdr:cNvSpPr>
      </xdr:nvSpPr>
      <xdr:spPr bwMode="auto">
        <a:xfrm>
          <a:off x="4419600" y="3782568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4094"/>
    <xdr:sp macro="" textlink="">
      <xdr:nvSpPr>
        <xdr:cNvPr id="25" name="AutoShape 12">
          <a:extLst>
            <a:ext uri="{FF2B5EF4-FFF2-40B4-BE49-F238E27FC236}">
              <a16:creationId xmlns:a16="http://schemas.microsoft.com/office/drawing/2014/main" id="{25562C80-E7C6-4C2C-9518-0E56A070B4C1}"/>
            </a:ext>
          </a:extLst>
        </xdr:cNvPr>
        <xdr:cNvSpPr>
          <a:spLocks noChangeAspect="1" noChangeArrowheads="1"/>
        </xdr:cNvSpPr>
      </xdr:nvSpPr>
      <xdr:spPr bwMode="auto">
        <a:xfrm>
          <a:off x="4419600" y="376428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26" name="AutoShape 12">
          <a:extLst>
            <a:ext uri="{FF2B5EF4-FFF2-40B4-BE49-F238E27FC236}">
              <a16:creationId xmlns:a16="http://schemas.microsoft.com/office/drawing/2014/main" id="{A6F6896C-8F16-4D31-9B3E-53532F7F5661}"/>
            </a:ext>
          </a:extLst>
        </xdr:cNvPr>
        <xdr:cNvSpPr>
          <a:spLocks noChangeAspect="1" noChangeArrowheads="1"/>
        </xdr:cNvSpPr>
      </xdr:nvSpPr>
      <xdr:spPr bwMode="auto">
        <a:xfrm>
          <a:off x="4419600" y="3782568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27" name="AutoShape 12">
          <a:extLst>
            <a:ext uri="{FF2B5EF4-FFF2-40B4-BE49-F238E27FC236}">
              <a16:creationId xmlns:a16="http://schemas.microsoft.com/office/drawing/2014/main" id="{453D48ED-F0A4-4CEB-ACFF-2CC9DE8F2456}"/>
            </a:ext>
          </a:extLst>
        </xdr:cNvPr>
        <xdr:cNvSpPr>
          <a:spLocks noChangeAspect="1" noChangeArrowheads="1"/>
        </xdr:cNvSpPr>
      </xdr:nvSpPr>
      <xdr:spPr bwMode="auto">
        <a:xfrm>
          <a:off x="4419600" y="3782568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28" name="AutoShape 12">
          <a:extLst>
            <a:ext uri="{FF2B5EF4-FFF2-40B4-BE49-F238E27FC236}">
              <a16:creationId xmlns:a16="http://schemas.microsoft.com/office/drawing/2014/main" id="{6B1C49CA-8752-41FB-A70A-97392791C0F9}"/>
            </a:ext>
          </a:extLst>
        </xdr:cNvPr>
        <xdr:cNvSpPr>
          <a:spLocks noChangeAspect="1" noChangeArrowheads="1"/>
        </xdr:cNvSpPr>
      </xdr:nvSpPr>
      <xdr:spPr bwMode="auto">
        <a:xfrm>
          <a:off x="4419600" y="3782568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4094"/>
    <xdr:sp macro="" textlink="">
      <xdr:nvSpPr>
        <xdr:cNvPr id="29" name="AutoShape 12">
          <a:extLst>
            <a:ext uri="{FF2B5EF4-FFF2-40B4-BE49-F238E27FC236}">
              <a16:creationId xmlns:a16="http://schemas.microsoft.com/office/drawing/2014/main" id="{B893A19C-3456-4060-9020-9FE54F41D865}"/>
            </a:ext>
          </a:extLst>
        </xdr:cNvPr>
        <xdr:cNvSpPr>
          <a:spLocks noChangeAspect="1" noChangeArrowheads="1"/>
        </xdr:cNvSpPr>
      </xdr:nvSpPr>
      <xdr:spPr bwMode="auto">
        <a:xfrm>
          <a:off x="4419600" y="376428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4094"/>
    <xdr:sp macro="" textlink="">
      <xdr:nvSpPr>
        <xdr:cNvPr id="30" name="AutoShape 12">
          <a:extLst>
            <a:ext uri="{FF2B5EF4-FFF2-40B4-BE49-F238E27FC236}">
              <a16:creationId xmlns:a16="http://schemas.microsoft.com/office/drawing/2014/main" id="{FD78F6FA-1C9C-44F9-ABBE-93D6A23912CB}"/>
            </a:ext>
          </a:extLst>
        </xdr:cNvPr>
        <xdr:cNvSpPr>
          <a:spLocks noChangeAspect="1" noChangeArrowheads="1"/>
        </xdr:cNvSpPr>
      </xdr:nvSpPr>
      <xdr:spPr bwMode="auto">
        <a:xfrm>
          <a:off x="4419600" y="376428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31" name="AutoShape 12">
          <a:extLst>
            <a:ext uri="{FF2B5EF4-FFF2-40B4-BE49-F238E27FC236}">
              <a16:creationId xmlns:a16="http://schemas.microsoft.com/office/drawing/2014/main" id="{5EFEA9B3-ACFD-4CE2-823E-42451490BC2D}"/>
            </a:ext>
          </a:extLst>
        </xdr:cNvPr>
        <xdr:cNvSpPr>
          <a:spLocks noChangeAspect="1" noChangeArrowheads="1"/>
        </xdr:cNvSpPr>
      </xdr:nvSpPr>
      <xdr:spPr bwMode="auto">
        <a:xfrm>
          <a:off x="4419600" y="3782568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4094"/>
    <xdr:sp macro="" textlink="">
      <xdr:nvSpPr>
        <xdr:cNvPr id="32" name="AutoShape 12">
          <a:extLst>
            <a:ext uri="{FF2B5EF4-FFF2-40B4-BE49-F238E27FC236}">
              <a16:creationId xmlns:a16="http://schemas.microsoft.com/office/drawing/2014/main" id="{2712E4D3-9E49-4559-8A75-8290917471D9}"/>
            </a:ext>
          </a:extLst>
        </xdr:cNvPr>
        <xdr:cNvSpPr>
          <a:spLocks noChangeAspect="1" noChangeArrowheads="1"/>
        </xdr:cNvSpPr>
      </xdr:nvSpPr>
      <xdr:spPr bwMode="auto">
        <a:xfrm>
          <a:off x="4419600" y="376428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33" name="AutoShape 12">
          <a:extLst>
            <a:ext uri="{FF2B5EF4-FFF2-40B4-BE49-F238E27FC236}">
              <a16:creationId xmlns:a16="http://schemas.microsoft.com/office/drawing/2014/main" id="{47B91F42-C205-4083-A0E8-4E0B7D5F7EF9}"/>
            </a:ext>
          </a:extLst>
        </xdr:cNvPr>
        <xdr:cNvSpPr>
          <a:spLocks noChangeAspect="1" noChangeArrowheads="1"/>
        </xdr:cNvSpPr>
      </xdr:nvSpPr>
      <xdr:spPr bwMode="auto">
        <a:xfrm>
          <a:off x="4419600" y="3782568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34" name="AutoShape 12">
          <a:extLst>
            <a:ext uri="{FF2B5EF4-FFF2-40B4-BE49-F238E27FC236}">
              <a16:creationId xmlns:a16="http://schemas.microsoft.com/office/drawing/2014/main" id="{1CAF7C0F-B540-4DB0-9E69-3B4C813A8023}"/>
            </a:ext>
          </a:extLst>
        </xdr:cNvPr>
        <xdr:cNvSpPr>
          <a:spLocks noChangeAspect="1" noChangeArrowheads="1"/>
        </xdr:cNvSpPr>
      </xdr:nvSpPr>
      <xdr:spPr bwMode="auto">
        <a:xfrm>
          <a:off x="4419600" y="3782568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0</xdr:row>
      <xdr:rowOff>0</xdr:rowOff>
    </xdr:from>
    <xdr:ext cx="304800" cy="304094"/>
    <xdr:sp macro="" textlink="">
      <xdr:nvSpPr>
        <xdr:cNvPr id="35" name="AutoShape 12">
          <a:extLst>
            <a:ext uri="{FF2B5EF4-FFF2-40B4-BE49-F238E27FC236}">
              <a16:creationId xmlns:a16="http://schemas.microsoft.com/office/drawing/2014/main" id="{E83A961D-6D35-415F-BD55-7FCDB1CA5B68}"/>
            </a:ext>
          </a:extLst>
        </xdr:cNvPr>
        <xdr:cNvSpPr>
          <a:spLocks noChangeAspect="1" noChangeArrowheads="1"/>
        </xdr:cNvSpPr>
      </xdr:nvSpPr>
      <xdr:spPr bwMode="auto">
        <a:xfrm>
          <a:off x="4419600" y="3764280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36" name="AutoShape 12">
          <a:extLst>
            <a:ext uri="{FF2B5EF4-FFF2-40B4-BE49-F238E27FC236}">
              <a16:creationId xmlns:a16="http://schemas.microsoft.com/office/drawing/2014/main" id="{445E7560-9E45-49C8-A81D-5791540B6443}"/>
            </a:ext>
          </a:extLst>
        </xdr:cNvPr>
        <xdr:cNvSpPr>
          <a:spLocks noChangeAspect="1" noChangeArrowheads="1"/>
        </xdr:cNvSpPr>
      </xdr:nvSpPr>
      <xdr:spPr bwMode="auto">
        <a:xfrm>
          <a:off x="4419600" y="3782568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37" name="AutoShape 12">
          <a:extLst>
            <a:ext uri="{FF2B5EF4-FFF2-40B4-BE49-F238E27FC236}">
              <a16:creationId xmlns:a16="http://schemas.microsoft.com/office/drawing/2014/main" id="{D66DCF1C-8B27-471A-9255-47785704AE18}"/>
            </a:ext>
          </a:extLst>
        </xdr:cNvPr>
        <xdr:cNvSpPr>
          <a:spLocks noChangeAspect="1" noChangeArrowheads="1"/>
        </xdr:cNvSpPr>
      </xdr:nvSpPr>
      <xdr:spPr bwMode="auto">
        <a:xfrm>
          <a:off x="4419600" y="3782568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304094"/>
    <xdr:sp macro="" textlink="">
      <xdr:nvSpPr>
        <xdr:cNvPr id="38" name="AutoShape 12">
          <a:extLst>
            <a:ext uri="{FF2B5EF4-FFF2-40B4-BE49-F238E27FC236}">
              <a16:creationId xmlns:a16="http://schemas.microsoft.com/office/drawing/2014/main" id="{E1AA81ED-9BE5-4605-89F0-CCE894993970}"/>
            </a:ext>
          </a:extLst>
        </xdr:cNvPr>
        <xdr:cNvSpPr>
          <a:spLocks noChangeAspect="1" noChangeArrowheads="1"/>
        </xdr:cNvSpPr>
      </xdr:nvSpPr>
      <xdr:spPr bwMode="auto">
        <a:xfrm>
          <a:off x="4419600" y="37825680"/>
          <a:ext cx="304800" cy="304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T-ND" refreshedDate="45962.548210532404" createdVersion="8" refreshedVersion="8" minRefreshableVersion="3" recordCount="1536" xr:uid="{2C4F7AB5-7848-4C4E-8CC1-A53DE5E1AAB8}">
  <cacheSource type="worksheet">
    <worksheetSource ref="A2:V1048576" sheet="Outward MIS"/>
  </cacheSource>
  <cacheFields count="24">
    <cacheField name="Sr. No." numFmtId="0">
      <sharedItems containsString="0" containsBlank="1" containsNumber="1" containsInteger="1" minValue="1" maxValue="1187"/>
    </cacheField>
    <cacheField name="Out. No." numFmtId="0">
      <sharedItems containsBlank="1" containsMixedTypes="1" containsNumber="1" containsInteger="1" minValue="22" maxValue="179"/>
    </cacheField>
    <cacheField name="Type" numFmtId="0">
      <sharedItems containsBlank="1"/>
    </cacheField>
    <cacheField name="PSO No." numFmtId="0">
      <sharedItems containsBlank="1"/>
    </cacheField>
    <cacheField name="PSO Date" numFmtId="0">
      <sharedItems containsDate="1" containsBlank="1" containsMixedTypes="1" minDate="2025-01-01T00:00:00" maxDate="2025-11-01T00:00:00"/>
    </cacheField>
    <cacheField name="Party Name" numFmtId="0">
      <sharedItems containsBlank="1" count="54">
        <s v="SPARIO PRIVATE LIMITED        -NANGLI PUNA"/>
        <s v="RAJSHREE INNOVATIONS PRIVATE LIMITED -KANPUR"/>
        <s v="SHERRY FOOTWEAR               -GHAZIABAD"/>
        <s v="ARJAN SALES CORPORATION       -CHNADIGARH"/>
        <s v="KUKREJA TRADERS-NEW           -LUDHIANA"/>
        <s v="SANJANA FOOTWEAR              -SAHARANPUR"/>
        <s v="VEDA ASSOCIATES               -HYDERABAD"/>
        <s v="J K ENTERPRISES               -DELHI"/>
        <s v="SHIVA TRADERS-HIMACHAL PRADESH -SOLAN"/>
        <s v="VILIP INC                     -AGRA"/>
        <s v="AURORA RUBBERS NEW            -PATIALA"/>
        <s v="RUDRA TRADING COMPANY         -DELHI"/>
        <s v="SHREEJI SALES                 -GUJARAT"/>
        <s v="M.K. TRADERS                  -JAIPUR"/>
        <s v="PANKAJ SIR"/>
        <s v="MITTAL TRADERS                -ABMALA"/>
        <s v="SHRI SHYAM JEE TRADERS        -SONIPAT"/>
        <s v="VENUS CORPORATION             -MAHSANA"/>
        <s v="EQBAL BOOT HOUSE              -PALAMU"/>
        <s v="R.C. SETIA &amp; SONS             -HANUMANGARH"/>
        <s v="DEE EMM TRADING CO.           -HISAR"/>
        <s v="DELHI BOOT HOUSE              -KARNAL"/>
        <s v="BMR TRADING CO.               -FARIDABAD"/>
        <s v="AMAN SHOES AND APPARELS       -JAMMU"/>
        <s v="FA TRADE LINK                 -BAREILLY"/>
        <s v="MAHESH SHOE COMPANY           -BHIWANI"/>
        <s v="VIJAY SHOE COMPANY            -CHENNAI"/>
        <s v="SAIFY SALES                   -BHOPAL"/>
        <s v="ROHAN TRADERS                 -MAZGAON"/>
        <s v="NETRASHA ENTERPRISES          -GWALIOR"/>
        <s v="SHUBH AGENCIES                -JODHPUR"/>
        <s v="ZAPPOS TRADERS                -SRINAGAR"/>
        <s v="SAUDAGAR SHOE MART            -PATNA"/>
        <s v="TEJAM LEATHERS                -PUNE"/>
        <s v="FLYING FEET                   -UDAIPUR"/>
        <s v="NAMIT ENTERPRISES             -DELHI"/>
        <s v="MILAAP TRADING COMPANY        -BOKARO"/>
        <s v="S H PATEL AND CO              -LATUR"/>
        <s v="BHUSHAN SHOES                 -NAGPUR"/>
        <s v="MNS MARKETING                 -CHENNAI"/>
        <s v="VOGUE FASHION INC             -BENGALURU URBAN"/>
        <s v="K.K.ENTERPRISES               -NANITAL"/>
        <s v="PRAKASH ENTERPRISES/PRAKASH AGENCY -MUMBAI"/>
        <s v="SUN SHINE TRADING -ERNAKULAM"/>
        <s v="R MARKETTING                  -KANPUR NAGAR"/>
        <s v="SHREE SHOE MART               -JODHPUR"/>
        <s v="AVANEESH BUSINESS PRIVATE LIMITED -GUWAHATI"/>
        <s v="SHREE DATTA AGENCY-MAHARASHTRA"/>
        <s v="EXCEL INTERNATIONAL"/>
        <s v="SHIV SALES  SAHARANPUR"/>
        <s v="FROSCH  VENTURES PVT LTF  -BAHADURGARH"/>
        <s v="VARDHMAN SHOE COMPANY         -JODHPUR"/>
        <s v="CHANDRA ENTERPRISES"/>
        <m/>
      </sharedItems>
    </cacheField>
    <cacheField name="Invoice No." numFmtId="0">
      <sharedItems containsBlank="1"/>
    </cacheField>
    <cacheField name=" INVOICE GROSS TOTAL VALUE" numFmtId="0">
      <sharedItems containsBlank="1" containsMixedTypes="1" containsNumber="1" minValue="1691" maxValue="23244978" count="1175">
        <m/>
        <n v="731149.8"/>
        <n v="803913.5"/>
        <n v="668251.86"/>
        <n v="652821"/>
        <n v="572346.5"/>
        <n v="574475.19999999995"/>
        <n v="326638.59999999998"/>
        <n v="638533"/>
        <n v="145509.20000000001"/>
        <n v="14747.04"/>
        <n v="209231.4"/>
        <n v="690922.3"/>
        <n v="702087.5"/>
        <n v="151749.20000000001"/>
        <n v="257843.20000000001"/>
        <n v="114633.60000000001"/>
        <n v="159140.4"/>
        <n v="46313.7"/>
        <n v="418719.04"/>
        <n v="237313.7"/>
        <n v="81723.360000000001"/>
        <n v="165711.84"/>
        <n v="120544.8"/>
        <n v="767176.68"/>
        <n v="358352.7"/>
        <n v="61618.28"/>
        <n v="199539.5"/>
        <n v="207488.56"/>
        <n v="364000.96"/>
        <n v="424044.79999999999"/>
        <n v="349976.2"/>
        <n v="11035.68"/>
        <n v="155064.98000000001"/>
        <n v="42041.599999999999"/>
        <n v="291213.88"/>
        <n v="359991.2"/>
        <n v="346692.9"/>
        <n v="240105.7"/>
        <n v="398260.7"/>
        <n v="125306.6"/>
        <n v="239941.6"/>
        <n v="492758.16"/>
        <n v="207585.6"/>
        <n v="663165.5"/>
        <n v="1233076.68"/>
        <n v="1696180.02"/>
        <n v="547323.31000000006"/>
        <n v="66607.199999999997"/>
        <n v="36867.360000000001"/>
        <n v="231826.84"/>
        <n v="231568.5"/>
        <n v="468386.1"/>
        <n v="612480"/>
        <n v="100838.2"/>
        <n v="327636.71999999997"/>
        <n v="149548.84"/>
        <n v="277680.21999999997"/>
        <n v="85891.72"/>
        <n v="124781.54"/>
        <n v="55838.6"/>
        <n v="89504.9"/>
        <n v="525654"/>
        <n v="209030.64"/>
        <n v="529726.97"/>
        <n v="62853.36"/>
        <n v="22132.799999999999"/>
        <n v="115575.6"/>
        <n v="12285.12"/>
        <n v="59976.05"/>
        <n v="630053.04"/>
        <n v="54062.78"/>
        <n v="150334.46"/>
        <n v="519745.3"/>
        <n v="27589.200000000001"/>
        <n v="118899.1"/>
        <n v="78055.199999999997"/>
        <n v="185412"/>
        <n v="256918.26"/>
        <n v="71438.899999999994"/>
        <n v="99584.46"/>
        <n v="126849.96"/>
        <n v="319003.44"/>
        <n v="44265.599999999999"/>
        <n v="729248.71"/>
        <n v="36251.760000000002"/>
        <n v="88518.48"/>
        <n v="50580.2"/>
        <n v="83594.64"/>
        <n v="445389.04"/>
        <n v="761941.14"/>
        <n v="647242.30000000005"/>
        <n v="234387.39"/>
        <n v="55080.66"/>
        <n v="284738.21999999997"/>
        <n v="228800.98"/>
        <n v="113841.78"/>
        <n v="445553.4"/>
        <n v="273669.43"/>
        <n v="311457.95"/>
        <n v="734335.62"/>
        <n v="415728.1"/>
        <n v="617674.69999999995"/>
        <n v="131844.12"/>
        <n v="278528.28999999998"/>
        <n v="531123.36"/>
        <n v="743147.72"/>
        <n v="698704.24"/>
        <n v="32680.9"/>
        <n v="82933.399999999994"/>
        <n v="87699.6"/>
        <n v="122216.68"/>
        <n v="75707.8"/>
        <n v="547899.07999999996"/>
        <n v="33199.199999999997"/>
        <n v="122973.6"/>
        <n v="226829.76"/>
        <n v="68244.72"/>
        <n v="106945.92"/>
        <n v="71788.800000000003"/>
        <n v="52980.480000000003"/>
        <n v="132104.35999999999"/>
        <n v="53046.3"/>
        <n v="24089.759999999998"/>
        <n v="59012.639999999999"/>
        <n v="167528.04"/>
        <n v="73784.160000000003"/>
        <n v="191525.38"/>
        <n v="120379.2"/>
        <n v="65887.88"/>
        <n v="327142.8"/>
        <n v="49004.26"/>
        <n v="46212.06"/>
        <n v="159826.68"/>
        <n v="347242.36"/>
        <n v="573530.41"/>
        <n v="61425.599999999999"/>
        <n v="49140.480000000003"/>
        <n v="138311.28"/>
        <n v="481363.20000000001"/>
        <n v="61456.32"/>
        <n v="497862"/>
        <n v="36855.360000000001"/>
        <n v="29502.720000000001"/>
        <n v="98342.399999999994"/>
        <n v="76209.119999999995"/>
        <n v="93369.36"/>
        <n v="103376.16"/>
        <n v="12297.36"/>
        <n v="70091.039999999994"/>
        <n v="65155.199999999997"/>
        <n v="51626.879999999997"/>
        <n v="95879.52"/>
        <n v="49189.440000000002"/>
        <n v="215087.76"/>
        <n v="24570.240000000002"/>
        <n v="51626.400000000001"/>
        <n v="148757.51999999999"/>
        <n v="199727.28"/>
        <n v="269963.52000000002"/>
        <n v="46099.199999999997"/>
        <n v="319386.23999999999"/>
        <n v="198971.04"/>
        <n v="290131.68"/>
        <n v="466769.28"/>
        <n v="11066.4"/>
        <n v="95898.72"/>
        <n v="482436"/>
        <n v="3035479"/>
        <n v="133333.20000000001"/>
        <n v="259152.7"/>
        <n v="577265.5"/>
        <n v="229642"/>
        <n v="213364"/>
        <n v="417799.8"/>
        <n v="3794550"/>
        <n v="2943630"/>
        <n v="339793"/>
        <n v="160456"/>
        <n v="108063.4"/>
        <n v="123638.39999999999"/>
        <n v="37482.720000000001"/>
        <n v="567587.44999999995"/>
        <n v="445882"/>
        <n v="3477570"/>
        <n v="216970"/>
        <n v="491940"/>
        <n v="2709650"/>
        <n v="1545810"/>
        <n v="191326.5"/>
        <n v="103464.4"/>
        <n v="739558.2"/>
        <n v="313706.17"/>
        <n v="28272.959999999999"/>
        <n v="55922.400000000001"/>
        <n v="324026.09999999998"/>
        <n v="63308.4"/>
        <n v="427255.24"/>
        <n v="188682.23999999999"/>
        <n v="406926.9"/>
        <n v="366425.28"/>
        <n v="76530.600000000006"/>
        <n v="152583.54"/>
        <n v="410695.52"/>
        <n v="59628"/>
        <n v="314062.56"/>
        <n v="202196.28"/>
        <n v="7988.88"/>
        <n v="108786.48"/>
        <n v="50395.68"/>
        <n v="306509.76"/>
        <n v="135824.88"/>
        <n v="319632.96000000002"/>
        <n v="382653"/>
        <n v="458263.82"/>
        <n v="176054.8"/>
        <n v="402477.43"/>
        <n v="36892.080000000002"/>
        <n v="75002.399999999994"/>
        <n v="58434"/>
        <n v="52266.720000000001"/>
        <n v="615538.80000000005"/>
        <n v="48302.64"/>
        <n v="235636.97"/>
        <n v="5533.2"/>
        <n v="10450.799999999999"/>
        <n v="453273"/>
        <n v="33186.720000000001"/>
        <n v="6142.56"/>
        <n v="298482.74"/>
        <n v="673638.73"/>
        <n v="520616.25"/>
        <n v="316204.36"/>
        <n v="82978.8"/>
        <n v="526791"/>
        <n v="243438.81"/>
        <n v="105331"/>
        <n v="38593.94"/>
        <n v="332432.08"/>
        <n v="8408.32"/>
        <n v="565540"/>
        <n v="33107.040000000001"/>
        <n v="104778.4"/>
        <n v="194267.51999999999"/>
        <n v="304730"/>
        <n v="195485.04"/>
        <n v="435423"/>
        <n v="2384256.4"/>
        <n v="109647"/>
        <n v="380186.8"/>
        <n v="373092.36"/>
        <n v="35406.28"/>
        <n v="103096"/>
        <n v="478892.7"/>
        <n v="93771.9"/>
        <n v="19670.88"/>
        <n v="529919.52"/>
        <n v="41995"/>
        <n v="78670.8"/>
        <n v="39944.400000000001"/>
        <n v="28644.48"/>
        <n v="449101.62"/>
        <n v="253296.24"/>
        <n v="332017.2"/>
        <n v="719797.2"/>
        <n v="240398.07999999999"/>
        <n v="431431.2"/>
        <n v="284773.40000000002"/>
        <n v="175325.94"/>
        <n v="67170.100000000006"/>
        <n v="164758.68"/>
        <n v="97233.36"/>
        <n v="121717.68"/>
        <n v="90968.16"/>
        <n v="102643.2"/>
        <n v="18439.68"/>
        <n v="50777.04"/>
        <n v="68835.839999999997"/>
        <n v="9219.84"/>
        <n v="20655.599999999999"/>
        <n v="35033.040000000001"/>
        <n v="69845.039999999994"/>
        <n v="304773.84000000003"/>
        <n v="15977.76"/>
        <n v="10770.96"/>
        <n v="111636.48"/>
        <n v="253861.68"/>
        <n v="45360.480000000003"/>
        <n v="140366.67000000001"/>
        <n v="59452"/>
        <n v="245750.91"/>
        <n v="324303.24"/>
        <n v="95910.6"/>
        <n v="90598.56"/>
        <n v="220713.60000000001"/>
        <n v="251271.5"/>
        <n v="53867.5"/>
        <n v="92789.9"/>
        <n v="60476.88"/>
        <n v="319560"/>
        <n v="402316.05"/>
        <n v="36867.599999999999"/>
        <n v="410638.08000000002"/>
        <n v="44241.120000000003"/>
        <n v="119560.8"/>
        <n v="58988.160000000003"/>
        <n v="140760.72"/>
        <n v="74990.64"/>
        <n v="83582.880000000005"/>
        <n v="277213.2"/>
        <n v="120561.39"/>
        <n v="335622.24"/>
        <n v="230737.2"/>
        <n v="188719.2"/>
        <n v="265067.2"/>
        <n v="234449.74"/>
        <n v="134224.32000000001"/>
        <n v="88555.68"/>
        <n v="55934.879999999997"/>
        <n v="49177.2"/>
        <n v="330120.24"/>
        <n v="344540.15999999997"/>
        <n v="55319.040000000001"/>
        <n v="152257.68"/>
        <n v="224663"/>
        <n v="598335.91"/>
        <n v="210589.54"/>
        <n v="82363.92"/>
        <n v="93427.68"/>
        <n v="60821.279999999999"/>
        <n v="46690.559999999998"/>
        <n v="159753.35999999999"/>
        <n v="483650.4"/>
        <n v="351575.76"/>
        <n v="273019.32"/>
        <n v="31352.639999999999"/>
        <n v="47330.400000000001"/>
        <n v="61092.9"/>
        <n v="188897.38"/>
        <n v="36458.699999999997"/>
        <n v="135861.35999999999"/>
        <n v="568236.30000000005"/>
        <n v="441115.44"/>
        <n v="142546.32"/>
        <n v="70657.2"/>
        <n v="117396.48"/>
        <n v="31531.200000000001"/>
        <n v="37444.1"/>
        <n v="523240.7"/>
        <n v="470821.02"/>
        <n v="700985"/>
        <n v="528820"/>
        <n v="527177"/>
        <n v="906561.5"/>
        <n v="763680"/>
        <n v="718512.5"/>
        <n v="574811"/>
        <n v="529649.5"/>
        <n v="585811.30000000005"/>
        <n v="483168"/>
        <n v="483152.6"/>
        <n v="525043.4"/>
        <n v="562490.5"/>
        <n v="296439"/>
        <n v="314335.2"/>
        <n v="398755.1"/>
        <n v="272952.5"/>
        <n v="619480.80000000005"/>
        <n v="387423.6"/>
        <n v="146002"/>
        <n v="250617.9"/>
        <n v="111841.1"/>
        <n v="516507.7"/>
        <n v="117589.8"/>
        <n v="286910.7"/>
        <n v="300873.40000000002"/>
        <n v="143209.60000000001"/>
        <n v="274327.96999999997"/>
        <n v="206598.9"/>
        <n v="303826.59999999998"/>
        <n v="149733.6"/>
        <n v="103893.12"/>
        <n v="86044.800000000003"/>
        <n v="29506.32"/>
        <n v="133990.32"/>
        <n v="24588.6"/>
        <n v="100791.12"/>
        <n v="29494.080000000002"/>
        <n v="121422.72"/>
        <n v="413048.64"/>
        <n v="108657.12"/>
        <n v="325850.15999999997"/>
        <n v="87890.64"/>
        <n v="132796.79999999999"/>
        <n v="106348.8"/>
        <n v="46702.559999999998"/>
        <n v="73771.92"/>
        <n v="448930"/>
        <n v="208704.9"/>
        <n v="643295.69999999995"/>
        <n v="85727.1"/>
        <n v="48611.5"/>
        <n v="116423.76"/>
        <n v="34417.919999999998"/>
        <n v="156738.48000000001"/>
        <n v="174576"/>
        <n v="65770.320000000007"/>
        <n v="61092.24"/>
        <n v="36386.879999999997"/>
        <n v="35648.639999999999"/>
        <n v="222052.8"/>
        <n v="30712.799999999999"/>
        <s v="-"/>
        <n v="89718.48"/>
        <n v="126616.32000000001"/>
        <n v="90333.36"/>
        <n v="100508.4"/>
        <n v="70066.320000000007"/>
        <n v="24594.720000000001"/>
        <n v="46806.3"/>
        <n v="31204.2"/>
        <n v="15602.1"/>
        <n v="187225.2"/>
        <n v="92322"/>
        <n v="82216.08"/>
        <n v="25813.439999999999"/>
        <n v="93612.6"/>
        <n v="159550.19"/>
        <n v="18427.68"/>
        <n v="62408.4"/>
        <n v="171623.1"/>
        <n v="47933.279999999999"/>
        <n v="234031.5"/>
        <n v="949900"/>
        <n v="38713.919999999998"/>
        <n v="124816.8"/>
        <n v="110613.12"/>
        <n v="1248168"/>
        <n v="86057.2"/>
        <n v="174249.86"/>
        <n v="113064.48"/>
        <n v="42400.32"/>
        <n v="230498.16"/>
        <n v="194707.44"/>
        <n v="74399.520000000004"/>
        <n v="26920.799999999999"/>
        <n v="22120.560000000001"/>
        <n v="8973.6"/>
        <n v="3686.76"/>
        <n v="7373.52"/>
        <n v="21270.959999999999"/>
        <n v="8032.32"/>
        <n v="582752.16"/>
        <n v="123539.52"/>
        <n v="124142.39999999999"/>
        <n v="84813.119999999995"/>
        <n v="203847.84"/>
        <n v="739476.72"/>
        <n v="39244"/>
        <n v="54375.360000000001"/>
        <n v="9637"/>
        <n v="28911"/>
        <n v="96507.839999999997"/>
        <n v="129054.24"/>
        <n v="384354.48"/>
        <n v="99227.520000000004"/>
        <n v="84789.36"/>
        <n v="15984.12"/>
        <n v="11817.84"/>
        <n v="49176.959999999999"/>
        <n v="495525.12"/>
        <n v="202737.6"/>
        <n v="23351.279999999999"/>
        <n v="150035.28"/>
        <n v="33179.760000000002"/>
        <n v="364440"/>
        <n v="554710.19999999995"/>
        <n v="165535.20000000001"/>
        <n v="110356.8"/>
        <n v="159803.04"/>
        <n v="234769.2"/>
        <n v="110761.92"/>
        <n v="45259.94"/>
        <n v="55178.400000000001"/>
        <n v="322383.40000000002"/>
        <n v="77249.759999999995"/>
        <n v="283424.74"/>
        <n v="55178"/>
        <n v="344653.92"/>
        <n v="66361.679999999993"/>
        <n v="9685.48"/>
        <n v="61800"/>
        <n v="77910.38"/>
        <n v="44142.720000000001"/>
        <n v="144094.26"/>
        <n v="73759.199999999997"/>
        <n v="108126.72"/>
        <n v="124400.16"/>
        <n v="42997.919999999998"/>
        <n v="210531.84"/>
        <n v="222521.04"/>
        <n v="185666.64"/>
        <n v="61972"/>
        <n v="46210.559999999998"/>
        <n v="152571.9"/>
        <n v="518156"/>
        <n v="632944.4"/>
        <n v="160788"/>
        <n v="25813.200000000001"/>
        <n v="94378.8"/>
        <n v="542773.30000000005"/>
        <n v="668316"/>
        <n v="25127"/>
        <n v="102022.08"/>
        <n v="56591.54"/>
        <n v="187980.72"/>
        <n v="88493.28"/>
        <n v="155949.84"/>
        <n v="90389.52"/>
        <n v="199472.74"/>
        <n v="44856.480000000003"/>
        <n v="74989.919999999998"/>
        <n v="469291.89"/>
        <n v="219219.18"/>
        <n v="221872.32"/>
        <n v="85079.039999999994"/>
        <n v="62704.800000000003"/>
        <n v="173067.72"/>
        <n v="311002.8"/>
        <n v="13516.08"/>
        <n v="104948.34"/>
        <n v="16442.580000000002"/>
        <n v="111984.3"/>
        <n v="713575.5"/>
        <n v="129741"/>
        <n v="607645"/>
        <n v="53210"/>
        <n v="67604.88"/>
        <n v="49613.760000000002"/>
        <n v="108478.92"/>
        <n v="82979.28"/>
        <n v="91582.56"/>
        <n v="70054.559999999998"/>
        <n v="63610"/>
        <n v="113389.8"/>
        <n v="215160.24"/>
        <n v="534037.38"/>
        <n v="60230.64"/>
        <n v="77590.86"/>
        <n v="169977.96"/>
        <n v="239742.72"/>
        <n v="96796.2"/>
        <n v="388892.8"/>
        <n v="167177.76"/>
        <n v="145834.79999999999"/>
        <n v="183675.46"/>
        <n v="147807.20000000001"/>
        <n v="812346.47"/>
        <n v="74374.8"/>
        <n v="138723.35999999999"/>
        <n v="111869.75999999999"/>
        <n v="153455.06"/>
        <n v="149118"/>
        <n v="105758.6"/>
        <n v="22071.360000000001"/>
        <n v="455623.44"/>
        <n v="82733.279999999999"/>
        <n v="121064.88"/>
        <n v="52254.48"/>
        <n v="31955.759999999998"/>
        <n v="243188.88"/>
        <n v="366783.48"/>
        <n v="90327.6"/>
        <n v="300084.96000000002"/>
        <n v="625010.04"/>
        <n v="240660.56"/>
        <n v="132104.26"/>
        <n v="237997.62"/>
        <n v="127610.7"/>
        <n v="1691"/>
        <n v="143003"/>
        <n v="100540.49"/>
        <n v="190590"/>
        <n v="78863.42"/>
        <n v="136179"/>
        <n v="127114.9"/>
        <n v="251038.94"/>
        <n v="91475.9"/>
        <n v="72161.679999999993"/>
        <n v="82606.3"/>
        <n v="164715.12"/>
        <n v="52870.080000000002"/>
        <n v="44090.1"/>
        <n v="2459.7199999999998"/>
        <n v="524058.96"/>
        <n v="141376.07999999999"/>
        <n v="7838.1"/>
        <n v="98120.16"/>
        <n v="61486.8"/>
        <n v="225972.6"/>
        <n v="124994.51"/>
        <n v="132771.35999999999"/>
        <n v="335166.96000000002"/>
        <n v="47934"/>
        <n v="138313.28"/>
        <n v="387415.6"/>
        <n v="353750.9"/>
        <n v="308506.07"/>
        <n v="61437.84"/>
        <n v="111018.5"/>
        <n v="62077.440000000002"/>
        <n v="22132"/>
        <n v="83305.56"/>
        <n v="151224"/>
        <n v="222214.44"/>
        <n v="267228.42"/>
        <n v="84451.44"/>
        <n v="15354.72"/>
        <n v="216657.18"/>
        <n v="262893.53999999998"/>
        <n v="50999.040000000001"/>
        <n v="205927.44"/>
        <n v="400324.86"/>
        <n v="241608.72"/>
        <n v="68648.5"/>
        <n v="77439.839999999997"/>
        <n v="136790.76"/>
        <n v="88531.199999999997"/>
        <n v="92814.24"/>
        <n v="80505.119999999995"/>
        <n v="38098.32"/>
        <n v="140391.35999999999"/>
        <n v="165996"/>
        <n v="65118.48"/>
        <n v="48537.120000000003"/>
        <n v="59000.4"/>
        <n v="66067"/>
        <n v="61437.599999999999"/>
        <n v="103921.67"/>
        <n v="30813"/>
        <n v="85234.4"/>
        <n v="90364.86"/>
        <n v="81106.559999999998"/>
        <n v="20906"/>
        <n v="36879.839999999997"/>
        <n v="125580.18"/>
        <n v="76812.240000000005"/>
        <n v="638019.6"/>
        <n v="55332"/>
        <n v="432185"/>
        <n v="64539.360000000001"/>
        <n v="129227.38"/>
        <n v="96139.96"/>
        <n v="447430.56"/>
        <n v="845978.28"/>
        <n v="188037.9"/>
        <n v="156984.24"/>
        <n v="91311.7"/>
        <n v="248151"/>
        <n v="216615.2"/>
        <n v="427327"/>
        <n v="442437.9"/>
        <n v="179997"/>
        <n v="93116.7"/>
        <n v="462801.6"/>
        <n v="615865"/>
        <n v="213008.1"/>
        <n v="140170.32"/>
        <n v="370504.4"/>
        <n v="88355.199999999997"/>
        <n v="493839.8"/>
        <n v="470352.4"/>
        <n v="98703"/>
        <n v="263223.43"/>
        <n v="123172"/>
        <n v="126456.5"/>
        <n v="239811.6"/>
        <n v="101822.2"/>
        <n v="105037.04"/>
        <n v="140581.9"/>
        <n v="156021"/>
        <n v="109771.16"/>
        <n v="102968.7"/>
        <n v="675306.1"/>
        <n v="273538.68"/>
        <n v="110688.48"/>
        <n v="282929.46000000002"/>
        <n v="72861.119999999995"/>
        <n v="201671.8"/>
        <n v="521758.1"/>
        <n v="109420.8"/>
        <n v="371523.72"/>
        <n v="391242.12"/>
        <n v="137032.39000000001"/>
        <n v="463540.86"/>
        <n v="77088.56"/>
        <n v="345502.84"/>
        <n v="149279.20000000001"/>
        <n v="100421.52"/>
        <n v="351994.36"/>
        <n v="279700.08"/>
        <n v="103464.66"/>
        <n v="52552"/>
        <n v="575910"/>
        <n v="66214.080000000002"/>
        <n v="107732"/>
        <n v="65868.960000000006"/>
        <n v="111241.44"/>
        <n v="402095.04"/>
        <n v="115839.72"/>
        <n v="18439.919999999998"/>
        <n v="93430.56"/>
        <n v="54076.56"/>
        <n v="140158.07999999999"/>
        <n v="56295.62"/>
        <n v="286741.7"/>
        <n v="83756.2"/>
        <n v="151584.70000000001"/>
        <n v="95089.5"/>
        <n v="151254.9"/>
        <n v="109706.2"/>
        <n v="659743.78"/>
        <n v="221218.8"/>
        <n v="761697.3"/>
        <n v="122021.6"/>
        <n v="150435.1"/>
        <n v="121366.2"/>
        <n v="9196.4"/>
        <n v="62065.2"/>
        <n v="47028.6"/>
        <n v="154892.4"/>
        <n v="300103.32"/>
        <n v="66398.399999999994"/>
        <n v="49792.56"/>
        <n v="133551.98000000001"/>
        <n v="42265.599999999999"/>
        <n v="354838.8"/>
        <n v="289702"/>
        <n v="23244978"/>
        <n v="190488"/>
        <n v="344264.88"/>
        <n v="217560.48"/>
        <n v="296293.2"/>
        <n v="196067.76"/>
        <n v="32319.919999999998"/>
        <n v="57972.1"/>
        <n v="94593.600000000006"/>
        <n v="150890.72"/>
        <n v="275250.40000000002"/>
        <n v="57315.199999999997"/>
        <n v="122320.8"/>
        <n v="571330.31999999995"/>
        <n v="117571.5"/>
        <n v="95880.24"/>
        <n v="106343.03999999999"/>
        <n v="120474.96"/>
        <n v="383727.94"/>
        <n v="99783.42"/>
        <n v="209456.46"/>
        <n v="296240.82"/>
        <n v="39341.760000000002"/>
        <n v="153487.84"/>
        <n v="40464.160000000003"/>
        <n v="74623.360000000001"/>
        <n v="60437.599999999999"/>
        <n v="146093.44"/>
        <n v="179171"/>
        <n v="286735.59999999998"/>
        <n v="11335.1"/>
        <n v="3111.08"/>
        <n v="315973.92"/>
        <n v="255713.28"/>
        <n v="256951.44"/>
        <n v="298746.71999999997"/>
        <n v="187968.48"/>
        <n v="330034.56"/>
        <n v="61462.32"/>
        <n v="343979.28"/>
        <n v="344451.96"/>
        <n v="399595.68"/>
        <n v="244245.36"/>
        <n v="123552"/>
        <n v="120112.78"/>
        <n v="279860.40000000002"/>
        <n v="271715.28000000003"/>
        <n v="154862.28"/>
        <n v="110602.8"/>
        <n v="51614.64"/>
        <n v="87263.52"/>
        <n v="138890.4"/>
        <n v="144158.16"/>
        <n v="376251.48"/>
        <n v="427824"/>
        <n v="109395.6"/>
        <n v="107191.67999999999"/>
        <n v="67001.279999999999"/>
        <n v="314093.28000000003"/>
        <n v="108165.36"/>
        <n v="148725.35999999999"/>
        <n v="115526.39999999999"/>
        <n v="81145.440000000002"/>
        <n v="99806.399999999994"/>
        <n v="70542.899999999994"/>
        <n v="170562.96"/>
        <n v="62704.4"/>
        <n v="124004.34"/>
        <n v="101406.96"/>
        <n v="159175.92000000001"/>
        <n v="199926.72"/>
        <n v="174570.48"/>
        <n v="173344.32"/>
        <n v="139454.48000000001"/>
        <n v="120056.86"/>
        <n v="101430.96"/>
        <s v="Billing pending"/>
        <n v="105765.8"/>
        <n v="160290.20000000001"/>
        <n v="145180.79999999999"/>
        <n v="266023.36"/>
        <n v="190509"/>
        <n v="54524.4"/>
        <n v="165934.07999999999"/>
        <n v="336314.46"/>
        <n v="115587.84"/>
        <n v="94057.2"/>
        <n v="67568.160000000003"/>
        <n v="100840.8"/>
        <n v="50420.4"/>
        <n v="56562.96"/>
        <n v="44277.84"/>
        <n v="186873.36"/>
        <n v="108189.84"/>
        <n v="68848.08"/>
        <n v="298201.2"/>
        <n v="474095.94"/>
        <n v="25133.8"/>
        <n v="10400.64"/>
        <n v="295063.2"/>
        <n v="114048.96000000001"/>
        <n v="163029.96"/>
        <n v="721172.94"/>
        <n v="121705.92"/>
        <n v="112799.31"/>
        <n v="1050886.8799999999"/>
        <n v="272739.69"/>
        <n v="158609.82"/>
        <n v="176271.3"/>
        <n v="371340.06"/>
        <n v="180752.25"/>
        <n v="520120.66"/>
        <n v="76836.87"/>
        <n v="113728.56"/>
        <n v="113125.92"/>
        <n v="1362069.5"/>
        <n v="764330.2"/>
        <n v="151156"/>
        <n v="405497.8"/>
        <n v="286544"/>
        <n v="127170.9"/>
        <n v="357618"/>
        <n v="792039.84"/>
        <n v="1381127.1"/>
        <n v="63303.35"/>
        <n v="94655.9"/>
        <n v="443946.1"/>
        <n v="14456.31"/>
        <n v="117419.23"/>
        <n v="47327.95"/>
        <n v="383618.88"/>
        <n v="237009"/>
        <n v="40194.5"/>
        <n v="136195.5"/>
        <n v="99905.2"/>
        <n v="47649.5"/>
        <n v="13109"/>
        <n v="207319.8"/>
        <n v="12499"/>
        <n v="14939"/>
        <n v="2511418.7999999998"/>
        <n v="597962.02"/>
        <n v="137843.51999999999"/>
        <n v="55304.92"/>
        <n v="164300.6"/>
        <n v="223326.14"/>
        <n v="135370.26"/>
        <n v="680026.58"/>
        <n v="226734"/>
        <n v="1051390.6000000001"/>
        <n v="396908.18"/>
        <n v="540024.47"/>
        <n v="63064.12"/>
        <n v="981569.89"/>
        <n v="553523.85"/>
        <n v="462514.89"/>
        <n v="366264"/>
        <n v="921127.2"/>
        <n v="424653.95"/>
        <n v="176678.48"/>
        <n v="904988.65"/>
        <n v="576560.9"/>
        <n v="73607"/>
        <n v="45466.879999999997"/>
        <n v="88722.6"/>
        <n v="93430.32"/>
        <n v="710931.24"/>
        <n v="86040.92"/>
        <n v="254341.8"/>
        <n v="104835.83"/>
        <n v="138928.64000000001"/>
        <n v="377476.09"/>
        <n v="540140.76"/>
        <n v="92307.85"/>
        <n v="133399.26"/>
        <n v="1411446.99"/>
        <n v="384285.9"/>
        <n v="6940559.8499999996"/>
        <n v="613814.11"/>
        <n v="425907.74"/>
        <n v="791568.37"/>
        <n v="449583.67"/>
        <n v="248484.51"/>
        <n v="350765.24"/>
        <n v="412150.24"/>
        <n v="623644.84"/>
        <n v="160059.34"/>
        <n v="1045088.4"/>
        <n v="200509.24"/>
        <n v="260258.52"/>
        <n v="812121.1"/>
        <n v="721841.17"/>
        <n v="223078.93"/>
        <n v="260253.52"/>
        <n v="476317.97"/>
        <n v="96728.72"/>
        <n v="398064.89"/>
        <n v="388693.49"/>
        <n v="1653550.85"/>
        <n v="303238.37"/>
        <n v="724425.33"/>
        <n v="103875.59"/>
        <n v="429990.04"/>
        <n v="143794.20000000001"/>
        <n v="2434288.16"/>
        <n v="997620.42"/>
        <n v="576950.56999999995"/>
        <n v="459270"/>
        <n v="128279.86"/>
        <n v="365297.04"/>
        <n v="781514.21"/>
        <n v="203130"/>
        <n v="173895"/>
        <n v="89797.74"/>
        <n v="59122.66"/>
        <n v="275040.34999999998"/>
        <n v="582829.82999999996"/>
        <n v="271403.61"/>
        <n v="112076.49"/>
        <n v="18000"/>
        <n v="192142.95"/>
        <n v="2841494.88"/>
        <n v="417475.75"/>
        <n v="857800.75"/>
        <n v="179333.42"/>
        <n v="282171.59999999998"/>
        <n v="64047.65"/>
        <n v="512381.2"/>
        <n v="76857.179999999993"/>
        <n v="128095.3"/>
        <n v="1024762.4"/>
        <n v="80050.55"/>
        <n v="208131.43"/>
        <n v="384242.64"/>
        <n v="1152727.92"/>
        <n v="176111.21"/>
        <n v="192121.32"/>
        <n v="1040657.15"/>
        <n v="2362963.9700000002"/>
        <n v="2565352.33"/>
        <n v="328218.74"/>
        <n v="36249.120000000003"/>
        <n v="128080.88"/>
        <n v="144090.99"/>
        <n v="154398.97"/>
        <n v="96060.66"/>
        <n v="112070.77"/>
        <n v="293781.03000000003"/>
        <n v="162539.20000000001"/>
        <n v="198454.09"/>
        <n v="478217.75"/>
        <n v="233869.94"/>
        <n v="185820.82"/>
        <n v="483643.5"/>
        <n v="101565"/>
        <n v="93263.22"/>
        <n v="59178"/>
        <n v="137101"/>
        <n v="584674.85"/>
        <n v="785480.75"/>
        <n v="404033.46"/>
        <n v="485482.73"/>
        <n v="350804.91"/>
        <n v="1344677.82"/>
        <n v="183063.05"/>
        <n v="172585.18"/>
        <n v="375812.74"/>
        <n v="198384.24"/>
        <n v="264512.32"/>
        <n v="469709.96"/>
        <n v="1165833.8500000001"/>
        <n v="849196"/>
        <n v="417607.1"/>
        <n v="235869.94"/>
        <n v="990418.75"/>
        <n v="410661.32"/>
        <n v="1169314.3999999999"/>
        <n v="366792.33"/>
        <n v="151724"/>
        <n v="144752"/>
        <n v="594282.69999999995"/>
        <n v="261254.98"/>
        <n v="10571.64"/>
        <n v="812741.96"/>
        <n v="1031371.99"/>
        <n v="429716.41"/>
        <n v="678399.4"/>
        <n v="237638.59"/>
        <n v="120818.72"/>
        <n v="2765771.88"/>
        <n v="4461112.5"/>
        <n v="446050.32"/>
        <n v="399730.81"/>
        <n v="358367.27"/>
        <n v="1799338.81"/>
        <n v="427911.86"/>
        <n v="169432.22"/>
        <n v="270686.33"/>
        <n v="83495.149999999994"/>
        <n v="74831.45"/>
        <n v="1030375.6"/>
        <n v="96728.7"/>
        <n v="494925.23"/>
        <n v="303400.37"/>
        <n v="298997.59000000003"/>
        <n v="555408.35"/>
        <n v="323542.40000000002"/>
        <n v="100194.18"/>
        <n v="258877.18"/>
        <n v="352120.37"/>
        <n v="68944.75"/>
        <n v="654915.56999999995"/>
        <n v="612327.91"/>
        <n v="216461.11"/>
        <n v="213974.72"/>
        <n v="195473.93"/>
        <n v="201807.96"/>
        <n v="515187.8"/>
        <n v="386390.85"/>
        <n v="121896.95"/>
        <n v="77278.17"/>
        <n v="2550357.21"/>
        <n v="1988236.75"/>
        <n v="710498.96"/>
        <n v="734717.01"/>
        <n v="327091.40000000002"/>
        <n v="224988.36"/>
        <n v="93931.26"/>
        <n v="253543.71"/>
        <n v="84351.7"/>
        <n v="1287969.5"/>
        <n v="109962.25"/>
        <n v="250485.45"/>
        <n v="1064571"/>
        <n v="163545.70000000001"/>
        <n v="125972.36"/>
        <n v="135700.76"/>
        <n v="98127.42"/>
        <n v="20948.72"/>
        <n v="51518.78"/>
        <n v="595602.06999999995"/>
        <n v="288785.28999999998"/>
        <n v="74476.55"/>
        <n v="74446.55"/>
        <n v="55689.88"/>
        <n v="41767.410000000003"/>
        <n v="69612.350000000006"/>
        <n v="83534.820000000007"/>
        <n v="112738.81"/>
        <n v="82973.14"/>
        <n v="65154.720000000001"/>
        <n v="25801.200000000001"/>
        <n v="219550.81"/>
        <n v="65418.28"/>
        <n v="93933.35"/>
        <n v="79340.75"/>
        <n v="174330.32"/>
        <n v="107185.69"/>
        <n v="133592.24"/>
        <n v="1676284.55"/>
        <n v="400252.75"/>
        <n v="2459669.1"/>
        <n v="2055124.75"/>
        <n v="468069.7"/>
        <n v="94678.64"/>
        <n v="209477.94"/>
        <n v="101723.81"/>
        <n v="326079.56"/>
        <n v="458505.36"/>
        <n v="347946.9"/>
        <n v="442270.64"/>
        <n v="978489.26"/>
        <n v="597897.93000000005"/>
        <n v="432565.21"/>
        <n v="374100.86"/>
        <n v="851521.09"/>
        <n v="224861.77"/>
        <n v="105448.77"/>
        <n v="59174.15"/>
        <n v="118348.3"/>
        <n v="198352.91"/>
        <n v="116573.8"/>
        <n v="175038.15"/>
        <n v="174683.25"/>
        <n v="281196.71999999997"/>
        <n v="1233926.6100000001"/>
        <n v="230744.03"/>
        <n v="35504.49"/>
        <n v="71008.98"/>
        <n v="833570.46"/>
        <n v="1510493"/>
        <n v="119458.55"/>
        <n v="170437.42"/>
        <n v="137677.96"/>
        <n v="90345.15"/>
        <n v="270283.53000000003"/>
        <n v="275856"/>
        <n v="61442.04"/>
        <n v="197040"/>
        <n v="1176162"/>
        <n v="78816"/>
        <n v="75223.22"/>
        <n v="70309.72"/>
        <n v="717060.41"/>
        <n v="525115.74"/>
        <n v="1167120"/>
        <n v="118665.62"/>
        <n v="50097.09"/>
        <n v="59865.16"/>
        <n v="33398.06"/>
        <n v="438345.88"/>
        <n v="38086.080000000002"/>
        <n v="156552.1"/>
        <n v="78276.05"/>
        <n v="1180616.6499999999"/>
        <n v="103304.54"/>
        <n v="2084925"/>
        <n v="504472.7"/>
        <n v="66796.12"/>
        <n v="169640.46"/>
        <n v="82357.45"/>
        <n v="344068.2"/>
        <n v="378198"/>
        <n v="48030.33"/>
        <n v="212932.99"/>
        <n v="793198.7"/>
        <n v="80714.41"/>
        <n v="330136.83"/>
        <n v="134605.32"/>
        <n v="382048.51"/>
        <n v="447972.27"/>
        <n v="803865.8"/>
        <n v="663010.17000000004"/>
        <n v="263468.32"/>
        <n v="166780.06"/>
        <n v="492214.84"/>
        <n v="2168322"/>
      </sharedItems>
    </cacheField>
    <cacheField name="Invoice Date" numFmtId="0">
      <sharedItems containsDate="1" containsBlank="1" containsMixedTypes="1" minDate="2024-11-20T00:00:00" maxDate="2025-11-01T00:00:00"/>
    </cacheField>
    <cacheField name="MONTH" numFmtId="0">
      <sharedItems containsNonDate="0" containsDate="1" containsString="0" containsBlank="1" minDate="2025-04-25T00:00:00" maxDate="2025-10-26T00:00:00" count="8">
        <m/>
        <d v="2025-04-25T00:00:00"/>
        <d v="2025-05-25T00:00:00"/>
        <d v="2025-06-25T00:00:00"/>
        <d v="2025-07-25T00:00:00"/>
        <d v="2025-08-25T00:00:00"/>
        <d v="2025-09-25T00:00:00"/>
        <d v="2025-10-25T00:00:00"/>
      </sharedItems>
      <fieldGroup par="23"/>
    </cacheField>
    <cacheField name="Order Qty" numFmtId="0">
      <sharedItems containsBlank="1" containsMixedTypes="1" containsNumber="1" containsInteger="1" minValue="1" maxValue="3360"/>
    </cacheField>
    <cacheField name="Invoice Qty" numFmtId="0">
      <sharedItems containsBlank="1" containsMixedTypes="1" containsNumber="1" containsInteger="1" minValue="1" maxValue="3360"/>
    </cacheField>
    <cacheField name="No. Of Box" numFmtId="0">
      <sharedItems containsBlank="1" containsMixedTypes="1" containsNumber="1" containsInteger="1" minValue="1" maxValue="280"/>
    </cacheField>
    <cacheField name="Dispatched Date" numFmtId="0">
      <sharedItems containsDate="1" containsBlank="1" containsMixedTypes="1" minDate="2024-11-23T00:00:00" maxDate="2025-11-02T00:00:00"/>
    </cacheField>
    <cacheField name="To" numFmtId="0">
      <sharedItems containsBlank="1"/>
    </cacheField>
    <cacheField name="Transportes" numFmtId="0">
      <sharedItems containsBlank="1"/>
    </cacheField>
    <cacheField name="Vehicle Number" numFmtId="0">
      <sharedItems containsBlank="1"/>
    </cacheField>
    <cacheField name="Vehicle Type" numFmtId="0">
      <sharedItems containsBlank="1"/>
    </cacheField>
    <cacheField name="LR NO." numFmtId="0">
      <sharedItems containsBlank="1" containsMixedTypes="1" containsNumber="1" containsInteger="1" minValue="1550" maxValue="10234920"/>
    </cacheField>
    <cacheField name="Status" numFmtId="0">
      <sharedItems containsBlank="1"/>
    </cacheField>
    <cacheField name="REMARKS" numFmtId="0">
      <sharedItems containsBlank="1"/>
    </cacheField>
    <cacheField name="REMARKS 2" numFmtId="0">
      <sharedItems containsBlank="1"/>
    </cacheField>
    <cacheField name="Days (MONTH)" numFmtId="0" databaseField="0">
      <fieldGroup base="9">
        <rangePr groupBy="days" startDate="2025-04-25T00:00:00" endDate="2025-10-26T00:00:00"/>
        <groupItems count="368">
          <s v="&lt;4/25/2025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0/26/2025"/>
        </groupItems>
      </fieldGroup>
    </cacheField>
    <cacheField name="Months (MONTH)" numFmtId="0" databaseField="0">
      <fieldGroup base="9">
        <rangePr groupBy="months" startDate="2025-04-25T00:00:00" endDate="2025-10-26T00:00:00"/>
        <groupItems count="14">
          <s v="&lt;4/25/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0/26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36">
  <r>
    <n v="1"/>
    <s v="-"/>
    <s v="PIPO"/>
    <s v="-"/>
    <s v="-"/>
    <x v="0"/>
    <s v="Challan"/>
    <x v="0"/>
    <s v="-"/>
    <x v="0"/>
    <s v="-"/>
    <n v="5"/>
    <n v="1"/>
    <d v="2024-11-23T00:00:00"/>
    <s v="Delhi"/>
    <s v="By hand"/>
    <s v="By hand"/>
    <s v="By hand"/>
    <s v="By Hand"/>
    <s v="Dispatched"/>
    <s v="-"/>
    <m/>
  </r>
  <r>
    <n v="2"/>
    <s v="-"/>
    <s v="BIBO"/>
    <s v="-"/>
    <s v="-"/>
    <x v="1"/>
    <s v="2425/5/TI-5"/>
    <x v="0"/>
    <d v="2024-11-23T00:00:00"/>
    <x v="0"/>
    <s v="-"/>
    <n v="480"/>
    <n v="20"/>
    <d v="2024-11-24T00:00:00"/>
    <s v="Nagli Puna"/>
    <s v="Drona Logitech Pvt Ltd"/>
    <s v="HR63D2341"/>
    <s v="PICKUP"/>
    <n v="6655"/>
    <s v="Dispatched"/>
    <s v="-"/>
    <m/>
  </r>
  <r>
    <n v="3"/>
    <s v="-"/>
    <s v="BIBO"/>
    <s v="-"/>
    <s v="-"/>
    <x v="2"/>
    <s v="2425/5/TI-2"/>
    <x v="0"/>
    <d v="2024-11-22T00:00:00"/>
    <x v="0"/>
    <s v="-"/>
    <n v="12"/>
    <n v="1"/>
    <d v="2024-11-25T00:00:00"/>
    <s v="Delhi"/>
    <s v="Drona Logitech Pvt Ltd"/>
    <s v="DL01LX0952"/>
    <s v="14 FT"/>
    <n v="6656"/>
    <s v="Dispatched"/>
    <s v="-"/>
    <m/>
  </r>
  <r>
    <n v="4"/>
    <s v="-"/>
    <s v="BIBO"/>
    <s v="-"/>
    <s v="-"/>
    <x v="2"/>
    <s v="2425/5/TI-8"/>
    <x v="0"/>
    <d v="2024-11-23T00:00:00"/>
    <x v="0"/>
    <s v="-"/>
    <n v="1200"/>
    <n v="50"/>
    <d v="2024-11-25T00:00:00"/>
    <s v="Delhi"/>
    <s v="Drona Logitech Pvt Ltd"/>
    <s v="DL01LX0952"/>
    <s v="14 FT"/>
    <n v="6656"/>
    <s v="Dispatched"/>
    <s v="-"/>
    <m/>
  </r>
  <r>
    <n v="5"/>
    <s v="-"/>
    <s v="BIBO"/>
    <s v="-"/>
    <s v="-"/>
    <x v="3"/>
    <s v="2425/5/TI-4"/>
    <x v="0"/>
    <d v="2024-11-23T00:00:00"/>
    <x v="0"/>
    <s v="-"/>
    <n v="96"/>
    <n v="4"/>
    <d v="2024-11-25T00:00:00"/>
    <s v="Delhi"/>
    <s v="Drona Logitech Pvt Ltd"/>
    <s v="DL01LX0952"/>
    <s v="14 FT"/>
    <n v="6657"/>
    <s v="Dispatched"/>
    <s v="-"/>
    <m/>
  </r>
  <r>
    <n v="6"/>
    <s v="-"/>
    <s v="BIBO"/>
    <s v="-"/>
    <s v="-"/>
    <x v="4"/>
    <s v="2425/5/TI-3"/>
    <x v="0"/>
    <d v="2024-11-23T00:00:00"/>
    <x v="0"/>
    <s v="-"/>
    <n v="408"/>
    <n v="17"/>
    <d v="2024-11-25T00:00:00"/>
    <s v="Delhi"/>
    <s v="Drona Logitech Pvt Ltd"/>
    <s v="DL01LY8949"/>
    <s v="14 FT"/>
    <n v="6658"/>
    <s v="Dispatched"/>
    <s v="-"/>
    <m/>
  </r>
  <r>
    <n v="7"/>
    <s v="-"/>
    <s v="BIBO"/>
    <s v="-"/>
    <s v="-"/>
    <x v="4"/>
    <s v="2425/5/TI-1"/>
    <x v="0"/>
    <d v="2024-11-20T00:00:00"/>
    <x v="0"/>
    <s v="-"/>
    <n v="120"/>
    <n v="5"/>
    <d v="2024-11-25T00:00:00"/>
    <s v="Delhi"/>
    <s v="Drona Logitech Pvt Ltd"/>
    <s v="DL01LY8949"/>
    <s v="14 FT"/>
    <n v="6658"/>
    <s v="Dispatched"/>
    <s v="-"/>
    <m/>
  </r>
  <r>
    <n v="8"/>
    <s v="-"/>
    <s v="BIBO"/>
    <s v="-"/>
    <s v="-"/>
    <x v="5"/>
    <s v="2425/5/TI-14"/>
    <x v="0"/>
    <d v="2024-11-23T00:00:00"/>
    <x v="0"/>
    <s v="-"/>
    <n v="576"/>
    <n v="24"/>
    <d v="2024-11-25T00:00:00"/>
    <s v="Delhi"/>
    <s v="Drona Logitech Pvt Ltd"/>
    <s v="DL01LY8949"/>
    <s v="14 FT"/>
    <n v="6659"/>
    <s v="Dispatched"/>
    <s v="-"/>
    <m/>
  </r>
  <r>
    <n v="9"/>
    <s v="-"/>
    <s v="BIBO"/>
    <s v="-"/>
    <s v="-"/>
    <x v="6"/>
    <s v="2425/5/TI-6"/>
    <x v="0"/>
    <d v="2024-11-23T00:00:00"/>
    <x v="0"/>
    <s v="-"/>
    <n v="480"/>
    <n v="20"/>
    <d v="2024-11-25T00:00:00"/>
    <s v="Delhi"/>
    <s v="Drona Logitech Pvt Ltd"/>
    <s v="DL01LY8949"/>
    <s v="14 FT"/>
    <n v="6660"/>
    <s v="Dispatched"/>
    <s v="-"/>
    <m/>
  </r>
  <r>
    <n v="10"/>
    <s v="-"/>
    <s v="BIBO"/>
    <s v="-"/>
    <s v="-"/>
    <x v="7"/>
    <s v="2425/5/TI-13"/>
    <x v="0"/>
    <d v="2024-11-23T00:00:00"/>
    <x v="0"/>
    <s v="-"/>
    <n v="264"/>
    <n v="11"/>
    <d v="2024-11-25T00:00:00"/>
    <s v="Delhi"/>
    <s v="Drona Logitech Pvt Ltd"/>
    <s v="DL01LY8949"/>
    <s v="14 FT"/>
    <n v="6661"/>
    <s v="Dispatched"/>
    <s v="-"/>
    <m/>
  </r>
  <r>
    <n v="11"/>
    <s v="-"/>
    <s v="BIBO"/>
    <s v="-"/>
    <s v="-"/>
    <x v="2"/>
    <s v="2425/5/TI-9"/>
    <x v="0"/>
    <d v="2024-11-23T00:00:00"/>
    <x v="0"/>
    <s v="-"/>
    <n v="336"/>
    <n v="14"/>
    <d v="2024-11-25T00:00:00"/>
    <s v="Delhi"/>
    <s v="Drona Logitech Pvt Ltd"/>
    <s v="HR55AS7055"/>
    <s v="PICKUP"/>
    <n v="6662"/>
    <s v="Dispatched"/>
    <s v="-"/>
    <m/>
  </r>
  <r>
    <n v="12"/>
    <s v="-"/>
    <s v="BIBO"/>
    <s v="-"/>
    <s v="-"/>
    <x v="8"/>
    <s v="2425/5/TI-11"/>
    <x v="0"/>
    <d v="2024-11-23T00:00:00"/>
    <x v="0"/>
    <s v="-"/>
    <n v="228"/>
    <n v="12"/>
    <d v="2024-11-25T00:00:00"/>
    <s v="Delhi"/>
    <s v="Drona Logitech Pvt Ltd"/>
    <s v="HR55AS7055"/>
    <s v="PICKUP"/>
    <n v="6663"/>
    <s v="Dispatched"/>
    <s v="-"/>
    <m/>
  </r>
  <r>
    <n v="13"/>
    <s v="-"/>
    <s v="BIBO"/>
    <s v="-"/>
    <s v="-"/>
    <x v="9"/>
    <s v="2425/5/TI-7"/>
    <x v="0"/>
    <d v="2024-11-23T00:00:00"/>
    <x v="0"/>
    <s v="-"/>
    <n v="456"/>
    <n v="19"/>
    <d v="2024-11-26T00:00:00"/>
    <s v="Delhi"/>
    <s v="Drona Logitech Pvt Ltd"/>
    <s v="HR63D2341"/>
    <s v="PICKUP"/>
    <n v="6666"/>
    <s v="Dispatched"/>
    <s v="-"/>
    <m/>
  </r>
  <r>
    <n v="14"/>
    <s v="-"/>
    <s v="BIBO"/>
    <s v="-"/>
    <s v="-"/>
    <x v="10"/>
    <s v="2425/5/TI-12"/>
    <x v="0"/>
    <d v="2024-11-23T00:00:00"/>
    <x v="0"/>
    <s v="-"/>
    <n v="312"/>
    <n v="13"/>
    <d v="2024-11-26T00:00:00"/>
    <s v="Delhi"/>
    <s v="Drona Logitech Pvt Ltd"/>
    <s v="DL01LX0952"/>
    <s v="14 FT"/>
    <n v="6664"/>
    <s v="Dispatched"/>
    <s v="-"/>
    <m/>
  </r>
  <r>
    <n v="15"/>
    <s v="-"/>
    <s v="BIBO"/>
    <s v="-"/>
    <s v="-"/>
    <x v="11"/>
    <s v="2425/5/TI-10"/>
    <x v="0"/>
    <d v="2024-11-23T00:00:00"/>
    <x v="0"/>
    <s v="-"/>
    <n v="456"/>
    <n v="19"/>
    <d v="2024-11-26T00:00:00"/>
    <s v="Delhi"/>
    <s v="Drona Logitech Pvt Ltd"/>
    <s v="DL01LX0952"/>
    <s v="14 FT"/>
    <n v="6665"/>
    <s v="Dispatched"/>
    <s v="-"/>
    <m/>
  </r>
  <r>
    <n v="16"/>
    <s v="-"/>
    <s v="PIPO"/>
    <s v="-"/>
    <s v="-"/>
    <x v="3"/>
    <s v="2425/5/TI-18"/>
    <x v="0"/>
    <d v="2024-11-26T00:00:00"/>
    <x v="0"/>
    <s v="-"/>
    <n v="28"/>
    <n v="3"/>
    <d v="2024-11-27T00:00:00"/>
    <s v="Delhi"/>
    <s v="Drona Logitech Pvt Ltd"/>
    <s v="HR63D2341"/>
    <s v="PICKUP"/>
    <n v="6670"/>
    <s v="Dispatched"/>
    <s v="-"/>
    <m/>
  </r>
  <r>
    <n v="17"/>
    <s v="-"/>
    <s v="PIPO"/>
    <s v="-"/>
    <s v="-"/>
    <x v="10"/>
    <s v="2425/5/TI-20"/>
    <x v="0"/>
    <d v="2024-11-26T00:00:00"/>
    <x v="0"/>
    <s v="-"/>
    <n v="120"/>
    <n v="12"/>
    <d v="2024-11-27T00:00:00"/>
    <s v="Delhi"/>
    <s v="Drona Logitech Pvt Ltd"/>
    <s v="HR63D2341"/>
    <s v="PICKUP"/>
    <n v="6669"/>
    <s v="Dispatched"/>
    <s v="-"/>
    <m/>
  </r>
  <r>
    <n v="18"/>
    <s v="-"/>
    <s v="PIPO"/>
    <s v="-"/>
    <s v="-"/>
    <x v="2"/>
    <s v="2425/5/TI-19"/>
    <x v="0"/>
    <d v="2024-11-26T00:00:00"/>
    <x v="0"/>
    <s v="-"/>
    <n v="250"/>
    <n v="25"/>
    <d v="2024-11-27T00:00:00"/>
    <s v="Delhi"/>
    <s v="Drona Logitech Pvt Ltd"/>
    <s v="HR63D2341"/>
    <s v="PICKUP"/>
    <n v="6668"/>
    <s v="Dispatched"/>
    <s v="-"/>
    <m/>
  </r>
  <r>
    <n v="19"/>
    <s v="-"/>
    <s v="BIBO"/>
    <s v="-"/>
    <s v="-"/>
    <x v="12"/>
    <s v="2425/5/TI-15"/>
    <x v="0"/>
    <d v="2024-11-26T00:00:00"/>
    <x v="0"/>
    <s v="-"/>
    <n v="2280"/>
    <n v="95"/>
    <d v="2024-11-27T00:00:00"/>
    <s v="Delhi"/>
    <s v="Drona Logitech Pvt Ltd"/>
    <s v="DL01MA6889"/>
    <s v="14 FT"/>
    <n v="6667"/>
    <s v="Dispatched"/>
    <s v="-"/>
    <m/>
  </r>
  <r>
    <n v="20"/>
    <s v="-"/>
    <s v="PIPO"/>
    <s v="-"/>
    <s v="-"/>
    <x v="11"/>
    <s v="2425/5/TI-17"/>
    <x v="0"/>
    <d v="2024-11-30T00:00:00"/>
    <x v="0"/>
    <s v="-"/>
    <n v="540"/>
    <n v="54"/>
    <d v="2024-12-01T00:00:00"/>
    <s v="Delhi"/>
    <s v="Drona Logitech Pvt Ltd"/>
    <s v="DL01LX1182"/>
    <s v="14 FT"/>
    <n v="6671"/>
    <s v="Dispatched"/>
    <s v="-"/>
    <m/>
  </r>
  <r>
    <n v="21"/>
    <s v="-"/>
    <s v="PIPO"/>
    <s v="-"/>
    <s v="-"/>
    <x v="8"/>
    <s v="2425/5/TI-22"/>
    <x v="0"/>
    <d v="2024-12-01T00:00:00"/>
    <x v="0"/>
    <s v="-"/>
    <n v="31"/>
    <n v="3"/>
    <d v="2024-12-01T00:00:00"/>
    <s v="Delhi"/>
    <s v="Drona Logitech Pvt Ltd"/>
    <s v="DL01LX1182"/>
    <s v="14 FT"/>
    <n v="6673"/>
    <s v="Dispatched"/>
    <s v="-"/>
    <m/>
  </r>
  <r>
    <n v="22"/>
    <s v="-"/>
    <s v="PIPO"/>
    <s v="-"/>
    <s v="-"/>
    <x v="13"/>
    <s v="2425/5/TI-21"/>
    <x v="0"/>
    <d v="2024-12-01T00:00:00"/>
    <x v="0"/>
    <s v="-"/>
    <n v="200"/>
    <n v="20"/>
    <d v="2024-12-01T00:00:00"/>
    <s v="Delhi"/>
    <s v="Drona Logitech Pvt Ltd"/>
    <s v="DL01LX1182"/>
    <s v="14 FT"/>
    <n v="6672"/>
    <s v="Dispatched"/>
    <s v="-"/>
    <m/>
  </r>
  <r>
    <n v="23"/>
    <s v="-"/>
    <s v="PIPO"/>
    <s v="-"/>
    <s v="-"/>
    <x v="14"/>
    <s v="GPI0001"/>
    <x v="0"/>
    <s v="-"/>
    <x v="0"/>
    <s v="-"/>
    <n v="1"/>
    <n v="1"/>
    <d v="2024-12-01T00:00:00"/>
    <s v="Delhi"/>
    <s v="-"/>
    <s v="By hand"/>
    <s v="By hand"/>
    <s v="-"/>
    <s v="Dispatched"/>
    <s v="-"/>
    <m/>
  </r>
  <r>
    <n v="24"/>
    <s v="-"/>
    <s v="BIBO"/>
    <s v="-"/>
    <s v="-"/>
    <x v="15"/>
    <s v="2425/5/TI-16"/>
    <x v="0"/>
    <d v="2024-11-30T00:00:00"/>
    <x v="0"/>
    <s v="-"/>
    <n v="96"/>
    <n v="4"/>
    <d v="2024-12-01T00:00:00"/>
    <s v="Delhi"/>
    <s v="Drona Logitech Pvt Ltd"/>
    <s v="DL01LX1182"/>
    <s v="14 FT"/>
    <n v="6674"/>
    <s v="Dispatched"/>
    <s v="-"/>
    <m/>
  </r>
  <r>
    <n v="25"/>
    <s v="-"/>
    <s v="BIBO"/>
    <s v="-"/>
    <s v="-"/>
    <x v="16"/>
    <s v="2425/5/TI-23"/>
    <x v="0"/>
    <d v="2024-12-02T00:00:00"/>
    <x v="0"/>
    <s v="-"/>
    <n v="310"/>
    <n v="31"/>
    <d v="2024-12-02T00:00:00"/>
    <s v="Delhi"/>
    <s v="Drona Logitech Pvt Ltd"/>
    <s v="DL01LX1182"/>
    <s v="14 FT"/>
    <n v="6676"/>
    <s v="Dispatched"/>
    <s v="-"/>
    <m/>
  </r>
  <r>
    <n v="26"/>
    <s v="-"/>
    <s v="BIBO"/>
    <s v="-"/>
    <s v="-"/>
    <x v="13"/>
    <s v="2425/5/TI-24"/>
    <x v="0"/>
    <d v="2024-12-02T00:00:00"/>
    <x v="0"/>
    <s v="-"/>
    <n v="912"/>
    <n v="38"/>
    <d v="2024-12-02T00:00:00"/>
    <s v="Delhi"/>
    <s v="Drona Logitech Pvt Ltd"/>
    <s v="DL01LX1182"/>
    <s v="14 FT"/>
    <n v="6675"/>
    <s v="Dispatched"/>
    <s v="-"/>
    <m/>
  </r>
  <r>
    <n v="27"/>
    <s v="-"/>
    <s v="BIBO"/>
    <s v="-"/>
    <s v="-"/>
    <x v="4"/>
    <s v="2425/5/TI-25"/>
    <x v="0"/>
    <d v="2024-12-03T00:00:00"/>
    <x v="0"/>
    <s v="-"/>
    <n v="96"/>
    <n v="4"/>
    <d v="2024-12-03T00:00:00"/>
    <s v="Delhi"/>
    <s v="Drona Logitech Pvt Ltd"/>
    <s v="HR63D2341"/>
    <s v="PICKUP"/>
    <n v="6677"/>
    <s v="Dispatched"/>
    <s v="-"/>
    <m/>
  </r>
  <r>
    <n v="28"/>
    <s v="-"/>
    <s v="BIBO"/>
    <s v="-"/>
    <s v="-"/>
    <x v="13"/>
    <s v="2425/5/TI-26"/>
    <x v="0"/>
    <d v="2024-12-03T00:00:00"/>
    <x v="0"/>
    <s v="-"/>
    <n v="24"/>
    <n v="1"/>
    <d v="2024-12-03T00:00:00"/>
    <s v="Delhi"/>
    <s v="Drona Logitech Pvt Ltd"/>
    <s v="HR63D2341"/>
    <s v="PICKUP"/>
    <n v="6678"/>
    <s v="Dispatched"/>
    <s v="-"/>
    <m/>
  </r>
  <r>
    <n v="29"/>
    <s v="-"/>
    <s v="BIBO"/>
    <s v="WSO 22"/>
    <s v="-"/>
    <x v="6"/>
    <s v="2425/5/TI-28"/>
    <x v="0"/>
    <d v="2024-12-03T00:00:00"/>
    <x v="0"/>
    <s v="-"/>
    <n v="1996"/>
    <n v="83"/>
    <d v="2024-12-03T00:00:00"/>
    <s v="Delhi"/>
    <s v="Drona Logitech Pvt Ltd"/>
    <s v="DL01LX0952"/>
    <s v="14 FT"/>
    <n v="6680"/>
    <s v="Dispatched"/>
    <s v="-"/>
    <m/>
  </r>
  <r>
    <n v="30"/>
    <s v="-"/>
    <s v="BIBO"/>
    <s v="-"/>
    <s v="-"/>
    <x v="12"/>
    <s v="2425/5/TI-34"/>
    <x v="0"/>
    <d v="2024-12-04T00:00:00"/>
    <x v="0"/>
    <s v="-"/>
    <n v="240"/>
    <n v="10"/>
    <d v="2024-12-04T00:00:00"/>
    <s v="Delhi"/>
    <s v="Drona Logitech Pvt Ltd"/>
    <s v="HR63D2341"/>
    <s v="PICKUP"/>
    <n v="6685"/>
    <s v="Dispatched"/>
    <s v="-"/>
    <m/>
  </r>
  <r>
    <n v="31"/>
    <s v="-"/>
    <s v="BIBO"/>
    <s v="-"/>
    <s v="-"/>
    <x v="9"/>
    <s v="2425/5/TI-30"/>
    <x v="0"/>
    <d v="2024-12-04T00:00:00"/>
    <x v="0"/>
    <s v="-"/>
    <n v="48"/>
    <n v="2"/>
    <d v="2024-12-04T00:00:00"/>
    <s v="Delhi"/>
    <s v="Drona Logitech Pvt Ltd"/>
    <s v="HR63D2341"/>
    <s v="PICKUP"/>
    <n v="6683"/>
    <s v="Dispatched"/>
    <s v="-"/>
    <m/>
  </r>
  <r>
    <n v="32"/>
    <s v="-"/>
    <s v="BIBO"/>
    <s v="WSO 23"/>
    <s v="-"/>
    <x v="4"/>
    <s v="2425/5/TI-29"/>
    <x v="0"/>
    <d v="2024-12-04T00:00:00"/>
    <x v="0"/>
    <s v="-"/>
    <n v="168"/>
    <n v="7"/>
    <d v="2024-12-04T00:00:00"/>
    <s v="Delhi"/>
    <s v="Drona Logitech Pvt Ltd"/>
    <s v="HR63D2341"/>
    <s v="PICKUP"/>
    <n v="6681"/>
    <s v="Dispatched"/>
    <s v="-"/>
    <m/>
  </r>
  <r>
    <n v="33"/>
    <s v="-"/>
    <s v="BIBO"/>
    <s v="-"/>
    <s v="-"/>
    <x v="2"/>
    <s v="2425/5/TI-31"/>
    <x v="0"/>
    <d v="2024-12-04T00:00:00"/>
    <x v="0"/>
    <s v="-"/>
    <n v="48"/>
    <n v="2"/>
    <d v="2024-12-04T00:00:00"/>
    <s v="Delhi"/>
    <s v="Drona Logitech Pvt Ltd"/>
    <s v="HR63D2341"/>
    <s v="PICKUP"/>
    <n v="6684"/>
    <s v="Dispatched"/>
    <s v="-"/>
    <m/>
  </r>
  <r>
    <n v="34"/>
    <s v="-"/>
    <s v="BIBO"/>
    <s v="-"/>
    <s v="-"/>
    <x v="5"/>
    <s v="2425/5/TI-32"/>
    <x v="0"/>
    <d v="2024-12-04T00:00:00"/>
    <x v="0"/>
    <s v="-"/>
    <n v="72"/>
    <n v="3"/>
    <d v="2024-12-04T00:00:00"/>
    <s v="Delhi"/>
    <s v="Drona Logitech Pvt Ltd"/>
    <s v="HR63D2341"/>
    <s v="PICKUP"/>
    <n v="6682"/>
    <s v="Dispatched"/>
    <s v="-"/>
    <m/>
  </r>
  <r>
    <n v="35"/>
    <s v="-"/>
    <s v="BIBO"/>
    <s v="-"/>
    <s v="-"/>
    <x v="2"/>
    <s v="2425/5/TI-36"/>
    <x v="0"/>
    <d v="2024-12-05T00:00:00"/>
    <x v="0"/>
    <s v="-"/>
    <n v="1356"/>
    <n v="60"/>
    <d v="2024-12-05T00:00:00"/>
    <s v="Delhi"/>
    <s v="Drona Logitech Pvt Ltd"/>
    <s v="HR55AL3199"/>
    <s v="17 FT"/>
    <n v="6688"/>
    <s v="Dispatched"/>
    <s v="-"/>
    <m/>
  </r>
  <r>
    <n v="36"/>
    <s v="-"/>
    <s v="BIBO"/>
    <s v="WSO 24"/>
    <s v="-"/>
    <x v="17"/>
    <s v="2425/5/TI-33"/>
    <x v="0"/>
    <d v="2024-12-04T00:00:00"/>
    <x v="0"/>
    <s v="-"/>
    <n v="1680"/>
    <n v="70"/>
    <d v="2024-12-05T00:00:00"/>
    <s v="Delhi"/>
    <s v="Drona Logitech Pvt Ltd"/>
    <s v="HR55AL3199"/>
    <s v="17 FT"/>
    <n v="6687"/>
    <s v="Dispatched"/>
    <s v="-"/>
    <m/>
  </r>
  <r>
    <n v="37"/>
    <s v="-"/>
    <s v="BIBO"/>
    <s v="WSO 26"/>
    <s v="-"/>
    <x v="5"/>
    <s v="2425/5/TI-35"/>
    <x v="0"/>
    <d v="2024-12-05T00:00:00"/>
    <x v="0"/>
    <s v="-"/>
    <n v="480"/>
    <n v="20"/>
    <d v="2024-12-05T00:00:00"/>
    <s v="Delhi"/>
    <s v="Drona Logitech Pvt Ltd"/>
    <s v="DL01MA6889"/>
    <s v="17 FT"/>
    <n v="6686"/>
    <s v="Dispatched"/>
    <s v="-"/>
    <m/>
  </r>
  <r>
    <n v="38"/>
    <s v="-"/>
    <s v="BIBO"/>
    <s v="WSO 28"/>
    <s v="-"/>
    <x v="18"/>
    <s v="2425/5/TI-39"/>
    <x v="0"/>
    <d v="2024-12-05T00:00:00"/>
    <x v="0"/>
    <s v="-"/>
    <n v="240"/>
    <n v="10"/>
    <d v="2024-12-05T00:00:00"/>
    <s v="Delhi"/>
    <s v="Drona Logitech Pvt Ltd"/>
    <s v="DL01MA6889"/>
    <s v="17 FT"/>
    <n v="6690"/>
    <s v="Dispatched"/>
    <s v="-"/>
    <m/>
  </r>
  <r>
    <n v="39"/>
    <s v="-"/>
    <s v="BIBO"/>
    <s v="WSO 25"/>
    <s v="-"/>
    <x v="4"/>
    <s v="2425/5/TI-38"/>
    <x v="0"/>
    <d v="2024-12-05T00:00:00"/>
    <x v="0"/>
    <s v="-"/>
    <n v="168"/>
    <n v="7"/>
    <d v="2024-12-05T00:00:00"/>
    <s v="Delhi"/>
    <s v="Drona Logitech Pvt Ltd"/>
    <s v="DL01MA6889"/>
    <s v="17 FT"/>
    <n v="6689"/>
    <s v="Dispatched"/>
    <s v="-"/>
    <m/>
  </r>
  <r>
    <n v="40"/>
    <s v="-"/>
    <s v="BIBO"/>
    <s v="WSO 29"/>
    <s v="-"/>
    <x v="16"/>
    <s v="2425/5/TI-37"/>
    <x v="0"/>
    <d v="2024-12-05T00:00:00"/>
    <x v="0"/>
    <s v="-"/>
    <n v="600"/>
    <n v="25"/>
    <d v="2024-12-05T00:00:00"/>
    <s v="Delhi"/>
    <s v="Drona Logitech Pvt Ltd"/>
    <s v="DL01MA6889"/>
    <s v="17 FT"/>
    <n v="6691"/>
    <s v="Dispatched"/>
    <s v="-"/>
    <m/>
  </r>
  <r>
    <n v="41"/>
    <s v="-"/>
    <s v="PIPO"/>
    <s v="-"/>
    <s v="-"/>
    <x v="2"/>
    <s v="2425/5/TI-40"/>
    <x v="0"/>
    <d v="2024-12-06T00:00:00"/>
    <x v="0"/>
    <s v="-"/>
    <n v="360"/>
    <n v="36"/>
    <d v="2024-12-06T00:00:00"/>
    <s v="Delhi"/>
    <s v="Drona Logitech Pvt Ltd"/>
    <s v="HR63D2341"/>
    <s v="PICKUP"/>
    <n v="6677"/>
    <s v="Dispatched"/>
    <s v="-"/>
    <m/>
  </r>
  <r>
    <n v="42"/>
    <s v="-"/>
    <s v="BIBO"/>
    <s v="-"/>
    <s v="-"/>
    <x v="9"/>
    <s v="2425/5/TI-41"/>
    <x v="0"/>
    <d v="2024-12-06T00:00:00"/>
    <x v="0"/>
    <s v="-"/>
    <n v="48"/>
    <n v="2"/>
    <d v="2024-12-06T00:00:00"/>
    <s v="Delhi"/>
    <s v="Drona Logitech Pvt Ltd"/>
    <s v="HR63D2341"/>
    <s v="PICKUP"/>
    <n v="6693"/>
    <s v="Dispatched"/>
    <s v="-"/>
    <m/>
  </r>
  <r>
    <n v="43"/>
    <s v="-"/>
    <s v="PIPO"/>
    <s v="PSO 32"/>
    <s v="-"/>
    <x v="13"/>
    <s v="2425/5/TI-47"/>
    <x v="0"/>
    <d v="2024-12-08T00:00:00"/>
    <x v="0"/>
    <s v="-"/>
    <n v="200"/>
    <n v="20"/>
    <d v="2024-12-08T00:00:00"/>
    <s v="Jaipur"/>
    <s v="VIJAY LAXMI TRANSPORT COMPANY"/>
    <s v="DL01MB0112"/>
    <s v="22 FT"/>
    <s v="DIRECT VEHICLE"/>
    <s v="Dispatched"/>
    <s v="VEHICLE ARRANGE BY CUSTOMER"/>
    <m/>
  </r>
  <r>
    <n v="44"/>
    <s v="-"/>
    <s v="PIPO"/>
    <s v="PSO 29"/>
    <s v="-"/>
    <x v="13"/>
    <s v="2425/5/TI-48"/>
    <x v="0"/>
    <d v="2024-12-08T00:00:00"/>
    <x v="0"/>
    <s v="-"/>
    <n v="160"/>
    <n v="16"/>
    <d v="2024-12-08T00:00:00"/>
    <s v="Jaipur"/>
    <s v="VIJAY LAXMI TRANSPORT COMPANY"/>
    <s v="DL01MB0112"/>
    <s v="22 FT"/>
    <s v="DIRECT VEHICLE"/>
    <s v="Dispatched"/>
    <s v="VEHICLE ARRANGE BY CUSTOMER"/>
    <m/>
  </r>
  <r>
    <n v="45"/>
    <s v="-"/>
    <s v="PIPO"/>
    <s v="PSO 18"/>
    <s v="-"/>
    <x v="13"/>
    <s v="2425/5/TI-49"/>
    <x v="0"/>
    <s v="-"/>
    <x v="0"/>
    <s v="-"/>
    <n v="360"/>
    <n v="36"/>
    <d v="2024-12-08T00:00:00"/>
    <s v="Jaipur"/>
    <s v="VIJAY LAXMI TRANSPORT COMPANY"/>
    <s v="DL01MB0112"/>
    <s v="22 FT"/>
    <s v="DIRECT VEHICLE"/>
    <s v="Dispatched"/>
    <s v="VEHICLE ARRANGE BY CUSTOMER"/>
    <m/>
  </r>
  <r>
    <n v="46"/>
    <s v="-"/>
    <s v="PIPO"/>
    <s v="PSO 33"/>
    <s v="-"/>
    <x v="13"/>
    <s v="2425/5/TI-50"/>
    <x v="0"/>
    <d v="2024-12-08T00:00:00"/>
    <x v="0"/>
    <s v="-"/>
    <n v="350"/>
    <n v="35"/>
    <d v="2024-12-08T00:00:00"/>
    <s v="Jaipur"/>
    <s v="VIJAY LAXMI TRANSPORT COMPANY"/>
    <s v="DL01MB0112"/>
    <s v="22 FT"/>
    <s v="DIRECT VEHICLE"/>
    <s v="Dispatched"/>
    <s v="VEHICLE ARRANGE BY CUSTOMER"/>
    <m/>
  </r>
  <r>
    <n v="47"/>
    <s v="-"/>
    <s v="PIPO"/>
    <s v="PSO 30"/>
    <s v="-"/>
    <x v="13"/>
    <s v="2425/5/TI-51"/>
    <x v="0"/>
    <d v="2024-12-08T00:00:00"/>
    <x v="0"/>
    <s v="-"/>
    <n v="491"/>
    <n v="51"/>
    <d v="2024-12-08T00:00:00"/>
    <s v="Jaipur"/>
    <s v="VIJAY LAXMI TRANSPORT COMPANY"/>
    <s v="DL01MB0112"/>
    <s v="22 FT"/>
    <s v="DIRECT VEHICLE"/>
    <s v="Dispatched"/>
    <s v="VEHICLE ARRANGE BY CUSTOMER"/>
    <m/>
  </r>
  <r>
    <n v="48"/>
    <s v="-"/>
    <s v="PIPO"/>
    <s v="PSO 31"/>
    <s v="-"/>
    <x v="13"/>
    <s v="2425/5/TI-52"/>
    <x v="0"/>
    <d v="2024-12-08T00:00:00"/>
    <x v="0"/>
    <s v="-"/>
    <n v="574"/>
    <n v="57"/>
    <d v="2024-12-08T00:00:00"/>
    <s v="Jaipur"/>
    <s v="VIJAY LAXMI TRANSPORT COMPANY"/>
    <s v="DL01MB0112"/>
    <s v="22 FT"/>
    <s v="DIRECT VEHICLE"/>
    <s v="Dispatched"/>
    <s v="VEHICLE ARRANGE BY CUSTOMER"/>
    <m/>
  </r>
  <r>
    <n v="49"/>
    <s v="-"/>
    <s v="PIPO"/>
    <s v="-"/>
    <s v="-"/>
    <x v="12"/>
    <s v="2425/5/TI-58"/>
    <x v="0"/>
    <d v="2024-12-09T00:00:00"/>
    <x v="0"/>
    <s v="-"/>
    <n v="90"/>
    <n v="9"/>
    <d v="2024-12-09T00:00:00"/>
    <s v="Delhi"/>
    <s v="Drona Logitech Pvt Ltd"/>
    <s v="DL01LX0952"/>
    <s v="14 FT"/>
    <n v="6679"/>
    <s v="Dispatched"/>
    <s v="-"/>
    <m/>
  </r>
  <r>
    <n v="50"/>
    <s v="-"/>
    <s v="PIPO"/>
    <s v="PSO 26"/>
    <s v="-"/>
    <x v="3"/>
    <s v="2425/5/TI-53"/>
    <x v="0"/>
    <d v="2024-12-09T00:00:00"/>
    <x v="0"/>
    <s v="-"/>
    <n v="90"/>
    <n v="9"/>
    <d v="2024-12-09T00:00:00"/>
    <s v="Delhi"/>
    <s v="Drona Logitech Pvt Ltd"/>
    <s v="DL01LX0952"/>
    <s v="14 FT"/>
    <n v="6697"/>
    <s v="Dispatched"/>
    <s v="-"/>
    <m/>
  </r>
  <r>
    <n v="51"/>
    <s v="-"/>
    <s v="PIPO"/>
    <s v="PSO 27"/>
    <s v="-"/>
    <x v="9"/>
    <s v="2425/5/TI-67"/>
    <x v="0"/>
    <d v="2024-12-09T00:00:00"/>
    <x v="0"/>
    <s v="-"/>
    <n v="144"/>
    <n v="10"/>
    <d v="2024-12-09T00:00:00"/>
    <s v="Delhi"/>
    <s v="Drona Logitech Pvt Ltd"/>
    <s v="DL01LX1182"/>
    <s v="14 FT"/>
    <n v="6653"/>
    <s v="Dispatched"/>
    <s v="-"/>
    <m/>
  </r>
  <r>
    <n v="52"/>
    <s v="-"/>
    <s v="PIPO"/>
    <s v="PSO 16"/>
    <s v="-"/>
    <x v="19"/>
    <s v="2425/5/TI-65"/>
    <x v="0"/>
    <d v="2024-12-09T00:00:00"/>
    <x v="0"/>
    <s v="-"/>
    <n v="210"/>
    <n v="21"/>
    <d v="2024-12-09T00:00:00"/>
    <s v="Delhi"/>
    <s v="Drona Logitech Pvt Ltd"/>
    <s v="DL01LX1182"/>
    <s v="14 FT"/>
    <n v="6700"/>
    <s v="Dispatched"/>
    <s v="-"/>
    <m/>
  </r>
  <r>
    <n v="53"/>
    <s v="-"/>
    <s v="PIPO"/>
    <s v="-"/>
    <s v="-"/>
    <x v="11"/>
    <s v="2425/5/TI-46"/>
    <x v="0"/>
    <d v="2024-12-07T00:00:00"/>
    <x v="0"/>
    <s v="-"/>
    <n v="250"/>
    <n v="25"/>
    <d v="2024-12-09T00:00:00"/>
    <s v="Delhi"/>
    <s v="Drona Logitech Pvt Ltd"/>
    <s v="DL01LX1182"/>
    <s v="14 FT"/>
    <n v="6798"/>
    <s v="Dispatched"/>
    <s v="-"/>
    <m/>
  </r>
  <r>
    <n v="54"/>
    <s v="-"/>
    <s v="PIPO"/>
    <s v="PSO 20"/>
    <s v="-"/>
    <x v="20"/>
    <s v="2425/5/TI-66"/>
    <x v="0"/>
    <d v="2024-12-09T00:00:00"/>
    <x v="0"/>
    <s v="-"/>
    <n v="180"/>
    <n v="19"/>
    <d v="2024-12-09T00:00:00"/>
    <s v="Delhi"/>
    <s v="Drona Logitech Pvt Ltd"/>
    <s v="DL01LX1182"/>
    <s v="14 FT"/>
    <n v="6752"/>
    <s v="Dispatched"/>
    <s v="-"/>
    <m/>
  </r>
  <r>
    <n v="55"/>
    <s v="-"/>
    <s v="BIBO"/>
    <s v="-"/>
    <s v="-"/>
    <x v="12"/>
    <s v="2425/5/TI-64"/>
    <x v="0"/>
    <d v="2024-12-09T00:00:00"/>
    <x v="0"/>
    <s v="-"/>
    <n v="552"/>
    <n v="23"/>
    <d v="2024-12-09T00:00:00"/>
    <s v="Delhi"/>
    <s v="Drona Logitech Pvt Ltd"/>
    <s v="DL01LX0952"/>
    <s v="14 FT"/>
    <n v="6680"/>
    <s v="Dispatched"/>
    <s v="-"/>
    <m/>
  </r>
  <r>
    <n v="56"/>
    <s v="-"/>
    <s v="BIBO"/>
    <s v="WSO 37"/>
    <s v="-"/>
    <x v="12"/>
    <s v="2425/5/TI-63"/>
    <x v="0"/>
    <d v="2024-12-09T00:00:00"/>
    <x v="0"/>
    <s v="-"/>
    <n v="1080"/>
    <n v="45"/>
    <d v="2024-12-09T00:00:00"/>
    <s v="Delhi"/>
    <s v="Drona Logitech Pvt Ltd"/>
    <s v="DL01LX0952"/>
    <s v="14 FT"/>
    <n v="6697"/>
    <s v="Dispatched"/>
    <s v="-"/>
    <m/>
  </r>
  <r>
    <n v="57"/>
    <s v="-"/>
    <s v="BIBO"/>
    <s v="WSO 30"/>
    <s v="-"/>
    <x v="3"/>
    <s v="2425/5/TI-43"/>
    <x v="0"/>
    <d v="2024-12-07T00:00:00"/>
    <x v="0"/>
    <s v="-"/>
    <n v="384"/>
    <n v="16"/>
    <d v="2024-12-09T00:00:00"/>
    <s v="Delhi"/>
    <s v="Drona Logitech Pvt Ltd"/>
    <s v="DL01LX0952"/>
    <s v="14 FT"/>
    <n v="6697"/>
    <s v="Dispatched"/>
    <s v="-"/>
    <m/>
  </r>
  <r>
    <n v="58"/>
    <s v="-"/>
    <s v="BIBO"/>
    <s v="WSO 24"/>
    <s v="-"/>
    <x v="17"/>
    <s v="2425/5/TI-60"/>
    <x v="0"/>
    <d v="2024-12-09T00:00:00"/>
    <x v="0"/>
    <s v="-"/>
    <n v="48"/>
    <n v="2"/>
    <d v="2024-12-09T00:00:00"/>
    <s v="Delhi"/>
    <s v="Drona Logitech Pvt Ltd"/>
    <s v="DL01LX1182"/>
    <s v="14 FT"/>
    <n v="6695"/>
    <s v="Dispatched"/>
    <s v="-"/>
    <m/>
  </r>
  <r>
    <n v="59"/>
    <s v="-"/>
    <s v="BIBO"/>
    <s v="WSO 34"/>
    <s v="-"/>
    <x v="4"/>
    <s v="2425/5/TI-42"/>
    <x v="0"/>
    <d v="2024-12-07T00:00:00"/>
    <x v="0"/>
    <s v="-"/>
    <n v="240"/>
    <n v="24"/>
    <d v="2024-12-09T00:00:00"/>
    <s v="Delhi"/>
    <s v="Drona Logitech Pvt Ltd"/>
    <s v="DL01LX0952"/>
    <s v="14 FT"/>
    <n v="6696"/>
    <s v="Dispatched"/>
    <s v="-"/>
    <m/>
  </r>
  <r>
    <n v="60"/>
    <s v="-"/>
    <s v="BIBO"/>
    <s v="-"/>
    <s v="-"/>
    <x v="11"/>
    <s v="2425/5/TI-62"/>
    <x v="0"/>
    <d v="2024-12-09T00:00:00"/>
    <x v="0"/>
    <s v="-"/>
    <n v="96"/>
    <n v="4"/>
    <d v="2024-12-09T00:00:00"/>
    <s v="Delhi"/>
    <s v="Drona Logitech Pvt Ltd"/>
    <s v="DL01LX1182"/>
    <s v="14 FT"/>
    <n v="6798"/>
    <s v="Dispatched"/>
    <s v="-"/>
    <m/>
  </r>
  <r>
    <n v="61"/>
    <n v="22"/>
    <s v="PIPO"/>
    <s v="PSO 19"/>
    <s v="-"/>
    <x v="15"/>
    <s v="2425/5/TI-56"/>
    <x v="0"/>
    <d v="2024-12-09T00:00:00"/>
    <x v="0"/>
    <s v="-"/>
    <n v="80"/>
    <n v="8"/>
    <d v="2024-12-10T00:00:00"/>
    <s v="Delhi"/>
    <s v="Drona Logitech Pvt Ltd"/>
    <s v="DL01LX0952"/>
    <s v="14 FT"/>
    <n v="1550"/>
    <s v="Dispatched"/>
    <s v="-"/>
    <m/>
  </r>
  <r>
    <n v="62"/>
    <n v="22"/>
    <s v="PIPO"/>
    <s v="PSO 21"/>
    <s v="-"/>
    <x v="8"/>
    <s v="2425/5/TI-57"/>
    <x v="0"/>
    <d v="2024-12-09T00:00:00"/>
    <x v="0"/>
    <s v="-"/>
    <n v="110"/>
    <n v="11"/>
    <d v="2024-12-10T00:00:00"/>
    <s v="Delhi"/>
    <s v="Drona Logitech Pvt Ltd"/>
    <s v="DL01LX0952"/>
    <s v="14 FT"/>
    <n v="1550"/>
    <s v="Dispatched"/>
    <s v="-"/>
    <m/>
  </r>
  <r>
    <n v="63"/>
    <n v="22"/>
    <s v="PIPO"/>
    <s v="PSO 25"/>
    <s v="-"/>
    <x v="5"/>
    <s v="2425/5/TI-69"/>
    <x v="0"/>
    <d v="2024-12-10T00:00:00"/>
    <x v="0"/>
    <s v="-"/>
    <n v="122"/>
    <n v="11"/>
    <d v="2024-12-10T00:00:00"/>
    <s v="Delhi"/>
    <s v="Drona Logitech Pvt Ltd"/>
    <s v="DL01LX0952"/>
    <s v="14 FT"/>
    <n v="1550"/>
    <s v="Dispatched"/>
    <s v="-"/>
    <m/>
  </r>
  <r>
    <n v="64"/>
    <n v="22"/>
    <s v="PIPO"/>
    <s v="PSO 17"/>
    <s v="-"/>
    <x v="21"/>
    <s v="2425/5/TI-70"/>
    <x v="0"/>
    <d v="2024-12-10T00:00:00"/>
    <x v="0"/>
    <s v="-"/>
    <n v="150"/>
    <n v="15"/>
    <d v="2024-12-10T00:00:00"/>
    <s v="Delhi"/>
    <s v="Drona Logitech Pvt Ltd"/>
    <s v="DL01LX0952"/>
    <s v="14 FT"/>
    <n v="1550"/>
    <s v="Dispatched"/>
    <s v="-"/>
    <m/>
  </r>
  <r>
    <n v="65"/>
    <n v="22"/>
    <s v="PIPO"/>
    <s v="PSO 22"/>
    <s v="-"/>
    <x v="22"/>
    <s v="2425/5/TI-54"/>
    <x v="0"/>
    <d v="2024-12-09T00:00:00"/>
    <x v="0"/>
    <s v="-"/>
    <n v="50"/>
    <n v="5"/>
    <d v="2024-12-10T00:00:00"/>
    <s v="Delhi"/>
    <s v="Drona Logitech Pvt Ltd"/>
    <s v="DL01LX0952"/>
    <s v="14 FT"/>
    <n v="1550"/>
    <s v="Dispatched"/>
    <s v="-"/>
    <m/>
  </r>
  <r>
    <n v="66"/>
    <n v="22"/>
    <s v="PIPO"/>
    <s v="PSO 11"/>
    <s v="-"/>
    <x v="4"/>
    <s v="2425/5/TI-72"/>
    <x v="0"/>
    <d v="2024-12-10T00:00:00"/>
    <x v="0"/>
    <s v="-"/>
    <n v="250"/>
    <n v="25"/>
    <d v="2024-12-10T00:00:00"/>
    <s v="Delhi"/>
    <s v="Drona Logitech Pvt Ltd"/>
    <s v="DL01LX0952"/>
    <s v="14 FT"/>
    <n v="1550"/>
    <s v="Dispatched"/>
    <s v="-"/>
    <m/>
  </r>
  <r>
    <n v="67"/>
    <n v="22"/>
    <s v="PIPO"/>
    <s v="PSO 28"/>
    <s v="-"/>
    <x v="23"/>
    <s v="2425/5/TI-68"/>
    <x v="0"/>
    <d v="2024-12-10T00:00:00"/>
    <x v="0"/>
    <s v="-"/>
    <n v="90"/>
    <n v="9"/>
    <d v="2024-12-10T00:00:00"/>
    <s v="Delhi"/>
    <s v="Drona Logitech Pvt Ltd"/>
    <s v="DL01LX0952"/>
    <s v="14 FT"/>
    <n v="1550"/>
    <s v="Dispatched"/>
    <s v="-"/>
    <m/>
  </r>
  <r>
    <n v="68"/>
    <s v="-"/>
    <s v="BIBO"/>
    <s v="WSO 32"/>
    <s v="-"/>
    <x v="15"/>
    <s v="2425/5/TI-45"/>
    <x v="0"/>
    <d v="2024-12-07T00:00:00"/>
    <x v="0"/>
    <s v="-"/>
    <n v="96"/>
    <n v="4"/>
    <d v="2024-12-10T00:00:00"/>
    <s v="Delhi"/>
    <s v="Drona Logitech Pvt Ltd"/>
    <s v="DL01LX0952"/>
    <s v="14 FT"/>
    <n v="1550"/>
    <s v="Dispatched"/>
    <s v="-"/>
    <m/>
  </r>
  <r>
    <n v="69"/>
    <s v="-"/>
    <s v="BIBO"/>
    <s v="WSO 35"/>
    <s v="-"/>
    <x v="22"/>
    <s v="2425/5/TI-74"/>
    <x v="0"/>
    <d v="2024-12-10T00:00:00"/>
    <x v="0"/>
    <s v="-"/>
    <n v="144"/>
    <n v="6"/>
    <d v="2024-12-10T00:00:00"/>
    <s v="Delhi"/>
    <s v="Drona Logitech Pvt Ltd"/>
    <s v="DL01LX0952"/>
    <s v="14 FT"/>
    <n v="1550"/>
    <s v="Dispatched"/>
    <s v="-"/>
    <m/>
  </r>
  <r>
    <n v="70"/>
    <s v="-"/>
    <s v="BIBO"/>
    <s v="WSO 36"/>
    <s v="-"/>
    <x v="23"/>
    <s v="2425/5/TI-75"/>
    <x v="0"/>
    <d v="2024-12-10T00:00:00"/>
    <x v="0"/>
    <s v="-"/>
    <n v="72"/>
    <n v="3"/>
    <d v="2024-12-10T00:00:00"/>
    <s v="Delhi"/>
    <s v="Drona Logitech Pvt Ltd"/>
    <s v="DL01LX0952"/>
    <s v="14 FT"/>
    <n v="1550"/>
    <s v="Dispatched"/>
    <s v="-"/>
    <m/>
  </r>
  <r>
    <n v="71"/>
    <n v="23"/>
    <s v="PIPO"/>
    <s v="PSO 23"/>
    <s v="-"/>
    <x v="7"/>
    <s v="2425/5/TI-55"/>
    <x v="0"/>
    <d v="2024-12-09T00:00:00"/>
    <x v="0"/>
    <s v="-"/>
    <n v="62"/>
    <n v="6"/>
    <d v="2024-12-11T00:00:00"/>
    <s v="Delhi"/>
    <s v="Drona Logitech Pvt Ltd"/>
    <s v="DL01LX1182"/>
    <s v="14 FT"/>
    <n v="1551"/>
    <s v="Dispatched"/>
    <s v="-"/>
    <m/>
  </r>
  <r>
    <n v="72"/>
    <n v="23"/>
    <s v="PIPO"/>
    <s v="PSO 24"/>
    <s v="-"/>
    <x v="24"/>
    <s v="2425/5/TI-71"/>
    <x v="0"/>
    <d v="2024-12-10T00:00:00"/>
    <x v="0"/>
    <s v="-"/>
    <n v="130"/>
    <n v="13"/>
    <d v="2024-12-11T00:00:00"/>
    <s v="Delhi"/>
    <s v="Drona Logitech Pvt Ltd"/>
    <s v="DL01LX1182"/>
    <s v="14 FT"/>
    <n v="1551"/>
    <s v="Dispatched"/>
    <s v="-"/>
    <m/>
  </r>
  <r>
    <n v="73"/>
    <n v="28"/>
    <s v="PIPO"/>
    <s v="PSO 34"/>
    <s v="-"/>
    <x v="8"/>
    <s v="2425/5/TI-77"/>
    <x v="0"/>
    <d v="2024-12-11T00:00:00"/>
    <x v="0"/>
    <s v="-"/>
    <n v="284"/>
    <n v="28"/>
    <d v="2024-12-11T00:00:00"/>
    <s v="Delhi"/>
    <s v="Drona Logitech Pvt Ltd"/>
    <s v="DL01LX0952"/>
    <s v="14 FT"/>
    <n v="1556"/>
    <s v="Dispatched"/>
    <s v="-"/>
    <m/>
  </r>
  <r>
    <n v="74"/>
    <n v="28"/>
    <s v="PIPO"/>
    <s v="PSO 38"/>
    <s v="-"/>
    <x v="25"/>
    <s v="2425/5/TI-78"/>
    <x v="0"/>
    <d v="2024-12-11T00:00:00"/>
    <x v="0"/>
    <s v="-"/>
    <n v="272"/>
    <n v="28"/>
    <d v="2024-12-11T00:00:00"/>
    <s v="Delhi"/>
    <s v="Drona Logitech Pvt Ltd"/>
    <s v="DL01LX0952"/>
    <s v="14 FT"/>
    <n v="1556"/>
    <s v="Dispatched"/>
    <s v="-"/>
    <m/>
  </r>
  <r>
    <n v="75"/>
    <n v="29"/>
    <s v="PIPO"/>
    <s v="PSO 40"/>
    <s v="-"/>
    <x v="2"/>
    <s v="2425/5/TI-76"/>
    <x v="0"/>
    <d v="2024-12-11T00:00:00"/>
    <x v="0"/>
    <s v="-"/>
    <n v="850"/>
    <n v="87"/>
    <d v="2024-12-11T00:00:00"/>
    <s v="Delhi"/>
    <s v="Drona Logitech Pvt Ltd"/>
    <s v="DL01LY8949"/>
    <s v="14 FT"/>
    <n v="1557"/>
    <s v="Dispatched"/>
    <s v="-"/>
    <m/>
  </r>
  <r>
    <n v="76"/>
    <s v="-"/>
    <s v="BIBO"/>
    <s v="WSO 33"/>
    <s v="-"/>
    <x v="7"/>
    <s v="2425/5/TI-44"/>
    <x v="0"/>
    <d v="2024-12-07T00:00:00"/>
    <x v="0"/>
    <s v="-"/>
    <n v="144"/>
    <n v="6"/>
    <d v="2024-12-11T00:00:00"/>
    <s v="Delhi"/>
    <s v="Drona Logitech Pvt Ltd"/>
    <s v="DL01LX1182"/>
    <s v="14 FT"/>
    <n v="1551"/>
    <s v="Dispatched"/>
    <s v="-"/>
    <m/>
  </r>
  <r>
    <n v="77"/>
    <s v="-"/>
    <s v="BIBO"/>
    <s v="WSO 22"/>
    <s v="-"/>
    <x v="6"/>
    <s v="2425/5/TI-79"/>
    <x v="0"/>
    <d v="2024-12-12T00:00:00"/>
    <x v="0"/>
    <s v="-"/>
    <n v="48"/>
    <n v="2"/>
    <d v="2024-12-12T00:00:00"/>
    <s v="Delhi"/>
    <s v="Drona Logitech Pvt Ltd"/>
    <s v="HR63D2341"/>
    <s v="PICKUP"/>
    <n v="1552"/>
    <s v="Dispatched"/>
    <s v="-"/>
    <m/>
  </r>
  <r>
    <n v="78"/>
    <s v="-"/>
    <s v="BIBO"/>
    <s v="WSO 39"/>
    <s v="-"/>
    <x v="26"/>
    <s v="2425/5/TI-80"/>
    <x v="0"/>
    <d v="2024-12-12T00:00:00"/>
    <x v="0"/>
    <s v="-"/>
    <n v="504"/>
    <n v="21"/>
    <d v="2024-12-12T00:00:00"/>
    <s v="Delhi"/>
    <s v="Drona Logitech Pvt Ltd"/>
    <s v="HR63D2341"/>
    <s v="PICKUP"/>
    <n v="1552"/>
    <s v="Dispatched"/>
    <s v="-"/>
    <m/>
  </r>
  <r>
    <n v="79"/>
    <n v="25"/>
    <s v="PIPO"/>
    <s v="PSO 39"/>
    <s v="-"/>
    <x v="18"/>
    <s v="2425/5/TI-84"/>
    <x v="0"/>
    <d v="2024-12-13T00:00:00"/>
    <x v="0"/>
    <s v="-"/>
    <n v="322"/>
    <n v="33"/>
    <d v="2024-12-13T00:00:00"/>
    <s v="Delhi"/>
    <s v="Drona Logitech Pvt Ltd"/>
    <s v="DL01LX0952"/>
    <s v="14 FT"/>
    <n v="1553"/>
    <s v="Dispatched"/>
    <s v="-"/>
    <m/>
  </r>
  <r>
    <n v="80"/>
    <n v="25"/>
    <s v="PIPO"/>
    <s v="PSO 36"/>
    <s v="-"/>
    <x v="19"/>
    <s v="2425/5/TI-82"/>
    <x v="0"/>
    <d v="2024-12-13T00:00:00"/>
    <x v="0"/>
    <s v="-"/>
    <n v="276"/>
    <n v="28"/>
    <d v="2024-12-13T00:00:00"/>
    <s v="Delhi"/>
    <s v="Drona Logitech Pvt Ltd"/>
    <s v="DL01LX0952"/>
    <s v="14 FT"/>
    <n v="1553"/>
    <s v="Dispatched"/>
    <s v="-"/>
    <m/>
  </r>
  <r>
    <n v="81"/>
    <n v="25"/>
    <s v="PIPO"/>
    <s v="PSO 42"/>
    <s v="-"/>
    <x v="27"/>
    <s v="2425/5/TI-86"/>
    <x v="0"/>
    <d v="2024-12-13T00:00:00"/>
    <x v="0"/>
    <s v="-"/>
    <n v="492"/>
    <n v="50"/>
    <d v="2024-12-13T00:00:00"/>
    <s v="Delhi"/>
    <s v="Drona Logitech Pvt Ltd"/>
    <s v="DL01LX0952"/>
    <s v="14 FT"/>
    <n v="1553"/>
    <s v="Dispatched"/>
    <s v="-"/>
    <m/>
  </r>
  <r>
    <n v="82"/>
    <n v="26"/>
    <s v="PIPO"/>
    <s v="PSO 41"/>
    <s v="-"/>
    <x v="17"/>
    <s v="2425/5/TI-85"/>
    <x v="0"/>
    <d v="2024-12-13T00:00:00"/>
    <x v="0"/>
    <s v="-"/>
    <n v="458"/>
    <n v="48"/>
    <d v="2024-12-13T00:00:00"/>
    <s v="Delhi"/>
    <s v="Drona Logitech Pvt Ltd"/>
    <s v="DL01LX1182"/>
    <s v="14 FT"/>
    <n v="1554"/>
    <s v="Dispatched"/>
    <s v="-"/>
    <m/>
  </r>
  <r>
    <n v="83"/>
    <n v="27"/>
    <s v="PIPO"/>
    <s v="PSO 45"/>
    <s v="-"/>
    <x v="4"/>
    <s v="2425/5/TI-89"/>
    <x v="0"/>
    <d v="2024-12-13T00:00:00"/>
    <x v="0"/>
    <s v="-"/>
    <n v="573"/>
    <n v="58"/>
    <d v="2024-12-13T00:00:00"/>
    <s v="Delhi"/>
    <s v="Drona Logitech Pvt Ltd"/>
    <s v="DL01LY8949"/>
    <s v="14 FT"/>
    <n v="1555"/>
    <s v="Dispatched"/>
    <s v="-"/>
    <m/>
  </r>
  <r>
    <n v="84"/>
    <n v="27"/>
    <s v="PIPO"/>
    <s v="PSO 44"/>
    <s v="-"/>
    <x v="2"/>
    <s v="2425/5/TI-88"/>
    <x v="0"/>
    <d v="2024-12-13T00:00:00"/>
    <x v="0"/>
    <s v="-"/>
    <n v="80"/>
    <n v="8"/>
    <d v="2024-12-13T00:00:00"/>
    <s v="Delhi"/>
    <s v="Drona Logitech Pvt Ltd"/>
    <s v="DL01LY8949"/>
    <s v="14 FT"/>
    <n v="1555"/>
    <s v="Dispatched"/>
    <s v="-"/>
    <m/>
  </r>
  <r>
    <n v="85"/>
    <n v="27"/>
    <s v="PIPO"/>
    <s v="PSO 43"/>
    <s v="-"/>
    <x v="13"/>
    <s v="2425/5/TI-87"/>
    <x v="0"/>
    <d v="2024-12-13T00:00:00"/>
    <x v="0"/>
    <s v="-"/>
    <n v="351"/>
    <n v="35"/>
    <d v="2024-12-13T00:00:00"/>
    <s v="Delhi"/>
    <s v="Drona Logitech Pvt Ltd"/>
    <s v="DL01LY8949"/>
    <s v="14 FT"/>
    <n v="1555"/>
    <s v="Dispatched"/>
    <s v="-"/>
    <m/>
  </r>
  <r>
    <n v="86"/>
    <n v="27"/>
    <s v="PIPO"/>
    <s v="PSO 37"/>
    <s v="-"/>
    <x v="3"/>
    <s v="2425/5/TI-83"/>
    <x v="0"/>
    <d v="2024-12-13T00:00:00"/>
    <x v="0"/>
    <s v="-"/>
    <n v="167"/>
    <n v="18"/>
    <d v="2024-12-13T00:00:00"/>
    <s v="Delhi"/>
    <s v="Drona Logitech Pvt Ltd"/>
    <s v="DL01LY8949"/>
    <s v="14 FT"/>
    <n v="1555"/>
    <s v="Dispatched"/>
    <s v="-"/>
    <m/>
  </r>
  <r>
    <n v="87"/>
    <s v="-"/>
    <s v="BIBO"/>
    <s v="WSO 40"/>
    <s v="-"/>
    <x v="28"/>
    <s v="2425/5/TI-91"/>
    <x v="0"/>
    <d v="2024-12-13T00:00:00"/>
    <x v="0"/>
    <s v="-"/>
    <n v="504"/>
    <n v="21"/>
    <d v="2024-12-13T00:00:00"/>
    <s v="Delhi"/>
    <s v="Drona Logitech Pvt Ltd"/>
    <s v="DL01LX1182"/>
    <s v="14 FT"/>
    <n v="1554"/>
    <s v="Dispatched"/>
    <s v="-"/>
    <m/>
  </r>
  <r>
    <n v="88"/>
    <s v="-"/>
    <s v="BIBO"/>
    <s v="WSO 38"/>
    <s v="-"/>
    <x v="4"/>
    <s v="2425/5/TI-90"/>
    <x v="0"/>
    <d v="2024-12-13T00:00:00"/>
    <x v="0"/>
    <s v="-"/>
    <n v="72"/>
    <n v="3"/>
    <d v="2024-12-13T00:00:00"/>
    <s v="Delhi"/>
    <s v="Drona Logitech Pvt Ltd"/>
    <s v="DL01LY8949"/>
    <s v="14 FT"/>
    <n v="1555"/>
    <s v="Dispatched"/>
    <s v="-"/>
    <m/>
  </r>
  <r>
    <n v="89"/>
    <n v="30"/>
    <s v="PIPO"/>
    <s v="PSO 35"/>
    <s v="-"/>
    <x v="9"/>
    <s v="2425/5/TI-81"/>
    <x v="0"/>
    <d v="2024-12-13T00:00:00"/>
    <x v="0"/>
    <s v="-"/>
    <n v="274"/>
    <n v="29"/>
    <d v="2024-12-14T00:00:00"/>
    <s v="Delhi"/>
    <s v="Drona Logitech Pvt Ltd"/>
    <s v="DL01LX0952"/>
    <s v="14 FT"/>
    <n v="1558"/>
    <s v="Dispatched"/>
    <s v="-"/>
    <m/>
  </r>
  <r>
    <n v="90"/>
    <n v="30"/>
    <s v="PIPO"/>
    <s v="PSO 46"/>
    <s v="-"/>
    <x v="10"/>
    <s v="2425/5/TI-92"/>
    <x v="0"/>
    <d v="2024-12-13T00:00:00"/>
    <x v="0"/>
    <s v="-"/>
    <n v="144"/>
    <n v="13"/>
    <d v="2024-12-14T00:00:00"/>
    <s v="Delhi"/>
    <s v="Drona Logitech Pvt Ltd"/>
    <s v="DL01LX0952"/>
    <s v="14 FT"/>
    <n v="1558"/>
    <s v="Dispatched"/>
    <s v="-"/>
    <m/>
  </r>
  <r>
    <n v="91"/>
    <n v="30"/>
    <s v="PIPO"/>
    <s v="PSO 49"/>
    <s v="-"/>
    <x v="4"/>
    <s v="2425/5/TI-95"/>
    <x v="0"/>
    <d v="2024-12-13T00:00:00"/>
    <x v="0"/>
    <s v="-"/>
    <n v="50"/>
    <n v="5"/>
    <d v="2024-12-14T00:00:00"/>
    <s v="Delhi"/>
    <s v="Drona Logitech Pvt Ltd"/>
    <s v="DL01LX0952"/>
    <s v="14 FT"/>
    <n v="1558"/>
    <s v="Dispatched"/>
    <s v="-"/>
    <m/>
  </r>
  <r>
    <n v="92"/>
    <n v="30"/>
    <s v="PIPO"/>
    <s v="PSO 58"/>
    <s v="-"/>
    <x v="21"/>
    <s v="2425/5/TI-97"/>
    <x v="0"/>
    <d v="2024-12-13T00:00:00"/>
    <x v="0"/>
    <s v="-"/>
    <n v="160"/>
    <n v="16"/>
    <d v="2024-12-14T00:00:00"/>
    <s v="Delhi"/>
    <s v="Drona Logitech Pvt Ltd"/>
    <s v="DL01LX0952"/>
    <s v="14 FT"/>
    <n v="1558"/>
    <s v="Dispatched"/>
    <s v="-"/>
    <m/>
  </r>
  <r>
    <n v="93"/>
    <n v="30"/>
    <s v="PIPO"/>
    <s v="PSO 54"/>
    <s v="-"/>
    <x v="7"/>
    <s v="2425/5/TI-96"/>
    <x v="0"/>
    <d v="2024-12-13T00:00:00"/>
    <x v="0"/>
    <s v="-"/>
    <n v="98"/>
    <n v="10"/>
    <d v="2024-12-14T00:00:00"/>
    <s v="Delhi"/>
    <s v="Drona Logitech Pvt Ltd"/>
    <s v="DL01LX0952"/>
    <s v="14 FT"/>
    <n v="1558"/>
    <s v="Dispatched"/>
    <s v="-"/>
    <m/>
  </r>
  <r>
    <n v="94"/>
    <n v="30"/>
    <s v="PIPO"/>
    <s v="PSO 48"/>
    <s v="-"/>
    <x v="20"/>
    <s v="2425/5/TI-94"/>
    <x v="0"/>
    <d v="2024-12-13T00:00:00"/>
    <x v="0"/>
    <s v="-"/>
    <n v="232"/>
    <n v="22"/>
    <d v="2024-12-14T00:00:00"/>
    <s v="Delhi"/>
    <s v="Drona Logitech Pvt Ltd"/>
    <s v="DL01LX0952"/>
    <s v="14 FT"/>
    <n v="1558"/>
    <s v="Dispatched"/>
    <s v="-"/>
    <m/>
  </r>
  <r>
    <n v="95"/>
    <n v="30"/>
    <s v="PIPO"/>
    <s v="PSO 47"/>
    <s v="-"/>
    <x v="29"/>
    <s v="2425/5/TI-93"/>
    <x v="0"/>
    <d v="2024-12-13T00:00:00"/>
    <x v="0"/>
    <s v="-"/>
    <n v="44"/>
    <n v="4"/>
    <d v="2024-12-14T00:00:00"/>
    <s v="Delhi"/>
    <s v="Drona Logitech Pvt Ltd"/>
    <s v="DL01LX0952"/>
    <s v="14 FT"/>
    <n v="1558"/>
    <s v="Dispatched"/>
    <s v="-"/>
    <m/>
  </r>
  <r>
    <n v="96"/>
    <n v="31"/>
    <s v="PIPO"/>
    <s v="PSO 65"/>
    <s v="-"/>
    <x v="24"/>
    <s v="2425/5/TI-109"/>
    <x v="0"/>
    <d v="2024-12-15T00:00:00"/>
    <x v="0"/>
    <s v="-"/>
    <n v="98"/>
    <n v="11"/>
    <d v="2024-12-15T00:00:00"/>
    <s v="Delhi"/>
    <s v="Drona Logitech Pvt Ltd"/>
    <s v="DL01MA3659"/>
    <s v="14 FT"/>
    <n v="1559"/>
    <s v="Dispatched"/>
    <s v="NEW VENDOR"/>
    <m/>
  </r>
  <r>
    <n v="97"/>
    <n v="31"/>
    <s v="PIPO"/>
    <s v="PSO 56"/>
    <s v="-"/>
    <x v="2"/>
    <s v="2425/5/TI-103"/>
    <x v="0"/>
    <d v="2024-12-15T00:00:00"/>
    <x v="0"/>
    <s v="-"/>
    <n v="542"/>
    <n v="54"/>
    <d v="2024-12-15T00:00:00"/>
    <s v="Delhi"/>
    <s v="Drona Logitech Pvt Ltd"/>
    <s v="DL01MA3659"/>
    <s v="14 FT"/>
    <n v="1559"/>
    <s v="Dispatched"/>
    <s v="NEW VENDOR"/>
    <m/>
  </r>
  <r>
    <n v="98"/>
    <n v="31"/>
    <s v="PIPO"/>
    <s v="PSO 57"/>
    <s v="-"/>
    <x v="2"/>
    <s v="2425/5/TI-104"/>
    <x v="0"/>
    <d v="2024-12-15T00:00:00"/>
    <x v="0"/>
    <s v="-"/>
    <n v="352"/>
    <n v="36"/>
    <d v="2024-12-15T00:00:00"/>
    <s v="Delhi"/>
    <s v="Drona Logitech Pvt Ltd"/>
    <s v="DL01MA3659"/>
    <s v="14 FT"/>
    <n v="1559"/>
    <s v="Dispatched"/>
    <s v="NEW VENDOR"/>
    <m/>
  </r>
  <r>
    <n v="99"/>
    <n v="31"/>
    <s v="PIPO"/>
    <s v="PSO 55"/>
    <s v="-"/>
    <x v="29"/>
    <s v="2425/5/TI-102"/>
    <x v="0"/>
    <d v="2024-12-15T00:00:00"/>
    <x v="0"/>
    <s v="-"/>
    <n v="126"/>
    <n v="13"/>
    <d v="2024-12-15T00:00:00"/>
    <s v="Delhi"/>
    <s v="Drona Logitech Pvt Ltd"/>
    <s v="DL01MA3659"/>
    <s v="14 FT"/>
    <n v="1559"/>
    <s v="Dispatched"/>
    <s v="NEW VENDOR"/>
    <m/>
  </r>
  <r>
    <n v="100"/>
    <n v="31"/>
    <s v="PIPO"/>
    <s v="PSO 62"/>
    <s v="-"/>
    <x v="15"/>
    <s v="2425/5/TI-108"/>
    <x v="0"/>
    <d v="2024-12-15T00:00:00"/>
    <x v="0"/>
    <s v="-"/>
    <n v="100"/>
    <n v="10"/>
    <d v="2024-12-15T00:00:00"/>
    <s v="Delhi"/>
    <s v="Drona Logitech Pvt Ltd"/>
    <s v="DL01MA3659"/>
    <s v="14 FT"/>
    <n v="1559"/>
    <s v="Dispatched"/>
    <s v="NEW VENDOR"/>
    <m/>
  </r>
  <r>
    <n v="101"/>
    <n v="31"/>
    <s v="PIPO"/>
    <s v="PSO 61"/>
    <s v="-"/>
    <x v="22"/>
    <s v="2425/5/TI-107"/>
    <x v="0"/>
    <d v="2024-12-15T00:00:00"/>
    <x v="0"/>
    <s v="-"/>
    <n v="107"/>
    <n v="11"/>
    <d v="2024-12-15T00:00:00"/>
    <s v="Delhi"/>
    <s v="Drona Logitech Pvt Ltd"/>
    <s v="DL01MA3659"/>
    <s v="14 FT"/>
    <n v="1559"/>
    <s v="Dispatched"/>
    <s v="NEW VENDOR"/>
    <m/>
  </r>
  <r>
    <n v="102"/>
    <n v="31"/>
    <s v="PIPO"/>
    <s v="PSO 59"/>
    <s v="-"/>
    <x v="20"/>
    <s v="2425/5/TI-105"/>
    <x v="0"/>
    <d v="2024-12-15T00:00:00"/>
    <x v="0"/>
    <s v="-"/>
    <n v="120"/>
    <n v="12"/>
    <d v="2024-12-15T00:00:00"/>
    <s v="Delhi"/>
    <s v="Drona Logitech Pvt Ltd"/>
    <s v="DL01MA3659"/>
    <s v="14 FT"/>
    <n v="1559"/>
    <s v="Dispatched"/>
    <s v="NEW VENDOR"/>
    <m/>
  </r>
  <r>
    <n v="103"/>
    <n v="31"/>
    <s v="PIPO"/>
    <s v="PSO 60"/>
    <s v="-"/>
    <x v="20"/>
    <s v="2425/5/TI-106"/>
    <x v="0"/>
    <d v="2024-12-15T00:00:00"/>
    <x v="0"/>
    <s v="-"/>
    <n v="70"/>
    <n v="7"/>
    <d v="2024-12-15T00:00:00"/>
    <s v="Delhi"/>
    <s v="Drona Logitech Pvt Ltd"/>
    <s v="DL01MA3659"/>
    <s v="14 FT"/>
    <n v="1559"/>
    <s v="Dispatched"/>
    <s v="NEW VENDOR"/>
    <m/>
  </r>
  <r>
    <n v="104"/>
    <n v="31"/>
    <s v="BIBO"/>
    <s v="WSO 43"/>
    <s v="-"/>
    <x v="4"/>
    <s v="2425/5/TI-100"/>
    <x v="0"/>
    <d v="2024-12-15T00:00:00"/>
    <x v="0"/>
    <s v="-"/>
    <n v="72"/>
    <n v="3"/>
    <d v="2024-12-15T00:00:00"/>
    <s v="Delhi"/>
    <s v="Drona Logitech Pvt Ltd"/>
    <s v="DL01MA3659"/>
    <s v="14 FT"/>
    <n v="1559"/>
    <s v="Dispatched"/>
    <s v="NEW VENDOR"/>
    <m/>
  </r>
  <r>
    <n v="105"/>
    <n v="31"/>
    <s v="PIPO"/>
    <s v="PSO 50"/>
    <s v="-"/>
    <x v="11"/>
    <s v="2425/5/TI-101"/>
    <x v="0"/>
    <d v="2024-12-15T00:00:00"/>
    <x v="0"/>
    <s v="-"/>
    <n v="478"/>
    <n v="49"/>
    <d v="2024-12-15T00:00:00"/>
    <s v="Delhi"/>
    <s v="Drona Logitech Pvt Ltd"/>
    <s v="DL01MA3659"/>
    <s v="14 FT"/>
    <n v="1559"/>
    <s v="Dispatched"/>
    <s v="NEW VENDOR"/>
    <m/>
  </r>
  <r>
    <n v="106"/>
    <n v="31"/>
    <s v="PIPO"/>
    <s v="PSO 12"/>
    <s v="-"/>
    <x v="11"/>
    <s v="2425/5/TI-73"/>
    <x v="0"/>
    <d v="2024-12-10T00:00:00"/>
    <x v="0"/>
    <s v="-"/>
    <n v="50"/>
    <n v="5"/>
    <d v="2024-12-15T00:00:00"/>
    <s v="Delhi"/>
    <s v="Drona Logitech Pvt Ltd"/>
    <s v="DL01MA3659"/>
    <s v="14 FT"/>
    <n v="1559"/>
    <s v="Dispatched"/>
    <s v="NEW VENDOR"/>
    <m/>
  </r>
  <r>
    <n v="107"/>
    <n v="31"/>
    <s v="PIPO"/>
    <s v="PSO 51"/>
    <s v="-"/>
    <x v="11"/>
    <s v="2425/5/TI-98"/>
    <x v="0"/>
    <d v="2024-12-15T00:00:00"/>
    <x v="0"/>
    <s v="-"/>
    <n v="96"/>
    <n v="10"/>
    <d v="2024-12-15T00:00:00"/>
    <s v="Delhi"/>
    <s v="Drona Logitech Pvt Ltd"/>
    <s v="DL01MA3659"/>
    <s v="14 FT"/>
    <n v="1559"/>
    <s v="Dispatched"/>
    <s v="NEW VENDOR"/>
    <m/>
  </r>
  <r>
    <n v="108"/>
    <n v="32"/>
    <s v="PIPO"/>
    <s v="PSO 63"/>
    <s v="-"/>
    <x v="16"/>
    <s v="2425/5/TI-110"/>
    <x v="0"/>
    <d v="2024-12-16T00:00:00"/>
    <x v="0"/>
    <s v="-"/>
    <n v="255"/>
    <n v="28"/>
    <d v="2024-12-16T00:00:00"/>
    <s v="Delhi"/>
    <s v="Drona Logitech Pvt Ltd"/>
    <s v="HR69E0823"/>
    <s v="PICKUP"/>
    <s v="DIRECT VEHICLE"/>
    <s v="Dispatched"/>
    <s v="VEHICLE ARRANGE BY CUSTOMER"/>
    <m/>
  </r>
  <r>
    <n v="109"/>
    <n v="32"/>
    <s v="PIPO"/>
    <s v="PSO 64"/>
    <s v="-"/>
    <x v="16"/>
    <s v="2425/5/TI-111"/>
    <x v="0"/>
    <d v="2024-12-16T00:00:00"/>
    <x v="0"/>
    <s v="-"/>
    <n v="86"/>
    <n v="9"/>
    <d v="2024-12-16T00:00:00"/>
    <s v="Delhi"/>
    <s v="Drona Logitech Pvt Ltd"/>
    <s v="HR69E0823"/>
    <s v="PICKUP"/>
    <s v="DIRECT VEHICLE"/>
    <s v="Dispatched"/>
    <s v="VEHICLE ARRANGE BY CUSTOMER"/>
    <m/>
  </r>
  <r>
    <n v="110"/>
    <n v="33"/>
    <s v="PIPO"/>
    <s v="PSO 76"/>
    <s v="-"/>
    <x v="1"/>
    <s v="2425/5/TI-115"/>
    <x v="0"/>
    <d v="2024-12-16T00:00:00"/>
    <x v="0"/>
    <s v="-"/>
    <n v="240"/>
    <n v="44"/>
    <d v="2024-12-16T00:00:00"/>
    <s v="Delhi"/>
    <s v="Drona Logitech Pvt Ltd"/>
    <s v="DL01MA2872"/>
    <s v="32 FT"/>
    <n v="1872"/>
    <s v="Dispatched"/>
    <s v="-"/>
    <m/>
  </r>
  <r>
    <n v="111"/>
    <n v="33"/>
    <s v="PIPO"/>
    <s v="PSO 52"/>
    <s v="-"/>
    <x v="11"/>
    <s v="2425/5/TI-118"/>
    <x v="0"/>
    <d v="2024-12-16T00:00:00"/>
    <x v="0"/>
    <s v="-"/>
    <n v="517"/>
    <n v="59"/>
    <d v="2024-12-16T00:00:00"/>
    <s v="Delhi"/>
    <s v="Drona Logitech Pvt Ltd"/>
    <s v="DL01MA2872"/>
    <s v="32 FT"/>
    <n v="1833"/>
    <s v="Dispatched"/>
    <s v="-"/>
    <m/>
  </r>
  <r>
    <n v="112"/>
    <n v="33"/>
    <s v="BIBO"/>
    <s v="WSO 41,42"/>
    <s v="-"/>
    <x v="17"/>
    <s v="2425/5/TI-99"/>
    <x v="0"/>
    <d v="2024-12-15T00:00:00"/>
    <x v="0"/>
    <s v="-"/>
    <n v="1296"/>
    <n v="54"/>
    <d v="2024-12-16T00:00:00"/>
    <s v="Delhi"/>
    <s v="Drona Logitech Pvt Ltd"/>
    <s v="DL01MA2872"/>
    <s v="32 FT"/>
    <n v="1833"/>
    <s v="Dispatched"/>
    <s v="-"/>
    <m/>
  </r>
  <r>
    <n v="113"/>
    <n v="33"/>
    <s v="PIPO"/>
    <s v="PSO 78"/>
    <s v="-"/>
    <x v="9"/>
    <s v="2425/5/TI-117"/>
    <x v="0"/>
    <d v="2024-12-16T00:00:00"/>
    <x v="0"/>
    <s v="-"/>
    <n v="147"/>
    <n v="15"/>
    <d v="2024-12-16T00:00:00"/>
    <s v="Delhi"/>
    <s v="Drona Logitech Pvt Ltd"/>
    <s v="DL01MA2872"/>
    <s v="32 FT"/>
    <n v="1833"/>
    <s v="Dispatched"/>
    <s v="-"/>
    <m/>
  </r>
  <r>
    <n v="114"/>
    <n v="33"/>
    <s v="PIPO"/>
    <s v="PSO 77"/>
    <s v="-"/>
    <x v="2"/>
    <s v="2425/5/TI-116"/>
    <x v="0"/>
    <d v="2024-12-16T00:00:00"/>
    <x v="0"/>
    <s v="-"/>
    <n v="70"/>
    <n v="7"/>
    <d v="2024-12-16T00:00:00"/>
    <s v="Delhi"/>
    <s v="Drona Logitech Pvt Ltd"/>
    <s v="DL01MA2872"/>
    <s v="32 FT"/>
    <n v="1833"/>
    <s v="Dispatched"/>
    <s v="-"/>
    <m/>
  </r>
  <r>
    <n v="115"/>
    <n v="33"/>
    <s v="PIPO"/>
    <s v="PSO 74"/>
    <s v="-"/>
    <x v="15"/>
    <s v="2425/5/TI-113"/>
    <x v="0"/>
    <d v="2024-12-16T00:00:00"/>
    <x v="0"/>
    <s v="-"/>
    <n v="24"/>
    <n v="2"/>
    <d v="2024-12-16T00:00:00"/>
    <s v="Delhi"/>
    <s v="Drona Logitech Pvt Ltd"/>
    <s v="DL01MA2872"/>
    <s v="32 FT"/>
    <n v="1851"/>
    <s v="Dispatched"/>
    <s v="-"/>
    <m/>
  </r>
  <r>
    <n v="116"/>
    <n v="34"/>
    <s v="PIPO"/>
    <s v="PSO 83"/>
    <s v="-"/>
    <x v="4"/>
    <s v="2425/5/TI-129"/>
    <x v="0"/>
    <d v="2024-12-18T00:00:00"/>
    <x v="0"/>
    <s v="-"/>
    <n v="40"/>
    <n v="4"/>
    <d v="2024-12-18T00:00:00"/>
    <s v="Delhi"/>
    <s v="Drona Logitech Pvt Ltd"/>
    <s v="HR61E0283"/>
    <s v="22 FT"/>
    <n v="1857"/>
    <s v="Dispatched"/>
    <s v="-"/>
    <m/>
  </r>
  <r>
    <n v="117"/>
    <n v="34"/>
    <s v="PIPO"/>
    <s v="PSO 82"/>
    <s v="-"/>
    <x v="4"/>
    <s v="2425/5/TI-130"/>
    <x v="0"/>
    <d v="2024-12-18T00:00:00"/>
    <x v="0"/>
    <s v="-"/>
    <n v="80"/>
    <n v="8"/>
    <d v="2024-12-18T00:00:00"/>
    <s v="Delhi"/>
    <s v="Drona Logitech Pvt Ltd"/>
    <s v="HR61E0283"/>
    <s v="22 FT"/>
    <n v="1857"/>
    <s v="Dispatched"/>
    <s v="-"/>
    <m/>
  </r>
  <r>
    <n v="118"/>
    <n v="34"/>
    <s v="PIPO"/>
    <s v="PSO 69"/>
    <s v="-"/>
    <x v="4"/>
    <s v="2425/5/TI-122"/>
    <x v="0"/>
    <d v="2024-12-18T00:00:00"/>
    <x v="0"/>
    <s v="-"/>
    <n v="159"/>
    <n v="15"/>
    <d v="2024-12-18T00:00:00"/>
    <s v="Delhi"/>
    <s v="Drona Logitech Pvt Ltd"/>
    <s v="HR61E0283"/>
    <s v="22 FT"/>
    <n v="1857"/>
    <s v="Dispatched"/>
    <s v="-"/>
    <m/>
  </r>
  <r>
    <n v="119"/>
    <n v="34"/>
    <s v="BIBO"/>
    <s v="WSO 44"/>
    <s v="-"/>
    <x v="4"/>
    <s v="2425/5/TI-133"/>
    <x v="0"/>
    <d v="2024-12-18T00:00:00"/>
    <x v="0"/>
    <s v="-"/>
    <n v="120"/>
    <n v="5"/>
    <d v="2024-12-18T00:00:00"/>
    <s v="Delhi"/>
    <s v="Drona Logitech Pvt Ltd"/>
    <s v="HR61E0283"/>
    <s v="22 FT"/>
    <n v="1857"/>
    <s v="Dispatched"/>
    <s v="-"/>
    <m/>
  </r>
  <r>
    <n v="120"/>
    <n v="34"/>
    <s v="PIPO"/>
    <s v="PSO 53"/>
    <s v="-"/>
    <x v="11"/>
    <s v="2425/5/TI-112"/>
    <x v="0"/>
    <d v="2024-12-16T00:00:00"/>
    <x v="0"/>
    <s v="-"/>
    <n v="280"/>
    <n v="30"/>
    <d v="2024-12-18T00:00:00"/>
    <s v="Delhi"/>
    <s v="Drona Logitech Pvt Ltd"/>
    <s v="HR61E0283"/>
    <s v="22 FT"/>
    <n v="1863"/>
    <s v="Dispatched"/>
    <s v="-"/>
    <m/>
  </r>
  <r>
    <n v="121"/>
    <n v="34"/>
    <s v="PIPO"/>
    <s v="PSO 68"/>
    <s v="-"/>
    <x v="21"/>
    <s v="2425/5/TI-121"/>
    <x v="0"/>
    <d v="2024-12-18T00:00:00"/>
    <x v="0"/>
    <s v="-"/>
    <n v="61"/>
    <n v="6"/>
    <d v="2024-12-18T00:00:00"/>
    <s v="Delhi"/>
    <s v="Drona Logitech Pvt Ltd"/>
    <s v="HR61E0283"/>
    <s v="22 FT"/>
    <n v="1864"/>
    <s v="Dispatched"/>
    <s v="-"/>
    <m/>
  </r>
  <r>
    <n v="122"/>
    <n v="34"/>
    <s v="PIPO"/>
    <s v="PSO 72"/>
    <s v="-"/>
    <x v="30"/>
    <s v="2425/5/TI-131"/>
    <x v="0"/>
    <d v="2024-12-18T00:00:00"/>
    <x v="0"/>
    <s v="-"/>
    <n v="128"/>
    <n v="12"/>
    <d v="2024-12-18T00:00:00"/>
    <s v="Delhi"/>
    <s v="Drona Logitech Pvt Ltd"/>
    <s v="HR61E0283"/>
    <s v="22 FT"/>
    <n v="1867"/>
    <s v="Dispatched"/>
    <s v="-"/>
    <m/>
  </r>
  <r>
    <n v="123"/>
    <n v="34"/>
    <s v="PIPO"/>
    <s v="PSO 67"/>
    <s v="-"/>
    <x v="2"/>
    <s v="2425/5/TI-120"/>
    <x v="0"/>
    <d v="2024-12-18T00:00:00"/>
    <x v="0"/>
    <s v="-"/>
    <n v="100"/>
    <n v="10"/>
    <d v="2024-12-18T00:00:00"/>
    <s v="Delhi"/>
    <s v="Drona Logitech Pvt Ltd"/>
    <s v="HR61E0283"/>
    <s v="22 FT"/>
    <n v="1865"/>
    <s v="Dispatched"/>
    <s v="-"/>
    <m/>
  </r>
  <r>
    <n v="124"/>
    <n v="34"/>
    <s v="PIPO"/>
    <s v="PSO 79"/>
    <s v="-"/>
    <x v="31"/>
    <s v="2425/5/TI-126"/>
    <x v="0"/>
    <d v="2024-12-18T00:00:00"/>
    <x v="0"/>
    <s v="-"/>
    <n v="173"/>
    <n v="18"/>
    <d v="2024-12-18T00:00:00"/>
    <s v="Delhi"/>
    <s v="Drona Logitech Pvt Ltd"/>
    <s v="HR61E0283"/>
    <s v="22 FT"/>
    <n v="1866"/>
    <s v="Dispatched"/>
    <s v="-"/>
    <m/>
  </r>
  <r>
    <n v="125"/>
    <n v="34"/>
    <s v="PIPO"/>
    <s v="PSO 84"/>
    <s v="-"/>
    <x v="32"/>
    <s v="2425/5/TI-132"/>
    <x v="0"/>
    <d v="2024-12-18T00:00:00"/>
    <x v="0"/>
    <s v="-"/>
    <n v="12"/>
    <n v="1"/>
    <d v="2024-12-18T00:00:00"/>
    <s v="Delhi"/>
    <s v="Drona Logitech Pvt Ltd"/>
    <s v="HR61E0283"/>
    <s v="22 FT"/>
    <n v="1858"/>
    <s v="Dispatched"/>
    <s v="-"/>
    <m/>
  </r>
  <r>
    <n v="126"/>
    <n v="34"/>
    <s v="BIBO"/>
    <s v="WSO 45"/>
    <s v="-"/>
    <x v="32"/>
    <s v="2425/5/TI-134"/>
    <x v="0"/>
    <d v="2024-12-18T00:00:00"/>
    <x v="0"/>
    <s v="-"/>
    <n v="24"/>
    <n v="1"/>
    <d v="2024-12-18T00:00:00"/>
    <s v="Delhi"/>
    <s v="Drona Logitech Pvt Ltd"/>
    <s v="HR61E0283"/>
    <s v="22 FT"/>
    <n v="1858"/>
    <s v="Dispatched"/>
    <s v="-"/>
    <m/>
  </r>
  <r>
    <n v="127"/>
    <n v="34"/>
    <s v="PIPO"/>
    <s v="PSO 80"/>
    <s v="-"/>
    <x v="33"/>
    <s v="2425/5/TI-127"/>
    <x v="0"/>
    <d v="2024-12-18T00:00:00"/>
    <x v="0"/>
    <s v="-"/>
    <n v="215"/>
    <n v="21"/>
    <d v="2024-12-18T00:00:00"/>
    <s v="Delhi"/>
    <s v="Drona Logitech Pvt Ltd"/>
    <s v="HR61E0283"/>
    <s v="22 FT"/>
    <n v="1860"/>
    <s v="Dispatched"/>
    <s v="-"/>
    <m/>
  </r>
  <r>
    <n v="128"/>
    <n v="34"/>
    <s v="PIPO"/>
    <s v="PSO 81"/>
    <s v="-"/>
    <x v="33"/>
    <s v="2425/5/TI-127"/>
    <x v="0"/>
    <d v="2024-12-18T00:00:00"/>
    <x v="0"/>
    <s v="-"/>
    <n v="175"/>
    <n v="18"/>
    <d v="2024-12-18T00:00:00"/>
    <s v="Delhi"/>
    <s v="Drona Logitech Pvt Ltd"/>
    <s v="HR61E0283"/>
    <s v="22 FT"/>
    <n v="1860"/>
    <s v="Dispatched"/>
    <s v="-"/>
    <m/>
  </r>
  <r>
    <n v="129"/>
    <n v="34"/>
    <s v="PIPO"/>
    <s v="PSO 66"/>
    <s v="-"/>
    <x v="5"/>
    <s v="2425/5/TI-119"/>
    <x v="0"/>
    <d v="2024-12-18T00:00:00"/>
    <x v="0"/>
    <s v="-"/>
    <n v="178"/>
    <n v="18"/>
    <d v="2024-12-18T00:00:00"/>
    <s v="Delhi"/>
    <s v="Drona Logitech Pvt Ltd"/>
    <s v="HR61E0283"/>
    <s v="22 FT"/>
    <n v="1861"/>
    <s v="Dispatched"/>
    <s v="-"/>
    <m/>
  </r>
  <r>
    <n v="130"/>
    <n v="34"/>
    <s v="PIPO"/>
    <s v="PSO 73"/>
    <s v="-"/>
    <x v="34"/>
    <s v="2425/5/TI-125"/>
    <x v="0"/>
    <d v="2024-12-18T00:00:00"/>
    <x v="0"/>
    <s v="-"/>
    <n v="112"/>
    <n v="12"/>
    <d v="2024-12-18T00:00:00"/>
    <s v="Delhi"/>
    <s v="Drona Logitech Pvt Ltd"/>
    <s v="HR61E0283"/>
    <s v="22 FT"/>
    <n v="1862"/>
    <s v="Dispatched"/>
    <s v="-"/>
    <m/>
  </r>
  <r>
    <n v="131"/>
    <n v="34"/>
    <s v="PIPO"/>
    <s v="PSO 71"/>
    <s v="-"/>
    <x v="8"/>
    <s v="2425/5/TI-124"/>
    <x v="0"/>
    <d v="2024-12-18T00:00:00"/>
    <x v="0"/>
    <s v="-"/>
    <n v="16"/>
    <n v="2"/>
    <d v="2024-12-18T00:00:00"/>
    <s v="Delhi"/>
    <s v="Drona Logitech Pvt Ltd"/>
    <s v="HR61E0283"/>
    <s v="22 FT"/>
    <n v="1889"/>
    <s v="Dispatched"/>
    <s v="-"/>
    <m/>
  </r>
  <r>
    <n v="132"/>
    <n v="34"/>
    <s v="PIPO"/>
    <s v="PSO 70"/>
    <s v="-"/>
    <x v="8"/>
    <s v="2425/5/TI-123"/>
    <x v="0"/>
    <d v="2024-12-18T00:00:00"/>
    <x v="0"/>
    <s v="-"/>
    <n v="63"/>
    <n v="7"/>
    <d v="2024-12-18T00:00:00"/>
    <s v="Delhi"/>
    <s v="Drona Logitech Pvt Ltd"/>
    <s v="HR61E0283"/>
    <s v="22 FT"/>
    <n v="1889"/>
    <s v="Dispatched"/>
    <s v="-"/>
    <m/>
  </r>
  <r>
    <n v="133"/>
    <n v="35"/>
    <s v="BIBO"/>
    <s v="WSO 48"/>
    <s v="-"/>
    <x v="3"/>
    <s v="2425/5/TI-137"/>
    <x v="0"/>
    <d v="2024-12-22T00:00:00"/>
    <x v="0"/>
    <s v="-"/>
    <n v="96"/>
    <n v="4"/>
    <d v="2024-12-22T00:00:00"/>
    <s v="Delhi"/>
    <s v="Drona Logitech Pvt Ltd"/>
    <s v="DL01MA2872"/>
    <s v="32 FT"/>
    <n v="1874"/>
    <s v="Dispatched"/>
    <s v="-"/>
    <m/>
  </r>
  <r>
    <n v="134"/>
    <n v="35"/>
    <s v="BIBO"/>
    <s v="WSO 52"/>
    <s v="-"/>
    <x v="29"/>
    <s v="2425/5/TI-143"/>
    <x v="0"/>
    <d v="2024-12-22T00:00:00"/>
    <x v="0"/>
    <s v="-"/>
    <n v="72"/>
    <n v="3"/>
    <d v="2024-12-22T00:00:00"/>
    <s v="Delhi"/>
    <s v="Drona Logitech Pvt Ltd"/>
    <s v="DL01MA2872"/>
    <s v="32 FT"/>
    <n v="1870"/>
    <s v="Dispatched"/>
    <s v="-"/>
    <m/>
  </r>
  <r>
    <n v="135"/>
    <n v="35"/>
    <s v="BIBO"/>
    <s v="WSO 50"/>
    <s v="-"/>
    <x v="6"/>
    <s v="2425/5/TI-145"/>
    <x v="0"/>
    <d v="2024-12-22T00:00:00"/>
    <x v="0"/>
    <s v="-"/>
    <n v="696"/>
    <n v="37"/>
    <d v="2024-12-22T00:00:00"/>
    <s v="Delhi"/>
    <s v="Drona Logitech Pvt Ltd"/>
    <s v="DL01MA2872"/>
    <s v="32 FT"/>
    <n v="1873"/>
    <s v="Dispatched"/>
    <s v="-"/>
    <m/>
  </r>
  <r>
    <n v="136"/>
    <n v="35"/>
    <s v="BIBO"/>
    <s v="WSO 51"/>
    <s v="-"/>
    <x v="12"/>
    <s v="2425/5/TI-144"/>
    <x v="0"/>
    <d v="2024-12-22T00:00:00"/>
    <x v="0"/>
    <s v="-"/>
    <n v="96"/>
    <n v="4"/>
    <d v="2024-12-22T00:00:00"/>
    <s v="Delhi"/>
    <s v="Drona Logitech Pvt Ltd"/>
    <s v="DL01MA2872"/>
    <s v="32 FT"/>
    <n v="1879"/>
    <s v="Dispatched"/>
    <s v="-"/>
    <m/>
  </r>
  <r>
    <n v="137"/>
    <n v="35"/>
    <s v="BIBO"/>
    <s v="WSO 46"/>
    <s v="-"/>
    <x v="28"/>
    <s v="2425/5/TI-135"/>
    <x v="0"/>
    <d v="2024-12-22T00:00:00"/>
    <x v="0"/>
    <s v="-"/>
    <n v="504"/>
    <n v="21"/>
    <d v="2024-12-22T00:00:00"/>
    <s v="Delhi"/>
    <s v="Drona Logitech Pvt Ltd"/>
    <s v="DL01MA2872"/>
    <s v="32 FT"/>
    <n v="1878"/>
    <s v="Dispatched"/>
    <s v="-"/>
    <m/>
  </r>
  <r>
    <n v="138"/>
    <n v="35"/>
    <s v="PIPO"/>
    <s v="PSO 85"/>
    <s v="-"/>
    <x v="35"/>
    <s v="2425/5/TI-139"/>
    <x v="0"/>
    <d v="2024-12-22T00:00:00"/>
    <x v="0"/>
    <s v="-"/>
    <n v="92"/>
    <n v="8"/>
    <d v="2024-12-22T00:00:00"/>
    <s v="Delhi"/>
    <s v="Drona Logitech Pvt Ltd"/>
    <s v="DL01MA2872"/>
    <s v="32 FT"/>
    <n v="1875"/>
    <s v="Dispatched"/>
    <s v="-"/>
    <m/>
  </r>
  <r>
    <n v="139"/>
    <n v="35"/>
    <s v="BIBO"/>
    <s v="WSO 21,47"/>
    <s v="-"/>
    <x v="13"/>
    <s v="2425/5/TI-136"/>
    <x v="0"/>
    <d v="2024-12-22T00:00:00"/>
    <x v="0"/>
    <s v="-"/>
    <n v="912"/>
    <n v="38"/>
    <d v="2024-12-22T00:00:00"/>
    <s v="Delhi"/>
    <s v="Drona Logitech Pvt Ltd"/>
    <s v="DL01MA2872"/>
    <s v="32 FT"/>
    <n v="1871"/>
    <s v="Dispatched"/>
    <s v="-"/>
    <m/>
  </r>
  <r>
    <n v="140"/>
    <n v="35"/>
    <s v="BIBO"/>
    <s v="WSO 53"/>
    <s v="-"/>
    <x v="22"/>
    <s v="2425/5/TI-142"/>
    <x v="0"/>
    <d v="2024-12-22T00:00:00"/>
    <x v="0"/>
    <s v="-"/>
    <n v="72"/>
    <n v="3"/>
    <d v="2024-12-22T00:00:00"/>
    <s v="Delhi"/>
    <s v="Drona Logitech Pvt Ltd"/>
    <s v="DL01MA2872"/>
    <s v="32 FT"/>
    <n v="1869"/>
    <s v="Dispatched"/>
    <s v="-"/>
    <m/>
  </r>
  <r>
    <n v="141"/>
    <n v="35"/>
    <s v="BIBO"/>
    <s v="WSO 55"/>
    <s v="-"/>
    <x v="4"/>
    <s v="2425/5/TI-140"/>
    <x v="0"/>
    <d v="2024-12-22T00:00:00"/>
    <x v="0"/>
    <s v="-"/>
    <n v="144"/>
    <n v="6"/>
    <d v="2024-12-22T00:00:00"/>
    <s v="Delhi"/>
    <s v="Drona Logitech Pvt Ltd"/>
    <s v="DL01MA2872"/>
    <s v="32 FT"/>
    <n v="1868"/>
    <s v="Dispatched"/>
    <s v="-"/>
    <m/>
  </r>
  <r>
    <n v="142"/>
    <n v="35"/>
    <s v="BIBO"/>
    <s v="WSO 03"/>
    <s v="-"/>
    <x v="16"/>
    <s v="2425/5/TI-141"/>
    <x v="0"/>
    <d v="2024-12-22T00:00:00"/>
    <x v="0"/>
    <s v="-"/>
    <n v="72"/>
    <n v="3"/>
    <d v="2024-12-22T00:00:00"/>
    <s v="Delhi"/>
    <s v="Drona Logitech Pvt Ltd"/>
    <s v="DL01MA2872"/>
    <s v="32 FT"/>
    <n v="1876"/>
    <s v="Dispatched"/>
    <s v="-"/>
    <m/>
  </r>
  <r>
    <n v="143"/>
    <n v="35"/>
    <s v="BIBO"/>
    <s v="WSO 49"/>
    <s v="-"/>
    <x v="25"/>
    <s v="2425/5/TI-138"/>
    <x v="0"/>
    <d v="2024-12-22T00:00:00"/>
    <x v="0"/>
    <s v="-"/>
    <n v="96"/>
    <n v="4"/>
    <d v="2024-12-22T00:00:00"/>
    <s v="Delhi"/>
    <s v="Drona Logitech Pvt Ltd"/>
    <s v="DL01MA2872"/>
    <s v="32 FT"/>
    <n v="1872"/>
    <s v="Dispatched"/>
    <s v="-"/>
    <m/>
  </r>
  <r>
    <n v="144"/>
    <n v="36"/>
    <s v="PIPO"/>
    <s v="PSO 96"/>
    <s v="-"/>
    <x v="8"/>
    <s v="2425/5/TI-155"/>
    <x v="0"/>
    <d v="2024-12-22T00:00:00"/>
    <x v="0"/>
    <s v="-"/>
    <n v="82"/>
    <n v="28"/>
    <d v="2024-12-23T00:00:00"/>
    <s v="Delhi"/>
    <s v="Drona Logitech Pvt Ltd"/>
    <s v="DL01MA2872"/>
    <s v="22 FT"/>
    <n v="1881"/>
    <s v="Dispatched"/>
    <s v="-"/>
    <m/>
  </r>
  <r>
    <n v="145"/>
    <n v="36"/>
    <s v="PIPO"/>
    <s v="PSO 95"/>
    <s v="-"/>
    <x v="8"/>
    <s v="2425/5/TI-166"/>
    <x v="0"/>
    <d v="2024-12-23T00:00:00"/>
    <x v="0"/>
    <s v="-"/>
    <n v="200"/>
    <n v="10"/>
    <d v="2024-12-23T00:00:00"/>
    <s v="Delhi"/>
    <s v="Drona Logitech Pvt Ltd"/>
    <s v="DL01MA2872"/>
    <s v="22 FT"/>
    <n v="1881"/>
    <s v="Dispatched"/>
    <s v="-"/>
    <m/>
  </r>
  <r>
    <n v="146"/>
    <n v="36"/>
    <s v="PIPO"/>
    <s v="PSO 92"/>
    <s v="-"/>
    <x v="20"/>
    <s v="2425/5/TI-151"/>
    <x v="0"/>
    <d v="2024-12-22T00:00:00"/>
    <x v="0"/>
    <s v="-"/>
    <n v="110"/>
    <n v="11"/>
    <d v="2024-12-23T00:00:00"/>
    <s v="Delhi"/>
    <s v="Drona Logitech Pvt Ltd"/>
    <s v="DL01MA2872"/>
    <s v="22 FT"/>
    <n v="1881"/>
    <s v="Dispatched"/>
    <s v="-"/>
    <m/>
  </r>
  <r>
    <n v="147"/>
    <n v="36"/>
    <s v="PIPO"/>
    <s v="PSO 86"/>
    <s v="-"/>
    <x v="25"/>
    <s v="2425/5/TI-147"/>
    <x v="0"/>
    <d v="2024-12-22T00:00:00"/>
    <x v="0"/>
    <s v="-"/>
    <n v="402"/>
    <n v="40"/>
    <d v="2024-12-23T00:00:00"/>
    <s v="Delhi"/>
    <s v="Drona Logitech Pvt Ltd"/>
    <s v="DL01MA2872"/>
    <s v="22 FT"/>
    <n v="1882"/>
    <s v="Dispatched"/>
    <s v="-"/>
    <m/>
  </r>
  <r>
    <n v="148"/>
    <n v="36"/>
    <s v="PIPO"/>
    <s v="PSO 100"/>
    <s v="-"/>
    <x v="28"/>
    <s v="2425/5/TI-153"/>
    <x v="0"/>
    <d v="2024-12-22T00:00:00"/>
    <x v="0"/>
    <s v="-"/>
    <n v="20"/>
    <n v="2"/>
    <d v="2024-12-23T00:00:00"/>
    <s v="Delhi"/>
    <s v="Drona Logitech Pvt Ltd"/>
    <s v="DL01MA2872"/>
    <s v="22 FT"/>
    <n v="1883"/>
    <s v="Dispatched"/>
    <s v="-"/>
    <m/>
  </r>
  <r>
    <n v="149"/>
    <n v="36"/>
    <s v="PIPO"/>
    <s v="PSO 87"/>
    <s v="-"/>
    <x v="4"/>
    <s v="2425/5/TI-146"/>
    <x v="0"/>
    <d v="2024-12-22T00:00:00"/>
    <x v="0"/>
    <s v="-"/>
    <n v="70"/>
    <n v="8"/>
    <d v="2024-12-23T00:00:00"/>
    <s v="Delhi"/>
    <s v="Drona Logitech Pvt Ltd"/>
    <s v="DL01MA2872"/>
    <s v="22 FT"/>
    <n v="1884"/>
    <s v="Dispatched"/>
    <s v="-"/>
    <m/>
  </r>
  <r>
    <n v="150"/>
    <n v="36"/>
    <s v="PIPO"/>
    <s v="PSO 91"/>
    <s v="-"/>
    <x v="3"/>
    <s v="2425/5/TI-149"/>
    <x v="0"/>
    <d v="2024-12-22T00:00:00"/>
    <x v="0"/>
    <s v="-"/>
    <n v="152"/>
    <n v="14"/>
    <d v="2024-12-23T00:00:00"/>
    <s v="Delhi"/>
    <s v="Drona Logitech Pvt Ltd"/>
    <s v="DL01MA2872"/>
    <s v="22 FT"/>
    <n v="1885"/>
    <s v="Dispatched"/>
    <s v="-"/>
    <m/>
  </r>
  <r>
    <n v="151"/>
    <n v="36"/>
    <s v="PIPO"/>
    <s v="PSO 101"/>
    <s v="-"/>
    <x v="34"/>
    <s v="2425/5/TI-152"/>
    <x v="0"/>
    <d v="2024-12-22T00:00:00"/>
    <x v="0"/>
    <s v="-"/>
    <n v="120"/>
    <n v="12"/>
    <d v="2024-12-23T00:00:00"/>
    <s v="Delhi"/>
    <s v="Drona Logitech Pvt Ltd"/>
    <s v="DL01MA2872"/>
    <s v="22 FT"/>
    <n v="1886"/>
    <s v="Dispatched"/>
    <s v="-"/>
    <m/>
  </r>
  <r>
    <n v="152"/>
    <n v="36"/>
    <s v="PIPO"/>
    <s v="PSO 103"/>
    <s v="-"/>
    <x v="21"/>
    <s v="2425/5/TI-158"/>
    <x v="0"/>
    <d v="2024-12-23T00:00:00"/>
    <x v="0"/>
    <s v="-"/>
    <n v="146"/>
    <n v="15"/>
    <d v="2024-12-23T00:00:00"/>
    <s v="Delhi"/>
    <s v="Drona Logitech Pvt Ltd"/>
    <s v="DL01MA2872"/>
    <s v="22 FT"/>
    <n v="1887"/>
    <s v="Dispatched"/>
    <s v="-"/>
    <m/>
  </r>
  <r>
    <n v="153"/>
    <n v="36"/>
    <s v="PIPO"/>
    <s v="PSO 97"/>
    <s v="-"/>
    <x v="11"/>
    <s v="2425/5/TI-161"/>
    <x v="0"/>
    <d v="2024-12-23T00:00:00"/>
    <x v="0"/>
    <s v="-"/>
    <n v="480"/>
    <n v="45"/>
    <d v="2024-12-23T00:00:00"/>
    <s v="Delhi"/>
    <s v="Drona Logitech Pvt Ltd"/>
    <s v="DL01MA2872"/>
    <s v="22 FT"/>
    <n v="1888"/>
    <s v="Dispatched"/>
    <s v="-"/>
    <m/>
  </r>
  <r>
    <n v="154"/>
    <n v="36"/>
    <s v="PIPO"/>
    <s v="PSO 90"/>
    <s v="-"/>
    <x v="9"/>
    <s v="2425/5/TI-157"/>
    <x v="0"/>
    <d v="2024-12-22T00:00:00"/>
    <x v="0"/>
    <s v="-"/>
    <n v="120"/>
    <n v="13"/>
    <d v="2024-12-23T00:00:00"/>
    <s v="Delhi"/>
    <s v="Drona Logitech Pvt Ltd"/>
    <s v="DL01MA2872"/>
    <s v="22 FT"/>
    <n v="1889"/>
    <s v="Dispatched"/>
    <s v="-"/>
    <m/>
  </r>
  <r>
    <n v="155"/>
    <n v="36"/>
    <s v="PIPO"/>
    <s v=" PSO90"/>
    <s v="-"/>
    <x v="9"/>
    <s v="2425/5/TI-156"/>
    <x v="0"/>
    <d v="2024-12-22T00:00:00"/>
    <x v="0"/>
    <s v="-"/>
    <n v="138"/>
    <n v="12"/>
    <d v="2024-12-23T00:00:00"/>
    <s v="Delhi"/>
    <s v="Drona Logitech Pvt Ltd"/>
    <s v="DL01MA2872"/>
    <s v="22 FT"/>
    <n v="1889"/>
    <s v="Dispatched"/>
    <s v="-"/>
    <m/>
  </r>
  <r>
    <n v="156"/>
    <n v="37"/>
    <s v="PIPO"/>
    <s v="PSO102"/>
    <s v="-"/>
    <x v="13"/>
    <s v="2425/5/TI-159"/>
    <x v="0"/>
    <d v="2024-12-23T00:00:00"/>
    <x v="0"/>
    <s v="-"/>
    <n v="120"/>
    <n v="10"/>
    <d v="2024-12-24T00:00:00"/>
    <s v="Delhi"/>
    <s v="Drona Logitech Pvt Ltd"/>
    <s v="DL1MA3659"/>
    <s v="22FT"/>
    <n v="1899"/>
    <s v="Dispatched"/>
    <s v="-"/>
    <m/>
  </r>
  <r>
    <n v="157"/>
    <n v="37"/>
    <s v="PIPO"/>
    <s v="PSO105"/>
    <s v="-"/>
    <x v="16"/>
    <s v="2425/5/TI-162"/>
    <x v="0"/>
    <d v="2024-12-23T00:00:00"/>
    <x v="0"/>
    <s v="-"/>
    <n v="266"/>
    <n v="26"/>
    <d v="2024-12-24T00:00:00"/>
    <s v="Delhi"/>
    <s v="Drona Logitech Pvt Ltd"/>
    <s v="DL1MA3659"/>
    <s v="22FT"/>
    <n v="1897"/>
    <s v="Dispatched"/>
    <s v="-"/>
    <m/>
  </r>
  <r>
    <n v="158"/>
    <n v="37"/>
    <s v="PIPO"/>
    <s v="PSO 98"/>
    <s v="-"/>
    <x v="2"/>
    <s v="2425/5/TI-154"/>
    <x v="0"/>
    <d v="2024-12-22T00:00:00"/>
    <x v="0"/>
    <s v="-"/>
    <n v="250"/>
    <n v="25"/>
    <d v="2024-12-24T00:00:00"/>
    <s v="Delhi"/>
    <s v="Drona Logitech Pvt Ltd"/>
    <s v="DL1MA3659"/>
    <s v="22FT"/>
    <n v="1896"/>
    <s v="Dispatched"/>
    <s v="-"/>
    <m/>
  </r>
  <r>
    <n v="159"/>
    <n v="37"/>
    <s v="PIPO"/>
    <s v="PSO 99"/>
    <s v="-"/>
    <x v="24"/>
    <s v="2425/5/TI-164"/>
    <x v="0"/>
    <d v="2024-12-23T00:00:00"/>
    <x v="0"/>
    <s v="-"/>
    <n v="180"/>
    <n v="18"/>
    <d v="2024-12-24T00:00:00"/>
    <s v="Delhi"/>
    <s v="Drona Logitech Pvt Ltd"/>
    <s v="DL1MA3659"/>
    <s v="22FT"/>
    <n v="1895"/>
    <s v="Dispatched"/>
    <s v="-"/>
    <m/>
  </r>
  <r>
    <n v="160"/>
    <n v="37"/>
    <s v="PIPO"/>
    <s v="PSO114"/>
    <s v="-"/>
    <x v="4"/>
    <s v="2425/5/TI-168"/>
    <x v="0"/>
    <d v="2024-12-24T00:00:00"/>
    <x v="0"/>
    <s v="-"/>
    <n v="70"/>
    <n v="7"/>
    <d v="2024-12-24T00:00:00"/>
    <s v="Delhi"/>
    <s v="Drona Logitech Pvt Ltd"/>
    <s v="DL1MA3659"/>
    <s v="22FT"/>
    <n v="1894"/>
    <s v="Dispatched"/>
    <s v="-"/>
    <m/>
  </r>
  <r>
    <n v="161"/>
    <n v="37"/>
    <s v="PIPO"/>
    <s v="PSO 88"/>
    <s v="-"/>
    <x v="10"/>
    <s v="2425/5/TI-148"/>
    <x v="0"/>
    <d v="2024-12-22T00:00:00"/>
    <x v="0"/>
    <s v="-"/>
    <n v="140"/>
    <n v="14"/>
    <d v="2024-12-24T00:00:00"/>
    <s v="Delhi"/>
    <s v="Drona Logitech Pvt Ltd"/>
    <s v="DL1MA3659"/>
    <s v="22FT"/>
    <n v="1893"/>
    <s v="Dispatched"/>
    <s v="-"/>
    <m/>
  </r>
  <r>
    <n v="162"/>
    <n v="37"/>
    <s v="PIPO"/>
    <s v="PSO 94"/>
    <s v="-"/>
    <x v="15"/>
    <s v="2425/5/TI-160"/>
    <x v="0"/>
    <d v="2024-12-23T00:00:00"/>
    <x v="0"/>
    <s v="-"/>
    <n v="90"/>
    <n v="9"/>
    <d v="2024-12-24T00:00:00"/>
    <s v="Delhi"/>
    <s v="Drona Logitech Pvt Ltd"/>
    <s v="DL1MA3659"/>
    <s v="22FT"/>
    <n v="1892"/>
    <s v="Dispatched"/>
    <s v="-"/>
    <m/>
  </r>
  <r>
    <n v="163"/>
    <n v="37"/>
    <s v="PIPO"/>
    <s v="PSO 93"/>
    <s v="-"/>
    <x v="22"/>
    <s v="2425/5/TI-150"/>
    <x v="0"/>
    <d v="2024-12-22T00:00:00"/>
    <x v="0"/>
    <s v="-"/>
    <n v="120"/>
    <n v="12"/>
    <d v="2024-12-24T00:00:00"/>
    <s v="Delhi"/>
    <s v="Drona Logitech Pvt Ltd"/>
    <s v="DL1MA3659"/>
    <s v="22FT"/>
    <n v="1891"/>
    <s v="Dispatched"/>
    <s v="-"/>
    <m/>
  </r>
  <r>
    <n v="164"/>
    <n v="37"/>
    <s v="PIPO"/>
    <s v="PSO104"/>
    <s v="-"/>
    <x v="29"/>
    <s v="2425/5/TI-163"/>
    <x v="0"/>
    <d v="2024-12-23T00:00:00"/>
    <x v="0"/>
    <s v="-"/>
    <n v="76"/>
    <n v="7"/>
    <d v="2024-12-24T00:00:00"/>
    <s v="Delhi"/>
    <s v="Drona Logitech Pvt Ltd"/>
    <s v="DL1MA3659"/>
    <s v="22FT"/>
    <n v="1890"/>
    <s v="Dispatched"/>
    <s v="-"/>
    <m/>
  </r>
  <r>
    <n v="165"/>
    <n v="38"/>
    <s v="PIPO"/>
    <s v="PSO 106"/>
    <s v="-"/>
    <x v="25"/>
    <s v="2425/5/TI-169"/>
    <x v="0"/>
    <d v="2024-12-25T00:00:00"/>
    <x v="0"/>
    <s v="-"/>
    <n v="406"/>
    <n v="48"/>
    <d v="2024-12-25T00:00:00"/>
    <s v="Delhi"/>
    <s v="Drona Logitech Pvt Ltd"/>
    <s v="DL01MA2872"/>
    <s v="22 FT"/>
    <n v="1556"/>
    <s v="Dispatched"/>
    <s v="-"/>
    <m/>
  </r>
  <r>
    <n v="166"/>
    <n v="38"/>
    <s v="PIPO"/>
    <s v="PSO 106"/>
    <s v="-"/>
    <x v="25"/>
    <s v="2425/5/TI-167"/>
    <x v="0"/>
    <d v="2024-12-24T00:00:00"/>
    <x v="0"/>
    <s v="-"/>
    <n v="70"/>
    <n v="7"/>
    <d v="2024-12-25T00:00:00"/>
    <s v="Delhi"/>
    <s v="Drona Logitech Pvt Ltd"/>
    <s v="DL01MA2872"/>
    <s v="22 FT"/>
    <n v="1556"/>
    <s v="Dispatched"/>
    <s v="-"/>
    <m/>
  </r>
  <r>
    <n v="167"/>
    <n v="38"/>
    <s v="BIBO"/>
    <s v="WSO 57"/>
    <s v="-"/>
    <x v="27"/>
    <s v="2425/5/TI-176"/>
    <x v="0"/>
    <d v="2024-12-25T00:00:00"/>
    <x v="0"/>
    <s v="-"/>
    <n v="240"/>
    <n v="24"/>
    <d v="2024-12-25T00:00:00"/>
    <s v="Delhi"/>
    <s v="Drona Logitech Pvt Ltd"/>
    <s v="DL01MA2872"/>
    <s v="22 FT"/>
    <n v="1557"/>
    <s v="Dispatched"/>
    <s v="-"/>
    <m/>
  </r>
  <r>
    <n v="168"/>
    <n v="38"/>
    <s v="PIPO"/>
    <s v="PSO 111"/>
    <s v="-"/>
    <x v="3"/>
    <s v="2425/5/TI-170"/>
    <x v="0"/>
    <d v="2024-12-25T00:00:00"/>
    <x v="0"/>
    <s v="-"/>
    <n v="55"/>
    <n v="6"/>
    <d v="2024-12-25T00:00:00"/>
    <s v="Delhi"/>
    <s v="Drona Logitech Pvt Ltd"/>
    <s v="DL01MA2872"/>
    <s v="22 FT"/>
    <n v="1555"/>
    <s v="Dispatched"/>
    <s v="-"/>
    <m/>
  </r>
  <r>
    <n v="169"/>
    <n v="38"/>
    <s v="PIPO"/>
    <s v="PSO 116"/>
    <s v="-"/>
    <x v="32"/>
    <s v="2425/5/TI-171"/>
    <x v="0"/>
    <d v="2024-12-25T00:00:00"/>
    <x v="0"/>
    <s v="-"/>
    <n v="170"/>
    <n v="17"/>
    <d v="2024-12-25T00:00:00"/>
    <s v="Delhi"/>
    <s v="Drona Logitech Pvt Ltd"/>
    <s v="DL01MA2872"/>
    <s v="22 FT"/>
    <n v="1554"/>
    <s v="Dispatched"/>
    <s v="-"/>
    <m/>
  </r>
  <r>
    <n v="170"/>
    <n v="38"/>
    <s v="BIBO"/>
    <s v="WSO 56"/>
    <s v="-"/>
    <x v="4"/>
    <s v="2425/5/TI-175"/>
    <x v="0"/>
    <d v="2024-12-25T00:00:00"/>
    <x v="0"/>
    <s v="-"/>
    <n v="156"/>
    <n v="16"/>
    <d v="2024-12-25T00:00:00"/>
    <s v="Delhi"/>
    <s v="Drona Logitech Pvt Ltd"/>
    <s v="DL01MA2872"/>
    <s v="22 FT"/>
    <n v="1553"/>
    <s v="Dispatched"/>
    <s v="-"/>
    <m/>
  </r>
  <r>
    <n v="171"/>
    <n v="38"/>
    <s v="PIPO"/>
    <s v="PSO 113"/>
    <s v="-"/>
    <x v="4"/>
    <s v="2425/5/TI-172"/>
    <x v="0"/>
    <d v="2024-12-25T00:00:00"/>
    <x v="0"/>
    <s v="-"/>
    <n v="104"/>
    <n v="10"/>
    <d v="2024-12-25T00:00:00"/>
    <s v="Delhi"/>
    <s v="Drona Logitech Pvt Ltd"/>
    <s v="DL01MA2872"/>
    <s v="22 FT"/>
    <n v="1553"/>
    <s v="Dispatched"/>
    <s v="-"/>
    <m/>
  </r>
  <r>
    <n v="172"/>
    <n v="38"/>
    <s v="PIPO"/>
    <s v="PSO 110"/>
    <s v="-"/>
    <x v="13"/>
    <s v="2425/5/TI-173"/>
    <x v="0"/>
    <d v="2024-12-25T00:00:00"/>
    <x v="0"/>
    <s v="-"/>
    <n v="247"/>
    <n v="24"/>
    <d v="2024-12-25T00:00:00"/>
    <s v="Delhi"/>
    <s v="Drona Logitech Pvt Ltd"/>
    <s v="DL01MA2872"/>
    <s v="22 FT"/>
    <n v="1552"/>
    <s v="Dispatched"/>
    <s v="-"/>
    <m/>
  </r>
  <r>
    <n v="173"/>
    <n v="38"/>
    <s v="PIPO"/>
    <s v="PSO 107"/>
    <s v="-"/>
    <x v="11"/>
    <s v="2425/5/TI-174"/>
    <x v="0"/>
    <d v="2024-12-25T00:00:00"/>
    <x v="0"/>
    <s v="-"/>
    <n v="266"/>
    <n v="27"/>
    <d v="2024-12-25T00:00:00"/>
    <s v="Delhi"/>
    <s v="Drona Logitech Pvt Ltd"/>
    <s v="DL01MA2872"/>
    <s v="22 FT"/>
    <n v="1551"/>
    <s v="Dispatched"/>
    <s v="-"/>
    <m/>
  </r>
  <r>
    <n v="174"/>
    <n v="39"/>
    <s v="PIPO"/>
    <s v="PSO 109"/>
    <s v="-"/>
    <x v="32"/>
    <s v="2425/5/TI-177"/>
    <x v="0"/>
    <d v="2024-12-26T00:00:00"/>
    <x v="0"/>
    <s v="-"/>
    <n v="139"/>
    <n v="14"/>
    <d v="2024-12-27T00:00:00"/>
    <s v="Delhi"/>
    <s v="Drona Logitech Pvt Ltd"/>
    <s v="DL01MA2872"/>
    <s v="22 FT"/>
    <n v="1563"/>
    <s v="Dispatched"/>
    <s v="-"/>
    <m/>
  </r>
  <r>
    <n v="175"/>
    <n v="39"/>
    <s v="PIPO"/>
    <s v="PSO 130"/>
    <s v="-"/>
    <x v="20"/>
    <s v="2425/5/TI-182"/>
    <x v="0"/>
    <d v="2024-12-27T00:00:00"/>
    <x v="0"/>
    <s v="-"/>
    <n v="220"/>
    <n v="22"/>
    <d v="2024-12-27T00:00:00"/>
    <s v="Delhi"/>
    <s v="Drona Logitech Pvt Ltd"/>
    <s v="DL01MA2872"/>
    <s v="22 FT"/>
    <n v="1562"/>
    <s v="Dispatched"/>
    <s v="-"/>
    <m/>
  </r>
  <r>
    <n v="176"/>
    <n v="39"/>
    <s v="PIPO"/>
    <s v="PSO 124"/>
    <s v="-"/>
    <x v="7"/>
    <s v="2425/5/TI-181"/>
    <x v="0"/>
    <d v="2024-12-27T00:00:00"/>
    <x v="0"/>
    <s v="-"/>
    <n v="204"/>
    <n v="20"/>
    <d v="2024-12-27T00:00:00"/>
    <s v="Delhi"/>
    <s v="Drona Logitech Pvt Ltd"/>
    <s v="DL01MA2872"/>
    <s v="22 FT"/>
    <n v="1561"/>
    <s v="Dispatched"/>
    <s v="-"/>
    <m/>
  </r>
  <r>
    <n v="177"/>
    <n v="39"/>
    <s v="PIPO"/>
    <s v="PSO 125"/>
    <s v="-"/>
    <x v="4"/>
    <s v="2425/5/TI-183"/>
    <x v="0"/>
    <d v="2024-12-27T00:00:00"/>
    <x v="0"/>
    <s v="-"/>
    <n v="224"/>
    <n v="22"/>
    <d v="2024-12-27T00:00:00"/>
    <s v="Delhi"/>
    <s v="Drona Logitech Pvt Ltd"/>
    <s v="DL01MA2872"/>
    <s v="22 FT"/>
    <n v="1560"/>
    <s v="Dispatched"/>
    <s v="-"/>
    <m/>
  </r>
  <r>
    <n v="178"/>
    <n v="39"/>
    <s v="PIPO"/>
    <s v="PSO 123"/>
    <s v="-"/>
    <x v="4"/>
    <s v="2425/5/TI-180"/>
    <x v="0"/>
    <d v="2024-12-27T00:00:00"/>
    <x v="0"/>
    <s v="-"/>
    <n v="84"/>
    <n v="7"/>
    <d v="2024-12-27T00:00:00"/>
    <s v="Delhi"/>
    <s v="Drona Logitech Pvt Ltd"/>
    <s v="DL01MA2872"/>
    <s v="22 FT"/>
    <n v="1560"/>
    <s v="Dispatched"/>
    <s v="-"/>
    <m/>
  </r>
  <r>
    <n v="179"/>
    <n v="39"/>
    <s v="PIPO"/>
    <s v="PSO 117"/>
    <s v="-"/>
    <x v="1"/>
    <s v="2425/5/TI-179"/>
    <x v="0"/>
    <d v="2024-12-27T00:00:00"/>
    <x v="0"/>
    <s v="-"/>
    <n v="50"/>
    <n v="5"/>
    <d v="2024-12-27T00:00:00"/>
    <s v="Delhi"/>
    <s v="Drona Logitech Pvt Ltd"/>
    <s v="DL01MA2872"/>
    <s v="22 FT"/>
    <n v="1559"/>
    <s v="Dispatched"/>
    <s v="-"/>
    <m/>
  </r>
  <r>
    <n v="180"/>
    <n v="39"/>
    <s v="PIPO"/>
    <s v="PSO 115"/>
    <s v="-"/>
    <x v="8"/>
    <s v="2425/5/TI-178"/>
    <x v="0"/>
    <d v="2024-12-27T00:00:00"/>
    <x v="0"/>
    <s v="-"/>
    <n v="173"/>
    <n v="18"/>
    <d v="2024-12-27T00:00:00"/>
    <s v="Delhi"/>
    <s v="Drona Logitech Pvt Ltd"/>
    <s v="DL01MA2872"/>
    <s v="22 FT"/>
    <n v="1558"/>
    <s v="Dispatched"/>
    <s v="-"/>
    <m/>
  </r>
  <r>
    <n v="181"/>
    <n v="39"/>
    <s v="PIPO"/>
    <s v="PSO 122"/>
    <s v="-"/>
    <x v="36"/>
    <s v="2425/5/TI-186"/>
    <x v="0"/>
    <d v="2024-12-27T00:00:00"/>
    <x v="0"/>
    <s v="-"/>
    <n v="279"/>
    <n v="28"/>
    <d v="2024-12-27T00:00:00"/>
    <s v="Delhi"/>
    <s v="Drona Logitech Pvt Ltd"/>
    <s v="DL01MA2872"/>
    <s v="22 FT"/>
    <n v="1564"/>
    <s v="Dispatched"/>
    <s v="-"/>
    <m/>
  </r>
  <r>
    <n v="182"/>
    <n v="39"/>
    <s v="PIPO"/>
    <s v="PSO 120"/>
    <s v="-"/>
    <x v="19"/>
    <s v="2425/5/TI-184"/>
    <x v="0"/>
    <d v="2024-12-27T00:00:00"/>
    <x v="0"/>
    <s v="-"/>
    <n v="367"/>
    <n v="37"/>
    <d v="2024-12-27T00:00:00"/>
    <s v="Delhi"/>
    <s v="Drona Logitech Pvt Ltd"/>
    <s v="DL01MA2872"/>
    <s v="22 FT"/>
    <n v="1565"/>
    <s v="Dispatched"/>
    <s v="-"/>
    <m/>
  </r>
  <r>
    <n v="183"/>
    <n v="39"/>
    <s v="BIBO"/>
    <s v="WSO 58"/>
    <s v="-"/>
    <x v="2"/>
    <s v="2425/5/TI-185"/>
    <x v="0"/>
    <d v="2024-12-27T00:00:00"/>
    <x v="0"/>
    <s v="-"/>
    <n v="432"/>
    <n v="18"/>
    <d v="2024-12-27T00:00:00"/>
    <s v="Delhi"/>
    <s v="Drona Logitech Pvt Ltd"/>
    <s v="DL01MA2872"/>
    <s v="22 FT"/>
    <n v="1566"/>
    <s v="Dispatched"/>
    <s v="-"/>
    <m/>
  </r>
  <r>
    <n v="184"/>
    <n v="40"/>
    <s v="PIPO"/>
    <s v="PSO 129"/>
    <s v="-"/>
    <x v="2"/>
    <s v="2425/5/TI-189"/>
    <x v="0"/>
    <d v="2024-12-31T00:00:00"/>
    <x v="0"/>
    <s v="-"/>
    <n v="1722"/>
    <n v="172"/>
    <d v="2024-12-31T00:00:00"/>
    <s v="Delhi"/>
    <s v="Drona Logitech Pvt Ltd"/>
    <s v="DL01MB0112"/>
    <s v="22 FT"/>
    <n v="1567"/>
    <s v="Dispatched"/>
    <s v="-"/>
    <m/>
  </r>
  <r>
    <n v="185"/>
    <n v="40"/>
    <s v="BIBO"/>
    <s v="WSO 61"/>
    <s v="-"/>
    <x v="12"/>
    <s v="2425/5/TI-190"/>
    <x v="0"/>
    <d v="2024-12-31T00:00:00"/>
    <x v="0"/>
    <s v="-"/>
    <n v="480"/>
    <n v="20"/>
    <d v="2024-12-31T00:00:00"/>
    <s v="Delhi"/>
    <s v="Drona Logitech Pvt Ltd"/>
    <s v="DL01MB0112"/>
    <s v="22 FT"/>
    <n v="1570"/>
    <s v="Dispatched"/>
    <s v="-"/>
    <m/>
  </r>
  <r>
    <n v="186"/>
    <n v="40"/>
    <s v="BIBO"/>
    <s v="WSO 59"/>
    <s v="-"/>
    <x v="10"/>
    <s v="2425/5/TI-191"/>
    <x v="0"/>
    <d v="2024-12-31T00:00:00"/>
    <x v="0"/>
    <s v="-"/>
    <n v="144"/>
    <n v="6"/>
    <d v="2024-12-31T00:00:00"/>
    <s v="Delhi"/>
    <s v="Drona Logitech Pvt Ltd"/>
    <s v="DL01MB0112"/>
    <s v="22 FT"/>
    <n v="1568"/>
    <s v="Dispatched"/>
    <s v="-"/>
    <m/>
  </r>
  <r>
    <n v="187"/>
    <n v="40"/>
    <s v="BIBO"/>
    <s v="WSO  18,34,44,60"/>
    <s v="-"/>
    <x v="4"/>
    <s v="2425/5/TI-192"/>
    <x v="0"/>
    <d v="2024-12-31T00:00:00"/>
    <x v="0"/>
    <s v="-"/>
    <n v="408"/>
    <n v="17"/>
    <d v="2024-12-31T00:00:00"/>
    <s v="Delhi"/>
    <s v="Drona Logitech Pvt Ltd"/>
    <s v="DL01MB0112"/>
    <s v="22 FT"/>
    <n v="1569"/>
    <s v="Dispatched"/>
    <s v="-"/>
    <m/>
  </r>
  <r>
    <n v="188"/>
    <n v="41"/>
    <s v="PIPO"/>
    <s v="PSO 147"/>
    <s v="-"/>
    <x v="3"/>
    <s v="2425/5/TI-198"/>
    <x v="0"/>
    <d v="2024-12-31T00:00:00"/>
    <x v="0"/>
    <s v="-"/>
    <n v="150"/>
    <n v="15"/>
    <d v="2025-01-02T00:00:00"/>
    <s v="Delhi"/>
    <s v="Drona Logitech Pvt Ltd"/>
    <s v="HR 61 E O283"/>
    <s v="22 FT"/>
    <n v="1581"/>
    <s v="Dispatched"/>
    <s v="-"/>
    <m/>
  </r>
  <r>
    <n v="189"/>
    <n v="41"/>
    <s v="PIPO"/>
    <s v="PSO 154"/>
    <s v="-"/>
    <x v="17"/>
    <s v="2425/5/TI-205"/>
    <x v="0"/>
    <d v="2024-12-31T00:00:00"/>
    <x v="0"/>
    <s v="-"/>
    <n v="150"/>
    <n v="15"/>
    <d v="2025-01-02T00:00:00"/>
    <s v="Delhi"/>
    <s v="Drona Logitech Pvt Ltd"/>
    <s v="HR 61 E O283"/>
    <s v="22 FT"/>
    <n v="1575"/>
    <s v="Dispatched"/>
    <s v="-"/>
    <m/>
  </r>
  <r>
    <n v="190"/>
    <n v="41"/>
    <s v="PIPO"/>
    <s v="PSO 153"/>
    <s v="-"/>
    <x v="27"/>
    <s v="2425/5/TI-204"/>
    <x v="0"/>
    <d v="2024-12-31T00:00:00"/>
    <x v="0"/>
    <s v="-"/>
    <n v="250"/>
    <n v="25"/>
    <d v="2025-01-02T00:00:00"/>
    <s v="Delhi"/>
    <s v="Drona Logitech Pvt Ltd"/>
    <s v="HR 61 E O283"/>
    <s v="22 FT"/>
    <n v="1574"/>
    <s v="Dispatched"/>
    <s v="-"/>
    <m/>
  </r>
  <r>
    <n v="191"/>
    <n v="41"/>
    <s v="PIPO"/>
    <s v="PSO 152"/>
    <s v="-"/>
    <x v="8"/>
    <s v="2425/5/TI-203"/>
    <x v="0"/>
    <d v="2024-12-31T00:00:00"/>
    <x v="0"/>
    <s v="-"/>
    <n v="250"/>
    <n v="25"/>
    <d v="2025-01-02T00:00:00"/>
    <s v="Delhi"/>
    <s v="Drona Logitech Pvt Ltd"/>
    <s v="HR 61 E O283"/>
    <s v="22 FT"/>
    <n v="1576"/>
    <s v="Dispatched"/>
    <s v="-"/>
    <m/>
  </r>
  <r>
    <n v="192"/>
    <n v="41"/>
    <s v="PIPO"/>
    <s v="PSO 151"/>
    <s v="-"/>
    <x v="19"/>
    <s v="2425/5/TI-202"/>
    <x v="0"/>
    <d v="2024-12-31T00:00:00"/>
    <x v="0"/>
    <s v="-"/>
    <n v="250"/>
    <n v="25"/>
    <d v="2025-01-02T00:00:00"/>
    <s v="Delhi"/>
    <s v="Drona Logitech Pvt Ltd"/>
    <s v="HR 61 E O283"/>
    <s v="22 FT"/>
    <n v="1577"/>
    <s v="Dispatched"/>
    <s v="-"/>
    <m/>
  </r>
  <r>
    <n v="193"/>
    <n v="41"/>
    <s v="PIPO"/>
    <s v="PSO 150"/>
    <s v="-"/>
    <x v="9"/>
    <s v="2425/5/TI-201"/>
    <x v="0"/>
    <d v="2024-12-31T00:00:00"/>
    <x v="0"/>
    <s v="-"/>
    <n v="250"/>
    <n v="25"/>
    <d v="2025-01-02T00:00:00"/>
    <s v="Delhi"/>
    <s v="Drona Logitech Pvt Ltd"/>
    <s v="HR 61 E O283"/>
    <s v="22 FT"/>
    <n v="1578"/>
    <s v="Dispatched"/>
    <s v="-"/>
    <m/>
  </r>
  <r>
    <n v="194"/>
    <n v="41"/>
    <s v="PIPO"/>
    <s v="PSO 149"/>
    <s v="-"/>
    <x v="20"/>
    <s v="2425/5/TI-200"/>
    <x v="0"/>
    <d v="2024-12-31T00:00:00"/>
    <x v="0"/>
    <s v="-"/>
    <n v="250"/>
    <n v="25"/>
    <d v="2025-01-02T00:00:00"/>
    <s v="Delhi"/>
    <s v="Drona Logitech Pvt Ltd"/>
    <s v="HR 61 E O283"/>
    <s v="22 FT"/>
    <n v="1579"/>
    <s v="Dispatched"/>
    <s v="-"/>
    <m/>
  </r>
  <r>
    <n v="195"/>
    <n v="41"/>
    <s v="PIPO"/>
    <s v="PSO 148"/>
    <s v="-"/>
    <x v="25"/>
    <s v="2425/5/TI-199"/>
    <x v="0"/>
    <d v="2024-12-31T00:00:00"/>
    <x v="0"/>
    <s v="-"/>
    <n v="250"/>
    <n v="25"/>
    <d v="2025-01-02T00:00:00"/>
    <s v="Delhi"/>
    <s v="Drona Logitech Pvt Ltd"/>
    <s v="HR 61 E O283"/>
    <s v="22 FT"/>
    <n v="1580"/>
    <s v="Dispatched"/>
    <s v="-"/>
    <m/>
  </r>
  <r>
    <n v="196"/>
    <n v="41"/>
    <s v="PIPO"/>
    <s v="PSO 155"/>
    <s v="-"/>
    <x v="33"/>
    <s v="2425/5/TI-206"/>
    <x v="0"/>
    <d v="2024-12-31T00:00:00"/>
    <x v="0"/>
    <s v="-"/>
    <n v="100"/>
    <n v="10"/>
    <d v="2025-01-02T00:00:00"/>
    <s v="Delhi"/>
    <s v="Drona Logitech Pvt Ltd"/>
    <s v="HR 61 E O283"/>
    <s v="22 FT"/>
    <n v="1573"/>
    <s v="Dispatched"/>
    <s v="-"/>
    <m/>
  </r>
  <r>
    <n v="197"/>
    <n v="41"/>
    <s v="PIPO"/>
    <s v="PSO 156"/>
    <s v="-"/>
    <x v="24"/>
    <s v="2425/5/TI-207"/>
    <x v="0"/>
    <d v="2024-12-31T00:00:00"/>
    <x v="0"/>
    <s v="-"/>
    <n v="100"/>
    <n v="10"/>
    <d v="2025-01-02T00:00:00"/>
    <s v="Delhi"/>
    <s v="Drona Logitech Pvt Ltd"/>
    <s v="HR 61 E O283"/>
    <s v="22 FT"/>
    <n v="1572"/>
    <s v="Dispatched"/>
    <s v="-"/>
    <m/>
  </r>
  <r>
    <n v="198"/>
    <n v="41"/>
    <s v="PIPO"/>
    <s v="PSO 143"/>
    <s v="-"/>
    <x v="2"/>
    <s v="2425/5/TI-194"/>
    <x v="0"/>
    <d v="2024-12-31T00:00:00"/>
    <x v="0"/>
    <s v="-"/>
    <n v="500"/>
    <n v="50"/>
    <d v="2025-01-02T00:00:00"/>
    <s v="Delhi"/>
    <s v="Drona Logitech Pvt Ltd"/>
    <s v="HR 61 E O283"/>
    <s v="22 FT"/>
    <n v="1571"/>
    <s v="Dispatched"/>
    <s v="-"/>
    <m/>
  </r>
  <r>
    <n v="199"/>
    <n v="42"/>
    <s v="PIPO"/>
    <s v="PSO 158"/>
    <d v="2025-01-03T00:00:00"/>
    <x v="2"/>
    <s v="2425/5/TI-237"/>
    <x v="1"/>
    <d v="2025-01-06T00:00:00"/>
    <x v="0"/>
    <s v="-"/>
    <n v="570"/>
    <n v="57"/>
    <d v="2025-01-06T00:00:00"/>
    <s v="Delhi"/>
    <s v="Drona Logitech Pvt Ltd"/>
    <s v="DL01MA2872"/>
    <s v="22 FT"/>
    <n v="5154"/>
    <s v="Dispatched"/>
    <s v="-"/>
    <m/>
  </r>
  <r>
    <n v="200"/>
    <n v="42"/>
    <s v="PIPO"/>
    <s v="PSO 159"/>
    <d v="2025-01-03T00:00:00"/>
    <x v="2"/>
    <s v="2425/5/TI-236"/>
    <x v="2"/>
    <d v="2025-01-06T00:00:00"/>
    <x v="0"/>
    <s v="-"/>
    <n v="550"/>
    <n v="55"/>
    <d v="2025-01-06T00:00:00"/>
    <s v="Delhi"/>
    <s v="Drona Logitech Pvt Ltd"/>
    <s v="DL01MA2872"/>
    <s v="22 FT"/>
    <n v="5154"/>
    <s v="Dispatched"/>
    <s v="-"/>
    <m/>
  </r>
  <r>
    <n v="201"/>
    <n v="42"/>
    <s v="PIPO"/>
    <s v="PSO 118"/>
    <s v="-"/>
    <x v="2"/>
    <s v="2425/5/TI-233"/>
    <x v="3"/>
    <d v="2025-01-06T00:00:00"/>
    <x v="0"/>
    <s v="-"/>
    <n v="500"/>
    <n v="50"/>
    <d v="2025-01-06T00:00:00"/>
    <s v="Delhi"/>
    <s v="Drona Logitech Pvt Ltd"/>
    <s v="DL01MA2872"/>
    <s v="22 FT"/>
    <n v="5154"/>
    <s v="Dispatched"/>
    <s v="-"/>
    <m/>
  </r>
  <r>
    <n v="202"/>
    <n v="42"/>
    <s v="PIPO"/>
    <s v="PSO 160"/>
    <d v="2025-01-03T00:00:00"/>
    <x v="2"/>
    <s v="2425/5/TI-238"/>
    <x v="4"/>
    <d v="2025-01-06T00:00:00"/>
    <x v="0"/>
    <s v="-"/>
    <n v="450"/>
    <n v="45"/>
    <d v="2025-01-06T00:00:00"/>
    <s v="Delhi"/>
    <s v="Drona Logitech Pvt Ltd"/>
    <s v="DL01MA2872"/>
    <s v="22 FT"/>
    <n v="5154"/>
    <s v="Dispatched"/>
    <s v="-"/>
    <m/>
  </r>
  <r>
    <n v="203"/>
    <n v="43"/>
    <s v="PIPO"/>
    <s v="PSO 162"/>
    <d v="2025-01-03T00:00:00"/>
    <x v="13"/>
    <s v="2425/5/TI-240"/>
    <x v="5"/>
    <d v="2025-01-06T00:00:00"/>
    <x v="0"/>
    <s v="-"/>
    <n v="400"/>
    <n v="40"/>
    <d v="2025-01-07T00:00:00"/>
    <s v="Delhi"/>
    <s v="Drona Logitech Pvt Ltd"/>
    <s v="DL01MB0112"/>
    <s v="22 FT"/>
    <n v="5155"/>
    <s v="Dispatched"/>
    <s v="-"/>
    <m/>
  </r>
  <r>
    <n v="204"/>
    <n v="43"/>
    <s v="PIPO"/>
    <s v="PSO 164"/>
    <d v="2025-01-03T00:00:00"/>
    <x v="13"/>
    <s v="2425/5/TI-241"/>
    <x v="6"/>
    <d v="2025-01-06T00:00:00"/>
    <x v="0"/>
    <s v="-"/>
    <n v="440"/>
    <n v="44"/>
    <d v="2025-01-07T00:00:00"/>
    <s v="Delhi"/>
    <s v="Drona Logitech Pvt Ltd"/>
    <s v="DL01MB0112"/>
    <s v="22 FT"/>
    <n v="5155"/>
    <s v="Dispatched"/>
    <s v="-"/>
    <m/>
  </r>
  <r>
    <n v="205"/>
    <n v="43"/>
    <s v="PIPO"/>
    <s v="PSO 165"/>
    <d v="2025-01-03T00:00:00"/>
    <x v="13"/>
    <s v="2425/5/TI-242"/>
    <x v="7"/>
    <d v="2025-01-06T00:00:00"/>
    <x v="0"/>
    <s v="-"/>
    <n v="340"/>
    <n v="30"/>
    <d v="2025-01-07T00:00:00"/>
    <s v="Delhi"/>
    <s v="Drona Logitech Pvt Ltd"/>
    <s v="DL01MB0112"/>
    <s v="22 FT"/>
    <n v="5155"/>
    <s v="Dispatched"/>
    <s v="-"/>
    <m/>
  </r>
  <r>
    <n v="206"/>
    <n v="43"/>
    <s v="PIPO"/>
    <s v="PSO 163"/>
    <d v="2025-01-03T00:00:00"/>
    <x v="13"/>
    <s v="2425/5/TI-247"/>
    <x v="8"/>
    <d v="2025-01-06T00:00:00"/>
    <x v="0"/>
    <s v="-"/>
    <n v="440"/>
    <n v="44"/>
    <d v="2025-01-07T00:00:00"/>
    <s v="Delhi"/>
    <s v="Drona Logitech Pvt Ltd"/>
    <s v="DL01MB0112"/>
    <s v="22 FT"/>
    <n v="5155"/>
    <s v="Dispatched"/>
    <s v="-"/>
    <m/>
  </r>
  <r>
    <n v="207"/>
    <n v="44"/>
    <s v="PIPO"/>
    <s v="PSO 184"/>
    <d v="2025-01-04T00:00:00"/>
    <x v="22"/>
    <s v="2425/5/TI-262"/>
    <x v="9"/>
    <d v="2025-01-07T00:00:00"/>
    <x v="0"/>
    <s v="-"/>
    <n v="100"/>
    <n v="10"/>
    <d v="2025-01-08T00:00:00"/>
    <s v="Delhi"/>
    <s v="Drona Logitech Pvt Ltd"/>
    <s v="DL01MA2872"/>
    <s v="22 FT"/>
    <n v="5161"/>
    <s v="Dispatched"/>
    <s v="-"/>
    <m/>
  </r>
  <r>
    <n v="208"/>
    <n v="44"/>
    <s v="BIBO"/>
    <s v="WSO 70"/>
    <s v="-"/>
    <x v="3"/>
    <s v="2425/5/TI-264"/>
    <x v="10"/>
    <d v="2025-01-08T00:00:00"/>
    <x v="0"/>
    <s v="-"/>
    <n v="48"/>
    <n v="2"/>
    <d v="2025-01-08T00:00:00"/>
    <s v="Delhi"/>
    <s v="Drona Logitech Pvt Ltd"/>
    <s v="DL01MA2872"/>
    <s v="22 FT"/>
    <n v="5163"/>
    <s v="Dispatched"/>
    <s v="-"/>
    <m/>
  </r>
  <r>
    <n v="209"/>
    <n v="44"/>
    <s v="PIPO"/>
    <s v="PSO 187"/>
    <d v="2025-01-06T00:00:00"/>
    <x v="11"/>
    <s v="2425/5/TI-263"/>
    <x v="11"/>
    <d v="2025-01-08T00:00:00"/>
    <x v="0"/>
    <s v="-"/>
    <n v="140"/>
    <n v="14"/>
    <d v="2025-01-08T00:00:00"/>
    <s v="Delhi"/>
    <s v="Drona Logitech Pvt Ltd"/>
    <s v="DL01MA2872"/>
    <s v="22 FT"/>
    <n v="5162"/>
    <s v="Dispatched"/>
    <s v="-"/>
    <m/>
  </r>
  <r>
    <n v="210"/>
    <n v="44"/>
    <s v="PIPO"/>
    <s v="PSO 167"/>
    <d v="2025-01-03T00:00:00"/>
    <x v="11"/>
    <s v="2425/5/TI-243"/>
    <x v="12"/>
    <d v="2025-01-06T00:00:00"/>
    <x v="0"/>
    <s v="-"/>
    <n v="480"/>
    <n v="48"/>
    <d v="2025-01-08T00:00:00"/>
    <s v="Delhi"/>
    <s v="Drona Logitech Pvt Ltd"/>
    <s v="DL01MA2872"/>
    <s v="22 FT"/>
    <n v="5162"/>
    <s v="Dispatched"/>
    <s v="-"/>
    <m/>
  </r>
  <r>
    <n v="211"/>
    <n v="44"/>
    <s v="PIPO"/>
    <s v="PSO 166"/>
    <d v="2025-01-03T00:00:00"/>
    <x v="11"/>
    <s v="2425/5/TI-248"/>
    <x v="13"/>
    <d v="2025-01-06T00:00:00"/>
    <x v="0"/>
    <s v="-"/>
    <n v="500"/>
    <n v="50"/>
    <d v="2025-01-08T00:00:00"/>
    <s v="Delhi"/>
    <s v="Drona Logitech Pvt Ltd"/>
    <s v="DL01MA2872"/>
    <s v="22 FT"/>
    <n v="5162"/>
    <s v="Dispatched"/>
    <s v="-"/>
    <m/>
  </r>
  <r>
    <n v="212"/>
    <n v="44"/>
    <s v="PIPO"/>
    <s v="PSO 169"/>
    <d v="2025-01-03T00:00:00"/>
    <x v="18"/>
    <s v="2425/5/TI-249"/>
    <x v="14"/>
    <d v="2025-01-06T00:00:00"/>
    <x v="0"/>
    <s v="-"/>
    <n v="110"/>
    <n v="11"/>
    <d v="2025-01-08T00:00:00"/>
    <s v="Delhi"/>
    <s v="Drona Logitech Pvt Ltd"/>
    <s v="DL01MA2872"/>
    <s v="22 FT"/>
    <n v="5160"/>
    <s v="Dispatched"/>
    <s v="-"/>
    <m/>
  </r>
  <r>
    <n v="213"/>
    <n v="44"/>
    <s v="PIPO"/>
    <s v="PSO 174"/>
    <d v="2025-01-03T00:00:00"/>
    <x v="20"/>
    <s v="2425/5/TI-252"/>
    <x v="15"/>
    <d v="2025-01-06T00:00:00"/>
    <x v="0"/>
    <s v="-"/>
    <n v="180"/>
    <n v="18"/>
    <d v="2025-01-08T00:00:00"/>
    <s v="Delhi"/>
    <s v="Drona Logitech Pvt Ltd"/>
    <s v="DL01MA2872"/>
    <s v="22 FT"/>
    <n v="5159"/>
    <s v="Dispatched"/>
    <s v="-"/>
    <m/>
  </r>
  <r>
    <n v="214"/>
    <n v="44"/>
    <s v="PIPO"/>
    <s v="PSO 172"/>
    <d v="2025-01-03T00:00:00"/>
    <x v="3"/>
    <s v="2425/5/TI-244"/>
    <x v="16"/>
    <d v="2025-01-06T00:00:00"/>
    <x v="0"/>
    <s v="-"/>
    <n v="80"/>
    <n v="8"/>
    <d v="2025-01-08T00:00:00"/>
    <s v="Delhi"/>
    <s v="Drona Logitech Pvt Ltd"/>
    <s v="DL01MA2872"/>
    <s v="22 FT"/>
    <n v="5158"/>
    <s v="Dispatched"/>
    <s v="-"/>
    <m/>
  </r>
  <r>
    <n v="215"/>
    <n v="44"/>
    <s v="PIPO"/>
    <s v="PSO 176"/>
    <d v="2025-01-03T00:00:00"/>
    <x v="23"/>
    <s v="2425/5/TI-254"/>
    <x v="17"/>
    <d v="2025-01-06T00:00:00"/>
    <x v="0"/>
    <s v="-"/>
    <n v="110"/>
    <n v="11"/>
    <d v="2025-01-08T00:00:00"/>
    <s v="Delhi"/>
    <s v="Drona Logitech Pvt Ltd"/>
    <s v="DL01MA2872"/>
    <s v="22 FT"/>
    <n v="5157"/>
    <s v="Dispatched"/>
    <s v="-"/>
    <m/>
  </r>
  <r>
    <n v="216"/>
    <n v="44"/>
    <s v="PIPO"/>
    <s v="PSO 171"/>
    <d v="2025-01-03T00:00:00"/>
    <x v="8"/>
    <s v="2425/5/TI-251"/>
    <x v="18"/>
    <d v="2025-01-06T00:00:00"/>
    <x v="0"/>
    <s v="-"/>
    <n v="30"/>
    <n v="3"/>
    <d v="2025-01-08T00:00:00"/>
    <s v="Delhi"/>
    <s v="Drona Logitech Pvt Ltd"/>
    <s v="DL01MA2872"/>
    <s v="22 FT"/>
    <n v="5156"/>
    <s v="Dispatched"/>
    <s v="-"/>
    <m/>
  </r>
  <r>
    <n v="217"/>
    <n v="44"/>
    <s v="PIPO"/>
    <s v="PSO 170"/>
    <d v="2025-01-03T00:00:00"/>
    <x v="8"/>
    <s v="2425/5/TI-250"/>
    <x v="19"/>
    <d v="2025-01-06T00:00:00"/>
    <x v="0"/>
    <s v="-"/>
    <n v="326"/>
    <n v="31"/>
    <d v="2025-01-08T00:00:00"/>
    <s v="Delhi"/>
    <s v="Drona Logitech Pvt Ltd"/>
    <s v="DL01MA2872"/>
    <s v="22 FT"/>
    <n v="5156"/>
    <s v="Dispatched"/>
    <s v="-"/>
    <m/>
  </r>
  <r>
    <n v="218"/>
    <n v="45"/>
    <s v="PIPO"/>
    <s v="PSO 181"/>
    <d v="2025-01-04T00:00:00"/>
    <x v="12"/>
    <s v="2425/5/TI-255"/>
    <x v="20"/>
    <d v="2025-01-06T00:00:00"/>
    <x v="0"/>
    <s v="-"/>
    <n v="170"/>
    <n v="17"/>
    <d v="2025-01-09T00:00:00"/>
    <s v="Delhi"/>
    <s v="Drona Logitech Pvt Ltd"/>
    <s v="DL01MA2872"/>
    <s v="22 FT"/>
    <n v="5165"/>
    <s v="Dispatched"/>
    <s v="-"/>
    <m/>
  </r>
  <r>
    <n v="219"/>
    <n v="45"/>
    <s v="BIBO"/>
    <s v="WSO 69"/>
    <s v="-"/>
    <x v="4"/>
    <s v="2425/5/TI-278"/>
    <x v="21"/>
    <d v="2025-01-09T00:00:00"/>
    <x v="0"/>
    <s v="-"/>
    <n v="264"/>
    <n v="11"/>
    <d v="2025-01-09T00:00:00"/>
    <s v="Delhi"/>
    <s v="Drona Logitech Pvt Ltd"/>
    <s v="DL01MA2872"/>
    <s v="22 FT"/>
    <n v="5168"/>
    <s v="Dispatched"/>
    <s v="-"/>
    <m/>
  </r>
  <r>
    <n v="220"/>
    <n v="45"/>
    <s v="BIBO"/>
    <s v="WSO 73"/>
    <s v="-"/>
    <x v="4"/>
    <s v="2425/5/TI-279"/>
    <x v="22"/>
    <d v="2025-01-09T00:00:00"/>
    <x v="0"/>
    <s v="-"/>
    <n v="432"/>
    <n v="18"/>
    <d v="2025-01-09T00:00:00"/>
    <s v="Delhi"/>
    <s v="Drona Logitech Pvt Ltd"/>
    <s v="DL01MA2872"/>
    <s v="22 FT"/>
    <n v="5167"/>
    <s v="Dispatched"/>
    <s v="-"/>
    <m/>
  </r>
  <r>
    <n v="221"/>
    <n v="45"/>
    <s v="PIPO"/>
    <s v="PSO 179"/>
    <d v="2025-01-04T00:00:00"/>
    <x v="32"/>
    <s v="2425/5/TI-259"/>
    <x v="23"/>
    <d v="2025-01-07T00:00:00"/>
    <x v="0"/>
    <s v="-"/>
    <n v="90"/>
    <n v="9"/>
    <d v="2025-01-09T00:00:00"/>
    <s v="Delhi"/>
    <s v="Drona Logitech Pvt Ltd"/>
    <s v="DL01MA2872"/>
    <s v="22 FT"/>
    <n v="5164"/>
    <s v="Dispatched"/>
    <s v="-"/>
    <m/>
  </r>
  <r>
    <n v="222"/>
    <n v="45"/>
    <s v="BIBO"/>
    <s v="WSO 72"/>
    <s v="-"/>
    <x v="2"/>
    <s v="2425/5/TI-280"/>
    <x v="24"/>
    <d v="2025-01-09T00:00:00"/>
    <x v="0"/>
    <s v="-"/>
    <n v="1896"/>
    <n v="92"/>
    <d v="2025-01-09T00:00:00"/>
    <s v="Delhi"/>
    <s v="Drona Logitech Pvt Ltd"/>
    <s v="DL01MA2872"/>
    <s v="22 FT"/>
    <n v="5166"/>
    <s v="Dispatched"/>
    <s v="-"/>
    <m/>
  </r>
  <r>
    <n v="223"/>
    <n v="46"/>
    <s v="PIPO"/>
    <s v="PSO 161"/>
    <d v="2025-01-03T00:00:00"/>
    <x v="2"/>
    <s v="2425/5/TI-245"/>
    <x v="25"/>
    <d v="2025-01-06T00:00:00"/>
    <x v="0"/>
    <s v="-"/>
    <n v="255"/>
    <n v="26"/>
    <d v="2025-01-09T00:00:00"/>
    <s v="Delhi"/>
    <s v="Drona Logitech Pvt Ltd"/>
    <s v="DL01GC9359"/>
    <s v="32 FT"/>
    <n v="5178"/>
    <s v="Dispatched"/>
    <s v="-"/>
    <m/>
  </r>
  <r>
    <n v="224"/>
    <n v="46"/>
    <s v="PIPO"/>
    <s v="PSO 196"/>
    <d v="2025-01-08T00:00:00"/>
    <x v="15"/>
    <s v="2425/5/TI-275"/>
    <x v="26"/>
    <d v="2025-01-08T00:00:00"/>
    <x v="0"/>
    <s v="-"/>
    <n v="52"/>
    <n v="5"/>
    <d v="2025-01-09T00:00:00"/>
    <s v="Delhi"/>
    <s v="Drona Logitech Pvt Ltd"/>
    <s v="DL01GC9359"/>
    <s v="32 FT"/>
    <n v="5180"/>
    <s v="Dispatched"/>
    <s v="-"/>
    <m/>
  </r>
  <r>
    <n v="225"/>
    <n v="46"/>
    <s v="PIPO"/>
    <s v="PSO 180"/>
    <d v="2025-01-04T00:00:00"/>
    <x v="9"/>
    <s v="2425/5/TI-260"/>
    <x v="27"/>
    <d v="2025-01-07T00:00:00"/>
    <x v="0"/>
    <s v="-"/>
    <n v="150"/>
    <n v="15"/>
    <d v="2025-01-09T00:00:00"/>
    <s v="Delhi"/>
    <s v="Drona Logitech Pvt Ltd"/>
    <s v="DL01GC9359"/>
    <s v="32 FT"/>
    <n v="5173"/>
    <s v="Dispatched"/>
    <s v="-"/>
    <m/>
  </r>
  <r>
    <n v="226"/>
    <n v="46"/>
    <s v="PIPO"/>
    <s v="PSO 189"/>
    <d v="2025-01-06T00:00:00"/>
    <x v="34"/>
    <s v="2425/5/TI-273"/>
    <x v="28"/>
    <d v="2025-01-08T00:00:00"/>
    <x v="0"/>
    <s v="-"/>
    <n v="154"/>
    <n v="15"/>
    <d v="2025-01-09T00:00:00"/>
    <s v="Delhi"/>
    <s v="Drona Logitech Pvt Ltd"/>
    <s v="DL01GC9359"/>
    <s v="32 FT"/>
    <n v="5175"/>
    <s v="Dispatched"/>
    <s v="-"/>
    <m/>
  </r>
  <r>
    <n v="227"/>
    <n v="46"/>
    <s v="PIPO"/>
    <s v="PSO 183"/>
    <d v="2025-01-04T00:00:00"/>
    <x v="25"/>
    <s v="2425/5/TI-282"/>
    <x v="29"/>
    <d v="2025-01-09T00:00:00"/>
    <x v="0"/>
    <s v="-"/>
    <n v="264"/>
    <n v="26"/>
    <d v="2025-01-09T00:00:00"/>
    <s v="Delhi"/>
    <s v="Drona Logitech Pvt Ltd"/>
    <s v="DL01GC9359"/>
    <s v="32 FT"/>
    <n v="5179"/>
    <s v="Dispatched"/>
    <s v="-"/>
    <m/>
  </r>
  <r>
    <n v="228"/>
    <n v="46"/>
    <s v="PIPO"/>
    <s v="PSO 173"/>
    <d v="2025-01-03T00:00:00"/>
    <x v="10"/>
    <s v="2425/5/TI-256"/>
    <x v="30"/>
    <d v="2025-01-07T00:00:00"/>
    <x v="0"/>
    <s v="-"/>
    <n v="300"/>
    <n v="30"/>
    <d v="2025-01-09T00:00:00"/>
    <s v="Delhi"/>
    <s v="Drona Logitech Pvt Ltd"/>
    <s v="DL01GC9359"/>
    <s v="32 FT"/>
    <n v="5176"/>
    <s v="Dispatched"/>
    <s v="-"/>
    <m/>
  </r>
  <r>
    <n v="229"/>
    <n v="46"/>
    <s v="PIPO"/>
    <s v="PSO 177"/>
    <d v="2025-01-03T00:00:00"/>
    <x v="17"/>
    <s v="2425/5/TI-257"/>
    <x v="31"/>
    <d v="2025-01-07T00:00:00"/>
    <x v="0"/>
    <s v="-"/>
    <n v="250"/>
    <n v="25"/>
    <d v="2025-01-09T00:00:00"/>
    <s v="Delhi"/>
    <s v="Drona Logitech Pvt Ltd"/>
    <s v="DL01GC9359"/>
    <s v="32 FT"/>
    <n v="5171"/>
    <s v="Dispatched"/>
    <s v="-"/>
    <m/>
  </r>
  <r>
    <n v="230"/>
    <n v="46"/>
    <s v="PIPO"/>
    <s v="PSO 208"/>
    <d v="2025-01-09T00:00:00"/>
    <x v="17"/>
    <s v="2425/5/TI-284"/>
    <x v="32"/>
    <d v="2025-01-09T00:00:00"/>
    <x v="0"/>
    <s v="-"/>
    <n v="12"/>
    <n v="1"/>
    <d v="2025-01-09T00:00:00"/>
    <s v="Delhi"/>
    <s v="Drona Logitech Pvt Ltd"/>
    <s v="DL01GC9359"/>
    <s v="32 FT"/>
    <n v="5171"/>
    <s v="Dispatched"/>
    <s v="-"/>
    <m/>
  </r>
  <r>
    <n v="231"/>
    <n v="46"/>
    <s v="PIPO"/>
    <s v="PSO 191"/>
    <d v="2025-01-08T00:00:00"/>
    <x v="7"/>
    <s v="2425/5/TI-274"/>
    <x v="33"/>
    <d v="2025-01-08T00:00:00"/>
    <x v="0"/>
    <s v="-"/>
    <n v="122"/>
    <n v="12"/>
    <d v="2025-01-09T00:00:00"/>
    <s v="Delhi"/>
    <s v="Drona Logitech Pvt Ltd"/>
    <s v="DL01GC9359"/>
    <s v="32 FT"/>
    <n v="5169"/>
    <s v="Dispatched"/>
    <s v="-"/>
    <m/>
  </r>
  <r>
    <n v="232"/>
    <n v="46"/>
    <s v="PIPO"/>
    <s v="PSO 198"/>
    <d v="2025-01-08T00:00:00"/>
    <x v="7"/>
    <s v="2425/5/TI-281"/>
    <x v="34"/>
    <d v="2025-01-09T00:00:00"/>
    <x v="0"/>
    <s v="-"/>
    <n v="40"/>
    <n v="4"/>
    <d v="2025-01-09T00:00:00"/>
    <s v="Delhi"/>
    <s v="Drona Logitech Pvt Ltd"/>
    <s v="DL01GC9359"/>
    <s v="32 FT"/>
    <n v="5169"/>
    <s v="Dispatched"/>
    <s v="-"/>
    <m/>
  </r>
  <r>
    <n v="233"/>
    <n v="46"/>
    <s v="PIPO"/>
    <s v="PSO 192"/>
    <d v="2025-01-08T00:00:00"/>
    <x v="7"/>
    <s v="2425/5/TI-277"/>
    <x v="35"/>
    <d v="2025-01-08T00:00:00"/>
    <x v="0"/>
    <s v="-"/>
    <n v="212"/>
    <n v="21"/>
    <d v="2025-01-09T00:00:00"/>
    <s v="Delhi"/>
    <s v="Drona Logitech Pvt Ltd"/>
    <s v="DL01GC9359"/>
    <s v="32 FT"/>
    <n v="5177"/>
    <s v="Dispatched"/>
    <s v="-"/>
    <m/>
  </r>
  <r>
    <n v="234"/>
    <n v="46"/>
    <s v="PIPO"/>
    <s v="PSO 157"/>
    <d v="2025-01-01T00:00:00"/>
    <x v="31"/>
    <s v="2425/5/TI-239"/>
    <x v="36"/>
    <d v="2025-01-06T00:00:00"/>
    <x v="0"/>
    <s v="-"/>
    <n v="280"/>
    <n v="28"/>
    <d v="2025-01-09T00:00:00"/>
    <s v="Delhi"/>
    <s v="Drona Logitech Pvt Ltd"/>
    <s v="DL01GC9359"/>
    <s v="32 FT"/>
    <n v="5170"/>
    <s v="Dispatched"/>
    <s v="-"/>
    <m/>
  </r>
  <r>
    <n v="235"/>
    <n v="46"/>
    <s v="PIPO"/>
    <s v="PSO 175"/>
    <d v="2025-01-03T00:00:00"/>
    <x v="31"/>
    <s v="2425/5/TI-253"/>
    <x v="37"/>
    <d v="2025-01-06T00:00:00"/>
    <x v="0"/>
    <s v="-"/>
    <n v="240"/>
    <n v="24"/>
    <d v="2025-01-09T00:00:00"/>
    <s v="Delhi"/>
    <s v="Drona Logitech Pvt Ltd"/>
    <s v="DL01GC9359"/>
    <s v="32 FT"/>
    <n v="5170"/>
    <s v="Dispatched"/>
    <s v="-"/>
    <m/>
  </r>
  <r>
    <n v="236"/>
    <n v="46"/>
    <s v="PIPO"/>
    <s v="PSO 168"/>
    <d v="2025-01-03T00:00:00"/>
    <x v="4"/>
    <s v="2425/5/TI-261"/>
    <x v="38"/>
    <d v="2025-01-07T00:00:00"/>
    <x v="0"/>
    <s v="-"/>
    <n v="170"/>
    <n v="17"/>
    <d v="2025-01-09T00:00:00"/>
    <s v="Delhi"/>
    <s v="Drona Logitech Pvt Ltd"/>
    <s v="DL01GC9359"/>
    <s v="32 FT"/>
    <n v="5172"/>
    <s v="Dispatched"/>
    <s v="-"/>
    <m/>
  </r>
  <r>
    <n v="237"/>
    <n v="46"/>
    <s v="PIPO"/>
    <s v="PSO 178"/>
    <d v="2025-01-03T00:00:00"/>
    <x v="29"/>
    <s v="2425/5/TI-258"/>
    <x v="39"/>
    <d v="2025-01-07T00:00:00"/>
    <x v="0"/>
    <s v="-"/>
    <n v="280"/>
    <n v="28"/>
    <d v="2025-01-09T00:00:00"/>
    <s v="Delhi"/>
    <s v="Drona Logitech Pvt Ltd"/>
    <s v="DL01GC9359"/>
    <s v="32 FT"/>
    <n v="5174"/>
    <s v="Dispatched"/>
    <s v="-"/>
    <m/>
  </r>
  <r>
    <n v="238"/>
    <n v="47"/>
    <s v="PIPO"/>
    <s v="PSO 137"/>
    <s v="-"/>
    <x v="12"/>
    <s v="2425/5/TI-227"/>
    <x v="40"/>
    <d v="2025-01-04T00:00:00"/>
    <x v="0"/>
    <s v="-"/>
    <n v="100"/>
    <n v="11"/>
    <d v="2025-01-10T00:00:00"/>
    <s v="Delhi"/>
    <s v="Drona Logitech Pvt Ltd"/>
    <s v="HR61E0283"/>
    <s v="22 FT"/>
    <n v="5185"/>
    <s v="Dispatched"/>
    <s v="-"/>
    <m/>
  </r>
  <r>
    <n v="239"/>
    <n v="47"/>
    <s v="PIPO"/>
    <s v="PSO 188"/>
    <d v="2025-01-06T00:00:00"/>
    <x v="18"/>
    <s v="2425/5/TI-287"/>
    <x v="41"/>
    <d v="2025-01-10T00:00:00"/>
    <x v="0"/>
    <s v="-"/>
    <n v="170"/>
    <n v="17"/>
    <d v="2025-01-10T00:00:00"/>
    <s v="Delhi"/>
    <s v="Drona Logitech Pvt Ltd"/>
    <s v="HR61E0283"/>
    <s v="22 FT"/>
    <n v="5184"/>
    <s v="Dispatched"/>
    <s v="-"/>
    <m/>
  </r>
  <r>
    <n v="240"/>
    <n v="47"/>
    <s v="PIPO"/>
    <s v="PSO 185"/>
    <d v="2025-01-04T00:00:00"/>
    <x v="24"/>
    <s v="2425/5/TI-283"/>
    <x v="42"/>
    <d v="2025-01-09T00:00:00"/>
    <x v="0"/>
    <s v="-"/>
    <n v="354"/>
    <n v="35"/>
    <d v="2025-01-10T00:00:00"/>
    <s v="Delhi"/>
    <s v="Drona Logitech Pvt Ltd"/>
    <s v="HR61E0283"/>
    <s v="22 FT"/>
    <n v="5182"/>
    <s v="Dispatched"/>
    <s v="-"/>
    <m/>
  </r>
  <r>
    <n v="241"/>
    <n v="47"/>
    <s v="PIPO"/>
    <s v="PSO 186"/>
    <d v="2025-01-04T00:00:00"/>
    <x v="11"/>
    <s v="2425/5/TI-286"/>
    <x v="43"/>
    <d v="2025-01-10T00:00:00"/>
    <x v="0"/>
    <s v="-"/>
    <n v="160"/>
    <n v="16"/>
    <d v="2025-01-10T00:00:00"/>
    <s v="Delhi"/>
    <s v="Drona Logitech Pvt Ltd"/>
    <s v="HR61E0283"/>
    <s v="22 FT"/>
    <n v="5183"/>
    <s v="Dispatched"/>
    <s v="-"/>
    <m/>
  </r>
  <r>
    <n v="242"/>
    <n v="47"/>
    <s v="PIPO"/>
    <s v="PSO 194"/>
    <d v="2025-01-08T00:00:00"/>
    <x v="16"/>
    <s v="2425/5/TI-288"/>
    <x v="44"/>
    <d v="2025-01-10T00:00:00"/>
    <x v="0"/>
    <s v="-"/>
    <n v="470"/>
    <n v="47"/>
    <d v="2025-01-10T00:00:00"/>
    <s v="Delhi"/>
    <s v="Drona Logitech Pvt Ltd"/>
    <s v="HR61E0283"/>
    <s v="22 FT"/>
    <n v="5186"/>
    <s v="Dispatched"/>
    <s v="-"/>
    <m/>
  </r>
  <r>
    <n v="243"/>
    <n v="47"/>
    <s v="PIPO"/>
    <s v="PSO 182"/>
    <d v="2025-01-04T00:00:00"/>
    <x v="27"/>
    <s v="2425/5/TI-285"/>
    <x v="45"/>
    <d v="2025-01-10T00:00:00"/>
    <x v="0"/>
    <s v="-"/>
    <n v="892"/>
    <n v="88"/>
    <d v="2025-01-10T00:00:00"/>
    <s v="Delhi"/>
    <s v="Drona Logitech Pvt Ltd"/>
    <s v="HR61E0283"/>
    <s v="22 FT"/>
    <n v="5181"/>
    <s v="Dispatched"/>
    <s v="-"/>
    <m/>
  </r>
  <r>
    <n v="244"/>
    <n v="48"/>
    <s v="PIPO"/>
    <s v="PSO 197"/>
    <d v="2025-01-08T00:00:00"/>
    <x v="13"/>
    <s v="2425/5/TI-289"/>
    <x v="46"/>
    <d v="2025-01-11T00:00:00"/>
    <x v="0"/>
    <s v="-"/>
    <n v="1300"/>
    <n v="128"/>
    <d v="2025-01-11T00:00:00"/>
    <s v="Delhi"/>
    <s v="Drona Logitech Pvt Ltd"/>
    <s v="DL1GC9359"/>
    <s v="22 FT"/>
    <n v="5187"/>
    <s v="Dispatched"/>
    <s v="-"/>
    <m/>
  </r>
  <r>
    <n v="245"/>
    <n v="48"/>
    <s v="PIPO"/>
    <s v="SS 1"/>
    <s v="-"/>
    <x v="0"/>
    <s v="STO-2"/>
    <x v="0"/>
    <s v="-"/>
    <x v="0"/>
    <s v="-"/>
    <n v="452"/>
    <n v="45"/>
    <d v="2025-01-11T00:00:00"/>
    <s v="Delhi"/>
    <s v="Drona Logitech Pvt Ltd"/>
    <s v="DL1GC9359"/>
    <s v="22 FT"/>
    <n v="5189"/>
    <s v="Dispatched"/>
    <s v="-"/>
    <m/>
  </r>
  <r>
    <n v="246"/>
    <n v="48"/>
    <s v="PIPO"/>
    <s v="PSO 193"/>
    <d v="2025-01-08T00:00:00"/>
    <x v="35"/>
    <s v="2425/5/TI-290"/>
    <x v="47"/>
    <d v="2025-01-11T00:00:00"/>
    <x v="0"/>
    <s v="-"/>
    <n v="447"/>
    <n v="44"/>
    <d v="2025-01-11T00:00:00"/>
    <s v="Delhi"/>
    <s v="Drona Logitech Pvt Ltd"/>
    <s v="DL1GC9359"/>
    <s v="22 FT"/>
    <n v="5190"/>
    <s v="Dispatched"/>
    <s v="-"/>
    <m/>
  </r>
  <r>
    <n v="247"/>
    <n v="48"/>
    <s v="BIBO"/>
    <s v="WSO 71"/>
    <s v="-"/>
    <x v="4"/>
    <s v="2425/5/TI-291"/>
    <x v="48"/>
    <d v="2025-01-11T00:00:00"/>
    <x v="0"/>
    <s v="-"/>
    <n v="216"/>
    <n v="9"/>
    <d v="2025-01-11T00:00:00"/>
    <s v="Delhi"/>
    <s v="Drona Logitech Pvt Ltd"/>
    <s v="DL1GC9359"/>
    <s v="22 FT"/>
    <n v="5191"/>
    <s v="Dispatched"/>
    <s v="-"/>
    <m/>
  </r>
  <r>
    <n v="248"/>
    <n v="48"/>
    <s v="BIBO"/>
    <s v="WSO 74"/>
    <s v="-"/>
    <x v="4"/>
    <s v="2425/5/TI-292"/>
    <x v="49"/>
    <d v="2025-01-11T00:00:00"/>
    <x v="0"/>
    <s v="-"/>
    <n v="120"/>
    <n v="5"/>
    <d v="2025-01-11T00:00:00"/>
    <s v="Delhi"/>
    <s v="Drona Logitech Pvt Ltd"/>
    <s v="DL1GC9359"/>
    <s v="22 FT"/>
    <n v="5191"/>
    <s v="Dispatched"/>
    <s v="-"/>
    <m/>
  </r>
  <r>
    <n v="249"/>
    <n v="48"/>
    <s v="BIBO"/>
    <s v="PSO 190"/>
    <d v="2025-01-06T00:00:00"/>
    <x v="19"/>
    <s v="2425/5/TI-276"/>
    <x v="50"/>
    <d v="2025-01-08T00:00:00"/>
    <x v="0"/>
    <s v="-"/>
    <n v="176"/>
    <n v="17"/>
    <d v="2025-01-11T00:00:00"/>
    <s v="Delhi"/>
    <s v="Drona Logitech Pvt Ltd"/>
    <s v="DL1GC9359"/>
    <s v="22 FT"/>
    <n v="5191"/>
    <s v="Dispatched"/>
    <s v="-"/>
    <m/>
  </r>
  <r>
    <n v="250"/>
    <n v="49"/>
    <s v="PIPO"/>
    <s v="PSO 206"/>
    <d v="2025-01-09T00:00:00"/>
    <x v="11"/>
    <s v="2425/5/TI-294"/>
    <x v="51"/>
    <d v="2025-01-13T00:00:00"/>
    <x v="0"/>
    <s v="-"/>
    <n v="150"/>
    <n v="15"/>
    <d v="2025-01-14T00:00:00"/>
    <s v="Delhi"/>
    <s v="Drona Logitech Pvt Ltd"/>
    <s v="DL01MA6900"/>
    <s v="22 FT"/>
    <n v="5192"/>
    <s v="Dispatched"/>
    <s v="-"/>
    <m/>
  </r>
  <r>
    <n v="251"/>
    <n v="49"/>
    <s v="PIPO"/>
    <s v="PSO 201"/>
    <d v="2025-01-08T00:00:00"/>
    <x v="11"/>
    <s v="2425/5/TI-293"/>
    <x v="52"/>
    <d v="2025-01-13T00:00:00"/>
    <x v="0"/>
    <s v="-"/>
    <n v="340"/>
    <n v="34"/>
    <d v="2025-01-14T00:00:00"/>
    <s v="Delhi"/>
    <s v="Drona Logitech Pvt Ltd"/>
    <s v="DL01MA6900"/>
    <s v="22 FT"/>
    <n v="5192"/>
    <s v="Dispatched"/>
    <s v="-"/>
    <m/>
  </r>
  <r>
    <n v="252"/>
    <n v="49"/>
    <s v="BIBO"/>
    <s v="WSO 77 , 78"/>
    <s v="-"/>
    <x v="6"/>
    <s v="2425/5/TI-303"/>
    <x v="53"/>
    <d v="2025-01-14T00:00:00"/>
    <x v="0"/>
    <s v="-"/>
    <n v="1248"/>
    <n v="52"/>
    <d v="2025-01-14T00:00:00"/>
    <s v="Delhi"/>
    <s v="Drona Logitech Pvt Ltd"/>
    <s v="PL01MA6900"/>
    <s v="22 FT"/>
    <n v="5200"/>
    <s v="Dispatched"/>
    <s v="-"/>
    <m/>
  </r>
  <r>
    <n v="253"/>
    <n v="49"/>
    <s v="PIPO"/>
    <s v="PSO 213"/>
    <d v="2025-01-11T00:00:00"/>
    <x v="9"/>
    <s v="2425/5/TI-298"/>
    <x v="54"/>
    <d v="2025-01-14T00:00:00"/>
    <x v="0"/>
    <s v="-"/>
    <n v="70"/>
    <n v="7"/>
    <d v="2025-01-14T00:00:00"/>
    <s v="Delhi"/>
    <s v="Drona Logitech Pvt Ltd"/>
    <s v="DL01MA6900"/>
    <s v="22FT"/>
    <n v="5193"/>
    <s v="Dispatched"/>
    <s v="-"/>
    <m/>
  </r>
  <r>
    <n v="254"/>
    <n v="49"/>
    <s v="PIPO"/>
    <s v="PSO 210"/>
    <d v="2025-01-11T00:00:00"/>
    <x v="9"/>
    <s v="2425/5/TI-296"/>
    <x v="55"/>
    <d v="2025-01-13T00:00:00"/>
    <x v="0"/>
    <s v="-"/>
    <n v="258"/>
    <n v="26"/>
    <d v="2025-01-14T00:00:00"/>
    <s v="Delhi"/>
    <s v="Drona Logitech Pvt Ltd"/>
    <s v="DL01MA6900"/>
    <s v="22FT"/>
    <n v="5193"/>
    <s v="Dispatched"/>
    <s v="-"/>
    <m/>
  </r>
  <r>
    <n v="255"/>
    <n v="49"/>
    <s v="PIPO"/>
    <s v="PSO 204"/>
    <d v="2025-01-09T00:00:00"/>
    <x v="34"/>
    <s v="2425/5/TI-301"/>
    <x v="56"/>
    <d v="2025-01-14T00:00:00"/>
    <x v="0"/>
    <s v="-"/>
    <n v="106"/>
    <n v="11"/>
    <d v="2025-01-14T00:00:00"/>
    <s v="Delhi"/>
    <s v="Drona Logitech Pvt Ltd"/>
    <s v="DL01MA6900"/>
    <s v="22FT"/>
    <n v="5194"/>
    <s v="Dispatched"/>
    <s v="-"/>
    <m/>
  </r>
  <r>
    <n v="256"/>
    <n v="49"/>
    <s v="PIPO"/>
    <s v="PSO 203"/>
    <d v="2025-01-08T00:00:00"/>
    <x v="21"/>
    <s v="2425/5/TI-300"/>
    <x v="57"/>
    <d v="2025-01-14T00:00:00"/>
    <x v="0"/>
    <s v="-"/>
    <n v="208"/>
    <n v="21"/>
    <d v="2025-01-14T00:00:00"/>
    <s v="Delhi"/>
    <s v="Drona Logitech Pvt Ltd"/>
    <s v="DL01MA6900"/>
    <s v="22FT"/>
    <n v="5195"/>
    <s v="Dispatched"/>
    <s v="-"/>
    <m/>
  </r>
  <r>
    <n v="257"/>
    <n v="49"/>
    <s v="PIPO"/>
    <s v="PSO 207"/>
    <d v="2025-01-09T00:00:00"/>
    <x v="25"/>
    <s v="2425/5/TI-299"/>
    <x v="58"/>
    <d v="2025-01-14T00:00:00"/>
    <x v="0"/>
    <s v="-"/>
    <n v="68"/>
    <n v="7"/>
    <d v="2025-01-14T00:00:00"/>
    <s v="Delhi"/>
    <s v="Drona Logitech Pvt Ltd"/>
    <s v="DL01MA6900"/>
    <s v="22FT"/>
    <n v="5199"/>
    <s v="Dispatched"/>
    <s v="-"/>
    <m/>
  </r>
  <r>
    <n v="258"/>
    <n v="49"/>
    <s v="PIPO"/>
    <s v="PSO 205"/>
    <d v="2025-01-09T00:00:00"/>
    <x v="30"/>
    <s v="2425/5/TI-302"/>
    <x v="59"/>
    <d v="2025-01-14T00:00:00"/>
    <x v="0"/>
    <s v="-"/>
    <n v="96"/>
    <n v="10"/>
    <d v="2025-01-14T00:00:00"/>
    <s v="Delhi"/>
    <s v="Drona Logitech Pvt Ltd"/>
    <s v="DL01MA6900"/>
    <s v="22FT"/>
    <n v="5197"/>
    <s v="Dispatched"/>
    <s v="-"/>
    <m/>
  </r>
  <r>
    <n v="259"/>
    <n v="49"/>
    <s v="PIPO"/>
    <s v="PSO 212"/>
    <d v="2025-01-11T00:00:00"/>
    <x v="16"/>
    <s v="2425/5/TI-297"/>
    <x v="60"/>
    <d v="2025-01-14T00:00:00"/>
    <x v="0"/>
    <s v="-"/>
    <n v="40"/>
    <n v="4"/>
    <d v="2025-01-14T00:00:00"/>
    <s v="Delhi"/>
    <s v="Drona Logitech Pvt Ltd"/>
    <s v="DL01MA6900"/>
    <s v="22FT"/>
    <n v="5198"/>
    <s v="Dispatched"/>
    <s v="-"/>
    <m/>
  </r>
  <r>
    <n v="260"/>
    <n v="49"/>
    <s v="PIPO"/>
    <s v="PSO 209"/>
    <d v="2025-01-10T00:00:00"/>
    <x v="2"/>
    <s v="2425/5/TI-295"/>
    <x v="61"/>
    <d v="2025-01-13T00:00:00"/>
    <x v="0"/>
    <s v="-"/>
    <n v="70"/>
    <n v="7"/>
    <d v="2025-01-14T00:00:00"/>
    <s v="Delhi"/>
    <s v="Drona Logitech Pvt Ltd"/>
    <s v="DL01MA6900"/>
    <s v="22FT"/>
    <n v="5199"/>
    <s v="Dispatched"/>
    <s v="-"/>
    <m/>
  </r>
  <r>
    <n v="261"/>
    <n v="50"/>
    <s v="BIBO"/>
    <s v="WSO80"/>
    <s v="-"/>
    <x v="2"/>
    <s v="2425/5/TI-310"/>
    <x v="62"/>
    <d v="2025-01-16T00:00:00"/>
    <x v="0"/>
    <s v="-"/>
    <n v="1140"/>
    <n v="50"/>
    <d v="2025-01-16T00:00:00"/>
    <s v="Delhi"/>
    <s v="Drona Logitech Pvt Ltd"/>
    <s v="DL01MB0112"/>
    <s v="22FT"/>
    <n v="5205"/>
    <s v="Dispatched"/>
    <s v="-"/>
    <m/>
  </r>
  <r>
    <n v="262"/>
    <n v="50"/>
    <s v="BIBO"/>
    <s v="WSO79"/>
    <s v="-"/>
    <x v="6"/>
    <s v="2425/5/TI-309"/>
    <x v="63"/>
    <d v="2025-01-16T00:00:00"/>
    <x v="0"/>
    <s v="-"/>
    <n v="456"/>
    <n v="29"/>
    <d v="2025-01-16T00:00:00"/>
    <s v="Delhi"/>
    <s v="Drona Logitech Pvt Ltd"/>
    <s v="DL01MB0112"/>
    <s v="22FT"/>
    <n v="5206"/>
    <s v="Dispatched"/>
    <s v="-"/>
    <m/>
  </r>
  <r>
    <n v="263"/>
    <n v="50"/>
    <s v="PIPO"/>
    <s v="PSO 211"/>
    <d v="2025-01-11T00:00:00"/>
    <x v="29"/>
    <s v="2425/5/TI-311"/>
    <x v="64"/>
    <d v="2025-01-16T00:00:00"/>
    <x v="0"/>
    <s v="-"/>
    <n v="377"/>
    <n v="38"/>
    <d v="2025-01-16T00:00:00"/>
    <s v="Delhi"/>
    <s v="Drona Logitech Pvt Ltd"/>
    <s v="DL01MB0112"/>
    <s v="22FT"/>
    <n v="5207"/>
    <s v="Dispatched"/>
    <s v="-"/>
    <m/>
  </r>
  <r>
    <n v="264"/>
    <n v="50"/>
    <s v="BIBO"/>
    <s v="WSO 82"/>
    <s v="-"/>
    <x v="3"/>
    <s v="2425/5/TI-305"/>
    <x v="65"/>
    <d v="2025-01-16T00:00:00"/>
    <x v="0"/>
    <s v="-"/>
    <n v="168"/>
    <n v="7"/>
    <d v="2025-01-16T00:00:00"/>
    <s v="Delhi"/>
    <s v="Drona Logitech Pvt Ltd"/>
    <s v="DL01MB0112"/>
    <s v="22FT"/>
    <n v="5201"/>
    <s v="Dispatched"/>
    <s v="-"/>
    <m/>
  </r>
  <r>
    <n v="265"/>
    <n v="50"/>
    <s v="BIBO"/>
    <s v="WSO76"/>
    <s v="-"/>
    <x v="25"/>
    <s v="2425/5/TI-306"/>
    <x v="66"/>
    <d v="2025-01-16T00:00:00"/>
    <x v="0"/>
    <s v="-"/>
    <n v="48"/>
    <n v="2"/>
    <d v="2025-01-16T00:00:00"/>
    <s v="Delhi"/>
    <s v="Drona Logitech Pvt Ltd"/>
    <s v="DL01MB0112"/>
    <s v="22FT"/>
    <n v="5202"/>
    <s v="Dispatched"/>
    <s v="-"/>
    <m/>
  </r>
  <r>
    <n v="266"/>
    <n v="50"/>
    <s v="BIBO"/>
    <s v="WSO75"/>
    <s v="-"/>
    <x v="11"/>
    <s v="2425/5/TI-307"/>
    <x v="67"/>
    <d v="2025-01-16T00:00:00"/>
    <x v="0"/>
    <s v="-"/>
    <n v="264"/>
    <n v="11"/>
    <d v="2025-01-16T00:00:00"/>
    <s v="Delhi"/>
    <s v="Drona Logitech Pvt Ltd"/>
    <s v="DL01MB0112"/>
    <s v="22FT"/>
    <n v="5203"/>
    <s v="Dispatched"/>
    <s v="-"/>
    <m/>
  </r>
  <r>
    <n v="267"/>
    <n v="50"/>
    <s v="BIBO"/>
    <s v="WSO72"/>
    <s v="-"/>
    <x v="2"/>
    <s v="2425/5/TI-308"/>
    <x v="68"/>
    <d v="2025-01-16T00:00:00"/>
    <x v="0"/>
    <s v="-"/>
    <n v="48"/>
    <n v="2"/>
    <d v="2025-01-16T00:00:00"/>
    <s v="Delhi"/>
    <s v="Drona Logitech Pvt Ltd"/>
    <s v="DL01MB0112"/>
    <s v="22FT"/>
    <n v="5204"/>
    <s v="Dispatched"/>
    <s v="-"/>
    <m/>
  </r>
  <r>
    <n v="268"/>
    <n v="51"/>
    <s v="PIPO"/>
    <s v="PSO 202"/>
    <d v="2025-01-08T00:00:00"/>
    <x v="11"/>
    <s v="2425/5/TI-315"/>
    <x v="69"/>
    <d v="2025-01-17T00:00:00"/>
    <x v="0"/>
    <s v="-"/>
    <n v="50"/>
    <n v="5"/>
    <d v="2025-01-17T00:00:00"/>
    <s v="Delhi"/>
    <s v="Drona Logitech Pvt Ltd"/>
    <s v="DL01GL9359"/>
    <s v="22FT"/>
    <n v="5152"/>
    <s v="Dispatched"/>
    <s v="-"/>
    <m/>
  </r>
  <r>
    <n v="269"/>
    <n v="51"/>
    <s v="BIBO"/>
    <s v="WSO83"/>
    <s v="-"/>
    <x v="1"/>
    <s v="2425/5/TI-317"/>
    <x v="70"/>
    <d v="2025-01-17T00:00:00"/>
    <x v="0"/>
    <s v="-"/>
    <n v="1596"/>
    <n v="84"/>
    <d v="2025-01-17T00:00:00"/>
    <s v="Delhi"/>
    <s v="Drona Logitech Pvt Ltd"/>
    <s v="DL01GL9359"/>
    <s v="22FT"/>
    <n v="5209"/>
    <s v="Dispatched"/>
    <s v="-"/>
    <m/>
  </r>
  <r>
    <n v="270"/>
    <n v="51"/>
    <s v="PIPO"/>
    <s v="PSO 220"/>
    <d v="2025-01-11T00:00:00"/>
    <x v="3"/>
    <s v="2425/5/TI-316"/>
    <x v="71"/>
    <d v="2025-01-17T00:00:00"/>
    <x v="0"/>
    <s v="-"/>
    <n v="52"/>
    <n v="5"/>
    <d v="2025-01-17T00:00:00"/>
    <s v="Delhi"/>
    <s v="Drona Logitech Pvt Ltd"/>
    <s v="DL01GL9359"/>
    <s v="22FT"/>
    <n v="5210"/>
    <s v="Dispatched"/>
    <s v="-"/>
    <m/>
  </r>
  <r>
    <n v="271"/>
    <n v="51"/>
    <s v="PIPO"/>
    <s v="PSO 199"/>
    <s v="-"/>
    <x v="3"/>
    <s v="2425/5/TI-314"/>
    <x v="72"/>
    <d v="2025-01-17T00:00:00"/>
    <x v="0"/>
    <s v="-"/>
    <n v="124"/>
    <n v="12"/>
    <d v="2025-01-17T00:00:00"/>
    <s v="Delhi"/>
    <s v="Drona Logitech Pvt Ltd"/>
    <s v="DL01GL9359"/>
    <s v="22FT"/>
    <n v="5213"/>
    <s v="Dispatched"/>
    <s v="-"/>
    <m/>
  </r>
  <r>
    <n v="272"/>
    <n v="51"/>
    <s v="PIPO"/>
    <s v="PSO 200"/>
    <d v="2025-01-11T00:00:00"/>
    <x v="11"/>
    <s v="2425/5/TI-312"/>
    <x v="73"/>
    <d v="2025-01-17T00:00:00"/>
    <x v="0"/>
    <s v="-"/>
    <n v="450"/>
    <n v="45"/>
    <d v="2025-01-17T00:00:00"/>
    <s v="Delhi"/>
    <s v="Drona Logitech Pvt Ltd"/>
    <s v="DL01GL9359"/>
    <s v="22FT"/>
    <n v="5152"/>
    <s v="Dispatched"/>
    <s v="-"/>
    <m/>
  </r>
  <r>
    <n v="273"/>
    <n v="51"/>
    <s v="PIPO"/>
    <s v="PSO 195"/>
    <d v="2025-01-08T00:00:00"/>
    <x v="31"/>
    <s v="2425/5/TI-313"/>
    <x v="74"/>
    <d v="2025-01-17T00:00:00"/>
    <x v="0"/>
    <s v="-"/>
    <n v="30"/>
    <n v="3"/>
    <d v="2025-01-17T00:00:00"/>
    <s v="Delhi"/>
    <s v="Drona Logitech Pvt Ltd"/>
    <s v="DL01GL9359"/>
    <s v="22FT"/>
    <n v="5152"/>
    <s v="Dispatched"/>
    <s v="-"/>
    <m/>
  </r>
  <r>
    <n v="274"/>
    <n v="52"/>
    <s v="PIPO"/>
    <s v="PSO 127"/>
    <s v="-"/>
    <x v="10"/>
    <s v="2425/5/TI-211"/>
    <x v="0"/>
    <d v="2024-12-31T00:00:00"/>
    <x v="0"/>
    <s v="-"/>
    <n v="458"/>
    <n v="44"/>
    <d v="2025-01-03T00:00:00"/>
    <s v="Delhi"/>
    <s v="Drona Logitech Pvt Ltd"/>
    <s v="HR61E0283"/>
    <s v="22FT"/>
    <n v="1585"/>
    <s v="Dispatched"/>
    <s v="-"/>
    <m/>
  </r>
  <r>
    <n v="275"/>
    <n v="52"/>
    <s v="PIPO"/>
    <s v="PSO 121"/>
    <s v="-"/>
    <x v="8"/>
    <s v="2425/5/TI-209"/>
    <x v="0"/>
    <d v="2024-12-31T00:00:00"/>
    <x v="0"/>
    <s v="-"/>
    <n v="90"/>
    <n v="9"/>
    <d v="2025-01-03T00:00:00"/>
    <s v="Delhi"/>
    <s v="Drona Logitech Pvt Ltd"/>
    <s v="HR61E0283"/>
    <s v="22FT"/>
    <n v="1584"/>
    <s v="Dispatched"/>
    <s v="-"/>
    <m/>
  </r>
  <r>
    <n v="276"/>
    <n v="52"/>
    <s v="PIPO"/>
    <s v="PSO 128"/>
    <s v="-"/>
    <x v="13"/>
    <s v="2425/5/TI-212"/>
    <x v="0"/>
    <d v="2024-12-31T00:00:00"/>
    <x v="0"/>
    <s v="-"/>
    <n v="486"/>
    <n v="49"/>
    <d v="2025-01-03T00:00:00"/>
    <s v="Delhi"/>
    <s v="Drona Logitech Pvt Ltd"/>
    <s v="HR61E0283"/>
    <s v="22FT"/>
    <n v="1583"/>
    <s v="Dispatched"/>
    <s v="-"/>
    <m/>
  </r>
  <r>
    <n v="277"/>
    <n v="52"/>
    <s v="PIPO"/>
    <s v="PSO 126"/>
    <s v="-"/>
    <x v="13"/>
    <s v="2425/5/TI-210"/>
    <x v="0"/>
    <d v="2024-12-31T00:00:00"/>
    <x v="0"/>
    <s v="-"/>
    <n v="504"/>
    <n v="51"/>
    <d v="2025-01-03T00:00:00"/>
    <s v="Delhi"/>
    <s v="Drona Logitech Pvt Ltd"/>
    <s v="HR61E0283"/>
    <s v="22FT"/>
    <n v="1583"/>
    <s v="Dispatched"/>
    <s v="-"/>
    <m/>
  </r>
  <r>
    <n v="278"/>
    <n v="52"/>
    <s v="PIPO"/>
    <s v="PSO 119"/>
    <s v="-"/>
    <x v="27"/>
    <s v="2425/5/TI-208"/>
    <x v="0"/>
    <d v="2024-12-31T00:00:00"/>
    <x v="0"/>
    <s v="-"/>
    <n v="1150"/>
    <n v="116"/>
    <d v="2025-01-03T00:00:00"/>
    <s v="Delhi"/>
    <s v="Drona Logitech Pvt Ltd"/>
    <s v="HR61E0283"/>
    <s v="22FT"/>
    <n v="1582"/>
    <s v="Dispatched"/>
    <s v="-"/>
    <m/>
  </r>
  <r>
    <n v="279"/>
    <n v="52"/>
    <s v="PIPO"/>
    <s v="PSO 145"/>
    <s v="-"/>
    <x v="4"/>
    <s v="2425/5/TI-196"/>
    <x v="0"/>
    <d v="2024-12-31T00:00:00"/>
    <x v="0"/>
    <s v="-"/>
    <n v="150"/>
    <n v="15"/>
    <d v="2025-01-03T00:00:00"/>
    <s v="Delhi"/>
    <s v="Drona Logitech Pvt Ltd"/>
    <s v="HR61E0283"/>
    <s v="22FT"/>
    <n v="1586"/>
    <s v="Dispatched"/>
    <s v="-"/>
    <m/>
  </r>
  <r>
    <n v="280"/>
    <n v="53"/>
    <s v="BIBO"/>
    <s v="WSO 65"/>
    <s v="-"/>
    <x v="23"/>
    <s v="2425/5/TI-221"/>
    <x v="10"/>
    <d v="2025-01-03T00:00:00"/>
    <x v="0"/>
    <s v="-"/>
    <n v="48"/>
    <n v="2"/>
    <d v="2025-01-04T00:00:00"/>
    <s v="Delhi"/>
    <s v="Drona Logitech Pvt Ltd"/>
    <s v="DL01MA2872"/>
    <s v="22FT"/>
    <n v="1588"/>
    <s v="Dispatched"/>
    <s v="-"/>
    <m/>
  </r>
  <r>
    <n v="281"/>
    <n v="53"/>
    <s v="BIBO"/>
    <s v="WSO 64"/>
    <s v="-"/>
    <x v="8"/>
    <s v="2425/5/TI-220"/>
    <x v="10"/>
    <d v="2025-01-03T00:00:00"/>
    <x v="0"/>
    <s v="-"/>
    <n v="48"/>
    <n v="2"/>
    <d v="2025-01-04T00:00:00"/>
    <s v="Delhi"/>
    <s v="Drona Logitech Pvt Ltd"/>
    <s v="DL01MA2872"/>
    <s v="22FT"/>
    <n v="1598"/>
    <s v="Dispatched"/>
    <s v="-"/>
    <s v="GR Recived"/>
  </r>
  <r>
    <n v="282"/>
    <n v="53"/>
    <s v="PIPO"/>
    <s v="PSO 134"/>
    <s v="-"/>
    <x v="9"/>
    <s v="2425/5/TI-217"/>
    <x v="75"/>
    <d v="2025-01-03T00:00:00"/>
    <x v="0"/>
    <s v="-"/>
    <n v="110"/>
    <n v="11"/>
    <d v="2025-01-04T00:00:00"/>
    <s v="Delhi"/>
    <s v="Drona Logitech Pvt Ltd"/>
    <s v="DL01MA2872"/>
    <s v="22FT"/>
    <n v="1597"/>
    <s v="Dispatched"/>
    <s v="-"/>
    <m/>
  </r>
  <r>
    <n v="283"/>
    <n v="53"/>
    <s v="BIBO"/>
    <s v="WSO 64"/>
    <s v="-"/>
    <x v="16"/>
    <s v="2425/5/TI-226"/>
    <x v="76"/>
    <d v="2025-01-04T00:00:00"/>
    <x v="0"/>
    <s v="-"/>
    <n v="216"/>
    <n v="9"/>
    <d v="2025-01-04T00:00:00"/>
    <s v="Delhi"/>
    <s v="Drona Logitech Pvt Ltd"/>
    <s v="DL01MA2872"/>
    <s v="22FT"/>
    <n v="1596"/>
    <s v="Dispatched"/>
    <s v="-"/>
    <m/>
  </r>
  <r>
    <n v="284"/>
    <n v="53"/>
    <s v="PIPO"/>
    <s v="PSO 135"/>
    <s v="-"/>
    <x v="16"/>
    <s v="2425/5/TI-225"/>
    <x v="77"/>
    <d v="2025-01-04T00:00:00"/>
    <x v="0"/>
    <s v="-"/>
    <n v="160"/>
    <n v="16"/>
    <d v="2025-01-04T00:00:00"/>
    <s v="Delhi"/>
    <s v="Drona Logitech Pvt Ltd"/>
    <s v="DL01MA2872"/>
    <s v="22FT"/>
    <n v="1597"/>
    <s v="Dispatched"/>
    <s v="-"/>
    <m/>
  </r>
  <r>
    <n v="285"/>
    <n v="53"/>
    <s v="PIPO"/>
    <s v="PSO 142"/>
    <s v="-"/>
    <x v="11"/>
    <s v="2425/5/TI-193"/>
    <x v="0"/>
    <d v="2024-12-31T00:00:00"/>
    <x v="0"/>
    <s v="-"/>
    <n v="450"/>
    <n v="45"/>
    <d v="2025-01-04T00:00:00"/>
    <s v="Delhi"/>
    <s v="Drona Logitech Pvt Ltd"/>
    <s v="DL01MA2872"/>
    <s v="22FT"/>
    <n v="1595"/>
    <s v="Dispatched"/>
    <s v="-"/>
    <m/>
  </r>
  <r>
    <n v="286"/>
    <n v="53"/>
    <s v="PIPO"/>
    <s v="PSO 146"/>
    <s v="-"/>
    <x v="10"/>
    <s v="2425/5/TI-197"/>
    <x v="0"/>
    <d v="2024-12-31T00:00:00"/>
    <x v="0"/>
    <s v="-"/>
    <n v="250"/>
    <n v="25"/>
    <d v="2025-01-04T00:00:00"/>
    <s v="Delhi"/>
    <s v="Drona Logitech Pvt Ltd"/>
    <s v="DL01MA2872"/>
    <s v="22FT"/>
    <n v="1589"/>
    <s v="Dispatched"/>
    <s v="-"/>
    <m/>
  </r>
  <r>
    <n v="287"/>
    <n v="53"/>
    <s v="PIPO"/>
    <s v="PSO 140"/>
    <s v="-"/>
    <x v="21"/>
    <s v="2425/5/TI-218"/>
    <x v="78"/>
    <d v="2025-01-03T00:00:00"/>
    <x v="0"/>
    <s v="-"/>
    <n v="214"/>
    <n v="21"/>
    <d v="2025-01-04T00:00:00"/>
    <s v="Delhi"/>
    <s v="Drona Logitech Pvt Ltd"/>
    <s v="DL01MA2872"/>
    <s v="22FT"/>
    <n v="1590"/>
    <s v="Dispatched"/>
    <s v="-"/>
    <m/>
  </r>
  <r>
    <n v="288"/>
    <n v="53"/>
    <s v="PIPO"/>
    <s v="PSO 136"/>
    <s v="-"/>
    <x v="18"/>
    <s v="2425/5/TI-224"/>
    <x v="26"/>
    <d v="2025-01-04T00:00:00"/>
    <x v="0"/>
    <s v="-"/>
    <n v="52"/>
    <n v="5"/>
    <d v="2025-01-04T00:00:00"/>
    <s v="Delhi"/>
    <s v="Drona Logitech Pvt Ltd"/>
    <s v="DL01MA2872"/>
    <s v="22FT"/>
    <n v="1591"/>
    <s v="Dispatched"/>
    <s v="-"/>
    <m/>
  </r>
  <r>
    <n v="289"/>
    <n v="53"/>
    <s v="PIPO"/>
    <s v="PSO 132"/>
    <s v="-"/>
    <x v="34"/>
    <s v="2425/5/TI-216"/>
    <x v="79"/>
    <d v="2025-01-03T00:00:00"/>
    <x v="0"/>
    <s v="-"/>
    <n v="60"/>
    <n v="6"/>
    <d v="2025-01-04T00:00:00"/>
    <s v="Delhi"/>
    <s v="Drona Logitech Pvt Ltd"/>
    <s v="DL01MA2872"/>
    <s v="22FT"/>
    <n v="1592"/>
    <s v="Dispatched"/>
    <s v="-"/>
    <m/>
  </r>
  <r>
    <n v="290"/>
    <n v="53"/>
    <s v="PIPO"/>
    <s v="PSO 144"/>
    <s v="-"/>
    <x v="13"/>
    <s v="2425/5/TI-195"/>
    <x v="0"/>
    <d v="2024-12-31T00:00:00"/>
    <x v="0"/>
    <s v="-"/>
    <n v="500"/>
    <n v="50"/>
    <d v="2025-01-04T00:00:00"/>
    <s v="Delhi"/>
    <s v="Drona Logitech Pvt Ltd"/>
    <s v="DL01MA2872"/>
    <s v="22FT"/>
    <n v="1594"/>
    <s v="Dispatched"/>
    <s v="-"/>
    <m/>
  </r>
  <r>
    <n v="291"/>
    <n v="53"/>
    <s v="BIBO"/>
    <s v="WSO 67"/>
    <s v="-"/>
    <x v="4"/>
    <s v="2425/5/TI-222"/>
    <x v="68"/>
    <d v="2025-01-03T00:00:00"/>
    <x v="0"/>
    <s v="-"/>
    <n v="48"/>
    <n v="2"/>
    <d v="2025-01-04T00:00:00"/>
    <s v="Delhi"/>
    <s v="Drona Logitech Pvt Ltd"/>
    <s v="DL01MA2872"/>
    <s v="22FT"/>
    <n v="1593"/>
    <s v="Dispatched"/>
    <s v="-"/>
    <m/>
  </r>
  <r>
    <n v="292"/>
    <n v="54"/>
    <s v="PIPO"/>
    <s v="-"/>
    <s v="-"/>
    <x v="0"/>
    <s v="Delivery Challan 02"/>
    <x v="0"/>
    <s v="-"/>
    <x v="0"/>
    <s v="-"/>
    <n v="4"/>
    <n v="1"/>
    <d v="2025-01-18T00:00:00"/>
    <s v="Delhi"/>
    <s v="Drona Logitech Pvt Ltd"/>
    <s v="By hand"/>
    <s v="-"/>
    <s v="-"/>
    <s v="Dispatched"/>
    <s v="As per approved Mr Pankaj Sir."/>
    <m/>
  </r>
  <r>
    <n v="293"/>
    <n v="55"/>
    <s v="PIPO"/>
    <s v="PSO 221"/>
    <d v="2025-01-13T00:00:00"/>
    <x v="4"/>
    <s v="2425/5/TI-318"/>
    <x v="80"/>
    <d v="2025-01-18T00:00:00"/>
    <x v="0"/>
    <s v="-"/>
    <n v="104"/>
    <n v="10"/>
    <d v="2025-01-18T00:00:00"/>
    <s v="Delhi"/>
    <s v="Drona Logitech Pvt Ltd"/>
    <s v="DL01MB0112"/>
    <s v="22 FT"/>
    <n v="5216"/>
    <s v="Dispatched"/>
    <s v="-"/>
    <m/>
  </r>
  <r>
    <n v="294"/>
    <n v="55"/>
    <s v="BIBO"/>
    <s v="WSO 89"/>
    <s v="-"/>
    <x v="4"/>
    <s v="2425/5/TI-321"/>
    <x v="66"/>
    <d v="2025-01-18T00:00:00"/>
    <x v="0"/>
    <s v="-"/>
    <n v="48"/>
    <n v="2"/>
    <d v="2025-01-18T00:00:00"/>
    <s v="Delhi"/>
    <s v="Drona Logitech Pvt Ltd"/>
    <s v="DL01MB0112"/>
    <s v="22 FT"/>
    <n v="5217"/>
    <s v="Dispatched"/>
    <s v="-"/>
    <m/>
  </r>
  <r>
    <n v="295"/>
    <n v="55"/>
    <s v="PIPO"/>
    <s v="PSO 222"/>
    <d v="2025-01-13T00:00:00"/>
    <x v="15"/>
    <s v="2425/5/TI-319"/>
    <x v="81"/>
    <d v="2025-01-18T00:00:00"/>
    <x v="0"/>
    <s v="-"/>
    <n v="104"/>
    <n v="10"/>
    <d v="2025-01-18T00:00:00"/>
    <s v="Delhi"/>
    <s v="Drona Logitech Pvt Ltd"/>
    <s v="DL01MB0112"/>
    <s v="22 FT"/>
    <n v="5218"/>
    <s v="Dispatched"/>
    <s v="-"/>
    <m/>
  </r>
  <r>
    <n v="296"/>
    <n v="55"/>
    <s v="BIBO"/>
    <s v="WSO 85"/>
    <s v="-"/>
    <x v="13"/>
    <s v="2425/5/TI-322"/>
    <x v="82"/>
    <d v="2025-01-18T00:00:00"/>
    <x v="0"/>
    <s v="-"/>
    <n v="840"/>
    <n v="35"/>
    <d v="2025-01-18T00:00:00"/>
    <s v="Delhi"/>
    <s v="Drona Logitech Pvt Ltd"/>
    <s v="DL01MB0112"/>
    <s v="22 FT"/>
    <n v="5219"/>
    <s v="Dispatched"/>
    <s v="-"/>
    <m/>
  </r>
  <r>
    <n v="297"/>
    <n v="55"/>
    <s v="BIBO"/>
    <s v="WSO 85"/>
    <s v="-"/>
    <x v="15"/>
    <s v="2425/5/TI-323"/>
    <x v="83"/>
    <d v="2025-01-18T00:00:00"/>
    <x v="0"/>
    <s v="-"/>
    <n v="96"/>
    <n v="4"/>
    <d v="2025-01-18T00:00:00"/>
    <s v="Delhi"/>
    <s v="Drona Logitech Pvt Ltd"/>
    <s v="DL01MB0112"/>
    <s v="22 FT"/>
    <n v="5220"/>
    <s v="Dispatched"/>
    <s v="-"/>
    <m/>
  </r>
  <r>
    <n v="298"/>
    <n v="55"/>
    <s v="PIPO"/>
    <s v="PSO 216"/>
    <d v="2025-01-11T00:00:00"/>
    <x v="27"/>
    <s v="2425/5/TI-324"/>
    <x v="84"/>
    <d v="2025-01-18T00:00:00"/>
    <x v="0"/>
    <s v="-"/>
    <n v="534"/>
    <n v="56"/>
    <d v="2025-01-18T00:00:00"/>
    <s v="Delhi"/>
    <s v="Drona Logitech Pvt Ltd"/>
    <s v="DL01MB0112"/>
    <s v="22 FT"/>
    <n v="5221"/>
    <s v="Dispatched"/>
    <s v="-"/>
    <m/>
  </r>
  <r>
    <n v="299"/>
    <n v="55"/>
    <s v="BIBO"/>
    <s v="WSO 86"/>
    <s v="-"/>
    <x v="13"/>
    <s v="2425/5/TI-326"/>
    <x v="85"/>
    <d v="2025-01-18T00:00:00"/>
    <x v="0"/>
    <s v="-"/>
    <n v="120"/>
    <n v="5"/>
    <d v="2025-01-18T00:00:00"/>
    <s v="Delhi"/>
    <s v="Drona Logitech Pvt Ltd"/>
    <s v="DL01MB0112"/>
    <s v="22 FT"/>
    <n v="5222"/>
    <s v="Dispatched"/>
    <s v="-"/>
    <m/>
  </r>
  <r>
    <n v="300"/>
    <n v="55"/>
    <s v="BIBO"/>
    <s v="WSO 90"/>
    <s v="-"/>
    <x v="16"/>
    <s v="2425/5/TI-327"/>
    <x v="86"/>
    <d v="2025-01-18T00:00:00"/>
    <x v="0"/>
    <s v="-"/>
    <n v="216"/>
    <n v="9"/>
    <d v="2025-01-18T00:00:00"/>
    <s v="Delhi"/>
    <s v="Drona Logitech Pvt Ltd"/>
    <s v="DL01MB0112"/>
    <s v="22 FT"/>
    <n v="5223"/>
    <s v="Dispatched"/>
    <s v="-"/>
    <m/>
  </r>
  <r>
    <n v="301"/>
    <n v="55"/>
    <s v="PIPO"/>
    <s v="PSO 239"/>
    <d v="2025-01-18T00:00:00"/>
    <x v="17"/>
    <s v="2425/5/TI-325"/>
    <x v="87"/>
    <d v="2025-01-18T00:00:00"/>
    <x v="0"/>
    <s v="-"/>
    <n v="55"/>
    <n v="5"/>
    <d v="2025-01-18T00:00:00"/>
    <s v="Delhi"/>
    <s v="Drona Logitech Pvt Ltd"/>
    <s v="DL01MB0112"/>
    <s v="22 FT"/>
    <n v="5224"/>
    <s v="Dispatched"/>
    <s v="-"/>
    <m/>
  </r>
  <r>
    <n v="302"/>
    <n v="55"/>
    <s v="PIPO"/>
    <s v="PSO 238"/>
    <d v="2025-01-18T00:00:00"/>
    <x v="17"/>
    <s v="2425/5/TI-320"/>
    <x v="87"/>
    <d v="2025-01-18T00:00:00"/>
    <x v="0"/>
    <s v="-"/>
    <n v="55"/>
    <n v="5"/>
    <d v="2025-01-18T00:00:00"/>
    <s v="Delhi"/>
    <s v="Drona Logitech Pvt Ltd"/>
    <s v="DL01MB0112"/>
    <s v="22 FT"/>
    <n v="5225"/>
    <s v="Dispatched"/>
    <s v="-"/>
    <m/>
  </r>
  <r>
    <n v="303"/>
    <n v="55"/>
    <s v="BIBO"/>
    <s v="WSO 88"/>
    <s v="-"/>
    <x v="37"/>
    <s v="2425/5/TI-328"/>
    <x v="88"/>
    <d v="2025-01-18T00:00:00"/>
    <x v="0"/>
    <s v="-"/>
    <n v="216"/>
    <n v="9"/>
    <d v="2025-01-18T00:00:00"/>
    <s v="Delhi"/>
    <s v="Drona Logitech Pvt Ltd"/>
    <s v="DL01MB0112"/>
    <s v="22 FT"/>
    <n v="5226"/>
    <s v="Dispatched"/>
    <s v="-"/>
    <m/>
  </r>
  <r>
    <n v="304"/>
    <n v="56"/>
    <s v="PIPO"/>
    <s v="PSO 217"/>
    <d v="2025-01-11T00:00:00"/>
    <x v="27"/>
    <s v="2425/5/TI-331"/>
    <x v="89"/>
    <d v="2025-01-20T00:00:00"/>
    <x v="0"/>
    <s v="-"/>
    <n v="356"/>
    <n v="36"/>
    <d v="2025-01-20T00:00:00"/>
    <s v="Delhi"/>
    <s v="Drona Logitech Pvt Ltd"/>
    <s v="HR 61 E O283"/>
    <s v="22 FT"/>
    <n v="5231"/>
    <s v="Dispatched"/>
    <s v="-"/>
    <m/>
  </r>
  <r>
    <n v="305"/>
    <n v="56"/>
    <s v="PIPO"/>
    <s v="PSO 223"/>
    <d v="2025-01-13T00:00:00"/>
    <x v="13"/>
    <s v="2425/5/TI-329"/>
    <x v="90"/>
    <d v="2025-01-20T00:00:00"/>
    <x v="0"/>
    <s v="-"/>
    <n v="600"/>
    <n v="58"/>
    <d v="2025-01-20T00:00:00"/>
    <s v="Delhi"/>
    <s v="Drona Logitech Pvt Ltd"/>
    <s v="HR 61 E O283"/>
    <s v="22 FT"/>
    <n v="5230"/>
    <s v="Dispatched"/>
    <s v="-"/>
    <m/>
  </r>
  <r>
    <n v="306"/>
    <n v="56"/>
    <s v="PIPO"/>
    <s v="PSO 226"/>
    <d v="2025-01-13T00:00:00"/>
    <x v="11"/>
    <s v="2425/5/TI-330"/>
    <x v="91"/>
    <d v="2025-01-20T00:00:00"/>
    <x v="0"/>
    <s v="-"/>
    <n v="620"/>
    <n v="58"/>
    <d v="2025-01-20T00:00:00"/>
    <s v="Delhi"/>
    <s v="Drona Logitech Pvt Ltd"/>
    <s v="HR 61 E O283"/>
    <s v="22 FT"/>
    <n v="5232"/>
    <s v="Dispatched"/>
    <s v="-"/>
    <m/>
  </r>
  <r>
    <n v="307"/>
    <n v="56"/>
    <s v="PIPO"/>
    <s v="PSO 224"/>
    <d v="2025-01-13T00:00:00"/>
    <x v="22"/>
    <s v="2425/5/TI-334"/>
    <x v="92"/>
    <d v="2025-01-20T00:00:00"/>
    <x v="0"/>
    <s v="-"/>
    <n v="187"/>
    <n v="19"/>
    <d v="2025-01-20T00:00:00"/>
    <s v="Delhi"/>
    <s v="Drona Logitech Pvt Ltd"/>
    <s v="HR 61 E O283"/>
    <s v="22 FT"/>
    <n v="5229"/>
    <s v="Dispatched"/>
    <s v="-"/>
    <m/>
  </r>
  <r>
    <n v="308"/>
    <n v="56"/>
    <s v="PIPO"/>
    <s v="PSO 215"/>
    <d v="2025-01-11T00:00:00"/>
    <x v="20"/>
    <s v="2425/5/TI-335"/>
    <x v="93"/>
    <d v="2025-01-20T00:00:00"/>
    <x v="0"/>
    <s v="-"/>
    <n v="54"/>
    <n v="5"/>
    <d v="2025-01-20T00:00:00"/>
    <s v="Delhi"/>
    <s v="Drona Logitech Pvt Ltd"/>
    <s v="HR 61 E O283"/>
    <s v="22 FT"/>
    <n v="5228"/>
    <s v="Dispatched"/>
    <s v="-"/>
    <m/>
  </r>
  <r>
    <n v="309"/>
    <n v="56"/>
    <s v="PIPO"/>
    <s v="PSO 219"/>
    <d v="2025-01-11T00:00:00"/>
    <x v="27"/>
    <s v="2425/5/TI-333"/>
    <x v="94"/>
    <d v="2025-01-20T00:00:00"/>
    <x v="0"/>
    <s v="-"/>
    <n v="233"/>
    <n v="23"/>
    <d v="2025-01-20T00:00:00"/>
    <s v="Delhi"/>
    <s v="Drona Logitech Pvt Ltd"/>
    <s v="HR 61 E O283"/>
    <s v="22 FT"/>
    <n v="5227"/>
    <s v="Dispatched"/>
    <s v="-"/>
    <m/>
  </r>
  <r>
    <n v="310"/>
    <n v="56"/>
    <s v="PIPO"/>
    <s v="PSO 218"/>
    <d v="2025-01-11T00:00:00"/>
    <x v="27"/>
    <s v="2425/5/TI-332"/>
    <x v="95"/>
    <d v="2025-01-20T00:00:00"/>
    <x v="0"/>
    <s v="-"/>
    <n v="197"/>
    <n v="20"/>
    <d v="2025-01-20T00:00:00"/>
    <s v="Delhi"/>
    <s v="Drona Logitech Pvt Ltd"/>
    <s v="HR 61 E O283"/>
    <s v="22 FT"/>
    <n v="5232"/>
    <s v="Dispatched"/>
    <s v="-"/>
    <m/>
  </r>
  <r>
    <n v="311"/>
    <n v="57"/>
    <s v="PIPO"/>
    <s v="SS 2"/>
    <s v="-"/>
    <x v="0"/>
    <s v="2425/5/STO-4"/>
    <x v="0"/>
    <d v="2025-01-21T00:00:00"/>
    <x v="0"/>
    <s v="-"/>
    <n v="671"/>
    <n v="61"/>
    <d v="2025-01-21T00:00:00"/>
    <s v="Delhi"/>
    <s v="Drona Logitech Pvt Ltd"/>
    <s v="HR55AM0634"/>
    <s v="22 FT"/>
    <n v="5233"/>
    <s v="Dispatched"/>
    <s v="VEHICLE ARRANGE BY CUSTOMER"/>
    <m/>
  </r>
  <r>
    <n v="312"/>
    <n v="58"/>
    <s v="PIPO"/>
    <s v="PSO 135"/>
    <s v="-"/>
    <x v="8"/>
    <s v="2425/5/TI-223"/>
    <x v="96"/>
    <d v="2025-01-04T00:00:00"/>
    <x v="0"/>
    <s v="-"/>
    <n v="102"/>
    <n v="10"/>
    <d v="2025-01-04T00:00:00"/>
    <s v="Delhi"/>
    <s v="Drona Logitech Pvt Ltd"/>
    <s v="DL01MA0359"/>
    <s v="22 FT"/>
    <n v="5153"/>
    <s v="Dispatched"/>
    <s v="-"/>
    <m/>
  </r>
  <r>
    <n v="313"/>
    <n v="58"/>
    <s v="PIPO"/>
    <s v="PSO 141"/>
    <s v="-"/>
    <x v="16"/>
    <s v="2425/5/TI-231"/>
    <x v="97"/>
    <d v="2025-01-04T00:00:00"/>
    <x v="0"/>
    <s v="-"/>
    <n v="350"/>
    <n v="35"/>
    <d v="2025-01-04T00:00:00"/>
    <s v="Delhi"/>
    <s v="Drona Logitech Pvt Ltd"/>
    <s v="DL01MA0359"/>
    <s v="22 FT"/>
    <n v="5152"/>
    <s v="Dispatched"/>
    <s v="-"/>
    <m/>
  </r>
  <r>
    <n v="314"/>
    <n v="58"/>
    <s v="PIPO"/>
    <s v="PSO 131"/>
    <s v="-"/>
    <x v="3"/>
    <s v="2425/5/TI-229"/>
    <x v="98"/>
    <d v="2025-01-04T00:00:00"/>
    <x v="0"/>
    <s v="-"/>
    <n v="227"/>
    <n v="23"/>
    <d v="2025-01-04T00:00:00"/>
    <s v="Delhi"/>
    <s v="Drona Logitech Pvt Ltd"/>
    <s v="DL01MA0359"/>
    <s v="22 FT"/>
    <n v="5151"/>
    <s v="Dispatched"/>
    <s v="-"/>
    <m/>
  </r>
  <r>
    <n v="315"/>
    <n v="58"/>
    <s v="PIPO"/>
    <s v="PSO 108"/>
    <s v="-"/>
    <x v="11"/>
    <s v="2425/5/TI-232"/>
    <x v="99"/>
    <d v="2025-01-04T00:00:00"/>
    <x v="0"/>
    <s v="-"/>
    <n v="261"/>
    <n v="27"/>
    <d v="2025-01-04T00:00:00"/>
    <s v="Delhi"/>
    <s v="Drona Logitech Pvt Ltd"/>
    <s v="DL01MA0359"/>
    <s v="22 FT"/>
    <n v="1599"/>
    <s v="Dispatched"/>
    <s v="-"/>
    <m/>
  </r>
  <r>
    <n v="316"/>
    <n v="58"/>
    <s v="PIPO"/>
    <s v="PSO 108"/>
    <s v="-"/>
    <x v="11"/>
    <s v="2425/5/TI-230"/>
    <x v="100"/>
    <d v="2025-01-04T00:00:00"/>
    <x v="0"/>
    <s v="-"/>
    <n v="562"/>
    <n v="56"/>
    <d v="2025-01-04T00:00:00"/>
    <s v="Delhi"/>
    <s v="Drona Logitech Pvt Ltd"/>
    <s v="DL01MA0359"/>
    <s v="22 FT"/>
    <n v="1599"/>
    <s v="Dispatched"/>
    <s v="-"/>
    <m/>
  </r>
  <r>
    <n v="317"/>
    <n v="58"/>
    <s v="PIPO"/>
    <s v="PSO 138"/>
    <s v="-"/>
    <x v="23"/>
    <s v="2425/5/TI-228"/>
    <x v="101"/>
    <d v="2025-01-04T00:00:00"/>
    <x v="0"/>
    <s v="-"/>
    <n v="336"/>
    <n v="33"/>
    <d v="2025-01-04T00:00:00"/>
    <s v="Delhi"/>
    <s v="Drona Logitech Pvt Ltd"/>
    <s v="DL01MA0359"/>
    <s v="22 FT"/>
    <n v="1600"/>
    <s v="Dispatched"/>
    <s v="-"/>
    <m/>
  </r>
  <r>
    <n v="318"/>
    <n v="59"/>
    <s v="PIPO"/>
    <s v="PSO 229"/>
    <d v="2025-01-14T00:00:00"/>
    <x v="1"/>
    <s v="2425/5/TI-338"/>
    <x v="102"/>
    <d v="2025-01-22T00:00:00"/>
    <x v="0"/>
    <s v="-"/>
    <n v="430"/>
    <n v="43"/>
    <d v="2025-01-22T00:00:00"/>
    <s v="Delhi"/>
    <s v="Drona Logitech Pvt Ltd"/>
    <s v="DL01MA3659"/>
    <s v="22 FT"/>
    <n v="6901"/>
    <s v="Dispatched"/>
    <s v="-"/>
    <m/>
  </r>
  <r>
    <n v="319"/>
    <n v="59"/>
    <s v="PIPO"/>
    <s v="PSO 234"/>
    <d v="2025-01-16T00:00:00"/>
    <x v="9"/>
    <s v="2425/5/TI-343"/>
    <x v="103"/>
    <d v="2025-01-22T00:00:00"/>
    <x v="0"/>
    <s v="-"/>
    <n v="98"/>
    <n v="10"/>
    <d v="2025-01-22T00:00:00"/>
    <s v="Delhi"/>
    <s v="Drona Logitech Pvt Ltd"/>
    <s v="DL01MA3659"/>
    <s v="22 FT"/>
    <n v="6902"/>
    <s v="Dispatched"/>
    <s v="-"/>
    <m/>
  </r>
  <r>
    <n v="320"/>
    <n v="59"/>
    <s v="PIPO"/>
    <s v="PSO 241"/>
    <d v="2025-01-20T00:00:00"/>
    <x v="4"/>
    <s v="2425/5/TI-345"/>
    <x v="104"/>
    <d v="2025-01-22T00:00:00"/>
    <x v="0"/>
    <s v="-"/>
    <n v="245"/>
    <n v="24"/>
    <d v="2025-01-22T00:00:00"/>
    <s v="Delhi"/>
    <s v="Drona Logitech Pvt Ltd"/>
    <s v="DL01MA3659"/>
    <s v="22 FT"/>
    <n v="6910"/>
    <s v="Dispatched"/>
    <s v="-"/>
    <m/>
  </r>
  <r>
    <n v="321"/>
    <n v="59"/>
    <s v="PIPO"/>
    <s v="PSO 230"/>
    <d v="2025-01-14T00:00:00"/>
    <x v="1"/>
    <s v="2425/5/TI-339"/>
    <x v="105"/>
    <d v="2025-01-22T00:00:00"/>
    <x v="0"/>
    <s v="-"/>
    <n v="376"/>
    <n v="38"/>
    <d v="2025-01-22T00:00:00"/>
    <s v="Delhi"/>
    <s v="Drona Logitech Pvt Ltd"/>
    <s v="DL01MA3659"/>
    <s v="22 FT"/>
    <n v="6903"/>
    <s v="Dispatched"/>
    <s v="-"/>
    <m/>
  </r>
  <r>
    <n v="322"/>
    <n v="59"/>
    <s v="PIPO"/>
    <s v="PSO 227"/>
    <d v="2025-01-13T00:00:00"/>
    <x v="11"/>
    <s v="2425/5/TI-337"/>
    <x v="106"/>
    <d v="2025-01-22T00:00:00"/>
    <x v="0"/>
    <s v="-"/>
    <n v="511"/>
    <n v="53"/>
    <d v="2025-01-22T00:00:00"/>
    <s v="Delhi"/>
    <s v="Drona Logitech Pvt Ltd"/>
    <s v="DL01MA3659"/>
    <s v="22 FT"/>
    <n v="6909"/>
    <s v="Dispatched"/>
    <s v="52 Box loaded "/>
    <m/>
  </r>
  <r>
    <n v="323"/>
    <n v="59"/>
    <s v="PIPO"/>
    <s v="PSO 231"/>
    <d v="2025-01-14T00:00:00"/>
    <x v="1"/>
    <s v="2425/5/TI-342"/>
    <x v="107"/>
    <d v="2025-01-22T00:00:00"/>
    <x v="0"/>
    <s v="-"/>
    <n v="506"/>
    <n v="50"/>
    <d v="2025-01-22T00:00:00"/>
    <s v="Delhi"/>
    <s v="Drona Logitech Pvt Ltd"/>
    <s v="DL01MA3659"/>
    <s v="22 FT"/>
    <n v="6905"/>
    <s v="Dispatched"/>
    <s v="-"/>
    <m/>
  </r>
  <r>
    <n v="324"/>
    <n v="59"/>
    <s v="PIPO"/>
    <s v="PSO 232"/>
    <d v="2025-01-14T00:00:00"/>
    <x v="4"/>
    <s v="2425/5/TI-336"/>
    <x v="108"/>
    <d v="2025-01-22T00:00:00"/>
    <x v="0"/>
    <s v="-"/>
    <n v="30"/>
    <n v="3"/>
    <d v="2025-01-22T00:00:00"/>
    <s v="Delhi"/>
    <s v="Drona Logitech Pvt Ltd"/>
    <s v="DL01MA3659"/>
    <s v="22 FT"/>
    <n v="6904"/>
    <s v="Dispatched"/>
    <s v="-"/>
    <m/>
  </r>
  <r>
    <n v="325"/>
    <n v="59"/>
    <s v="PIPO"/>
    <s v="PSO 236"/>
    <d v="2025-01-17T00:00:00"/>
    <x v="4"/>
    <s v="2425/5/TI-341"/>
    <x v="109"/>
    <d v="2025-01-22T00:00:00"/>
    <x v="0"/>
    <s v="-"/>
    <n v="70"/>
    <n v="7"/>
    <d v="2025-01-22T00:00:00"/>
    <s v="Delhi"/>
    <s v="Drona Logitech Pvt Ltd"/>
    <s v="DL01MA3659"/>
    <s v="22 FT"/>
    <n v="6908"/>
    <s v="Dispatched"/>
    <s v="-"/>
    <m/>
  </r>
  <r>
    <n v="326"/>
    <n v="59"/>
    <s v="PIPO"/>
    <s v="PSO 244"/>
    <d v="2025-01-22T00:00:00"/>
    <x v="29"/>
    <s v="2425/5/TI-347"/>
    <x v="110"/>
    <d v="2025-01-22T00:00:00"/>
    <x v="0"/>
    <s v="-"/>
    <n v="60"/>
    <n v="6"/>
    <d v="2025-01-22T00:00:00"/>
    <s v="Delhi"/>
    <s v="Drona Logitech Pvt Ltd"/>
    <s v="DL01MA3659"/>
    <s v="22 FT"/>
    <n v="6907"/>
    <s v="Dispatched"/>
    <s v="-"/>
    <m/>
  </r>
  <r>
    <n v="327"/>
    <n v="59"/>
    <s v="PIPO"/>
    <s v="PSO 225"/>
    <d v="2025-01-13T00:00:00"/>
    <x v="15"/>
    <s v="2425/5/TI-346"/>
    <x v="111"/>
    <d v="2025-01-22T00:00:00"/>
    <x v="0"/>
    <s v="-"/>
    <n v="112"/>
    <n v="10"/>
    <d v="2025-01-22T00:00:00"/>
    <s v="Delhi"/>
    <s v="Drona Logitech Pvt Ltd"/>
    <s v="DL01MA3659"/>
    <s v="22 FT"/>
    <n v="6906"/>
    <s v="Dispatched"/>
    <s v="-"/>
    <m/>
  </r>
  <r>
    <n v="328"/>
    <n v="60"/>
    <s v="PIPO"/>
    <s v="PSO 233"/>
    <d v="2025-01-16T00:00:00"/>
    <x v="22"/>
    <s v="2425/5/TI-340"/>
    <x v="112"/>
    <d v="2025-01-22T00:00:00"/>
    <x v="0"/>
    <s v="-"/>
    <n v="70"/>
    <n v="7"/>
    <d v="2025-01-23T00:00:00"/>
    <s v="Delhi"/>
    <s v="Drona Logitech Pvt Ltd"/>
    <s v="DL01MB0112"/>
    <s v="22 FT"/>
    <n v="6920"/>
    <s v="Dispatched"/>
    <s v="-"/>
    <m/>
  </r>
  <r>
    <n v="329"/>
    <n v="60"/>
    <s v="PIPO"/>
    <s v="PSO 228"/>
    <d v="2025-01-14T00:00:00"/>
    <x v="1"/>
    <s v="2425/5/TI-344"/>
    <x v="113"/>
    <d v="2025-01-22T00:00:00"/>
    <x v="0"/>
    <s v="-"/>
    <n v="442"/>
    <n v="43"/>
    <d v="2025-01-23T00:00:00"/>
    <s v="Delhi"/>
    <s v="Drona Logitech Pvt Ltd"/>
    <s v="DL01MB0112"/>
    <s v="22 FT"/>
    <n v="6919"/>
    <s v="Dispatched"/>
    <s v="-"/>
    <m/>
  </r>
  <r>
    <n v="330"/>
    <n v="60"/>
    <s v="BIBO"/>
    <s v="WSO 95"/>
    <d v="2025-01-22T00:00:00"/>
    <x v="3"/>
    <s v="2425/5/TI-351"/>
    <x v="114"/>
    <d v="2025-01-23T00:00:00"/>
    <x v="0"/>
    <s v="-"/>
    <n v="72"/>
    <n v="3"/>
    <d v="2025-01-23T00:00:00"/>
    <s v="Delhi"/>
    <s v="Drona Logitech Pvt Ltd"/>
    <s v="DL01MB0112"/>
    <s v="22 FT"/>
    <n v="6918"/>
    <s v="Dispatched"/>
    <s v="-"/>
    <m/>
  </r>
  <r>
    <n v="331"/>
    <n v="60"/>
    <s v="BIBO"/>
    <s v="WSO 101"/>
    <d v="2025-01-23T00:00:00"/>
    <x v="6"/>
    <s v="2425/5/TI-356"/>
    <x v="115"/>
    <d v="2025-01-23T00:00:00"/>
    <x v="0"/>
    <s v="-"/>
    <n v="240"/>
    <n v="10"/>
    <d v="2025-01-23T00:00:00"/>
    <s v="Delhi"/>
    <s v="Drona Logitech Pvt Ltd"/>
    <s v="DL01MB0112"/>
    <s v="22 FT"/>
    <n v="6917"/>
    <s v="Dispatched"/>
    <s v="-"/>
    <m/>
  </r>
  <r>
    <n v="332"/>
    <n v="60"/>
    <s v="BIBO"/>
    <s v="WSO 87"/>
    <d v="2025-01-23T00:00:00"/>
    <x v="33"/>
    <s v="2425/5/TI-360"/>
    <x v="116"/>
    <d v="2025-01-23T00:00:00"/>
    <x v="0"/>
    <s v="-"/>
    <n v="552"/>
    <n v="23"/>
    <d v="2025-01-23T00:00:00"/>
    <s v="Delhi"/>
    <s v="Drona Logitech Pvt Ltd"/>
    <s v="DL01MB0112"/>
    <s v="22 FT"/>
    <n v="6916"/>
    <s v="Dispatched"/>
    <s v="-"/>
    <m/>
  </r>
  <r>
    <n v="333"/>
    <n v="60"/>
    <s v="BIBO"/>
    <s v="WSO 100"/>
    <d v="2025-01-23T00:00:00"/>
    <x v="4"/>
    <s v="2425/5/TI-355"/>
    <x v="117"/>
    <d v="2025-01-23T00:00:00"/>
    <x v="0"/>
    <s v="-"/>
    <n v="144"/>
    <n v="6"/>
    <d v="2025-01-23T00:00:00"/>
    <s v="Delhi"/>
    <s v="Drona Logitech Pvt Ltd"/>
    <s v="DL01MB0112"/>
    <s v="22 FT"/>
    <n v="6915"/>
    <s v="Dispatched"/>
    <s v="-"/>
    <m/>
  </r>
  <r>
    <n v="334"/>
    <n v="60"/>
    <s v="BIBO"/>
    <s v="WSO 91"/>
    <d v="2025-01-20T00:00:00"/>
    <x v="2"/>
    <s v="2425/5/TI-348"/>
    <x v="118"/>
    <d v="2025-01-23T00:00:00"/>
    <x v="0"/>
    <s v="-"/>
    <n v="288"/>
    <n v="12"/>
    <d v="2025-01-23T00:00:00"/>
    <s v="Delhi"/>
    <s v="Drona Logitech Pvt Ltd"/>
    <s v="DL01MB0112"/>
    <s v="22 FT"/>
    <n v="6921"/>
    <s v="Dispatched"/>
    <s v="-"/>
    <m/>
  </r>
  <r>
    <n v="335"/>
    <n v="60"/>
    <s v="BIBO"/>
    <s v="WSO 94"/>
    <d v="2025-01-22T00:00:00"/>
    <x v="4"/>
    <s v="2425/5/TI-350"/>
    <x v="119"/>
    <d v="2025-01-23T00:00:00"/>
    <x v="0"/>
    <s v="-"/>
    <n v="192"/>
    <n v="8"/>
    <d v="2025-01-23T00:00:00"/>
    <s v="Delhi"/>
    <s v="Drona Logitech Pvt Ltd"/>
    <s v="DL01MB0112"/>
    <s v="22 FT"/>
    <n v="6922"/>
    <s v="Dispatched"/>
    <s v="-"/>
    <m/>
  </r>
  <r>
    <n v="336"/>
    <n v="60"/>
    <s v="BIBO"/>
    <s v="WSO 92"/>
    <d v="2025-01-20T00:00:00"/>
    <x v="4"/>
    <s v="2425/5/TI-349"/>
    <x v="120"/>
    <d v="2025-01-23T00:00:00"/>
    <x v="0"/>
    <s v="-"/>
    <n v="144"/>
    <n v="6"/>
    <d v="2025-01-23T00:00:00"/>
    <s v="Delhi"/>
    <s v="Drona Logitech Pvt Ltd"/>
    <s v="DL01MB0112"/>
    <s v="22 FT"/>
    <n v="6923"/>
    <s v="Dispatched"/>
    <s v="-"/>
    <m/>
  </r>
  <r>
    <n v="337"/>
    <n v="60"/>
    <s v="PIPO"/>
    <s v="PSO 235"/>
    <d v="2025-01-16T00:00:00"/>
    <x v="37"/>
    <s v="2425/5/TI-362"/>
    <x v="121"/>
    <d v="2025-01-23T00:00:00"/>
    <x v="0"/>
    <s v="-"/>
    <n v="114"/>
    <n v="11"/>
    <d v="2025-01-23T00:00:00"/>
    <s v="Delhi"/>
    <s v="Drona Logitech Pvt Ltd"/>
    <s v="DL01MB0112"/>
    <s v="22 FT"/>
    <n v="6925"/>
    <s v="Dispatched"/>
    <s v="-"/>
    <m/>
  </r>
  <r>
    <n v="338"/>
    <n v="60"/>
    <s v="PIPO"/>
    <s v="PSO 237"/>
    <d v="2025-01-14T00:00:00"/>
    <x v="3"/>
    <s v="2425/5/TI-353"/>
    <x v="122"/>
    <d v="2025-01-23T00:00:00"/>
    <x v="0"/>
    <s v="-"/>
    <n v="40"/>
    <n v="4"/>
    <d v="2025-01-23T00:00:00"/>
    <s v="Delhi"/>
    <s v="Drona Logitech Pvt Ltd"/>
    <s v="DL01MB0112"/>
    <s v="22 FT"/>
    <n v="6924"/>
    <s v="Dispatched"/>
    <s v="-"/>
    <m/>
  </r>
  <r>
    <n v="339"/>
    <n v="60"/>
    <s v="BIBO"/>
    <s v="WSO 96"/>
    <d v="2025-01-23T00:00:00"/>
    <x v="10"/>
    <s v="2425/5/TI-357"/>
    <x v="123"/>
    <d v="2025-01-23T00:00:00"/>
    <x v="0"/>
    <s v="-"/>
    <n v="72"/>
    <n v="3"/>
    <d v="2025-01-23T00:00:00"/>
    <s v="Delhi"/>
    <s v="Drona Logitech Pvt Ltd"/>
    <s v="DL01MB0112"/>
    <s v="22 FT"/>
    <n v="6913"/>
    <s v="Dispatched"/>
    <s v="-"/>
    <m/>
  </r>
  <r>
    <n v="340"/>
    <n v="60"/>
    <s v="BIBO"/>
    <s v="WSO 99"/>
    <d v="2025-01-23T00:00:00"/>
    <x v="7"/>
    <s v="2425/5/TI-354"/>
    <x v="124"/>
    <d v="2025-01-23T00:00:00"/>
    <x v="0"/>
    <s v="-"/>
    <n v="144"/>
    <n v="6"/>
    <d v="2025-01-23T00:00:00"/>
    <s v="Delhi"/>
    <s v="Drona Logitech Pvt Ltd"/>
    <s v="DL01MB0112"/>
    <s v="22 FT"/>
    <n v="6914"/>
    <s v="Dispatched"/>
    <s v="-"/>
    <m/>
  </r>
  <r>
    <n v="341"/>
    <n v="60"/>
    <s v="BIBO"/>
    <s v="WSO 93"/>
    <d v="2025-01-23T00:00:00"/>
    <x v="4"/>
    <s v="2425/5/TI-358"/>
    <x v="125"/>
    <d v="2025-01-23T00:00:00"/>
    <x v="0"/>
    <s v="-"/>
    <n v="492"/>
    <n v="21"/>
    <d v="2025-01-23T00:00:00"/>
    <s v="Delhi"/>
    <s v="Drona Logitech Pvt Ltd"/>
    <s v="DL01MB0112"/>
    <s v="22 FT"/>
    <n v="6911"/>
    <s v="Dispatched"/>
    <s v="-"/>
    <m/>
  </r>
  <r>
    <n v="342"/>
    <n v="60"/>
    <s v="BIBO"/>
    <s v="WSO 97"/>
    <d v="2025-01-23T00:00:00"/>
    <x v="16"/>
    <s v="2425/5/TI-359"/>
    <x v="126"/>
    <d v="2025-01-23T00:00:00"/>
    <x v="0"/>
    <s v="-"/>
    <n v="144"/>
    <n v="6"/>
    <d v="2025-01-23T00:00:00"/>
    <s v="Delhi"/>
    <s v="Drona Logitech Pvt Ltd"/>
    <s v="DL01MB0112"/>
    <s v="22 FT"/>
    <n v="6912"/>
    <s v="Dispatched"/>
    <s v="-"/>
    <m/>
  </r>
  <r>
    <n v="343"/>
    <n v="61"/>
    <s v="PIPO"/>
    <s v="PSO 240"/>
    <d v="2025-01-20T00:00:00"/>
    <x v="32"/>
    <s v="2425/5/TI-352"/>
    <x v="127"/>
    <d v="2025-01-23T00:00:00"/>
    <x v="0"/>
    <s v="-"/>
    <n v="142"/>
    <n v="14"/>
    <d v="2025-01-24T00:00:00"/>
    <s v="Delhi"/>
    <s v="Drona Logitech Pvt Ltd"/>
    <s v="DL01MB0112"/>
    <s v="22 FT"/>
    <n v="6934"/>
    <s v="Dispatched"/>
    <s v="-"/>
    <m/>
  </r>
  <r>
    <n v="344"/>
    <n v="61"/>
    <s v="PIPO"/>
    <s v="PSO 250"/>
    <d v="2025-01-23T00:00:00"/>
    <x v="3"/>
    <s v="2425/5/TI-372"/>
    <x v="128"/>
    <d v="2025-01-24T00:00:00"/>
    <x v="0"/>
    <s v="-"/>
    <n v="100"/>
    <n v="10"/>
    <d v="2025-01-24T00:00:00"/>
    <s v="Delhi"/>
    <s v="Drona Logitech Pvt Ltd"/>
    <s v="DL01MB0112"/>
    <s v="22 FT"/>
    <n v="6933"/>
    <s v="Dispatched"/>
    <s v="-"/>
    <m/>
  </r>
  <r>
    <n v="345"/>
    <n v="61"/>
    <s v="PIPO"/>
    <s v="PSO 247"/>
    <d v="2025-01-22T00:00:00"/>
    <x v="8"/>
    <s v="2425/5/TI-367"/>
    <x v="129"/>
    <d v="2025-01-24T00:00:00"/>
    <x v="0"/>
    <s v="-"/>
    <n v="57"/>
    <n v="6"/>
    <d v="2025-01-24T00:00:00"/>
    <s v="Delhi"/>
    <s v="Drona Logitech Pvt Ltd"/>
    <s v="DL01MB0112"/>
    <s v="22 FT"/>
    <n v="6932"/>
    <s v="Dispatched"/>
    <s v="-"/>
    <m/>
  </r>
  <r>
    <n v="346"/>
    <n v="61"/>
    <s v="PIPO"/>
    <s v="PSO 243"/>
    <d v="2025-01-20T00:00:00"/>
    <x v="2"/>
    <s v="2425/5/TI-361"/>
    <x v="130"/>
    <d v="2025-01-23T00:00:00"/>
    <x v="0"/>
    <s v="-"/>
    <n v="270"/>
    <n v="25"/>
    <d v="2025-01-24T00:00:00"/>
    <s v="Delhi"/>
    <s v="Drona Logitech Pvt Ltd"/>
    <s v="DL01MB0112"/>
    <s v="22 FT"/>
    <n v="6930"/>
    <s v="Dispatched"/>
    <s v="-"/>
    <m/>
  </r>
  <r>
    <n v="347"/>
    <n v="61"/>
    <s v="PIPO"/>
    <s v="PSO 251"/>
    <d v="2025-01-24T00:00:00"/>
    <x v="7"/>
    <s v="2425/5/TI-371"/>
    <x v="131"/>
    <d v="2025-01-24T00:00:00"/>
    <x v="0"/>
    <s v="-"/>
    <n v="49"/>
    <n v="5"/>
    <d v="2025-01-24T00:00:00"/>
    <s v="Delhi"/>
    <s v="Drona Logitech Pvt Ltd"/>
    <s v="DL01MB0112"/>
    <s v="22 FT"/>
    <n v="6927"/>
    <s v="Dispatched"/>
    <s v="-"/>
    <m/>
  </r>
  <r>
    <n v="348"/>
    <n v="61"/>
    <s v="PIPO"/>
    <s v="PSO 249"/>
    <d v="2025-01-22T00:00:00"/>
    <x v="4"/>
    <s v="2425/5/TI-369"/>
    <x v="132"/>
    <d v="2025-01-24T00:00:00"/>
    <x v="0"/>
    <s v="-"/>
    <n v="48"/>
    <n v="5"/>
    <d v="2025-01-24T00:00:00"/>
    <s v="Delhi"/>
    <s v="Drona Logitech Pvt Ltd"/>
    <s v="DL01MB0112"/>
    <s v="22 FT"/>
    <n v="6938"/>
    <s v="Dispatched"/>
    <s v="-"/>
    <m/>
  </r>
  <r>
    <n v="349"/>
    <n v="61"/>
    <s v="PIPO"/>
    <s v="PSO 248"/>
    <d v="2025-01-22T00:00:00"/>
    <x v="9"/>
    <s v="2425/5/TI-368"/>
    <x v="133"/>
    <d v="2025-01-24T00:00:00"/>
    <x v="0"/>
    <s v="-"/>
    <n v="132"/>
    <n v="13"/>
    <d v="2025-01-24T00:00:00"/>
    <s v="Delhi"/>
    <s v="Drona Logitech Pvt Ltd"/>
    <s v="DL01MB0112"/>
    <s v="22 FT"/>
    <n v="6928"/>
    <s v="Dispatched"/>
    <s v="-"/>
    <m/>
  </r>
  <r>
    <n v="350"/>
    <n v="61"/>
    <s v="PIPO"/>
    <s v="PSO 242"/>
    <d v="2025-01-20T00:00:00"/>
    <x v="33"/>
    <s v="2425/5/TI-364"/>
    <x v="134"/>
    <d v="2025-01-24T00:00:00"/>
    <x v="0"/>
    <s v="-"/>
    <n v="294"/>
    <n v="29"/>
    <d v="2025-01-24T00:00:00"/>
    <s v="Delhi"/>
    <s v="Drona Logitech Pvt Ltd"/>
    <s v="DL01MB0112"/>
    <s v="22 FT"/>
    <n v="6929"/>
    <s v="Dispatched"/>
    <s v="-"/>
    <m/>
  </r>
  <r>
    <n v="351"/>
    <n v="61"/>
    <s v="PIPO"/>
    <s v="PSO 246"/>
    <d v="2025-01-22T00:00:00"/>
    <x v="13"/>
    <s v="2425/5/TI-366"/>
    <x v="135"/>
    <d v="2025-01-24T00:00:00"/>
    <x v="0"/>
    <s v="-"/>
    <n v="494"/>
    <n v="50"/>
    <d v="2025-01-24T00:00:00"/>
    <s v="Delhi"/>
    <s v="Drona Logitech Pvt Ltd"/>
    <s v="DL01MB0112"/>
    <s v="22 FT"/>
    <n v="6926"/>
    <s v="Dispatched"/>
    <s v="-"/>
    <m/>
  </r>
  <r>
    <n v="352"/>
    <n v="61"/>
    <s v="BIBO"/>
    <s v="WSO 105"/>
    <s v="-"/>
    <x v="4"/>
    <s v="2425/5/TI-373"/>
    <x v="136"/>
    <d v="2025-01-24T00:00:00"/>
    <x v="0"/>
    <s v="-"/>
    <n v="240"/>
    <n v="10"/>
    <d v="2025-01-24T00:00:00"/>
    <s v="Delhi"/>
    <s v="Drona Logitech Pvt Ltd"/>
    <s v="DL01MB0112"/>
    <s v="22 FT"/>
    <n v="6936"/>
    <s v="Dispatched"/>
    <s v="-"/>
    <m/>
  </r>
  <r>
    <n v="353"/>
    <n v="61"/>
    <s v="BIBO"/>
    <s v="-"/>
    <s v="-"/>
    <x v="4"/>
    <s v="2425/5/TI-370"/>
    <x v="137"/>
    <d v="2025-01-24T00:00:00"/>
    <x v="0"/>
    <s v="-"/>
    <n v="192"/>
    <n v="8"/>
    <d v="2025-01-24T00:00:00"/>
    <s v="Delhi"/>
    <s v="Drona Logitech Pvt Ltd"/>
    <s v="DL01MB0112"/>
    <s v="22 FT"/>
    <n v="6935"/>
    <s v="Dispatched"/>
    <s v="-"/>
    <m/>
  </r>
  <r>
    <n v="354"/>
    <n v="61"/>
    <s v="BIBO"/>
    <s v="WSO 98"/>
    <s v="-"/>
    <x v="38"/>
    <s v="2425/5/TI-374"/>
    <x v="138"/>
    <d v="2025-01-24T00:00:00"/>
    <x v="0"/>
    <s v="-"/>
    <n v="336"/>
    <n v="16"/>
    <d v="2025-01-24T00:00:00"/>
    <s v="Delhi"/>
    <s v="Drona Logitech Pvt Ltd"/>
    <s v="DL01MB0112"/>
    <s v="22 FT"/>
    <n v="6937"/>
    <s v="Dispatched"/>
    <s v="-"/>
    <m/>
  </r>
  <r>
    <n v="355"/>
    <n v="61"/>
    <s v="BIBO"/>
    <s v="WSO 102"/>
    <s v="-"/>
    <x v="4"/>
    <s v="2425/5/TI-363"/>
    <x v="66"/>
    <d v="2025-01-24T00:00:00"/>
    <x v="0"/>
    <s v="-"/>
    <n v="48"/>
    <n v="2"/>
    <d v="2025-01-24T00:00:00"/>
    <s v="Delhi"/>
    <s v="Drona Logitech Pvt Ltd"/>
    <s v="DL01MB0112"/>
    <s v="22 FT"/>
    <n v="6931"/>
    <s v="Dispatched"/>
    <s v="-"/>
    <m/>
  </r>
  <r>
    <n v="356"/>
    <n v="62"/>
    <s v="BIBO"/>
    <s v="PSO 245"/>
    <d v="2025-01-22T00:00:00"/>
    <x v="13"/>
    <s v="2425/5/TI-365"/>
    <x v="139"/>
    <d v="2025-01-24T00:00:00"/>
    <x v="0"/>
    <s v="-"/>
    <n v="330"/>
    <n v="34"/>
    <d v="2025-01-29T00:00:00"/>
    <s v="Delhi"/>
    <s v="Drona Logitech Pvt Ltd"/>
    <s v="HR61E0283"/>
    <s v="22 FT"/>
    <n v="6944"/>
    <s v="Dispatched"/>
    <s v="-"/>
    <m/>
  </r>
  <r>
    <n v="357"/>
    <n v="62"/>
    <s v="BIBO"/>
    <s v="WSO 112"/>
    <s v="-"/>
    <x v="10"/>
    <s v="2425/5/TI-383"/>
    <x v="140"/>
    <d v="2025-01-29T00:00:00"/>
    <x v="0"/>
    <s v="-"/>
    <n v="168"/>
    <n v="7"/>
    <d v="2025-01-29T00:00:00"/>
    <s v="Delhi"/>
    <s v="Drona Logitech Pvt Ltd"/>
    <s v="HR61E0283"/>
    <s v="22 FT"/>
    <n v="6946"/>
    <s v="Dispatched"/>
    <s v="-"/>
    <m/>
  </r>
  <r>
    <n v="358"/>
    <n v="62"/>
    <s v="BIBO"/>
    <s v="WSO 113"/>
    <s v="-"/>
    <x v="2"/>
    <s v="2425/5/TI-384"/>
    <x v="141"/>
    <d v="2025-01-29T00:00:00"/>
    <x v="0"/>
    <s v="-"/>
    <n v="1320"/>
    <n v="55"/>
    <d v="2025-01-29T00:00:00"/>
    <s v="Delhi"/>
    <s v="Drona Logitech Pvt Ltd"/>
    <s v="HR61E0283"/>
    <s v="22 FT"/>
    <n v="6945"/>
    <s v="Dispatched"/>
    <s v="-"/>
    <m/>
  </r>
  <r>
    <n v="359"/>
    <n v="62"/>
    <s v="BIBO"/>
    <s v="WSO 106"/>
    <s v="-"/>
    <x v="1"/>
    <s v="2425/5/TI-377"/>
    <x v="142"/>
    <d v="2025-01-27T00:00:00"/>
    <x v="0"/>
    <s v="-"/>
    <n v="144"/>
    <n v="6"/>
    <d v="2025-01-29T00:00:00"/>
    <s v="Delhi"/>
    <s v="Drona Logitech Pvt Ltd"/>
    <s v="HR61E0283"/>
    <s v="22 FT"/>
    <n v="6943"/>
    <s v="Dispatched"/>
    <s v="-"/>
    <m/>
  </r>
  <r>
    <n v="360"/>
    <n v="62"/>
    <s v="BIBO"/>
    <s v="WSO 109"/>
    <s v="-"/>
    <x v="7"/>
    <s v="2425/5/TI-380"/>
    <x v="143"/>
    <d v="2025-01-27T00:00:00"/>
    <x v="0"/>
    <s v="-"/>
    <n v="72"/>
    <n v="3"/>
    <d v="2025-01-29T00:00:00"/>
    <s v="Delhi"/>
    <s v="Drona Logitech Pvt Ltd"/>
    <s v="HR61E0283"/>
    <s v="22 FT"/>
    <n v="6942"/>
    <s v="Dispatched"/>
    <s v="-"/>
    <m/>
  </r>
  <r>
    <n v="361"/>
    <n v="62"/>
    <s v="BIBO"/>
    <s v="WSO 110"/>
    <s v="-"/>
    <x v="16"/>
    <s v="2425/5/TI-378"/>
    <x v="144"/>
    <d v="2025-01-27T00:00:00"/>
    <x v="0"/>
    <s v="-"/>
    <n v="240"/>
    <n v="10"/>
    <d v="2025-01-29T00:00:00"/>
    <s v="Delhi"/>
    <s v="Drona Logitech Pvt Ltd"/>
    <s v="HR61E0283"/>
    <s v="22 FT"/>
    <n v="6941"/>
    <s v="Dispatched"/>
    <s v="-"/>
    <m/>
  </r>
  <r>
    <n v="362"/>
    <n v="62"/>
    <s v="BIBO"/>
    <s v="WSO 108"/>
    <s v="-"/>
    <x v="32"/>
    <s v="2425/5/TI-382"/>
    <x v="145"/>
    <d v="2025-01-29T00:00:00"/>
    <x v="0"/>
    <s v="-"/>
    <n v="216"/>
    <n v="9"/>
    <d v="2025-01-29T00:00:00"/>
    <s v="Delhi"/>
    <s v="Drona Logitech Pvt Ltd"/>
    <s v="HR61E0283"/>
    <s v="22 FT"/>
    <n v="6940"/>
    <s v="Dispatched"/>
    <s v="-"/>
    <m/>
  </r>
  <r>
    <n v="363"/>
    <n v="62"/>
    <s v="BIBO"/>
    <s v="WSO 7,18,38,44,69,74,93,103"/>
    <s v="-"/>
    <x v="4"/>
    <s v="2425/5/TI-381"/>
    <x v="146"/>
    <d v="2025-01-28T00:00:00"/>
    <x v="0"/>
    <s v="-"/>
    <n v="360"/>
    <n v="16"/>
    <d v="2025-01-29T00:00:00"/>
    <s v="Delhi"/>
    <s v="Drona Logitech Pvt Ltd"/>
    <s v="HR61E0283"/>
    <s v="22 FT"/>
    <n v="6939"/>
    <s v="Dispatched"/>
    <s v="-"/>
    <m/>
  </r>
  <r>
    <n v="364"/>
    <n v="62"/>
    <s v="BIBO"/>
    <s v="WSO 111"/>
    <s v="-"/>
    <x v="4"/>
    <s v="2425/5/TI-379"/>
    <x v="144"/>
    <d v="2025-01-27T00:00:00"/>
    <x v="0"/>
    <s v="-"/>
    <n v="240"/>
    <n v="10"/>
    <d v="2025-01-29T00:00:00"/>
    <s v="Delhi"/>
    <s v="Drona Logitech Pvt Ltd"/>
    <s v="HR61E0283"/>
    <s v="22 FT"/>
    <n v="6939"/>
    <s v="Dispatched"/>
    <s v="-"/>
    <m/>
  </r>
  <r>
    <n v="365"/>
    <n v="62"/>
    <s v="BIBO"/>
    <s v="WSO 103"/>
    <s v="-"/>
    <x v="4"/>
    <s v="2425/5/TI-375"/>
    <x v="147"/>
    <d v="2025-01-24T00:00:00"/>
    <x v="0"/>
    <s v="-"/>
    <n v="288"/>
    <n v="12"/>
    <d v="2025-01-29T00:00:00"/>
    <s v="Delhi"/>
    <s v="Drona Logitech Pvt Ltd"/>
    <s v="HR61E0283"/>
    <s v="22 FT"/>
    <n v="6939"/>
    <s v="Dispatched"/>
    <s v="-"/>
    <m/>
  </r>
  <r>
    <n v="366"/>
    <n v="62"/>
    <s v="BIBO"/>
    <s v="WSO 104"/>
    <s v="-"/>
    <x v="4"/>
    <s v="2425/5/TI-376"/>
    <x v="137"/>
    <d v="2025-01-24T00:00:00"/>
    <x v="0"/>
    <s v="-"/>
    <n v="192"/>
    <n v="8"/>
    <d v="2025-01-29T00:00:00"/>
    <s v="Delhi"/>
    <s v="Drona Logitech Pvt Ltd"/>
    <s v="HR61E0283"/>
    <s v="22 FT"/>
    <n v="6939"/>
    <s v="Dispatched"/>
    <s v="-"/>
    <m/>
  </r>
  <r>
    <n v="367"/>
    <n v="63"/>
    <s v="BIBO"/>
    <s v="WSO 16"/>
    <s v="-"/>
    <x v="12"/>
    <s v="2425/5/TI-390"/>
    <x v="148"/>
    <d v="2025-01-29T00:00:00"/>
    <x v="0"/>
    <s v="-"/>
    <n v="24"/>
    <n v="1"/>
    <d v="2025-01-30T00:00:00"/>
    <s v="Delhi"/>
    <s v="Drona Logitech Pvt Ltd"/>
    <s v="DL1MB0112"/>
    <s v="22 FT"/>
    <n v="6957"/>
    <s v="Dispatched"/>
    <s v="-"/>
    <m/>
  </r>
  <r>
    <n v="368"/>
    <n v="63"/>
    <s v="BIBO"/>
    <s v="WSO 16"/>
    <s v="-"/>
    <x v="12"/>
    <s v="2425/5/TI-394"/>
    <x v="149"/>
    <d v="2025-01-30T00:00:00"/>
    <x v="0"/>
    <s v="-"/>
    <n v="144"/>
    <n v="6"/>
    <d v="2025-01-30T00:00:00"/>
    <s v="Delhi"/>
    <s v="Drona Logitech Pvt Ltd"/>
    <s v="DL1MB0112"/>
    <s v="22 FT"/>
    <n v="6956"/>
    <s v="Dispatched"/>
    <s v="-"/>
    <m/>
  </r>
  <r>
    <n v="369"/>
    <n v="63"/>
    <s v="BIBO"/>
    <s v="WSO 122"/>
    <s v="-"/>
    <x v="1"/>
    <s v="2425/5/TI-393"/>
    <x v="150"/>
    <d v="2025-01-30T00:00:00"/>
    <x v="0"/>
    <s v="-"/>
    <n v="168"/>
    <n v="7"/>
    <d v="2025-01-30T00:00:00"/>
    <s v="Delhi"/>
    <s v="Drona Logitech Pvt Ltd"/>
    <s v="DL1MB0112"/>
    <s v="22 FT"/>
    <n v="6954"/>
    <s v="Dispatched"/>
    <s v="-"/>
    <m/>
  </r>
  <r>
    <n v="370"/>
    <n v="63"/>
    <s v="BIBO"/>
    <s v="WSO 121"/>
    <s v="-"/>
    <x v="4"/>
    <s v="2425/5/TI-392"/>
    <x v="151"/>
    <d v="2025-01-30T00:00:00"/>
    <x v="0"/>
    <s v="-"/>
    <n v="144"/>
    <n v="6"/>
    <d v="2025-01-30T00:00:00"/>
    <s v="Delhi"/>
    <s v="Drona Logitech Pvt Ltd"/>
    <s v="DL1MB0112"/>
    <s v="22 FT"/>
    <n v="6953"/>
    <s v="Dispatched"/>
    <s v="-"/>
    <m/>
  </r>
  <r>
    <n v="371"/>
    <n v="63"/>
    <s v="BIBO"/>
    <s v="WSO 72"/>
    <s v="-"/>
    <x v="2"/>
    <s v="2425/5/TI-387"/>
    <x v="152"/>
    <d v="2025-01-29T00:00:00"/>
    <x v="0"/>
    <s v="-"/>
    <n v="264"/>
    <n v="11"/>
    <d v="2025-01-30T00:00:00"/>
    <s v="Delhi"/>
    <s v="Drona Logitech Pvt Ltd"/>
    <s v="DL1MB0112"/>
    <s v="22 FT"/>
    <n v="6952"/>
    <s v="Dispatched"/>
    <s v="-"/>
    <m/>
  </r>
  <r>
    <n v="372"/>
    <n v="63"/>
    <s v="BIBO"/>
    <s v="WSO 22"/>
    <s v="-"/>
    <x v="6"/>
    <s v="2425/5/TI-386"/>
    <x v="126"/>
    <d v="2025-01-29T00:00:00"/>
    <x v="0"/>
    <s v="-"/>
    <n v="144"/>
    <n v="7"/>
    <d v="2025-01-30T00:00:00"/>
    <s v="Delhi"/>
    <s v="Drona Logitech Pvt Ltd"/>
    <s v="DL1MB0112"/>
    <s v="22 FT"/>
    <n v="6951"/>
    <s v="Dispatched"/>
    <s v="-"/>
    <m/>
  </r>
  <r>
    <n v="373"/>
    <n v="63"/>
    <s v="BIBO"/>
    <s v="WSO 119"/>
    <s v="-"/>
    <x v="6"/>
    <s v="2425/5/TI-391"/>
    <x v="153"/>
    <d v="2025-01-29T00:00:00"/>
    <x v="0"/>
    <s v="-"/>
    <n v="96"/>
    <n v="4"/>
    <d v="2025-01-30T00:00:00"/>
    <s v="Delhi"/>
    <s v="Drona Logitech Pvt Ltd"/>
    <s v="DL1MB0112"/>
    <s v="22 FT"/>
    <n v="6950"/>
    <s v="Dispatched"/>
    <s v="-"/>
    <m/>
  </r>
  <r>
    <n v="374"/>
    <n v="63"/>
    <s v="BIBO"/>
    <s v="WSO 117"/>
    <s v="-"/>
    <x v="11"/>
    <s v="2425/5/TI-385"/>
    <x v="154"/>
    <d v="2025-01-29T00:00:00"/>
    <x v="0"/>
    <s v="-"/>
    <n v="624"/>
    <n v="26"/>
    <d v="2025-01-30T00:00:00"/>
    <s v="Delhi"/>
    <s v="Drona Logitech Pvt Ltd"/>
    <s v="DL1MB0112"/>
    <s v="22 FT"/>
    <n v="6949"/>
    <s v="Dispatched"/>
    <s v="-"/>
    <m/>
  </r>
  <r>
    <n v="375"/>
    <n v="63"/>
    <s v="BIBO"/>
    <s v="WSO 83"/>
    <s v="-"/>
    <x v="1"/>
    <s v="2425/5/TI-389"/>
    <x v="155"/>
    <d v="2025-01-29T00:00:00"/>
    <x v="0"/>
    <s v="-"/>
    <n v="96"/>
    <n v="4"/>
    <d v="2025-01-30T00:00:00"/>
    <s v="Delhi"/>
    <s v="Drona Logitech Pvt Ltd"/>
    <s v="DL1MB0112"/>
    <s v="22 FT"/>
    <n v="6948"/>
    <s v="Dispatched"/>
    <s v="-"/>
    <m/>
  </r>
  <r>
    <n v="376"/>
    <n v="63"/>
    <s v="BIBO"/>
    <s v="WSO 118"/>
    <s v="-"/>
    <x v="4"/>
    <s v="2425/5/TI-388"/>
    <x v="156"/>
    <d v="2025-01-29T00:00:00"/>
    <x v="0"/>
    <s v="-"/>
    <n v="144"/>
    <n v="6"/>
    <d v="2025-01-30T00:00:00"/>
    <s v="Delhi"/>
    <s v="Drona Logitech Pvt Ltd"/>
    <s v="DL1MB0112"/>
    <s v="22 FT"/>
    <n v="6947"/>
    <s v="Dispatched"/>
    <s v="-"/>
    <m/>
  </r>
  <r>
    <n v="377"/>
    <n v="63"/>
    <s v="BIBO"/>
    <s v="WSO 123"/>
    <s v="-"/>
    <x v="12"/>
    <s v="2425/5/TI-395"/>
    <x v="151"/>
    <d v="2025-01-30T00:00:00"/>
    <x v="0"/>
    <s v="-"/>
    <n v="144"/>
    <n v="6"/>
    <d v="2025-01-30T00:00:00"/>
    <s v="Delhi"/>
    <s v="Drona Logitech Pvt Ltd"/>
    <s v="DL1MB0112"/>
    <s v="22 FT"/>
    <n v="6955"/>
    <s v="Dispatched"/>
    <s v="-"/>
    <m/>
  </r>
  <r>
    <n v="378"/>
    <n v="64"/>
    <s v="BIBO"/>
    <s v="WSO 124"/>
    <s v="-"/>
    <x v="17"/>
    <s v="2425/5/TI-399"/>
    <x v="157"/>
    <d v="2025-01-31T00:00:00"/>
    <x v="0"/>
    <s v="-"/>
    <n v="360"/>
    <n v="15"/>
    <d v="2025-02-01T00:00:00"/>
    <s v="Delhi"/>
    <s v="Drona Logitech Pvt Ltd"/>
    <s v="DL1GC9359"/>
    <s v="22 FT"/>
    <n v="6970"/>
    <s v="Dispatched"/>
    <s v="-"/>
    <s v="GR Recived"/>
  </r>
  <r>
    <n v="379"/>
    <n v="64"/>
    <s v="BIBO"/>
    <s v="WSO 127"/>
    <s v="-"/>
    <x v="9"/>
    <s v="2425/5/TI-401"/>
    <x v="158"/>
    <d v="2025-01-31T00:00:00"/>
    <x v="0"/>
    <s v="-"/>
    <n v="576"/>
    <n v="24"/>
    <d v="2025-02-01T00:00:00"/>
    <s v="Delhi"/>
    <s v="Drona Logitech Pvt Ltd"/>
    <s v="DL1GC9359"/>
    <s v="22 FT"/>
    <n v="6969"/>
    <s v="Dispatched"/>
    <s v="-"/>
    <s v="GR Recived"/>
  </r>
  <r>
    <n v="380"/>
    <n v="64"/>
    <s v="BIBO"/>
    <s v="WSO 129"/>
    <s v="-"/>
    <x v="11"/>
    <s v="2425/5/TI-402"/>
    <x v="159"/>
    <d v="2025-01-31T00:00:00"/>
    <x v="0"/>
    <s v="-"/>
    <n v="696"/>
    <n v="29"/>
    <d v="2025-02-01T00:00:00"/>
    <s v="Delhi"/>
    <s v="Drona Logitech Pvt Ltd"/>
    <s v="DL1GC9359"/>
    <s v="22 FT"/>
    <n v="6968"/>
    <s v="Dispatched"/>
    <s v="-"/>
    <m/>
  </r>
  <r>
    <n v="381"/>
    <n v="64"/>
    <s v="BIBO"/>
    <s v="WSO 130"/>
    <s v="-"/>
    <x v="4"/>
    <s v="2425/5/TI-403"/>
    <x v="160"/>
    <d v="2025-01-31T00:00:00"/>
    <x v="0"/>
    <s v="-"/>
    <n v="120"/>
    <n v="5"/>
    <d v="2025-02-01T00:00:00"/>
    <s v="Delhi"/>
    <s v="Drona Logitech Pvt Ltd"/>
    <s v="DL1GC9359"/>
    <s v="22 FT"/>
    <n v="6967"/>
    <s v="Dispatched"/>
    <s v="-"/>
    <s v="GR Recived"/>
  </r>
  <r>
    <n v="382"/>
    <n v="64"/>
    <s v="BIBO"/>
    <s v="WSO 126"/>
    <s v="-"/>
    <x v="13"/>
    <s v="2425/5/TI-400"/>
    <x v="161"/>
    <d v="2025-01-31T00:00:00"/>
    <x v="0"/>
    <s v="-"/>
    <n v="816"/>
    <n v="34"/>
    <d v="2025-02-01T00:00:00"/>
    <s v="Delhi"/>
    <s v="Drona Logitech Pvt Ltd"/>
    <s v="DL1GC9359"/>
    <s v="22 FT"/>
    <n v="6966"/>
    <s v="Dispatched"/>
    <s v="-"/>
    <m/>
  </r>
  <r>
    <n v="383"/>
    <n v="64"/>
    <s v="BIBO"/>
    <s v="WSO 125"/>
    <s v="-"/>
    <x v="25"/>
    <s v="2425/5/TI-405"/>
    <x v="162"/>
    <d v="2025-01-31T00:00:00"/>
    <x v="0"/>
    <s v="-"/>
    <n v="528"/>
    <n v="22"/>
    <d v="2025-02-01T00:00:00"/>
    <s v="Delhi"/>
    <s v="Drona Logitech Pvt Ltd"/>
    <s v="DL1GC9359"/>
    <s v="22 FT"/>
    <n v="6965"/>
    <s v="Dispatched"/>
    <s v="-"/>
    <s v="GR Recived"/>
  </r>
  <r>
    <n v="384"/>
    <n v="64"/>
    <s v="BIBO"/>
    <s v="WSO 128"/>
    <s v="-"/>
    <x v="11"/>
    <s v="2425/5/TI-406"/>
    <x v="163"/>
    <d v="2025-01-31T00:00:00"/>
    <x v="0"/>
    <s v="-"/>
    <n v="732"/>
    <n v="32"/>
    <d v="2025-02-01T00:00:00"/>
    <s v="Delhi"/>
    <s v="Drona Logitech Pvt Ltd"/>
    <s v="DL1GC9359"/>
    <s v="22 FT"/>
    <n v="6964"/>
    <s v="Dispatched"/>
    <s v="-"/>
    <m/>
  </r>
  <r>
    <n v="385"/>
    <n v="64"/>
    <s v="BIBO"/>
    <s v="WSO 120"/>
    <s v="-"/>
    <x v="1"/>
    <s v="2425/5/TI-398"/>
    <x v="164"/>
    <d v="2025-01-31T00:00:00"/>
    <x v="0"/>
    <s v="-"/>
    <n v="1200"/>
    <n v="50"/>
    <d v="2025-02-01T00:00:00"/>
    <s v="Delhi"/>
    <s v="Drona Logitech Pvt Ltd"/>
    <s v="DL1GC9359"/>
    <s v="22 FT"/>
    <n v="6963"/>
    <s v="Dispatched"/>
    <s v="-"/>
    <s v="GR Recived"/>
  </r>
  <r>
    <n v="386"/>
    <n v="64"/>
    <s v="BIBO"/>
    <s v="WSO 116"/>
    <s v="-"/>
    <x v="23"/>
    <s v="2425/5/TI-397"/>
    <x v="165"/>
    <d v="2025-01-31T00:00:00"/>
    <x v="0"/>
    <s v="-"/>
    <n v="24"/>
    <n v="1"/>
    <d v="2025-02-01T00:00:00"/>
    <s v="Delhi"/>
    <s v="Drona Logitech Pvt Ltd"/>
    <s v="DL1GC9359"/>
    <s v="22 FT"/>
    <n v="6962"/>
    <s v="Dispatched"/>
    <s v="-"/>
    <s v="GR Recived"/>
  </r>
  <r>
    <n v="387"/>
    <n v="64"/>
    <s v="BIBO"/>
    <s v="WSO 115"/>
    <s v="-"/>
    <x v="23"/>
    <s v="2425/5/TI-396"/>
    <x v="166"/>
    <d v="2025-01-31T00:00:00"/>
    <x v="0"/>
    <s v="-"/>
    <n v="216"/>
    <n v="9"/>
    <d v="2025-02-01T00:00:00"/>
    <s v="Delhi"/>
    <s v="Drona Logitech Pvt Ltd"/>
    <s v="DL1GC9359"/>
    <s v="22 FT"/>
    <n v="6962"/>
    <s v="Dispatched"/>
    <s v="-"/>
    <s v="GR Recived"/>
  </r>
  <r>
    <n v="388"/>
    <n v="65"/>
    <s v="BIBO"/>
    <s v="SSO 4"/>
    <d v="2025-01-28T00:00:00"/>
    <x v="0"/>
    <s v="2425/5/STO-5"/>
    <x v="0"/>
    <d v="2025-01-28T00:00:00"/>
    <x v="0"/>
    <s v="-"/>
    <n v="72"/>
    <n v="3"/>
    <d v="2025-02-01T00:00:00"/>
    <s v="Delhi"/>
    <s v="Drona Logitech Pvt Ltd"/>
    <s v="HR55AT9767"/>
    <s v="22 FT"/>
    <n v="6961"/>
    <s v="Dispatched"/>
    <s v="-"/>
    <m/>
  </r>
  <r>
    <n v="389"/>
    <n v="65"/>
    <s v="PIPO"/>
    <s v="SSO 3"/>
    <d v="2025-01-28T00:00:00"/>
    <x v="0"/>
    <s v="2425/5/TI-404"/>
    <x v="167"/>
    <d v="2025-01-31T00:00:00"/>
    <x v="0"/>
    <s v="-"/>
    <n v="540"/>
    <n v="54"/>
    <d v="2025-02-01T00:00:00"/>
    <s v="Delhi"/>
    <s v="Drona Logitech Pvt Ltd"/>
    <s v="HR55AT9767"/>
    <s v="22 FT"/>
    <n v="6960"/>
    <s v="Dispatched"/>
    <s v="-"/>
    <m/>
  </r>
  <r>
    <n v="390"/>
    <n v="65"/>
    <s v="BIBO"/>
    <s v="SSO 5"/>
    <d v="2025-01-28T00:00:00"/>
    <x v="0"/>
    <s v="2425/5/TI-407"/>
    <x v="168"/>
    <d v="2025-02-01T00:00:00"/>
    <x v="0"/>
    <s v="-"/>
    <n v="984"/>
    <n v="41"/>
    <d v="2025-02-01T00:00:00"/>
    <s v="Delhi"/>
    <s v="Drona Logitech Pvt Ltd"/>
    <s v="HR55AT9767"/>
    <s v="22 FT"/>
    <n v="6959"/>
    <s v="Dispatched"/>
    <s v="-"/>
    <m/>
  </r>
  <r>
    <n v="391"/>
    <n v="65"/>
    <s v="PIPO"/>
    <s v="SSO 6"/>
    <d v="2025-01-31T00:00:00"/>
    <x v="0"/>
    <s v="2425/5/TI-408"/>
    <x v="169"/>
    <d v="2025-02-01T00:00:00"/>
    <x v="0"/>
    <s v="-"/>
    <n v="168"/>
    <n v="17"/>
    <d v="2025-02-01T00:00:00"/>
    <s v="Delhi"/>
    <s v="Drona Logitech Pvt Ltd"/>
    <s v="HR55AT9767"/>
    <s v="22 FT"/>
    <n v="6958"/>
    <s v="Dispatched"/>
    <s v="-"/>
    <m/>
  </r>
  <r>
    <n v="392"/>
    <n v="66"/>
    <s v="BIBO"/>
    <s v="PSO 263"/>
    <d v="2025-01-31T00:00:00"/>
    <x v="34"/>
    <s v="2425/5/TI-414"/>
    <x v="170"/>
    <d v="2025-02-03T00:00:00"/>
    <x v="0"/>
    <s v="-"/>
    <n v="210"/>
    <n v="21"/>
    <d v="2025-02-04T00:00:00"/>
    <s v="Delhi"/>
    <s v="Drona Logitech Pvt Ltd"/>
    <s v="HR61E0283"/>
    <s v="22 FT"/>
    <n v="6972"/>
    <s v="Dispatched"/>
    <s v="-"/>
    <s v="GR Recived"/>
  </r>
  <r>
    <n v="393"/>
    <n v="66"/>
    <s v="PIPO"/>
    <s v="PSO 256"/>
    <d v="2025-01-31T00:00:00"/>
    <x v="13"/>
    <s v="2425/5/TI-415"/>
    <x v="171"/>
    <d v="2025-02-03T00:00:00"/>
    <x v="0"/>
    <s v="-"/>
    <n v="450"/>
    <n v="45"/>
    <d v="2025-02-04T00:00:00"/>
    <s v="Delhi"/>
    <s v="Drona Logitech Pvt Ltd"/>
    <s v="HR61E0283"/>
    <s v="22 FT"/>
    <n v="6982"/>
    <s v="Dispatched"/>
    <s v="-"/>
    <m/>
  </r>
  <r>
    <n v="394"/>
    <n v="66"/>
    <s v="PIPO"/>
    <s v="PSO 260"/>
    <d v="2025-01-31T00:00:00"/>
    <x v="13"/>
    <s v="2425/5/TI-416"/>
    <x v="172"/>
    <d v="2025-02-03T00:00:00"/>
    <x v="0"/>
    <s v="-"/>
    <n v="150"/>
    <n v="15"/>
    <d v="2025-02-04T00:00:00"/>
    <s v="Delhi"/>
    <s v="Drona Logitech Pvt Ltd"/>
    <s v="HR61E0283"/>
    <s v="22 FT"/>
    <n v="6974"/>
    <s v="Dispatched"/>
    <s v="-"/>
    <m/>
  </r>
  <r>
    <n v="395"/>
    <n v="66"/>
    <s v="PIPO"/>
    <s v="PSO 258"/>
    <d v="2025-01-31T00:00:00"/>
    <x v="19"/>
    <s v="2425/5/TI-417"/>
    <x v="173"/>
    <d v="2025-02-03T00:00:00"/>
    <x v="0"/>
    <s v="-"/>
    <n v="140"/>
    <n v="14"/>
    <d v="2025-02-04T00:00:00"/>
    <s v="Delhi"/>
    <s v="Drona Logitech Pvt Ltd"/>
    <s v="HR61E0283"/>
    <s v="22 FT"/>
    <n v="6978"/>
    <s v="Dispatched"/>
    <s v="-"/>
    <s v="GR Recived"/>
  </r>
  <r>
    <n v="396"/>
    <n v="66"/>
    <s v="PIPO"/>
    <s v="PSO 261"/>
    <d v="2025-01-31T00:00:00"/>
    <x v="1"/>
    <s v="2425/5/TI-418"/>
    <x v="174"/>
    <d v="2025-02-03T00:00:00"/>
    <x v="0"/>
    <s v="-"/>
    <n v="320"/>
    <n v="32"/>
    <d v="2025-02-04T00:00:00"/>
    <s v="Delhi"/>
    <s v="Drona Logitech Pvt Ltd"/>
    <s v="HR61E0283"/>
    <s v="22 FT"/>
    <n v="6979"/>
    <s v="Dispatched"/>
    <s v="-"/>
    <s v="GR Recived"/>
  </r>
  <r>
    <n v="397"/>
    <n v="66"/>
    <s v="PIPO"/>
    <s v="PSO 265"/>
    <d v="2025-01-31T00:00:00"/>
    <x v="2"/>
    <s v="2425/5/TI-411"/>
    <x v="175"/>
    <d v="2025-02-01T00:00:00"/>
    <x v="0"/>
    <s v="-"/>
    <n v="450"/>
    <n v="45"/>
    <d v="2025-02-04T00:00:00"/>
    <s v="Delhi"/>
    <s v="Drona Logitech Pvt Ltd"/>
    <s v="HR61E0283"/>
    <s v="22 FT"/>
    <n v="6981"/>
    <s v="Dispatched"/>
    <s v="-"/>
    <s v="GR Recived"/>
  </r>
  <r>
    <n v="398"/>
    <n v="66"/>
    <s v="PIPO"/>
    <s v="PSO 266"/>
    <d v="2025-01-31T00:00:00"/>
    <x v="2"/>
    <s v="2425/5/TI-412"/>
    <x v="176"/>
    <d v="2025-02-01T00:00:00"/>
    <x v="0"/>
    <s v="-"/>
    <n v="370"/>
    <n v="37"/>
    <d v="2025-02-04T00:00:00"/>
    <s v="Delhi"/>
    <s v="Drona Logitech Pvt Ltd"/>
    <s v="HR61E0283"/>
    <s v="22 FT"/>
    <n v="6977"/>
    <s v="Dispatched"/>
    <s v="-"/>
    <s v="GR Recived"/>
  </r>
  <r>
    <n v="399"/>
    <n v="66"/>
    <s v="PIPO"/>
    <s v="PSO 274"/>
    <d v="2025-01-31T00:00:00"/>
    <x v="2"/>
    <s v="2425/5/TI-419"/>
    <x v="177"/>
    <d v="2025-02-03T00:00:00"/>
    <x v="0"/>
    <s v="-"/>
    <n v="40"/>
    <n v="4"/>
    <d v="2025-02-04T00:00:00"/>
    <s v="Delhi"/>
    <s v="Drona Logitech Pvt Ltd"/>
    <s v="HR61E0283"/>
    <s v="22 FT"/>
    <n v="6980"/>
    <s v="Dispatched"/>
    <s v="-"/>
    <s v="GR Recived"/>
  </r>
  <r>
    <n v="400"/>
    <n v="66"/>
    <s v="PIPO"/>
    <s v="PSO 267"/>
    <d v="2025-01-31T00:00:00"/>
    <x v="8"/>
    <s v="2425/5/TI-425"/>
    <x v="178"/>
    <d v="2025-02-03T00:00:00"/>
    <x v="0"/>
    <s v="-"/>
    <n v="44"/>
    <n v="5"/>
    <d v="2025-02-04T00:00:00"/>
    <s v="Delhi"/>
    <s v="Drona Logitech Pvt Ltd"/>
    <s v="HR61E0283"/>
    <s v="22 FT"/>
    <n v="6976"/>
    <s v="Dispatched"/>
    <s v="-"/>
    <s v="GR Recived"/>
  </r>
  <r>
    <n v="401"/>
    <n v="66"/>
    <s v="PIPO"/>
    <s v="PSO 259"/>
    <d v="2025-01-31T00:00:00"/>
    <x v="12"/>
    <s v="2425/5/TI-420"/>
    <x v="179"/>
    <d v="2025-02-03T00:00:00"/>
    <x v="0"/>
    <s v="-"/>
    <n v="80"/>
    <n v="8"/>
    <d v="2025-02-04T00:00:00"/>
    <s v="Delhi"/>
    <s v="Drona Logitech Pvt Ltd"/>
    <s v="HR61E0283"/>
    <s v="22 FT"/>
    <n v="6975"/>
    <s v="Dispatched"/>
    <s v="-"/>
    <m/>
  </r>
  <r>
    <n v="402"/>
    <n v="66"/>
    <s v="BIBO"/>
    <s v="WSO 132"/>
    <d v="2025-01-31T00:00:00"/>
    <x v="3"/>
    <s v="2425/5/TI-409"/>
    <x v="180"/>
    <d v="2025-02-01T00:00:00"/>
    <x v="0"/>
    <s v="-"/>
    <n v="384"/>
    <n v="16"/>
    <d v="2025-02-04T00:00:00"/>
    <s v="Delhi"/>
    <s v="Drona Logitech Pvt Ltd"/>
    <s v="HR61E0283"/>
    <s v="22 FT"/>
    <n v="6973"/>
    <s v="Dispatched"/>
    <s v="-"/>
    <s v="GR Recived"/>
  </r>
  <r>
    <n v="403"/>
    <n v="66"/>
    <s v="BIBO"/>
    <s v="WSO 133"/>
    <d v="2025-01-31T00:00:00"/>
    <x v="32"/>
    <s v="2425/5/TI-410"/>
    <x v="181"/>
    <d v="2025-02-01T00:00:00"/>
    <x v="0"/>
    <s v="-"/>
    <n v="120"/>
    <n v="5"/>
    <d v="2025-02-04T00:00:00"/>
    <s v="Delhi"/>
    <s v="Drona Logitech Pvt Ltd"/>
    <s v="HR61E0283"/>
    <s v="22 FT"/>
    <n v="6971"/>
    <s v="Dispatched"/>
    <s v="-"/>
    <s v="GR Recived"/>
  </r>
  <r>
    <n v="404"/>
    <n v="67"/>
    <s v="PIPO"/>
    <s v="PSO 280"/>
    <d v="2025-02-01T00:00:00"/>
    <x v="13"/>
    <s v="2425/5/TI-428"/>
    <x v="182"/>
    <d v="2025-02-05T00:00:00"/>
    <x v="0"/>
    <s v="-"/>
    <n v="480"/>
    <n v="48"/>
    <d v="2025-02-05T00:00:00"/>
    <s v="Delhi"/>
    <s v="Drona Logitech Pvt Ltd"/>
    <s v="HR61E0283"/>
    <s v="22 FT"/>
    <n v="6990"/>
    <s v="Dispatched"/>
    <s v="-"/>
    <s v="GR Recived"/>
  </r>
  <r>
    <n v="405"/>
    <n v="67"/>
    <s v="PIPO"/>
    <s v="PSO 262"/>
    <d v="2025-01-31T00:00:00"/>
    <x v="11"/>
    <s v="2425/5/TI-424"/>
    <x v="183"/>
    <d v="2025-02-03T00:00:00"/>
    <x v="0"/>
    <s v="-"/>
    <n v="350"/>
    <n v="35"/>
    <d v="2025-02-05T00:00:00"/>
    <s v="Delhi"/>
    <s v="Drona Logitech Pvt Ltd"/>
    <s v="HR61E0283"/>
    <s v="22 FT"/>
    <n v="6989"/>
    <s v="Dispatched"/>
    <s v="-"/>
    <m/>
  </r>
  <r>
    <n v="406"/>
    <n v="67"/>
    <s v="PIPO"/>
    <s v="PSO 272"/>
    <d v="2025-01-31T00:00:00"/>
    <x v="25"/>
    <s v="2425/5/TI-422"/>
    <x v="184"/>
    <d v="2025-02-03T00:00:00"/>
    <x v="0"/>
    <s v="-"/>
    <n v="430"/>
    <n v="43"/>
    <d v="2025-02-05T00:00:00"/>
    <s v="Delhi"/>
    <s v="Drona Logitech Pvt Ltd"/>
    <s v="HR61E0283"/>
    <s v="22 FT"/>
    <n v="6988"/>
    <s v="Dispatched"/>
    <s v="-"/>
    <s v="GR Recived"/>
  </r>
  <r>
    <n v="407"/>
    <n v="67"/>
    <s v="PIPO"/>
    <s v="PSO 285"/>
    <d v="2025-02-01T00:00:00"/>
    <x v="7"/>
    <s v="2425/5/TI-427"/>
    <x v="185"/>
    <d v="2025-02-04T00:00:00"/>
    <x v="0"/>
    <s v="-"/>
    <n v="30"/>
    <n v="3"/>
    <d v="2025-02-05T00:00:00"/>
    <s v="Delhi"/>
    <s v="Drona Logitech Pvt Ltd"/>
    <s v="HR61E0283"/>
    <s v="22 FT"/>
    <n v="6986"/>
    <s v="Dispatched"/>
    <s v="-"/>
    <m/>
  </r>
  <r>
    <n v="408"/>
    <n v="67"/>
    <s v="PIPO"/>
    <s v="PSO 269"/>
    <d v="2025-01-31T00:00:00"/>
    <x v="31"/>
    <s v="2425/5/TI-421"/>
    <x v="186"/>
    <d v="2025-02-03T00:00:00"/>
    <x v="0"/>
    <s v="-"/>
    <n v="60"/>
    <n v="6"/>
    <d v="2025-02-05T00:00:00"/>
    <s v="Delhi"/>
    <s v="Drona Logitech Pvt Ltd"/>
    <s v="HR61E0283"/>
    <s v="22 FT"/>
    <n v="6985"/>
    <s v="Dispatched"/>
    <s v="-"/>
    <s v="GR Recived"/>
  </r>
  <r>
    <n v="409"/>
    <n v="67"/>
    <s v="PIPO"/>
    <s v="PSO 282"/>
    <d v="2025-02-01T00:00:00"/>
    <x v="13"/>
    <s v="2425/5/TI-426"/>
    <x v="187"/>
    <d v="2025-02-04T00:00:00"/>
    <x v="0"/>
    <s v="-"/>
    <n v="350"/>
    <n v="35"/>
    <d v="2025-02-05T00:00:00"/>
    <s v="Delhi"/>
    <s v="Drona Logitech Pvt Ltd"/>
    <s v="HR61E0283"/>
    <s v="22 FT"/>
    <n v="6984"/>
    <s v="Dispatched"/>
    <s v="-"/>
    <s v="GR Recived"/>
  </r>
  <r>
    <n v="410"/>
    <n v="67"/>
    <s v="PIPO"/>
    <s v="PSO 284"/>
    <d v="2025-02-01T00:00:00"/>
    <x v="29"/>
    <s v="2425/5/TI-423"/>
    <x v="188"/>
    <d v="2025-02-03T00:00:00"/>
    <x v="0"/>
    <s v="-"/>
    <n v="190"/>
    <n v="19"/>
    <d v="2025-02-05T00:00:00"/>
    <s v="Delhi"/>
    <s v="Drona Logitech Pvt Ltd"/>
    <s v="HR61E0283"/>
    <s v="22 FT"/>
    <n v="6983"/>
    <s v="Dispatched"/>
    <s v="-"/>
    <s v="GR Recived"/>
  </r>
  <r>
    <n v="411"/>
    <n v="67"/>
    <s v="PIPO"/>
    <s v="PSO 290"/>
    <d v="2025-02-03T00:00:00"/>
    <x v="1"/>
    <s v="2425/5/TI-429"/>
    <x v="189"/>
    <d v="2025-02-05T00:00:00"/>
    <x v="0"/>
    <s v="-"/>
    <n v="150"/>
    <n v="15"/>
    <d v="2025-02-05T00:00:00"/>
    <s v="Delhi"/>
    <s v="Drona Logitech Pvt Ltd"/>
    <s v="HR61E0283"/>
    <s v="22 FT"/>
    <n v="6991"/>
    <s v="Dispatched"/>
    <s v="-"/>
    <s v="GR Recived"/>
  </r>
  <r>
    <n v="412"/>
    <n v="67"/>
    <s v="PIPO"/>
    <s v="PSO 291"/>
    <d v="2025-02-03T00:00:00"/>
    <x v="12"/>
    <s v="2425/5/TI-431"/>
    <x v="190"/>
    <d v="2025-02-05T00:00:00"/>
    <x v="0"/>
    <s v="-"/>
    <n v="80"/>
    <n v="8"/>
    <d v="2025-02-05T00:00:00"/>
    <s v="Delhi"/>
    <s v="Drona Logitech Pvt Ltd"/>
    <s v="HR61E0283"/>
    <s v="22 FT"/>
    <n v="6992"/>
    <s v="Dispatched"/>
    <s v="-"/>
    <s v="GR Recived"/>
  </r>
  <r>
    <n v="413"/>
    <n v="67"/>
    <s v="PIPO"/>
    <s v="PSO 279"/>
    <d v="2025-02-01T00:00:00"/>
    <x v="13"/>
    <s v="2425/5/TI-432"/>
    <x v="191"/>
    <d v="2025-02-05T00:00:00"/>
    <x v="0"/>
    <s v="-"/>
    <n v="560"/>
    <n v="56"/>
    <d v="2025-02-05T00:00:00"/>
    <s v="Delhi"/>
    <s v="Drona Logitech Pvt Ltd"/>
    <s v="HR61E0283"/>
    <s v="22 FT"/>
    <n v="6993"/>
    <s v="Dispatched"/>
    <s v="-"/>
    <s v="GR Recived"/>
  </r>
  <r>
    <n v="414"/>
    <n v="67"/>
    <s v="PIPO"/>
    <s v="PSO 275"/>
    <d v="2025-02-01T00:00:00"/>
    <x v="6"/>
    <s v="2425/5/TI-425"/>
    <x v="178"/>
    <d v="2025-02-03T00:00:00"/>
    <x v="0"/>
    <s v="-"/>
    <n v="20"/>
    <n v="2"/>
    <d v="2025-02-05T00:00:00"/>
    <s v="Delhi"/>
    <s v="Drona Logitech Pvt Ltd"/>
    <s v="HR61E0283"/>
    <s v="22 FT"/>
    <n v="6987"/>
    <s v="Dispatched"/>
    <s v="-"/>
    <m/>
  </r>
  <r>
    <n v="415"/>
    <n v="68"/>
    <s v="PIPO"/>
    <s v="PSO 254"/>
    <d v="2025-01-31T00:00:00"/>
    <x v="4"/>
    <s v="2425/5/TI-442"/>
    <x v="192"/>
    <d v="2025-02-06T00:00:00"/>
    <x v="0"/>
    <s v="-"/>
    <n v="271"/>
    <n v="27"/>
    <d v="2025-02-05T00:00:00"/>
    <s v="Delhi"/>
    <s v="Drona Logitech Pvt Ltd"/>
    <s v="DL1MA3659"/>
    <s v="22 FT"/>
    <n v="7003"/>
    <s v="Dispatched"/>
    <s v="-"/>
    <s v="GR Recived"/>
  </r>
  <r>
    <n v="416"/>
    <n v="68"/>
    <s v="BIBO"/>
    <s v="WSO 134"/>
    <d v="2025-02-01T00:00:00"/>
    <x v="7"/>
    <s v="2425/5/TI-436"/>
    <x v="193"/>
    <d v="2025-02-05T00:00:00"/>
    <x v="0"/>
    <s v="-"/>
    <n v="72"/>
    <n v="3"/>
    <d v="2025-02-05T00:00:00"/>
    <s v="Delhi"/>
    <s v="Drona Logitech Pvt Ltd"/>
    <s v="DL1MA3659"/>
    <s v="22 FT"/>
    <n v="6999"/>
    <s v="Dispatched"/>
    <s v="-"/>
    <m/>
  </r>
  <r>
    <n v="417"/>
    <n v="68"/>
    <s v="BIBO"/>
    <s v="WSO 131"/>
    <d v="2025-01-31T00:00:00"/>
    <x v="4"/>
    <s v="2425/5/TI-433"/>
    <x v="194"/>
    <d v="2025-02-05T00:00:00"/>
    <x v="0"/>
    <s v="-"/>
    <n v="168"/>
    <n v="7"/>
    <d v="2025-02-05T00:00:00"/>
    <s v="Delhi"/>
    <s v="Drona Logitech Pvt Ltd"/>
    <s v="DL1MA3659"/>
    <s v="22 FT"/>
    <n v="6998"/>
    <s v="Dispatched"/>
    <s v="-"/>
    <s v="GR Recived"/>
  </r>
  <r>
    <n v="418"/>
    <n v="68"/>
    <s v="PIPO"/>
    <s v="PSO 299"/>
    <d v="2025-02-03T00:00:00"/>
    <x v="9"/>
    <s v="2425/5/TI-430"/>
    <x v="195"/>
    <d v="2025-02-05T00:00:00"/>
    <x v="0"/>
    <s v="-"/>
    <n v="240"/>
    <n v="24"/>
    <d v="2025-02-05T00:00:00"/>
    <s v="Delhi"/>
    <s v="Drona Logitech Pvt Ltd"/>
    <s v="DL1MA3659"/>
    <s v="22 FT"/>
    <n v="6997"/>
    <s v="Dispatched"/>
    <s v="-"/>
    <s v="GR Recived"/>
  </r>
  <r>
    <n v="419"/>
    <n v="68"/>
    <s v="BIBO"/>
    <s v="WSO 136"/>
    <d v="2025-02-03T00:00:00"/>
    <x v="4"/>
    <s v="2425/5/TI-435"/>
    <x v="196"/>
    <d v="2025-02-05T00:00:00"/>
    <x v="0"/>
    <s v="-"/>
    <n v="168"/>
    <n v="7"/>
    <d v="2025-02-05T00:00:00"/>
    <s v="Delhi"/>
    <s v="Drona Logitech Pvt Ltd"/>
    <s v="DL1MA3659"/>
    <s v="22 FT"/>
    <n v="6996"/>
    <s v="Dispatched"/>
    <s v="-"/>
    <s v="GR Recived"/>
  </r>
  <r>
    <n v="420"/>
    <n v="68"/>
    <s v="PIPO"/>
    <s v="PSO 292"/>
    <d v="2025-02-03T00:00:00"/>
    <x v="4"/>
    <s v="2425/5/TI-434"/>
    <x v="197"/>
    <d v="2025-02-05T00:00:00"/>
    <x v="0"/>
    <s v="-"/>
    <n v="356"/>
    <n v="34"/>
    <d v="2025-02-05T00:00:00"/>
    <s v="Delhi"/>
    <s v="Drona Logitech Pvt Ltd"/>
    <s v="DL1MA3659"/>
    <s v="22 FT"/>
    <n v="6995"/>
    <s v="Dispatched"/>
    <s v="-"/>
    <s v="GR Recived"/>
  </r>
  <r>
    <n v="421"/>
    <n v="68"/>
    <s v="BIBO"/>
    <s v="WSO 138"/>
    <d v="2025-02-02T00:00:00"/>
    <x v="2"/>
    <s v="2425/5/TI-437"/>
    <x v="198"/>
    <d v="2025-02-05T00:00:00"/>
    <x v="0"/>
    <s v="-"/>
    <n v="528"/>
    <n v="22"/>
    <d v="2025-02-05T00:00:00"/>
    <s v="Delhi"/>
    <s v="Drona Logitech Pvt Ltd"/>
    <s v="DL1MA3659"/>
    <s v="22 FT"/>
    <n v="6994"/>
    <s v="Dispatched"/>
    <s v="-"/>
    <m/>
  </r>
  <r>
    <n v="422"/>
    <n v="68"/>
    <s v="PIPO"/>
    <s v="PSO 253"/>
    <d v="2025-01-31T00:00:00"/>
    <x v="4"/>
    <s v="2425/5/TI-440"/>
    <x v="199"/>
    <d v="2025-02-05T00:00:00"/>
    <x v="0"/>
    <s v="-"/>
    <n v="320"/>
    <n v="28"/>
    <d v="2025-02-05T00:00:00"/>
    <s v="Delhi"/>
    <s v="Drona Logitech Pvt Ltd"/>
    <s v="DL1MA3659"/>
    <s v="22 FT"/>
    <n v="7002"/>
    <s v="Dispatched"/>
    <s v="-"/>
    <s v="GR Recived"/>
  </r>
  <r>
    <n v="423"/>
    <n v="68"/>
    <s v="BIBO"/>
    <s v="WSO 137"/>
    <d v="2025-02-02T00:00:00"/>
    <x v="2"/>
    <s v="2425/5/TI-438"/>
    <x v="200"/>
    <d v="2025-02-05T00:00:00"/>
    <x v="0"/>
    <s v="-"/>
    <n v="960"/>
    <n v="40"/>
    <d v="2025-02-05T00:00:00"/>
    <s v="Delhi"/>
    <s v="Drona Logitech Pvt Ltd"/>
    <s v="DL1MA3659"/>
    <s v="22 FT"/>
    <n v="7001"/>
    <s v="Dispatched"/>
    <s v="-"/>
    <m/>
  </r>
  <r>
    <n v="424"/>
    <n v="69"/>
    <s v="PIPO"/>
    <s v="PSO 293"/>
    <d v="2025-02-03T00:00:00"/>
    <x v="32"/>
    <s v="2425/5/TI-443"/>
    <x v="201"/>
    <d v="2025-02-06T00:00:00"/>
    <x v="0"/>
    <s v="-"/>
    <n v="60"/>
    <n v="6"/>
    <d v="2025-02-08T00:00:00"/>
    <s v="Delhi"/>
    <s v="Drona Logitech Pvt Ltd"/>
    <s v="DL1MA3659"/>
    <s v="22 FT"/>
    <n v="7015"/>
    <s v="Dispatched"/>
    <s v="-"/>
    <s v="GR Recived"/>
  </r>
  <r>
    <n v="425"/>
    <n v="69"/>
    <s v="PIPO"/>
    <s v="PSO 257"/>
    <d v="2025-01-31T00:00:00"/>
    <x v="32"/>
    <s v="2425/5/TI-448"/>
    <x v="202"/>
    <d v="2025-02-07T00:00:00"/>
    <x v="0"/>
    <s v="-"/>
    <n v="129"/>
    <n v="13"/>
    <d v="2025-02-08T00:00:00"/>
    <s v="Delhi"/>
    <s v="Drona Logitech Pvt Ltd"/>
    <s v="DL1MA3659"/>
    <s v="22 FT"/>
    <n v="7011"/>
    <s v="Dispatched"/>
    <s v="-"/>
    <s v="GR Recived"/>
  </r>
  <r>
    <n v="426"/>
    <n v="69"/>
    <s v="PIPO"/>
    <s v="PSO 296"/>
    <d v="2025-02-03T00:00:00"/>
    <x v="2"/>
    <s v="2425/5/TI-447"/>
    <x v="203"/>
    <d v="2025-02-07T00:00:00"/>
    <x v="0"/>
    <s v="-"/>
    <n v="378"/>
    <n v="35"/>
    <d v="2025-02-08T00:00:00"/>
    <s v="Delhi"/>
    <s v="Drona Logitech Pvt Ltd"/>
    <s v="DL1MA3659"/>
    <s v="22 FT"/>
    <n v="7012"/>
    <s v="Dispatched"/>
    <s v="-"/>
    <s v="GR Recived"/>
  </r>
  <r>
    <n v="427"/>
    <n v="69"/>
    <s v="BIBO"/>
    <s v="WSO 143"/>
    <d v="2025-02-06T00:00:00"/>
    <x v="32"/>
    <s v="2425/5/TI-452"/>
    <x v="204"/>
    <d v="2025-02-07T00:00:00"/>
    <x v="0"/>
    <s v="-"/>
    <n v="144"/>
    <n v="8"/>
    <d v="2025-02-08T00:00:00"/>
    <s v="Delhi"/>
    <s v="Drona Logitech Pvt Ltd"/>
    <s v="DL1MA3659"/>
    <s v="22 FT"/>
    <n v="7013"/>
    <s v="Dispatched"/>
    <s v="-"/>
    <s v="GR Recived"/>
  </r>
  <r>
    <n v="428"/>
    <n v="69"/>
    <s v="PIPO"/>
    <s v="PSO 294"/>
    <d v="2025-02-03T00:00:00"/>
    <x v="13"/>
    <s v="2425/5/TI-444"/>
    <x v="205"/>
    <d v="2025-02-06T00:00:00"/>
    <x v="0"/>
    <s v="-"/>
    <n v="304"/>
    <n v="27"/>
    <d v="2025-02-08T00:00:00"/>
    <s v="Delhi"/>
    <s v="Drona Logitech Pvt Ltd"/>
    <s v="DL1MA3659"/>
    <s v="22 FT"/>
    <n v="7014"/>
    <s v="Dispatched"/>
    <s v="-"/>
    <m/>
  </r>
  <r>
    <n v="429"/>
    <n v="69"/>
    <s v="PIPO"/>
    <s v="PSO 268"/>
    <d v="2025-01-31T00:00:00"/>
    <x v="2"/>
    <s v="2425/5/TI-465"/>
    <x v="206"/>
    <d v="2025-02-08T00:00:00"/>
    <x v="0"/>
    <s v="-"/>
    <n v="177"/>
    <n v="18"/>
    <d v="2025-02-08T00:00:00"/>
    <s v="Delhi"/>
    <s v="Drona Logitech Pvt Ltd"/>
    <s v="DL1MA3659"/>
    <s v="22 FT"/>
    <n v="7010"/>
    <s v="Dispatched"/>
    <s v="-"/>
    <s v="GR Recived"/>
  </r>
  <r>
    <n v="430"/>
    <n v="69"/>
    <s v="BIBO"/>
    <s v="WSO 142"/>
    <d v="2025-02-06T00:00:00"/>
    <x v="16"/>
    <s v="2425/5/TI-449"/>
    <x v="207"/>
    <d v="2025-02-07T00:00:00"/>
    <x v="0"/>
    <s v="-"/>
    <n v="24"/>
    <n v="1"/>
    <d v="2025-02-08T00:00:00"/>
    <s v="Delhi"/>
    <s v="Drona Logitech Pvt Ltd"/>
    <s v="DL1MA3659"/>
    <s v="22 FT"/>
    <n v="7008"/>
    <s v="Dispatched"/>
    <s v="-"/>
    <s v="GR Recived"/>
  </r>
  <r>
    <n v="431"/>
    <n v="69"/>
    <s v="BIBO"/>
    <s v="WSO 144"/>
    <d v="2025-02-06T00:00:00"/>
    <x v="29"/>
    <s v="2425/5/TI-450"/>
    <x v="208"/>
    <d v="2025-02-07T00:00:00"/>
    <x v="0"/>
    <s v="-"/>
    <n v="288"/>
    <n v="12"/>
    <d v="2025-02-08T00:00:00"/>
    <s v="Delhi"/>
    <s v="Drona Logitech Pvt Ltd"/>
    <s v="DL1MA3659"/>
    <s v="22 FT"/>
    <n v="7009"/>
    <s v="Dispatched"/>
    <s v="-"/>
    <s v="GR Recived"/>
  </r>
  <r>
    <n v="432"/>
    <n v="69"/>
    <s v="BIBO"/>
    <s v="WSO 141"/>
    <d v="2025-02-06T00:00:00"/>
    <x v="16"/>
    <s v="2425/5/TI-451"/>
    <x v="209"/>
    <d v="2025-02-07T00:00:00"/>
    <x v="0"/>
    <s v="-"/>
    <n v="144"/>
    <n v="6"/>
    <d v="2025-02-08T00:00:00"/>
    <s v="Delhi"/>
    <s v="Drona Logitech Pvt Ltd"/>
    <s v="DL1MA3659"/>
    <s v="22 FT"/>
    <n v="7007"/>
    <s v="Dispatched"/>
    <s v="-"/>
    <s v="GR Recived"/>
  </r>
  <r>
    <n v="433"/>
    <n v="69"/>
    <s v="BIBO"/>
    <s v="WSO 135"/>
    <d v="2025-02-03T00:00:00"/>
    <x v="12"/>
    <s v="2425/5/TI-441"/>
    <x v="210"/>
    <d v="2025-02-05T00:00:00"/>
    <x v="0"/>
    <s v="-"/>
    <n v="720"/>
    <n v="30"/>
    <d v="2025-02-08T00:00:00"/>
    <s v="Delhi"/>
    <s v="Drona Logitech Pvt Ltd"/>
    <s v="DL1MA3659"/>
    <s v="22 FT"/>
    <n v="7006"/>
    <s v="Dispatched"/>
    <s v="-"/>
    <s v="GR Recived"/>
  </r>
  <r>
    <n v="434"/>
    <n v="69"/>
    <s v="BIBO"/>
    <s v="WSO 140"/>
    <d v="2025-02-06T00:00:00"/>
    <x v="29"/>
    <s v="2425/5/TI-453"/>
    <x v="211"/>
    <d v="2025-02-07T00:00:00"/>
    <x v="0"/>
    <s v="-"/>
    <n v="384"/>
    <n v="16"/>
    <d v="2025-02-08T00:00:00"/>
    <s v="Delhi"/>
    <s v="Drona Logitech Pvt Ltd"/>
    <s v="DL1MA3659"/>
    <s v="22 FT"/>
    <n v="7005"/>
    <s v="Dispatched"/>
    <s v="-"/>
    <s v="GR Recived"/>
  </r>
  <r>
    <n v="435"/>
    <n v="69"/>
    <s v="BIBO"/>
    <s v="WSO 139"/>
    <d v="2025-02-02T00:00:00"/>
    <x v="2"/>
    <s v="2425/5/TI-439"/>
    <x v="212"/>
    <d v="2025-02-05T00:00:00"/>
    <x v="0"/>
    <s v="-"/>
    <n v="720"/>
    <n v="30"/>
    <d v="2025-02-08T00:00:00"/>
    <s v="Delhi"/>
    <s v="Drona Logitech Pvt Ltd"/>
    <s v="DL1MA3659"/>
    <s v="22 FT"/>
    <n v="7000"/>
    <s v="Dispatched"/>
    <s v="-"/>
    <s v="GR Recived"/>
  </r>
  <r>
    <n v="436"/>
    <n v="70"/>
    <s v="PIPO"/>
    <s v="PSO 297"/>
    <d v="2025-02-03T00:00:00"/>
    <x v="2"/>
    <s v="2425/5/TI-446"/>
    <x v="213"/>
    <d v="2025-02-06T00:00:00"/>
    <x v="0"/>
    <s v="-"/>
    <n v="300"/>
    <n v="30"/>
    <d v="2025-02-10T00:00:00"/>
    <s v="Delhi"/>
    <s v="Drona Logitech Pvt Ltd"/>
    <s v="HR 61 E O283"/>
    <s v="22 FT"/>
    <n v="7032"/>
    <s v="Dispatched"/>
    <s v="-"/>
    <s v="GR Recived"/>
  </r>
  <r>
    <n v="437"/>
    <n v="70"/>
    <s v="PIPO"/>
    <s v="PSO 264"/>
    <d v="2025-01-31T00:00:00"/>
    <x v="22"/>
    <s v="2425/5/TI-471"/>
    <x v="214"/>
    <d v="2025-02-10T00:00:00"/>
    <x v="0"/>
    <s v="-"/>
    <n v="365"/>
    <n v="38"/>
    <d v="2025-02-10T00:00:00"/>
    <s v="Delhi"/>
    <s v="Drona Logitech Pvt Ltd"/>
    <s v="HR 61 E O283"/>
    <s v="22 FT"/>
    <n v="7028"/>
    <s v="Dispatched"/>
    <s v="-"/>
    <s v="GR Recived"/>
  </r>
  <r>
    <n v="438"/>
    <n v="70"/>
    <s v="PIPO"/>
    <s v="PSO 271"/>
    <d v="2025-01-31T00:00:00"/>
    <x v="3"/>
    <s v="2425/5/TI-469"/>
    <x v="215"/>
    <d v="2025-02-09T00:00:00"/>
    <x v="0"/>
    <s v="-"/>
    <n v="130"/>
    <n v="13"/>
    <d v="2025-02-10T00:00:00"/>
    <s v="Delhi"/>
    <s v="Drona Logitech Pvt Ltd"/>
    <s v="HR 61 E O283"/>
    <s v="22 FT"/>
    <n v="7030"/>
    <s v="Dispatched"/>
    <s v="-"/>
    <s v="GR Recived"/>
  </r>
  <r>
    <n v="439"/>
    <n v="70"/>
    <s v="PIPO"/>
    <s v="PSO 277"/>
    <d v="2025-02-01T00:00:00"/>
    <x v="9"/>
    <s v="2425/5/TI-472"/>
    <x v="216"/>
    <d v="2025-02-10T00:00:00"/>
    <x v="0"/>
    <s v="-"/>
    <n v="305"/>
    <n v="31"/>
    <d v="2025-02-10T00:00:00"/>
    <s v="Delhi"/>
    <s v="Drona Logitech Pvt Ltd"/>
    <s v="HR 61 E O283"/>
    <s v="22 FT"/>
    <n v="7029"/>
    <s v="Dispatched"/>
    <s v="-"/>
    <s v="GR Recived"/>
  </r>
  <r>
    <n v="440"/>
    <n v="70"/>
    <s v="BIBO"/>
    <s v="WSO 77"/>
    <d v="2025-02-06T00:00:00"/>
    <x v="6"/>
    <s v="2425/5/TI-454"/>
    <x v="217"/>
    <d v="2025-02-07T00:00:00"/>
    <x v="0"/>
    <s v="-"/>
    <n v="72"/>
    <n v="3"/>
    <d v="2025-02-10T00:00:00"/>
    <s v="Delhi"/>
    <s v="Drona Logitech Pvt Ltd"/>
    <s v="HR 61 E O283"/>
    <s v="22 FT"/>
    <n v="7022"/>
    <s v="Dispatched"/>
    <s v="-"/>
    <s v="GR Recived"/>
  </r>
  <r>
    <n v="441"/>
    <n v="70"/>
    <s v="BIBO"/>
    <s v="WSO 16,37,61"/>
    <d v="2025-02-06T00:00:00"/>
    <x v="12"/>
    <s v="2425/5/TI-458"/>
    <x v="218"/>
    <d v="2025-02-07T00:00:00"/>
    <x v="0"/>
    <s v="-"/>
    <n v="168"/>
    <n v="7"/>
    <d v="2025-02-10T00:00:00"/>
    <s v="Delhi"/>
    <s v="Drona Logitech Pvt Ltd"/>
    <s v="HR 61 E O283"/>
    <s v="22 FT"/>
    <n v="7023"/>
    <s v="Dispatched"/>
    <s v="-"/>
    <s v="GR Recived"/>
  </r>
  <r>
    <n v="442"/>
    <n v="70"/>
    <s v="BIBO"/>
    <s v="WSO 4,72"/>
    <d v="2025-02-06T00:00:00"/>
    <x v="2"/>
    <s v="2425/5/TI-455"/>
    <x v="219"/>
    <d v="2025-02-07T00:00:00"/>
    <x v="0"/>
    <s v="-"/>
    <n v="120"/>
    <n v="5"/>
    <d v="2025-02-10T00:00:00"/>
    <s v="Delhi"/>
    <s v="Drona Logitech Pvt Ltd"/>
    <s v="HR 61 E O283"/>
    <s v="22 FT"/>
    <n v="7024"/>
    <s v="Dispatched"/>
    <s v="-"/>
    <s v="GR Recived"/>
  </r>
  <r>
    <n v="443"/>
    <n v="70"/>
    <s v="BIBO"/>
    <s v="WSO 24,41,42"/>
    <d v="2025-02-06T00:00:00"/>
    <x v="17"/>
    <s v="2425/5/TI-457"/>
    <x v="220"/>
    <d v="2025-02-07T00:00:00"/>
    <x v="0"/>
    <s v="-"/>
    <n v="96"/>
    <n v="4"/>
    <d v="2025-02-10T00:00:00"/>
    <s v="Delhi"/>
    <s v="Drona Logitech Pvt Ltd"/>
    <s v="HR 61 E O283"/>
    <s v="22 FT"/>
    <n v="7025"/>
    <s v="Dispatched"/>
    <s v="-"/>
    <s v="GR Recived"/>
  </r>
  <r>
    <n v="444"/>
    <n v="70"/>
    <s v="PIPO"/>
    <s v="PSO 289"/>
    <d v="2025-02-03T00:00:00"/>
    <x v="1"/>
    <s v="2425/5/TI-468"/>
    <x v="221"/>
    <d v="2025-02-09T00:00:00"/>
    <x v="0"/>
    <s v="-"/>
    <n v="430"/>
    <n v="43"/>
    <d v="2025-02-10T00:00:00"/>
    <s v="Delhi"/>
    <s v="Drona Logitech Pvt Ltd"/>
    <s v="HR 61 E O283"/>
    <s v="22 FT"/>
    <n v="7027"/>
    <s v="Dispatched"/>
    <s v="-"/>
    <s v="GR Recived"/>
  </r>
  <r>
    <n v="445"/>
    <n v="70"/>
    <s v="BIBO"/>
    <s v="WSO 19,44,67,69"/>
    <d v="2025-02-06T00:00:00"/>
    <x v="4"/>
    <s v="2425/5/TI-459"/>
    <x v="222"/>
    <d v="2025-02-07T00:00:00"/>
    <x v="0"/>
    <s v="-"/>
    <n v="144"/>
    <n v="6"/>
    <d v="2025-02-10T00:00:00"/>
    <s v="Delhi"/>
    <s v="Drona Logitech Pvt Ltd"/>
    <s v="HR 61 E O283"/>
    <s v="22 FT"/>
    <n v="7026"/>
    <s v="Dispatched"/>
    <s v="-"/>
    <s v="GR Recived"/>
  </r>
  <r>
    <n v="446"/>
    <n v="70"/>
    <s v="PIPO"/>
    <s v="PSO 276"/>
    <d v="2025-02-01T00:00:00"/>
    <x v="17"/>
    <s v="2425/5/TI-464"/>
    <x v="223"/>
    <d v="2025-02-08T00:00:00"/>
    <x v="0"/>
    <s v="-"/>
    <n v="178"/>
    <n v="18"/>
    <d v="2025-02-10T00:00:00"/>
    <s v="Delhi"/>
    <s v="Drona Logitech Pvt Ltd"/>
    <s v="HR 61 E O283"/>
    <s v="22 FT"/>
    <n v="7031"/>
    <s v="Dispatched"/>
    <s v="-"/>
    <s v="GR Recived"/>
  </r>
  <r>
    <n v="447"/>
    <n v="70"/>
    <s v="BIBO"/>
    <s v="WSO 49"/>
    <d v="2025-02-06T00:00:00"/>
    <x v="25"/>
    <s v="2425/5/TI-463"/>
    <x v="224"/>
    <d v="2025-02-07T00:00:00"/>
    <x v="0"/>
    <s v="-"/>
    <n v="12"/>
    <n v="1"/>
    <d v="2025-02-10T00:00:00"/>
    <s v="Delhi"/>
    <s v="Drona Logitech Pvt Ltd"/>
    <s v="HR 61 E O283"/>
    <s v="22 FT"/>
    <n v="7019"/>
    <s v="Dispatched"/>
    <s v="-"/>
    <s v="GR Recived"/>
  </r>
  <r>
    <n v="448"/>
    <n v="70"/>
    <s v="BIBO"/>
    <s v="WSO 30"/>
    <d v="2025-02-06T00:00:00"/>
    <x v="3"/>
    <s v="2425/5/TI-461"/>
    <x v="225"/>
    <d v="2025-02-07T00:00:00"/>
    <x v="0"/>
    <s v="-"/>
    <n v="24"/>
    <n v="1"/>
    <d v="2025-02-10T00:00:00"/>
    <s v="Delhi"/>
    <s v="Drona Logitech Pvt Ltd"/>
    <s v="HR 61 E O283"/>
    <s v="22 FT"/>
    <n v="7017"/>
    <s v="Dispatched"/>
    <s v="-"/>
    <s v="GR Recived"/>
  </r>
  <r>
    <n v="449"/>
    <n v="70"/>
    <s v="PIPO"/>
    <s v="PSO 295"/>
    <d v="2025-02-03T00:00:00"/>
    <x v="13"/>
    <s v="2425/5/TI-445"/>
    <x v="226"/>
    <d v="2025-02-06T00:00:00"/>
    <x v="0"/>
    <s v="-"/>
    <n v="350"/>
    <n v="35"/>
    <d v="2025-02-10T00:00:00"/>
    <s v="Delhi"/>
    <s v="Drona Logitech Pvt Ltd"/>
    <s v="HR 61 E O283"/>
    <s v="22 FT"/>
    <n v="7016"/>
    <s v="Dispatched"/>
    <s v="-"/>
    <s v="GR Recived"/>
  </r>
  <r>
    <n v="450"/>
    <n v="70"/>
    <s v="BIBO"/>
    <s v="WSO 17"/>
    <d v="2025-02-06T00:00:00"/>
    <x v="29"/>
    <s v="2425/5/TI-460"/>
    <x v="227"/>
    <d v="2025-02-07T00:00:00"/>
    <x v="0"/>
    <s v="-"/>
    <n v="96"/>
    <n v="4"/>
    <d v="2025-02-10T00:00:00"/>
    <s v="Delhi"/>
    <s v="Drona Logitech Pvt Ltd"/>
    <s v="HR 61 E O283"/>
    <s v="22 FT"/>
    <n v="7018"/>
    <s v="Dispatched"/>
    <s v="-"/>
    <s v="GR Recived"/>
  </r>
  <r>
    <n v="451"/>
    <n v="70"/>
    <s v="BIBO"/>
    <s v="WSO 20"/>
    <d v="2025-02-06T00:00:00"/>
    <x v="15"/>
    <s v="2425/5/TI-462"/>
    <x v="228"/>
    <d v="2025-02-07T00:00:00"/>
    <x v="0"/>
    <s v="-"/>
    <n v="24"/>
    <n v="1"/>
    <d v="2025-02-10T00:00:00"/>
    <s v="Delhi"/>
    <s v="Drona Logitech Pvt Ltd"/>
    <s v="HR 61 E O283"/>
    <s v="22 FT"/>
    <n v="7020"/>
    <s v="Dispatched"/>
    <s v="-"/>
    <s v="GR Recived"/>
  </r>
  <r>
    <n v="452"/>
    <n v="70"/>
    <s v="BIBO"/>
    <s v="WSO 75"/>
    <d v="2025-02-06T00:00:00"/>
    <x v="11"/>
    <s v="2425/5/TI-456"/>
    <x v="165"/>
    <d v="2025-02-07T00:00:00"/>
    <x v="0"/>
    <s v="-"/>
    <n v="24"/>
    <n v="2"/>
    <d v="2025-02-10T00:00:00"/>
    <s v="Delhi"/>
    <s v="Drona Logitech Pvt Ltd"/>
    <s v="HR 61 E O283"/>
    <s v="22 FT"/>
    <n v="7021"/>
    <s v="Dispatched"/>
    <s v="-"/>
    <m/>
  </r>
  <r>
    <n v="453"/>
    <n v="71"/>
    <s v="PIPO"/>
    <s v="PSO 255"/>
    <d v="2025-01-31T00:00:00"/>
    <x v="13"/>
    <s v="2425/5/TI-467"/>
    <x v="229"/>
    <d v="2025-02-08T00:00:00"/>
    <x v="0"/>
    <s v="-"/>
    <n v="257"/>
    <n v="26"/>
    <d v="2025-02-12T00:00:00"/>
    <s v="Delhi"/>
    <s v="Drona Logitech Pvt Ltd"/>
    <s v="DL01MA3659"/>
    <s v="22 FT"/>
    <n v="7033"/>
    <s v="Dispatched"/>
    <s v="-"/>
    <s v="GR Recived"/>
  </r>
  <r>
    <n v="454"/>
    <n v="71"/>
    <s v="PIPO"/>
    <s v="PSO 283"/>
    <d v="2025-02-01T00:00:00"/>
    <x v="2"/>
    <s v="2425/5/TI-470"/>
    <x v="230"/>
    <d v="2025-02-09T00:00:00"/>
    <x v="0"/>
    <s v="-"/>
    <n v="503"/>
    <n v="52"/>
    <d v="2025-02-12T00:00:00"/>
    <s v="Delhi"/>
    <s v="Drona Logitech Pvt Ltd"/>
    <s v="DL01MA3659"/>
    <s v="22 FT"/>
    <n v="7034"/>
    <s v="Dispatched"/>
    <s v="-"/>
    <s v="GR Recived"/>
  </r>
  <r>
    <n v="455"/>
    <n v="71"/>
    <s v="PIPO"/>
    <s v="PSO 252"/>
    <d v="2025-01-30T00:00:00"/>
    <x v="31"/>
    <s v="2425/5/TI-476"/>
    <x v="231"/>
    <d v="2025-02-11T00:00:00"/>
    <x v="0"/>
    <s v="-"/>
    <n v="450"/>
    <n v="46"/>
    <d v="2025-02-12T00:00:00"/>
    <s v="Delhi"/>
    <s v="Drona Logitech Pvt Ltd"/>
    <s v="DL01MA3659"/>
    <s v="22 FT"/>
    <n v="7035"/>
    <s v="Dispatched"/>
    <s v="-"/>
    <s v="GR Recived"/>
  </r>
  <r>
    <n v="456"/>
    <n v="71"/>
    <s v="PIPO"/>
    <s v="PSO 300"/>
    <d v="2025-02-06T00:00:00"/>
    <x v="16"/>
    <s v="2425/5/TI-475"/>
    <x v="232"/>
    <d v="2025-02-11T00:00:00"/>
    <x v="0"/>
    <s v="-"/>
    <n v="261"/>
    <n v="26"/>
    <d v="2025-02-12T00:00:00"/>
    <s v="Delhi"/>
    <s v="Drona Logitech Pvt Ltd"/>
    <s v="DL01MA3659"/>
    <s v="22 FT"/>
    <n v="7036"/>
    <s v="Dispatched"/>
    <s v="-"/>
    <s v="GR Recived"/>
  </r>
  <r>
    <n v="457"/>
    <n v="71"/>
    <s v="BIBO"/>
    <s v="WSO 149"/>
    <d v="2025-02-08T00:00:00"/>
    <x v="34"/>
    <s v="2425/5/TI-479"/>
    <x v="233"/>
    <d v="2025-02-11T00:00:00"/>
    <x v="0"/>
    <s v="-"/>
    <n v="216"/>
    <n v="9"/>
    <d v="2025-02-12T00:00:00"/>
    <s v="Delhi"/>
    <s v="Drona Logitech Pvt Ltd"/>
    <s v="DL01MA3659"/>
    <s v="22 FT"/>
    <n v="7037"/>
    <s v="Dispatched"/>
    <s v="-"/>
    <s v="GR Recived"/>
  </r>
  <r>
    <n v="458"/>
    <n v="71"/>
    <s v="BIBO"/>
    <s v="WSO 154"/>
    <d v="2025-02-10T00:00:00"/>
    <x v="2"/>
    <s v="2425/5/TI-483"/>
    <x v="234"/>
    <d v="2025-02-12T00:00:00"/>
    <x v="0"/>
    <s v="-"/>
    <n v="1200"/>
    <n v="50"/>
    <d v="2025-02-12T00:00:00"/>
    <s v="Delhi"/>
    <s v="Drona Logitech Pvt Ltd"/>
    <s v="DL01MA3659"/>
    <s v="22 FT"/>
    <n v="7038"/>
    <s v="Dispatched"/>
    <s v="-"/>
    <s v="GR Recived"/>
  </r>
  <r>
    <n v="459"/>
    <n v="71"/>
    <s v="PIPO"/>
    <s v="PSO 273"/>
    <d v="2025-01-31T00:00:00"/>
    <x v="11"/>
    <s v="2425/5/TI-466"/>
    <x v="235"/>
    <d v="2025-02-08T00:00:00"/>
    <x v="0"/>
    <s v="-"/>
    <n v="178"/>
    <n v="18"/>
    <d v="2025-02-12T00:00:00"/>
    <s v="Delhi"/>
    <s v="Drona Logitech Pvt Ltd"/>
    <s v="DL01MA3659"/>
    <s v="22 FT"/>
    <n v="7050"/>
    <s v="Dispatched"/>
    <s v="-"/>
    <m/>
  </r>
  <r>
    <n v="460"/>
    <n v="71"/>
    <s v="BIBO"/>
    <s v="WSO 145"/>
    <d v="2025-02-07T00:00:00"/>
    <x v="4"/>
    <s v="2425/5/TI-478"/>
    <x v="236"/>
    <d v="2025-02-11T00:00:00"/>
    <x v="0"/>
    <s v="-"/>
    <n v="240"/>
    <n v="10"/>
    <d v="2025-02-12T00:00:00"/>
    <s v="Delhi"/>
    <s v="Drona Logitech Pvt Ltd"/>
    <s v="DL01MA3659"/>
    <s v="22 FT"/>
    <n v="7051"/>
    <s v="Dispatched"/>
    <s v="-"/>
    <s v="GR Recived"/>
  </r>
  <r>
    <n v="461"/>
    <n v="72"/>
    <s v="PIPO"/>
    <s v="PSO 306"/>
    <d v="2025-02-11T00:00:00"/>
    <x v="8"/>
    <s v="2425/5/TI-502"/>
    <x v="237"/>
    <d v="2025-02-13T00:00:00"/>
    <x v="0"/>
    <s v="-"/>
    <n v="30"/>
    <n v="3"/>
    <d v="2025-02-13T00:00:00"/>
    <s v="Delhi"/>
    <s v="Drona Logitech Pvt Ltd"/>
    <s v="DL01MA3659"/>
    <s v="22 FT"/>
    <n v="7039"/>
    <s v="Dispatched"/>
    <s v="-"/>
    <s v="GR Recived"/>
  </r>
  <r>
    <n v="462"/>
    <n v="72"/>
    <s v="PIPO"/>
    <s v="PSO 287"/>
    <d v="2025-02-03T00:00:00"/>
    <x v="35"/>
    <s v="2425/5/TI-482"/>
    <x v="238"/>
    <d v="2025-02-11T00:00:00"/>
    <x v="0"/>
    <s v="-"/>
    <n v="262"/>
    <n v="26"/>
    <d v="2025-02-13T00:00:00"/>
    <s v="Delhi"/>
    <s v="Drona Logitech Pvt Ltd"/>
    <s v="DL01MA3659"/>
    <s v="22 FT"/>
    <n v="7045"/>
    <s v="Dispatched"/>
    <s v="-"/>
    <m/>
  </r>
  <r>
    <n v="463"/>
    <n v="72"/>
    <s v="PIPO"/>
    <s v="PSO 319"/>
    <d v="2025-02-12T00:00:00"/>
    <x v="17"/>
    <s v="2425/5/TI-503"/>
    <x v="239"/>
    <d v="2025-02-13T00:00:00"/>
    <x v="0"/>
    <s v="-"/>
    <n v="8"/>
    <n v="1"/>
    <d v="2025-02-13T00:00:00"/>
    <s v="Delhi"/>
    <s v="Drona Logitech Pvt Ltd"/>
    <s v="DL01MA3659"/>
    <s v="22 FT"/>
    <n v="7043"/>
    <s v="Dispatched"/>
    <s v="-"/>
    <s v="GR Recived"/>
  </r>
  <r>
    <n v="464"/>
    <n v="72"/>
    <s v="PIPO"/>
    <s v="PSO 281"/>
    <d v="2025-02-01T00:00:00"/>
    <x v="13"/>
    <s v="2425/5/TI-494"/>
    <x v="240"/>
    <d v="2025-02-13T00:00:00"/>
    <x v="0"/>
    <s v="-"/>
    <n v="370"/>
    <n v="37"/>
    <d v="2025-02-13T00:00:00"/>
    <s v="Delhi"/>
    <s v="Drona Logitech Pvt Ltd"/>
    <s v="DL01MA3659"/>
    <s v="22 FT"/>
    <n v="7040"/>
    <s v="Dispatched"/>
    <s v="-"/>
    <m/>
  </r>
  <r>
    <n v="465"/>
    <n v="72"/>
    <s v="PIPO"/>
    <s v="PSO 303"/>
    <d v="2025-02-10T00:00:00"/>
    <x v="4"/>
    <s v="2425/5/TI-496"/>
    <x v="241"/>
    <d v="2025-02-13T00:00:00"/>
    <x v="0"/>
    <s v="-"/>
    <n v="36"/>
    <n v="3"/>
    <d v="2025-02-13T00:00:00"/>
    <s v="Delhi"/>
    <s v="Drona Logitech Pvt Ltd"/>
    <s v="DL01MA3659"/>
    <s v="22 FT"/>
    <n v="7048"/>
    <s v="Dispatched"/>
    <s v="-"/>
    <s v="GR Recived"/>
  </r>
  <r>
    <n v="466"/>
    <n v="72"/>
    <s v="PIPO"/>
    <s v="PSO 307"/>
    <d v="2025-02-11T00:00:00"/>
    <x v="22"/>
    <s v="2425/5/TI-498"/>
    <x v="242"/>
    <d v="2025-02-13T00:00:00"/>
    <x v="0"/>
    <s v="-"/>
    <n v="80"/>
    <n v="8"/>
    <d v="2025-02-13T00:00:00"/>
    <s v="Delhi"/>
    <s v="Drona Logitech Pvt Ltd"/>
    <s v="DL01MA3659"/>
    <s v="22 FT"/>
    <n v="7049"/>
    <s v="Dispatched"/>
    <s v="-"/>
    <s v="GR Recived"/>
  </r>
  <r>
    <n v="467"/>
    <n v="72"/>
    <s v="BIBO"/>
    <s v="WSO 148"/>
    <d v="2025-02-08T00:00:00"/>
    <x v="19"/>
    <s v="2425/5/TI-481"/>
    <x v="243"/>
    <d v="2025-02-11T00:00:00"/>
    <x v="0"/>
    <s v="-"/>
    <n v="432"/>
    <n v="18"/>
    <d v="2025-02-13T00:00:00"/>
    <s v="Delhi"/>
    <s v="Drona Logitech Pvt Ltd"/>
    <s v="DL01MA3659"/>
    <s v="22 FT"/>
    <n v="7047"/>
    <s v="Dispatched"/>
    <s v="-"/>
    <s v="GR Recived"/>
  </r>
  <r>
    <n v="468"/>
    <n v="72"/>
    <s v="BIBO"/>
    <s v="WSO 146"/>
    <d v="2025-02-08T00:00:00"/>
    <x v="39"/>
    <s v="2425/5/TI-480"/>
    <x v="244"/>
    <d v="2025-02-11T00:00:00"/>
    <x v="0"/>
    <s v="-"/>
    <n v="600"/>
    <n v="25"/>
    <d v="2025-02-13T00:00:00"/>
    <s v="Delhi"/>
    <s v="Drona Logitech Pvt Ltd"/>
    <s v="DL01MA3659"/>
    <s v="22 FT"/>
    <n v="7041"/>
    <s v="Dispatched"/>
    <s v="-"/>
    <s v="GR Recived"/>
  </r>
  <r>
    <n v="469"/>
    <n v="72"/>
    <s v="BIBO"/>
    <s v="WSO 152"/>
    <d v="2025-02-10T00:00:00"/>
    <x v="39"/>
    <s v="2425/5/TI-501"/>
    <x v="245"/>
    <d v="2025-02-13T00:00:00"/>
    <x v="0"/>
    <s v="-"/>
    <n v="456"/>
    <n v="20"/>
    <d v="2025-02-13T00:00:00"/>
    <s v="Delhi"/>
    <s v="Drona Logitech Pvt Ltd"/>
    <s v="DL01MA3659"/>
    <s v="22 FT"/>
    <n v="7044"/>
    <s v="Dispatched"/>
    <s v="-"/>
    <s v="GR Recived"/>
  </r>
  <r>
    <n v="470"/>
    <n v="72"/>
    <s v="BIBO"/>
    <s v="WSO 150"/>
    <d v="2025-02-10T00:00:00"/>
    <x v="40"/>
    <s v="2425/5/TI-500"/>
    <x v="246"/>
    <d v="2025-02-13T00:00:00"/>
    <x v="0"/>
    <s v="-"/>
    <n v="1092"/>
    <n v="47"/>
    <d v="2025-02-13T00:00:00"/>
    <s v="Delhi"/>
    <s v="Drona Logitech Pvt Ltd"/>
    <s v="DL01MA3659"/>
    <s v="22 FT"/>
    <n v="7042"/>
    <s v="Dispatched"/>
    <s v="-"/>
    <m/>
  </r>
  <r>
    <n v="471"/>
    <n v="72"/>
    <s v="PIPO"/>
    <s v="PSO 286"/>
    <d v="2025-02-03T00:00:00"/>
    <x v="17"/>
    <s v="2425/5/TI-505"/>
    <x v="247"/>
    <d v="2025-02-13T00:00:00"/>
    <x v="0"/>
    <s v="-"/>
    <n v="292"/>
    <n v="30"/>
    <d v="2025-02-13T00:00:00"/>
    <s v="Delhi"/>
    <s v="Drona Logitech Pvt Ltd"/>
    <s v="DL01MA3659"/>
    <s v="22 FT"/>
    <n v="7046"/>
    <s v="Dispatched"/>
    <s v="This material Billed to "/>
    <s v="GR Recived"/>
  </r>
  <r>
    <n v="472"/>
    <n v="73"/>
    <s v="PIPO"/>
    <s v="PSO 270"/>
    <d v="2025-01-31T00:00:00"/>
    <x v="2"/>
    <s v="2425/5/TI-477"/>
    <x v="248"/>
    <d v="2025-02-11T00:00:00"/>
    <x v="0"/>
    <n v="69"/>
    <n v="69"/>
    <n v="7"/>
    <d v="2025-02-15T00:00:00"/>
    <s v="Delhi"/>
    <s v="Drona Logitech Pvt Ltd"/>
    <s v="DL01MA6900"/>
    <s v="22FT"/>
    <n v="7057"/>
    <s v="Dispatched"/>
    <s v="-"/>
    <m/>
  </r>
  <r>
    <n v="473"/>
    <n v="73"/>
    <s v="PIPO"/>
    <s v="PSO 278"/>
    <d v="2025-02-01T00:00:00"/>
    <x v="11"/>
    <s v="2425/5/TI-473"/>
    <x v="249"/>
    <d v="2025-02-10T00:00:00"/>
    <x v="0"/>
    <n v="320"/>
    <n v="320"/>
    <n v="32"/>
    <d v="2025-02-15T00:00:00"/>
    <s v="Delhi"/>
    <s v="Drona Logitech Pvt Ltd"/>
    <s v="DL01MA6900"/>
    <s v="22FT"/>
    <n v="7052"/>
    <s v="Dispatched"/>
    <s v="-"/>
    <m/>
  </r>
  <r>
    <n v="474"/>
    <n v="73"/>
    <s v="PIPO"/>
    <s v="PSO 288"/>
    <d v="2025-02-03T00:00:00"/>
    <x v="1"/>
    <s v="2425/5/TI-506"/>
    <x v="250"/>
    <d v="2025-02-13T00:00:00"/>
    <x v="0"/>
    <n v="350"/>
    <n v="317"/>
    <n v="32"/>
    <d v="2025-02-15T00:00:00"/>
    <s v="Delhi"/>
    <s v="Drona Logitech Pvt Ltd"/>
    <s v="DL01MA6900"/>
    <s v="22FT"/>
    <n v="7056"/>
    <s v="Dispatched"/>
    <s v="-"/>
    <m/>
  </r>
  <r>
    <n v="475"/>
    <n v="73"/>
    <s v="PIPO"/>
    <s v="PSO 301"/>
    <d v="2025-02-06T00:00:00"/>
    <x v="8"/>
    <s v="2425/5/TI-474"/>
    <x v="251"/>
    <d v="2025-02-10T00:00:00"/>
    <x v="0"/>
    <n v="40"/>
    <n v="37"/>
    <n v="4"/>
    <d v="2025-02-15T00:00:00"/>
    <s v="Delhi"/>
    <s v="Drona Logitech Pvt Ltd"/>
    <s v="DL01MA6900"/>
    <s v="22FT"/>
    <n v="7062"/>
    <s v="Dispatched"/>
    <s v="-"/>
    <m/>
  </r>
  <r>
    <n v="476"/>
    <n v="73"/>
    <s v="PIPO"/>
    <s v="PSO 302"/>
    <d v="2025-02-10T00:00:00"/>
    <x v="34"/>
    <s v="2425/5/TI-495"/>
    <x v="252"/>
    <d v="2025-02-13T00:00:00"/>
    <x v="0"/>
    <n v="70"/>
    <n v="70"/>
    <n v="7"/>
    <d v="2025-02-15T00:00:00"/>
    <s v="Delhi"/>
    <s v="Drona Logitech Pvt Ltd"/>
    <s v="DL01MA6900"/>
    <s v="22FT"/>
    <n v="7061"/>
    <s v="Dispatched"/>
    <s v="-"/>
    <m/>
  </r>
  <r>
    <n v="477"/>
    <n v="73"/>
    <s v="PIPO"/>
    <s v="PSO 322"/>
    <d v="2025-02-12T00:00:00"/>
    <x v="1"/>
    <s v="2425/5/TI-514"/>
    <x v="253"/>
    <d v="2025-02-14T00:00:00"/>
    <x v="0"/>
    <n v="370"/>
    <n v="370"/>
    <n v="37"/>
    <d v="2025-02-15T00:00:00"/>
    <s v="Delhi"/>
    <s v="Drona Logitech Pvt Ltd"/>
    <s v="DL01MA6900"/>
    <s v="22FT"/>
    <n v="7055"/>
    <s v="Dispatched"/>
    <s v="-"/>
    <m/>
  </r>
  <r>
    <n v="478"/>
    <n v="73"/>
    <s v="PIPO"/>
    <s v="PSO 325"/>
    <d v="2025-02-13T00:00:00"/>
    <x v="22"/>
    <s v="2425/5/TI-517"/>
    <x v="254"/>
    <d v="2025-02-14T00:00:00"/>
    <x v="0"/>
    <n v="90"/>
    <n v="90"/>
    <n v="9"/>
    <d v="2025-02-15T00:00:00"/>
    <s v="Delhi"/>
    <s v="Drona Logitech Pvt Ltd"/>
    <s v="DL01MA6900"/>
    <s v="22FT"/>
    <n v="7058"/>
    <s v="Dispatched"/>
    <s v="-"/>
    <m/>
  </r>
  <r>
    <n v="479"/>
    <n v="73"/>
    <s v="BIBO"/>
    <s v="WSO 147"/>
    <d v="2025-02-08T00:00:00"/>
    <x v="39"/>
    <s v="2425/5/TI-524"/>
    <x v="255"/>
    <d v="2025-02-14T00:00:00"/>
    <x v="0"/>
    <n v="4"/>
    <n v="48"/>
    <n v="4"/>
    <d v="2025-02-15T00:00:00"/>
    <s v="Delhi"/>
    <s v="Drona Logitech Pvt Ltd"/>
    <s v="DL01MA6900"/>
    <s v="22FT"/>
    <n v="7059"/>
    <s v="Dispatched"/>
    <s v="-"/>
    <s v="GR Recived"/>
  </r>
  <r>
    <n v="480"/>
    <n v="73"/>
    <s v="BIBO"/>
    <s v="WSO 153"/>
    <d v="2025-02-10T00:00:00"/>
    <x v="2"/>
    <s v="2425/5/TI-509"/>
    <x v="256"/>
    <d v="2025-02-14T00:00:00"/>
    <x v="0"/>
    <n v="52"/>
    <n v="1224"/>
    <n v="52"/>
    <d v="2025-02-15T00:00:00"/>
    <s v="Delhi"/>
    <s v="Drona Logitech Pvt Ltd"/>
    <s v="DL01MA6900"/>
    <s v="22FT"/>
    <n v="7053"/>
    <s v="Dispatched"/>
    <s v="-"/>
    <m/>
  </r>
  <r>
    <n v="481"/>
    <n v="73"/>
    <s v="BIBO"/>
    <s v="WSO 151"/>
    <d v="2025-02-10T00:00:00"/>
    <x v="4"/>
    <s v="2425/5/TI-508"/>
    <x v="257"/>
    <d v="2025-02-14T00:00:00"/>
    <x v="0"/>
    <n v="4"/>
    <n v="96"/>
    <n v="4"/>
    <d v="2025-02-15T00:00:00"/>
    <s v="Delhi"/>
    <s v="Drona Logitech Pvt Ltd"/>
    <s v="DL01MA6900"/>
    <s v="22FT"/>
    <n v="7063"/>
    <s v="Dispatched"/>
    <s v="-"/>
    <m/>
  </r>
  <r>
    <n v="482"/>
    <n v="73"/>
    <s v="BIBO"/>
    <s v="WSO 159"/>
    <d v="2025-01-13T00:00:00"/>
    <x v="22"/>
    <s v="2425/5/TI-513"/>
    <x v="258"/>
    <d v="2025-02-14T00:00:00"/>
    <x v="0"/>
    <n v="9"/>
    <n v="216"/>
    <n v="9"/>
    <d v="2025-02-15T00:00:00"/>
    <s v="Delhi"/>
    <s v="Drona Logitech Pvt Ltd"/>
    <s v="DL01MA6900"/>
    <s v="22FT"/>
    <n v="7064"/>
    <s v="Dispatched"/>
    <s v="-"/>
    <m/>
  </r>
  <r>
    <n v="483"/>
    <n v="73"/>
    <s v="BIBO"/>
    <s v="WSO 161"/>
    <d v="2025-01-13T00:00:00"/>
    <x v="17"/>
    <s v="2425/5/TI-512"/>
    <x v="259"/>
    <d v="2025-02-14T00:00:00"/>
    <x v="0"/>
    <n v="5"/>
    <n v="120"/>
    <n v="5"/>
    <d v="2025-02-15T00:00:00"/>
    <s v="Delhi"/>
    <s v="Drona Logitech Pvt Ltd"/>
    <s v="DL01MA6900"/>
    <s v="22FT"/>
    <n v="7054"/>
    <s v="Dispatched"/>
    <s v="-"/>
    <m/>
  </r>
  <r>
    <n v="484"/>
    <n v="73"/>
    <s v="BIBO"/>
    <s v="WSO 137"/>
    <d v="2025-02-02T00:00:00"/>
    <x v="2"/>
    <s v="2425/5/TI-523"/>
    <x v="260"/>
    <d v="2025-02-15T00:00:00"/>
    <x v="0"/>
    <s v="-"/>
    <n v="72"/>
    <n v="3"/>
    <d v="2025-02-15T00:00:00"/>
    <s v="Delhi"/>
    <s v="Drona Logitech Pvt Ltd"/>
    <s v="DL01MA6900"/>
    <s v="22FT"/>
    <n v="7060"/>
    <s v="Dispatched"/>
    <s v="-"/>
    <m/>
  </r>
  <r>
    <n v="485"/>
    <n v="74"/>
    <s v="PIPO"/>
    <s v="PSO 298"/>
    <d v="2025-02-03T00:00:00"/>
    <x v="11"/>
    <s v="2425/5/TI-507"/>
    <x v="261"/>
    <d v="2025-02-14T00:00:00"/>
    <x v="0"/>
    <n v="350"/>
    <n v="348"/>
    <n v="35"/>
    <d v="2025-02-16T00:00:00"/>
    <s v="Delhi"/>
    <s v="Drona Logitech Pvt Ltd"/>
    <s v="DL01MA6900"/>
    <s v="22FT"/>
    <n v="7066"/>
    <s v="Dispatched"/>
    <s v="-"/>
    <m/>
  </r>
  <r>
    <n v="486"/>
    <n v="74"/>
    <s v="BIBO"/>
    <s v="WSO 156"/>
    <d v="2025-02-10T00:00:00"/>
    <x v="6"/>
    <s v="2425/5/TI-510"/>
    <x v="262"/>
    <d v="2025-02-14T00:00:00"/>
    <x v="0"/>
    <n v="24"/>
    <n v="552"/>
    <n v="23"/>
    <d v="2025-02-16T00:00:00"/>
    <s v="Delhi"/>
    <s v="Drona Logitech Pvt Ltd"/>
    <s v="DL01MA6900"/>
    <s v="22FT"/>
    <n v="7068"/>
    <s v="Dispatched"/>
    <s v="-"/>
    <m/>
  </r>
  <r>
    <n v="487"/>
    <n v="74"/>
    <s v="BIBO"/>
    <s v="WSO 155"/>
    <d v="2025-02-10T00:00:00"/>
    <x v="2"/>
    <s v="2425/5/TI-511"/>
    <x v="263"/>
    <d v="2025-02-14T00:00:00"/>
    <x v="0"/>
    <n v="36"/>
    <n v="840"/>
    <n v="35"/>
    <d v="2025-02-16T00:00:00"/>
    <s v="Delhi"/>
    <s v="Drona Logitech Pvt Ltd"/>
    <s v="DL01MA6900"/>
    <s v="22FT"/>
    <n v="7067"/>
    <s v="Dispatched"/>
    <s v="-"/>
    <m/>
  </r>
  <r>
    <n v="488"/>
    <n v="74"/>
    <s v="BIBO"/>
    <s v="WSO 163"/>
    <d v="2025-02-14T00:00:00"/>
    <x v="13"/>
    <s v="2425/5/TI-525"/>
    <x v="264"/>
    <d v="2025-02-16T00:00:00"/>
    <x v="0"/>
    <n v="86"/>
    <n v="1896"/>
    <n v="79"/>
    <d v="2025-02-16T00:00:00"/>
    <s v="Delhi"/>
    <s v="Drona Logitech Pvt Ltd"/>
    <s v="DL01MA6900"/>
    <s v="22FT"/>
    <n v="7065"/>
    <s v="Dispatched"/>
    <s v="-"/>
    <m/>
  </r>
  <r>
    <n v="489"/>
    <n v="75"/>
    <s v="PIPO"/>
    <s v="PSO 304"/>
    <d v="2025-02-11T00:00:00"/>
    <x v="30"/>
    <s v="2425/5/TI-516"/>
    <x v="265"/>
    <d v="2025-02-14T00:00:00"/>
    <x v="0"/>
    <n v="192"/>
    <n v="192"/>
    <n v="19"/>
    <d v="2025-02-17T00:00:00"/>
    <s v="Delhi"/>
    <s v="Drona Logitech Pvt Ltd"/>
    <s v="HR61E0283"/>
    <s v="22FT"/>
    <n v="7070"/>
    <s v="Dispatched"/>
    <s v="-"/>
    <m/>
  </r>
  <r>
    <n v="490"/>
    <n v="75"/>
    <s v="PIPO"/>
    <s v="PSO 320"/>
    <d v="2025-02-12T00:00:00"/>
    <x v="18"/>
    <s v="2425/5/TI-515"/>
    <x v="266"/>
    <d v="2025-02-14T00:00:00"/>
    <x v="0"/>
    <n v="330"/>
    <n v="330"/>
    <n v="33"/>
    <d v="2025-02-17T00:00:00"/>
    <s v="Delhi"/>
    <s v="Drona Logitech Pvt Ltd"/>
    <s v="HR61E0283"/>
    <s v="22FT"/>
    <n v="7077"/>
    <s v="Dispatched"/>
    <s v="-"/>
    <m/>
  </r>
  <r>
    <n v="491"/>
    <n v="75"/>
    <s v="PIPO"/>
    <s v="PSO 323"/>
    <d v="2025-02-13T00:00:00"/>
    <x v="29"/>
    <s v="2425/5/TI-518"/>
    <x v="267"/>
    <d v="2025-02-14T00:00:00"/>
    <x v="0"/>
    <n v="220"/>
    <n v="220"/>
    <n v="22"/>
    <d v="2025-02-17T00:00:00"/>
    <s v="Delhi"/>
    <s v="Drona Logitech Pvt Ltd"/>
    <s v="HR61E0283"/>
    <s v="22FT"/>
    <n v="7072"/>
    <s v="Dispatched"/>
    <s v="-"/>
    <m/>
  </r>
  <r>
    <n v="492"/>
    <n v="75"/>
    <s v="PIPO"/>
    <s v="PSO 324"/>
    <d v="2025-02-13T00:00:00"/>
    <x v="4"/>
    <s v="2425/5/TI-519"/>
    <x v="268"/>
    <d v="2025-02-15T00:00:00"/>
    <x v="0"/>
    <n v="176"/>
    <n v="170"/>
    <n v="17"/>
    <d v="2025-02-17T00:00:00"/>
    <s v="Delhi"/>
    <s v="Drona Logitech Pvt Ltd"/>
    <s v="HR61E0283"/>
    <s v="22FT"/>
    <n v="7071"/>
    <s v="Dispatched"/>
    <s v="-"/>
    <m/>
  </r>
  <r>
    <n v="493"/>
    <n v="75"/>
    <s v="PIPO"/>
    <s v="PSO 328"/>
    <d v="2025-02-14T00:00:00"/>
    <x v="4"/>
    <s v="2425/5/TI-520"/>
    <x v="269"/>
    <d v="2025-02-15T00:00:00"/>
    <x v="0"/>
    <n v="50"/>
    <n v="50"/>
    <n v="5"/>
    <d v="2025-02-17T00:00:00"/>
    <s v="Delhi"/>
    <s v="Drona Logitech Pvt Ltd"/>
    <s v="HR61E0283"/>
    <s v="22FT"/>
    <n v="7096"/>
    <s v="Dispatched"/>
    <s v="-"/>
    <m/>
  </r>
  <r>
    <n v="494"/>
    <n v="75"/>
    <s v="BIBO"/>
    <s v="WSO 158"/>
    <d v="2025-02-13T00:00:00"/>
    <x v="38"/>
    <s v="2425/5/TI-536"/>
    <x v="270"/>
    <d v="2025-02-16T00:00:00"/>
    <x v="0"/>
    <n v="27"/>
    <n v="420"/>
    <n v="23"/>
    <d v="2025-02-17T00:00:00"/>
    <s v="Delhi"/>
    <s v="Drona Logitech Pvt Ltd"/>
    <s v="HR61E0283"/>
    <s v="22FT"/>
    <n v="7089"/>
    <s v="Dispatched"/>
    <s v="-"/>
    <m/>
  </r>
  <r>
    <n v="495"/>
    <n v="75"/>
    <s v="BIBO"/>
    <s v="WSO 160"/>
    <d v="2025-01-13T00:00:00"/>
    <x v="4"/>
    <s v="2425/5/TI-537"/>
    <x v="271"/>
    <d v="2025-02-16T00:00:00"/>
    <x v="0"/>
    <n v="14"/>
    <n v="264"/>
    <n v="11"/>
    <d v="2025-02-17T00:00:00"/>
    <s v="Delhi"/>
    <s v="Drona Logitech Pvt Ltd"/>
    <s v="HR61E0283"/>
    <s v="22FT"/>
    <n v="7088"/>
    <s v="Dispatched"/>
    <s v="-"/>
    <m/>
  </r>
  <r>
    <n v="496"/>
    <n v="75"/>
    <s v="BIBO"/>
    <s v="WSO 162"/>
    <d v="2025-02-14T00:00:00"/>
    <x v="9"/>
    <s v="2425/5/TI-522"/>
    <x v="272"/>
    <d v="2025-02-15T00:00:00"/>
    <x v="0"/>
    <n v="12"/>
    <n v="288"/>
    <n v="12"/>
    <d v="2025-02-17T00:00:00"/>
    <s v="Delhi"/>
    <s v="Drona Logitech Pvt Ltd"/>
    <s v="HR61E0283"/>
    <s v="22FT"/>
    <n v="7091"/>
    <s v="Dispatched"/>
    <s v="-"/>
    <m/>
  </r>
  <r>
    <n v="497"/>
    <n v="75"/>
    <s v="BIBO"/>
    <s v="WSO 164"/>
    <d v="2025-02-14T00:00:00"/>
    <x v="10"/>
    <s v="2425/5/TI-546"/>
    <x v="273"/>
    <d v="2025-02-16T00:00:00"/>
    <x v="0"/>
    <n v="10"/>
    <n v="240"/>
    <n v="10"/>
    <d v="2025-02-17T00:00:00"/>
    <s v="Delhi"/>
    <s v="Drona Logitech Pvt Ltd"/>
    <s v="HR61E0283"/>
    <s v="22FT"/>
    <n v="7092"/>
    <s v="Dispatched"/>
    <s v="-"/>
    <m/>
  </r>
  <r>
    <n v="498"/>
    <n v="75"/>
    <s v="PIPO"/>
    <s v="PSO 330"/>
    <d v="2025-02-15T00:00:00"/>
    <x v="4"/>
    <s v="2425/5/TI-547"/>
    <x v="274"/>
    <d v="2025-02-17T00:00:00"/>
    <x v="0"/>
    <n v="80"/>
    <n v="80"/>
    <n v="8"/>
    <d v="2025-02-17T00:00:00"/>
    <s v="Delhi"/>
    <s v="Drona Logitech Pvt Ltd"/>
    <s v="HR61E0283"/>
    <s v="22FT"/>
    <n v="7095"/>
    <s v="Dispatched"/>
    <s v="-"/>
    <m/>
  </r>
  <r>
    <n v="499"/>
    <n v="75"/>
    <s v="BIBO"/>
    <s v="WSO 131"/>
    <d v="2025-01-31T00:00:00"/>
    <x v="4"/>
    <s v="2425/5/TI-531"/>
    <x v="275"/>
    <d v="2025-02-16T00:00:00"/>
    <x v="0"/>
    <n v="2"/>
    <n v="48"/>
    <n v="2"/>
    <d v="2025-02-17T00:00:00"/>
    <s v="Delhi"/>
    <s v="Drona Logitech Pvt Ltd"/>
    <s v="HR61E0283"/>
    <s v="22FT"/>
    <n v="7074"/>
    <s v="Dispatched"/>
    <s v="-"/>
    <m/>
  </r>
  <r>
    <n v="500"/>
    <n v="75"/>
    <s v="BIBO"/>
    <s v="WSO 120"/>
    <d v="2025-01-29T00:00:00"/>
    <x v="1"/>
    <s v="2425/5/TI-530"/>
    <x v="148"/>
    <d v="2025-02-16T00:00:00"/>
    <x v="0"/>
    <n v="1"/>
    <n v="24"/>
    <n v="1"/>
    <d v="2025-02-17T00:00:00"/>
    <s v="Delhi"/>
    <s v="Drona Logitech Pvt Ltd"/>
    <s v="HR61E0283"/>
    <s v="22FT"/>
    <n v="7073"/>
    <s v="Dispatched"/>
    <s v="-"/>
    <m/>
  </r>
  <r>
    <n v="501"/>
    <n v="75"/>
    <s v="BIBO"/>
    <s v="WSO 134"/>
    <d v="2025-02-01T00:00:00"/>
    <x v="7"/>
    <s v="2425/5/TI-529"/>
    <x v="148"/>
    <d v="2025-02-16T00:00:00"/>
    <x v="0"/>
    <n v="1"/>
    <n v="24"/>
    <n v="1"/>
    <d v="2025-02-17T00:00:00"/>
    <s v="Delhi"/>
    <s v="Drona Logitech Pvt Ltd"/>
    <s v="HR61E0283"/>
    <s v="22FT"/>
    <n v="7076"/>
    <s v="Dispatched"/>
    <s v="-"/>
    <m/>
  </r>
  <r>
    <n v="502"/>
    <n v="75"/>
    <s v="BIBO"/>
    <s v="WSO 135"/>
    <d v="2025-02-03T00:00:00"/>
    <x v="12"/>
    <s v="2425/5/TI-527"/>
    <x v="276"/>
    <d v="2025-02-16T00:00:00"/>
    <x v="0"/>
    <n v="5"/>
    <n v="120"/>
    <n v="5"/>
    <d v="2025-02-17T00:00:00"/>
    <s v="Delhi"/>
    <s v="Drona Logitech Pvt Ltd"/>
    <s v="HR61E0283"/>
    <s v="22FT"/>
    <n v="7075"/>
    <s v="Dispatched"/>
    <s v="-"/>
    <m/>
  </r>
  <r>
    <n v="503"/>
    <n v="75"/>
    <s v="BIBO"/>
    <s v="WSO 138"/>
    <d v="2025-02-02T00:00:00"/>
    <x v="2"/>
    <s v="2425/5/TI-528"/>
    <x v="228"/>
    <d v="2025-02-16T00:00:00"/>
    <x v="0"/>
    <n v="1"/>
    <n v="24"/>
    <n v="1"/>
    <d v="2025-02-17T00:00:00"/>
    <s v="Delhi"/>
    <s v="Drona Logitech Pvt Ltd"/>
    <s v="HR61E0283"/>
    <s v="22FT"/>
    <n v="7078"/>
    <s v="Dispatched"/>
    <s v="-"/>
    <m/>
  </r>
  <r>
    <n v="504"/>
    <n v="75"/>
    <s v="BIBO"/>
    <s v="WSO 157"/>
    <d v="2025-02-11T00:00:00"/>
    <x v="38"/>
    <s v="2425/5/TI-541"/>
    <x v="217"/>
    <d v="2025-02-16T00:00:00"/>
    <x v="0"/>
    <n v="3"/>
    <n v="72"/>
    <n v="3"/>
    <d v="2025-02-17T00:00:00"/>
    <s v="Delhi"/>
    <s v="Drona Logitech Pvt Ltd"/>
    <s v="HR61E0283"/>
    <s v="22FT"/>
    <n v="7086"/>
    <s v="Dispatched"/>
    <s v="-"/>
    <m/>
  </r>
  <r>
    <n v="505"/>
    <n v="75"/>
    <s v="BIBO"/>
    <s v="WSO 166"/>
    <d v="2025-02-15T00:00:00"/>
    <x v="12"/>
    <s v="2425/5/TI-543"/>
    <x v="277"/>
    <d v="2025-02-16T00:00:00"/>
    <x v="0"/>
    <n v="8"/>
    <n v="192"/>
    <n v="8"/>
    <d v="2025-02-17T00:00:00"/>
    <s v="Delhi"/>
    <s v="Drona Logitech Pvt Ltd"/>
    <s v="HR61E0283"/>
    <s v="22FT"/>
    <n v="7093"/>
    <s v="Dispatched"/>
    <s v="-"/>
    <m/>
  </r>
  <r>
    <n v="506"/>
    <n v="75"/>
    <s v="BIBO"/>
    <s v="WSO 128"/>
    <d v="2025-01-30T00:00:00"/>
    <x v="11"/>
    <s v="2425/5/TI-533"/>
    <x v="278"/>
    <d v="2025-02-16T00:00:00"/>
    <x v="0"/>
    <n v="1"/>
    <n v="24"/>
    <n v="1"/>
    <d v="2025-02-17T00:00:00"/>
    <s v="Delhi"/>
    <s v="Drona Logitech Pvt Ltd"/>
    <s v="HR61E0283"/>
    <s v="22FT"/>
    <n v="7084"/>
    <s v="Dispatched"/>
    <s v="-"/>
    <m/>
  </r>
  <r>
    <n v="507"/>
    <n v="75"/>
    <s v="BIBO"/>
    <s v="WSO 129"/>
    <d v="2025-01-30T00:00:00"/>
    <x v="11"/>
    <s v="2425/5/TI-535"/>
    <x v="279"/>
    <d v="2025-02-16T00:00:00"/>
    <x v="0"/>
    <n v="2"/>
    <n v="48"/>
    <n v="2"/>
    <d v="2025-02-17T00:00:00"/>
    <s v="Delhi"/>
    <s v="Drona Logitech Pvt Ltd"/>
    <s v="HR61E0283"/>
    <s v="22FT"/>
    <n v="7087"/>
    <s v="Dispatched"/>
    <s v="-"/>
    <m/>
  </r>
  <r>
    <n v="508"/>
    <n v="75"/>
    <s v="BIBO"/>
    <s v="WSO 114"/>
    <d v="2025-01-27T00:00:00"/>
    <x v="12"/>
    <s v="2425/5/TI-538"/>
    <x v="148"/>
    <d v="2025-02-16T00:00:00"/>
    <x v="0"/>
    <n v="1"/>
    <n v="24"/>
    <n v="1"/>
    <d v="2025-02-17T00:00:00"/>
    <s v="Delhi"/>
    <s v="Drona Logitech Pvt Ltd"/>
    <s v="HR61E0283"/>
    <s v="22FT"/>
    <n v="7082"/>
    <s v="Dispatched"/>
    <s v="-"/>
    <m/>
  </r>
  <r>
    <n v="509"/>
    <n v="75"/>
    <s v="BIBO"/>
    <s v="WSO 167"/>
    <d v="2025-02-15T00:00:00"/>
    <x v="6"/>
    <s v="2425/5/TI-544"/>
    <x v="124"/>
    <d v="2025-02-16T00:00:00"/>
    <x v="0"/>
    <n v="10"/>
    <n v="144"/>
    <n v="10"/>
    <d v="2025-02-17T00:00:00"/>
    <s v="Delhi"/>
    <s v="Drona Logitech Pvt Ltd"/>
    <s v="HR61E0283"/>
    <s v="22FT"/>
    <n v="7090"/>
    <s v="Dispatched"/>
    <s v="-"/>
    <m/>
  </r>
  <r>
    <n v="510"/>
    <n v="75"/>
    <s v="BIBO"/>
    <s v="WSO 1"/>
    <d v="2025-02-11T00:00:00"/>
    <x v="4"/>
    <s v="2425/5/TI-539"/>
    <x v="148"/>
    <d v="2025-02-16T00:00:00"/>
    <x v="0"/>
    <n v="1"/>
    <n v="24"/>
    <n v="1"/>
    <d v="2025-02-17T00:00:00"/>
    <s v="Delhi"/>
    <s v="Drona Logitech Pvt Ltd"/>
    <s v="HR61E0283"/>
    <s v="22FT"/>
    <n v="7081"/>
    <s v="Dispatched"/>
    <s v="-"/>
    <m/>
  </r>
  <r>
    <n v="511"/>
    <n v="75"/>
    <s v="BIBO"/>
    <s v="WSO 127"/>
    <d v="2025-01-30T00:00:00"/>
    <x v="9"/>
    <s v="2425/5/TI-534"/>
    <x v="280"/>
    <d v="2025-02-16T00:00:00"/>
    <x v="0"/>
    <n v="4"/>
    <n v="96"/>
    <n v="4"/>
    <d v="2025-02-17T00:00:00"/>
    <s v="Delhi"/>
    <s v="Drona Logitech Pvt Ltd"/>
    <s v="HR61E0283"/>
    <s v="22FT"/>
    <n v="7085"/>
    <s v="Dispatched"/>
    <s v="-"/>
    <m/>
  </r>
  <r>
    <n v="512"/>
    <n v="75"/>
    <s v="BIBO"/>
    <s v="WSO 126"/>
    <d v="2025-01-30T00:00:00"/>
    <x v="13"/>
    <s v="2425/5/TI-532"/>
    <x v="281"/>
    <d v="2025-02-16T00:00:00"/>
    <x v="0"/>
    <n v="6"/>
    <n v="144"/>
    <n v="6"/>
    <d v="2025-02-17T00:00:00"/>
    <s v="Delhi"/>
    <s v="Drona Logitech Pvt Ltd"/>
    <s v="HR61E0283"/>
    <s v="22FT"/>
    <n v="7083"/>
    <s v="Dispatched"/>
    <s v="-"/>
    <m/>
  </r>
  <r>
    <n v="513"/>
    <n v="75"/>
    <s v="BIBO"/>
    <s v="WSO 165"/>
    <d v="2025-02-15T00:00:00"/>
    <x v="16"/>
    <s v="2425/5/TI-545"/>
    <x v="282"/>
    <d v="2025-02-16T00:00:00"/>
    <x v="0"/>
    <n v="31"/>
    <n v="744"/>
    <n v="31"/>
    <d v="2025-02-17T00:00:00"/>
    <s v="Delhi"/>
    <s v="Drona Logitech Pvt Ltd"/>
    <s v="HR61E0283"/>
    <s v="22FT"/>
    <n v="7094"/>
    <s v="Dispatched"/>
    <s v="-"/>
    <m/>
  </r>
  <r>
    <n v="514"/>
    <n v="75"/>
    <s v="BIBO"/>
    <s v="WSO 113"/>
    <d v="2025-02-06T00:00:00"/>
    <x v="2"/>
    <s v="2425/5/TI-540"/>
    <x v="283"/>
    <d v="2025-02-16T00:00:00"/>
    <x v="0"/>
    <n v="2"/>
    <n v="48"/>
    <n v="2"/>
    <d v="2025-02-17T00:00:00"/>
    <s v="Delhi"/>
    <s v="Drona Logitech Pvt Ltd"/>
    <s v="HR61E0283"/>
    <s v="22FT"/>
    <n v="7080"/>
    <s v="Dispatched"/>
    <s v="-"/>
    <m/>
  </r>
  <r>
    <n v="515"/>
    <n v="75"/>
    <s v="BIBO"/>
    <s v="WSO 139"/>
    <d v="2025-02-02T00:00:00"/>
    <x v="2"/>
    <s v="2425/5/TI-526"/>
    <x v="284"/>
    <d v="2025-02-16T00:00:00"/>
    <x v="0"/>
    <n v="1"/>
    <n v="24"/>
    <n v="1"/>
    <d v="2025-02-17T00:00:00"/>
    <s v="Delhi"/>
    <s v="Drona Logitech Pvt Ltd"/>
    <s v="HR61E0283"/>
    <s v="22FT"/>
    <n v="7079"/>
    <s v="Dispatched"/>
    <s v="-"/>
    <m/>
  </r>
  <r>
    <n v="516"/>
    <n v="76"/>
    <s v="BIBO"/>
    <s v="WSO 172"/>
    <d v="2025-01-18T00:00:00"/>
    <x v="20"/>
    <s v="2425/5/TI-553"/>
    <x v="285"/>
    <d v="2025-02-19T00:00:00"/>
    <x v="0"/>
    <n v="13"/>
    <n v="312"/>
    <n v="13"/>
    <d v="2025-02-21T00:00:00"/>
    <s v="Delhi"/>
    <s v="Drona Logitech Pvt Ltd"/>
    <s v="DL1MA2872"/>
    <s v="22FT"/>
    <n v="7098"/>
    <s v="Dispatched"/>
    <s v="-"/>
    <m/>
  </r>
  <r>
    <n v="517"/>
    <n v="76"/>
    <s v="BIBO"/>
    <s v="WSO 174"/>
    <d v="2025-01-18T00:00:00"/>
    <x v="11"/>
    <s v="2425/5/TI-558"/>
    <x v="286"/>
    <d v="2025-02-19T00:00:00"/>
    <x v="0"/>
    <n v="27"/>
    <n v="648"/>
    <n v="27"/>
    <d v="2025-02-21T00:00:00"/>
    <s v="Delhi"/>
    <s v="Drona Logitech Pvt Ltd"/>
    <s v="DL1MA2872"/>
    <s v="22FT"/>
    <n v="7099"/>
    <s v="Dispatched"/>
    <s v="-"/>
    <m/>
  </r>
  <r>
    <n v="518"/>
    <n v="76"/>
    <s v="BIBO"/>
    <s v="WSO 171"/>
    <d v="2025-01-18T00:00:00"/>
    <x v="4"/>
    <s v="2425/5/TI-554"/>
    <x v="287"/>
    <d v="2025-02-19T00:00:00"/>
    <x v="0"/>
    <n v="5"/>
    <n v="120"/>
    <n v="5"/>
    <d v="2025-02-21T00:00:00"/>
    <s v="Delhi"/>
    <s v="Drona Logitech Pvt Ltd"/>
    <s v="DL1MA2872"/>
    <s v="22FT"/>
    <n v="7097"/>
    <s v="Dispatched"/>
    <s v="-"/>
    <m/>
  </r>
  <r>
    <n v="519"/>
    <n v="76"/>
    <s v="BIBO"/>
    <s v="WSO 173"/>
    <d v="2025-01-18T00:00:00"/>
    <x v="10"/>
    <s v="2425/5/TI-557"/>
    <x v="137"/>
    <d v="2025-02-19T00:00:00"/>
    <x v="0"/>
    <n v="8"/>
    <n v="192"/>
    <n v="8"/>
    <d v="2025-02-21T00:00:00"/>
    <s v="Delhi"/>
    <s v="Drona Logitech Pvt Ltd"/>
    <s v="DL1MA2872"/>
    <s v="22FT"/>
    <n v="7110"/>
    <s v="Dispatched"/>
    <s v="-"/>
    <m/>
  </r>
  <r>
    <n v="520"/>
    <n v="76"/>
    <s v="PIPO"/>
    <s v="PSO 333"/>
    <d v="2025-02-15T00:00:00"/>
    <x v="20"/>
    <s v="2425/5/TI-548"/>
    <x v="288"/>
    <d v="2025-02-18T00:00:00"/>
    <x v="0"/>
    <n v="110"/>
    <n v="110"/>
    <n v="11"/>
    <d v="2025-02-21T00:00:00"/>
    <s v="Delhi"/>
    <s v="Drona Logitech Pvt Ltd"/>
    <s v="DL1MA2872"/>
    <s v="22FT"/>
    <n v="7101"/>
    <s v="Dispatched"/>
    <s v="-"/>
    <m/>
  </r>
  <r>
    <n v="521"/>
    <n v="76"/>
    <s v="PIPO"/>
    <s v="PSO 332"/>
    <d v="2025-02-15T00:00:00"/>
    <x v="29"/>
    <s v="2425/5/TI-542"/>
    <x v="289"/>
    <d v="2025-02-16T00:00:00"/>
    <x v="0"/>
    <n v="40"/>
    <n v="40"/>
    <n v="4"/>
    <d v="2025-02-21T00:00:00"/>
    <s v="Delhi"/>
    <s v="Drona Logitech Pvt Ltd"/>
    <s v="DL1MA2872"/>
    <s v="22FT"/>
    <n v="7102"/>
    <s v="Dispatched"/>
    <s v="-"/>
    <m/>
  </r>
  <r>
    <n v="522"/>
    <n v="76"/>
    <s v="PIPO"/>
    <s v="PSO 336"/>
    <d v="2025-02-17T00:00:00"/>
    <x v="9"/>
    <s v="2425/5/TI-551"/>
    <x v="290"/>
    <d v="2025-02-18T00:00:00"/>
    <x v="0"/>
    <n v="200"/>
    <n v="200"/>
    <n v="20"/>
    <d v="2025-02-21T00:00:00"/>
    <s v="Delhi"/>
    <s v="Drona Logitech Pvt Ltd"/>
    <s v="DL1MA2872"/>
    <s v="22FT"/>
    <n v="7105"/>
    <s v="Dispatched"/>
    <s v="-"/>
    <m/>
  </r>
  <r>
    <n v="523"/>
    <n v="76"/>
    <s v="BIBO"/>
    <s v="WSO 170"/>
    <d v="2025-01-18T00:00:00"/>
    <x v="1"/>
    <s v="2425/5/TI-552"/>
    <x v="291"/>
    <d v="2025-02-19T00:00:00"/>
    <x v="0"/>
    <n v="35"/>
    <n v="828"/>
    <n v="35"/>
    <d v="2025-02-21T00:00:00"/>
    <s v="Delhi"/>
    <s v="Drona Logitech Pvt Ltd"/>
    <s v="DL1MA2872"/>
    <s v="22FT"/>
    <n v="7108"/>
    <s v="Dispatched"/>
    <s v="-"/>
    <m/>
  </r>
  <r>
    <n v="524"/>
    <n v="76"/>
    <s v="PIPO"/>
    <s v="PSO 305"/>
    <d v="2025-02-11T00:00:00"/>
    <x v="37"/>
    <s v="2425/5/TI-497"/>
    <x v="292"/>
    <d v="2025-02-13T00:00:00"/>
    <x v="0"/>
    <n v="70"/>
    <n v="70"/>
    <n v="7"/>
    <d v="2025-02-21T00:00:00"/>
    <s v="Delhi"/>
    <s v="Drona Logitech Pvt Ltd"/>
    <s v="DL1MA2872"/>
    <s v="22FT"/>
    <n v="7106"/>
    <s v="Dispatched"/>
    <s v="-"/>
    <m/>
  </r>
  <r>
    <n v="525"/>
    <n v="76"/>
    <s v="BIBO"/>
    <s v="WSO 169"/>
    <d v="2025-01-17T00:00:00"/>
    <x v="4"/>
    <s v="2425/5/TI-555"/>
    <x v="293"/>
    <d v="2025-02-19T00:00:00"/>
    <x v="0"/>
    <n v="10"/>
    <n v="240"/>
    <n v="10"/>
    <d v="2025-02-21T00:00:00"/>
    <s v="Delhi"/>
    <s v="Drona Logitech Pvt Ltd"/>
    <s v="DL1MA2872"/>
    <s v="22FT"/>
    <n v="7109"/>
    <s v="Dispatched"/>
    <s v="-"/>
    <m/>
  </r>
  <r>
    <n v="526"/>
    <n v="76"/>
    <s v="PIPO"/>
    <s v="PSO 326"/>
    <d v="2025-02-14T00:00:00"/>
    <x v="11"/>
    <s v="2425/5/TI-550"/>
    <x v="294"/>
    <d v="2025-02-18T00:00:00"/>
    <x v="0"/>
    <n v="240"/>
    <n v="240"/>
    <n v="22"/>
    <d v="2025-02-21T00:00:00"/>
    <s v="Delhi"/>
    <s v="Drona Logitech Pvt Ltd"/>
    <s v="DL1MA2872"/>
    <s v="22FT"/>
    <n v="7104"/>
    <s v="Dispatched"/>
    <s v="-"/>
    <m/>
  </r>
  <r>
    <n v="527"/>
    <n v="76"/>
    <s v="PIPO"/>
    <s v="PSO 327"/>
    <d v="2025-02-14T00:00:00"/>
    <x v="36"/>
    <s v="2425/5/TI-549"/>
    <x v="295"/>
    <d v="2025-02-18T00:00:00"/>
    <x v="0"/>
    <n v="190"/>
    <n v="190"/>
    <n v="19"/>
    <d v="2025-02-21T00:00:00"/>
    <s v="Delhi"/>
    <s v="Drona Logitech Pvt Ltd"/>
    <s v="DL1MA2872"/>
    <s v="22FT"/>
    <n v="7100"/>
    <s v="Dispatched"/>
    <s v="-"/>
    <m/>
  </r>
  <r>
    <n v="528"/>
    <n v="76"/>
    <s v="PIPO"/>
    <s v="PSO 329"/>
    <d v="2025-02-14T00:00:00"/>
    <x v="36"/>
    <s v="2425/5/TI-521"/>
    <x v="296"/>
    <d v="2025-02-15T00:00:00"/>
    <x v="0"/>
    <n v="40"/>
    <n v="40"/>
    <n v="4"/>
    <d v="2025-02-21T00:00:00"/>
    <s v="Delhi"/>
    <s v="Drona Logitech Pvt Ltd"/>
    <s v="DL1MA2872"/>
    <s v="22FT"/>
    <n v="7103"/>
    <s v="Dispatched"/>
    <s v="-"/>
    <m/>
  </r>
  <r>
    <n v="529"/>
    <n v="76"/>
    <s v="PIPO"/>
    <s v="PSO 321"/>
    <d v="2025-02-12T00:00:00"/>
    <x v="17"/>
    <s v="2425/5/TI-504"/>
    <x v="297"/>
    <d v="2025-02-13T00:00:00"/>
    <x v="0"/>
    <n v="70"/>
    <n v="70"/>
    <n v="7"/>
    <d v="2025-02-21T00:00:00"/>
    <s v="Delhi"/>
    <s v="Drona Logitech Pvt Ltd"/>
    <s v="DL1MA2872"/>
    <s v="22FT"/>
    <n v="7107"/>
    <s v="Dispatched"/>
    <s v="Dispatch hold by coustomer"/>
    <m/>
  </r>
  <r>
    <n v="530"/>
    <n v="77"/>
    <s v="BIBO"/>
    <s v="WSO 181"/>
    <d v="2025-02-19T00:00:00"/>
    <x v="4"/>
    <s v="2425/5/TI-569"/>
    <x v="298"/>
    <d v="2025-02-20T00:00:00"/>
    <x v="0"/>
    <n v="7"/>
    <n v="168"/>
    <n v="7"/>
    <d v="2025-02-21T00:00:00"/>
    <s v="Delhi"/>
    <s v="Drona Logitech Pvt Ltd"/>
    <s v="DL1GC9359"/>
    <s v="22FT"/>
    <n v="7120"/>
    <s v="Dispatched"/>
    <s v="-"/>
    <m/>
  </r>
  <r>
    <n v="531"/>
    <n v="77"/>
    <s v="BIBO"/>
    <s v="WSO 175"/>
    <d v="2025-02-19T00:00:00"/>
    <x v="2"/>
    <s v="2425/5/TI-567"/>
    <x v="299"/>
    <d v="2025-02-20T00:00:00"/>
    <x v="0"/>
    <n v="40"/>
    <n v="960"/>
    <n v="40"/>
    <d v="2025-02-21T00:00:00"/>
    <s v="Delhi"/>
    <s v="Drona Logitech Pvt Ltd"/>
    <s v="DL1GC9359"/>
    <s v="22FT"/>
    <n v="7111"/>
    <s v="Dispatched"/>
    <s v="-"/>
    <m/>
  </r>
  <r>
    <n v="532"/>
    <n v="77"/>
    <s v="PIPO"/>
    <s v="PSO 335"/>
    <d v="2025-02-17T00:00:00"/>
    <x v="33"/>
    <s v="2425/5/TI-561"/>
    <x v="300"/>
    <d v="2025-02-20T00:00:00"/>
    <x v="0"/>
    <n v="391"/>
    <n v="391"/>
    <n v="39"/>
    <d v="2025-02-21T00:00:00"/>
    <s v="Delhi"/>
    <s v="Drona Logitech Pvt Ltd"/>
    <s v="DL1GC9359"/>
    <s v="22FT"/>
    <n v="7117"/>
    <s v="Dispatched"/>
    <s v="-"/>
    <m/>
  </r>
  <r>
    <n v="533"/>
    <n v="77"/>
    <s v="BIBO"/>
    <s v="WSO 187"/>
    <d v="2025-02-20T00:00:00"/>
    <x v="6"/>
    <s v="2425/5/TI-574"/>
    <x v="301"/>
    <d v="2025-02-21T00:00:00"/>
    <x v="0"/>
    <n v="5"/>
    <n v="120"/>
    <n v="5"/>
    <d v="2025-02-21T00:00:00"/>
    <s v="Delhi"/>
    <s v="Drona Logitech Pvt Ltd"/>
    <s v="DL1GC9359"/>
    <s v="22FT"/>
    <n v="7123"/>
    <s v="Dispatched"/>
    <s v="-"/>
    <m/>
  </r>
  <r>
    <n v="534"/>
    <n v="77"/>
    <s v="BIBO"/>
    <s v="WSO 179"/>
    <d v="2025-02-19T00:00:00"/>
    <x v="12"/>
    <s v="2425/5/TI-570"/>
    <x v="302"/>
    <d v="2025-02-21T00:00:00"/>
    <x v="0"/>
    <n v="41"/>
    <n v="984"/>
    <n v="41"/>
    <d v="2025-02-21T00:00:00"/>
    <s v="Delhi"/>
    <s v="Drona Logitech Pvt Ltd"/>
    <s v="DL1GC9359"/>
    <s v="22FT"/>
    <n v="7114"/>
    <s v="Dispatched"/>
    <s v="-"/>
    <m/>
  </r>
  <r>
    <n v="535"/>
    <n v="77"/>
    <s v="BIBO"/>
    <s v="WSO 185"/>
    <d v="2025-02-19T00:00:00"/>
    <x v="2"/>
    <s v="2425/5/TI-568"/>
    <x v="303"/>
    <d v="2025-02-20T00:00:00"/>
    <x v="0"/>
    <n v="6"/>
    <n v="144"/>
    <n v="6"/>
    <d v="2025-02-21T00:00:00"/>
    <s v="Delhi"/>
    <s v="Drona Logitech Pvt Ltd"/>
    <s v="DL1GC9359"/>
    <s v="22FT"/>
    <n v="7118"/>
    <s v="Dispatched"/>
    <s v="-"/>
    <m/>
  </r>
  <r>
    <n v="536"/>
    <n v="77"/>
    <s v="PIPO"/>
    <s v="PSO 337"/>
    <d v="2025-02-18T00:00:00"/>
    <x v="2"/>
    <s v="2425/5/TI-560"/>
    <x v="304"/>
    <d v="2025-02-19T00:00:00"/>
    <x v="0"/>
    <n v="80"/>
    <n v="80"/>
    <n v="8"/>
    <d v="2025-02-21T00:00:00"/>
    <s v="Delhi"/>
    <s v="Drona Logitech Pvt Ltd"/>
    <s v="DL1GC9359"/>
    <s v="22FT"/>
    <n v="7119"/>
    <s v="Dispatched"/>
    <s v="-"/>
    <m/>
  </r>
  <r>
    <n v="537"/>
    <n v="77"/>
    <s v="BIBO"/>
    <s v="WSO 182"/>
    <d v="2025-02-19T00:00:00"/>
    <x v="1"/>
    <s v="2425/5/TI-564"/>
    <x v="305"/>
    <d v="2025-02-20T00:00:00"/>
    <x v="0"/>
    <n v="8"/>
    <n v="192"/>
    <n v="8"/>
    <d v="2025-02-21T00:00:00"/>
    <s v="Delhi"/>
    <s v="Drona Logitech Pvt Ltd"/>
    <s v="DL1GC9359"/>
    <s v="22FT"/>
    <n v="7113"/>
    <s v="Dispatched"/>
    <s v="-"/>
    <m/>
  </r>
  <r>
    <n v="538"/>
    <n v="77"/>
    <s v="BIBO"/>
    <s v="WSO 190"/>
    <d v="2025-02-20T00:00:00"/>
    <x v="29"/>
    <s v="2425/5/TI-572"/>
    <x v="217"/>
    <d v="2025-02-21T00:00:00"/>
    <x v="0"/>
    <n v="3"/>
    <n v="72"/>
    <n v="3"/>
    <d v="2025-02-21T00:00:00"/>
    <s v="Delhi"/>
    <s v="Drona Logitech Pvt Ltd"/>
    <s v="DL1GC9359"/>
    <s v="22FT"/>
    <n v="7122"/>
    <s v="Dispatched"/>
    <s v="-"/>
    <m/>
  </r>
  <r>
    <n v="539"/>
    <n v="77"/>
    <s v="BIBO"/>
    <s v="WSO 183 184"/>
    <d v="2025-02-19T00:00:00"/>
    <x v="13"/>
    <s v="2425/5/TI-563"/>
    <x v="301"/>
    <d v="2025-02-20T00:00:00"/>
    <x v="0"/>
    <n v="5"/>
    <n v="120"/>
    <n v="5"/>
    <d v="2025-02-21T00:00:00"/>
    <s v="Delhi"/>
    <s v="Drona Logitech Pvt Ltd"/>
    <s v="DL1GC9359"/>
    <s v="22FT"/>
    <n v="7116"/>
    <s v="Dispatched"/>
    <s v="-"/>
    <m/>
  </r>
  <r>
    <n v="540"/>
    <n v="77"/>
    <s v="BIBO"/>
    <s v="WSO 176"/>
    <d v="2025-02-19T00:00:00"/>
    <x v="7"/>
    <s v="2425/5/TI-565"/>
    <x v="306"/>
    <d v="2025-02-20T00:00:00"/>
    <x v="0"/>
    <n v="15"/>
    <n v="360"/>
    <n v="15"/>
    <d v="2025-02-21T00:00:00"/>
    <s v="Delhi"/>
    <s v="Drona Logitech Pvt Ltd"/>
    <s v="DL1GC9359"/>
    <s v="22FT"/>
    <n v="7115"/>
    <s v="Dispatched"/>
    <s v="-"/>
    <m/>
  </r>
  <r>
    <n v="541"/>
    <n v="77"/>
    <s v="BIBO"/>
    <s v="WSO 168"/>
    <d v="2025-01-17T00:00:00"/>
    <x v="12"/>
    <s v="2425/5/TI-556"/>
    <x v="307"/>
    <d v="2025-02-19T00:00:00"/>
    <x v="0"/>
    <n v="8"/>
    <n v="192"/>
    <n v="8"/>
    <d v="2025-02-21T00:00:00"/>
    <s v="Delhi"/>
    <s v="Drona Logitech Pvt Ltd"/>
    <s v="DL1GC9359"/>
    <s v="22FT"/>
    <n v="7121"/>
    <s v="Dispatched"/>
    <s v="-"/>
    <m/>
  </r>
  <r>
    <n v="542"/>
    <n v="77"/>
    <s v="BIBO"/>
    <s v="WSO 191"/>
    <d v="2025-02-20T00:00:00"/>
    <x v="11"/>
    <s v="2425/5/TI-573"/>
    <x v="308"/>
    <d v="2025-02-21T00:00:00"/>
    <x v="0"/>
    <n v="10"/>
    <n v="240"/>
    <n v="10"/>
    <d v="2025-02-21T00:00:00"/>
    <s v="Delhi"/>
    <s v="Drona Logitech Pvt Ltd"/>
    <s v="DL1GC9359"/>
    <s v="22FT"/>
    <n v="7124"/>
    <s v="Dispatched"/>
    <s v="-"/>
    <m/>
  </r>
  <r>
    <n v="543"/>
    <n v="77"/>
    <s v="BIBO"/>
    <s v="WSO 177 178"/>
    <d v="2025-02-19T00:00:00"/>
    <x v="29"/>
    <s v="2425/5/TI-566"/>
    <x v="309"/>
    <d v="2025-02-20T00:00:00"/>
    <x v="0"/>
    <n v="30"/>
    <n v="720"/>
    <n v="30"/>
    <d v="2025-02-21T00:00:00"/>
    <s v="Delhi"/>
    <s v="Drona Logitech Pvt Ltd"/>
    <s v="DL1GC9359"/>
    <s v="22FT"/>
    <n v="7112"/>
    <s v="Dispatched"/>
    <s v="-"/>
    <m/>
  </r>
  <r>
    <n v="544"/>
    <n v="78"/>
    <s v="PIPO"/>
    <s v="PSO 340"/>
    <d v="2025-02-21T00:00:00"/>
    <x v="19"/>
    <s v="2425/5/TI-582"/>
    <x v="310"/>
    <d v="2025-02-22T00:00:00"/>
    <x v="0"/>
    <n v="89"/>
    <n v="89"/>
    <n v="9"/>
    <d v="2025-02-23T00:00:00"/>
    <s v="Delhi"/>
    <s v="Drona Logitech Pvt Ltd"/>
    <s v="DL1MA2872"/>
    <s v="22FT"/>
    <n v="7126"/>
    <s v="Dispatched"/>
    <s v="-"/>
    <m/>
  </r>
  <r>
    <n v="545"/>
    <n v="78"/>
    <s v="BIBO"/>
    <s v="WSO 195"/>
    <d v="2025-02-21T00:00:00"/>
    <x v="27"/>
    <s v="2425/5/TI-580"/>
    <x v="311"/>
    <d v="2025-02-22T00:00:00"/>
    <x v="0"/>
    <n v="35"/>
    <n v="840"/>
    <n v="35"/>
    <d v="2025-02-23T00:00:00"/>
    <s v="Delhi"/>
    <s v="Drona Logitech Pvt Ltd"/>
    <s v="DL1MA2872"/>
    <s v="22FT"/>
    <n v="7129"/>
    <s v="Dispatched"/>
    <s v="-"/>
    <m/>
  </r>
  <r>
    <n v="546"/>
    <n v="78"/>
    <s v="BIBO"/>
    <s v="WSO 189"/>
    <d v="2025-02-20T00:00:00"/>
    <x v="6"/>
    <s v="2425/5/TI-578"/>
    <x v="312"/>
    <d v="2025-02-22T00:00:00"/>
    <x v="0"/>
    <n v="25"/>
    <n v="600"/>
    <n v="25"/>
    <d v="2025-02-23T00:00:00"/>
    <s v="Delhi"/>
    <s v="Drona Logitech Pvt Ltd"/>
    <s v="DL1MA2872"/>
    <s v="22FT"/>
    <n v="7127"/>
    <s v="Dispatched"/>
    <s v="-"/>
    <m/>
  </r>
  <r>
    <n v="547"/>
    <n v="78"/>
    <s v="BIBO"/>
    <s v="WSO 192"/>
    <d v="2025-02-21T00:00:00"/>
    <x v="32"/>
    <s v="2425/5/TI-577"/>
    <x v="313"/>
    <d v="2025-02-22T00:00:00"/>
    <x v="0"/>
    <n v="19"/>
    <n v="456"/>
    <n v="19"/>
    <d v="2025-02-23T00:00:00"/>
    <s v="Delhi"/>
    <s v="Drona Logitech Pvt Ltd"/>
    <s v="DL1MA2872"/>
    <s v="22FT"/>
    <n v="7128"/>
    <s v="Dispatched"/>
    <s v="-"/>
    <m/>
  </r>
  <r>
    <n v="548"/>
    <n v="78"/>
    <s v="PIPO"/>
    <s v="PSO 308"/>
    <d v="2025-02-11T00:00:00"/>
    <x v="41"/>
    <s v="2425/5/TI-499"/>
    <x v="314"/>
    <d v="2025-02-22T00:00:00"/>
    <x v="0"/>
    <n v="200"/>
    <n v="200"/>
    <n v="20"/>
    <d v="2025-02-23T00:00:00"/>
    <s v="Delhi"/>
    <s v="Drona Logitech Pvt Ltd"/>
    <s v="DL1MA2872"/>
    <s v="22FT"/>
    <n v="7125"/>
    <s v="Dispatched"/>
    <s v="-"/>
    <m/>
  </r>
  <r>
    <n v="549"/>
    <n v="78"/>
    <s v="PIPO"/>
    <s v="PSO 341"/>
    <d v="2025-02-21T00:00:00"/>
    <x v="27"/>
    <s v="2425/5/TI-583"/>
    <x v="315"/>
    <d v="2025-02-22T00:00:00"/>
    <x v="0"/>
    <n v="206"/>
    <n v="206"/>
    <n v="20"/>
    <d v="2025-02-23T00:00:00"/>
    <s v="Delhi"/>
    <s v="Drona Logitech Pvt Ltd"/>
    <s v="DL1MA2872"/>
    <s v="22FT"/>
    <n v="7130"/>
    <s v="Dispatched"/>
    <s v="-"/>
    <m/>
  </r>
  <r>
    <n v="550"/>
    <n v="78"/>
    <s v="BIBO"/>
    <s v="WSO 186"/>
    <d v="2025-02-20T00:00:00"/>
    <x v="2"/>
    <s v="2425/5/TI-571"/>
    <x v="316"/>
    <d v="2025-02-21T00:00:00"/>
    <x v="0"/>
    <n v="16"/>
    <n v="384"/>
    <n v="16"/>
    <d v="2025-02-23T00:00:00"/>
    <s v="Delhi"/>
    <s v="Drona Logitech Pvt Ltd"/>
    <s v="DL1MA2872"/>
    <s v="22FT"/>
    <n v="7131"/>
    <s v="Dispatched"/>
    <s v="-"/>
    <m/>
  </r>
  <r>
    <n v="551"/>
    <n v="78"/>
    <s v="BIBO"/>
    <s v="WSO 193"/>
    <d v="2025-02-21T00:00:00"/>
    <x v="2"/>
    <s v="2425/5/TI-579"/>
    <x v="317"/>
    <d v="2025-02-22T00:00:00"/>
    <x v="0"/>
    <n v="6"/>
    <n v="144"/>
    <n v="6"/>
    <d v="2025-02-23T00:00:00"/>
    <s v="Delhi"/>
    <s v="Drona Logitech Pvt Ltd"/>
    <s v="DL1MA2872"/>
    <s v="22FT"/>
    <n v="7132"/>
    <s v="Dispatched"/>
    <s v="-"/>
    <m/>
  </r>
  <r>
    <n v="552"/>
    <n v="78"/>
    <s v="BIBO"/>
    <s v="WSO 81"/>
    <d v="2025-01-13T00:00:00"/>
    <x v="15"/>
    <s v="2425/5/TI-575"/>
    <x v="318"/>
    <d v="2025-02-22T00:00:00"/>
    <x v="0"/>
    <n v="6"/>
    <n v="144"/>
    <n v="6"/>
    <d v="2025-02-23T00:00:00"/>
    <s v="Delhi"/>
    <s v="Drona Logitech Pvt Ltd"/>
    <s v="DL1MA2872"/>
    <s v="22FT"/>
    <n v="7133"/>
    <s v="Dispatched"/>
    <s v="-"/>
    <m/>
  </r>
  <r>
    <n v="553"/>
    <n v="78"/>
    <s v="BIBO"/>
    <s v="WSO 196"/>
    <d v="2025-02-21T00:00:00"/>
    <x v="6"/>
    <s v="2425/5/TI-576"/>
    <x v="319"/>
    <d v="2025-02-22T00:00:00"/>
    <x v="0"/>
    <n v="10"/>
    <n v="120"/>
    <n v="10"/>
    <d v="2025-02-23T00:00:00"/>
    <s v="Delhi"/>
    <s v="Drona Logitech Pvt Ltd"/>
    <s v="DL1MA2872"/>
    <s v="22FT"/>
    <n v="7134"/>
    <s v="Dispatched"/>
    <s v="-"/>
    <m/>
  </r>
  <r>
    <n v="554"/>
    <n v="79"/>
    <s v="BIBO"/>
    <s v="WSO 188"/>
    <d v="2025-02-20T00:00:00"/>
    <x v="6"/>
    <s v="2425/5/TI-584"/>
    <x v="320"/>
    <d v="2025-02-25T00:00:00"/>
    <x v="0"/>
    <n v="32"/>
    <n v="768"/>
    <n v="32"/>
    <d v="2025-02-25T00:00:00"/>
    <s v="Delhi"/>
    <s v="Drona Logitech Pvt Ltd"/>
    <s v="DL1MA2872"/>
    <s v="22FT"/>
    <n v="7143"/>
    <s v="Dispatched"/>
    <s v="-"/>
    <m/>
  </r>
  <r>
    <n v="555"/>
    <n v="79"/>
    <s v="BIBO"/>
    <s v="WSO 194"/>
    <d v="2025-02-21T00:00:00"/>
    <x v="31"/>
    <s v="2425/5/TI-588"/>
    <x v="321"/>
    <d v="2025-02-25T00:00:00"/>
    <x v="0"/>
    <n v="40"/>
    <n v="864"/>
    <n v="39"/>
    <d v="2025-02-25T00:00:00"/>
    <s v="Delhi"/>
    <s v="Drona Logitech Pvt Ltd"/>
    <s v="DL1MA2872"/>
    <s v="22FT"/>
    <n v="7139"/>
    <s v="Dispatched"/>
    <s v="-"/>
    <m/>
  </r>
  <r>
    <n v="556"/>
    <n v="79"/>
    <s v="BIBO"/>
    <s v="WSO 199"/>
    <d v="2025-02-23T00:00:00"/>
    <x v="2"/>
    <s v="2425/5/TI-585"/>
    <x v="322"/>
    <d v="2025-02-24T00:00:00"/>
    <x v="0"/>
    <n v="6"/>
    <n v="144"/>
    <n v="6"/>
    <d v="2025-02-25T00:00:00"/>
    <s v="Delhi"/>
    <s v="Drona Logitech Pvt Ltd"/>
    <s v="DL1MA2872"/>
    <s v="22FT"/>
    <n v="7141"/>
    <s v="Dispatched"/>
    <s v="-"/>
    <m/>
  </r>
  <r>
    <n v="557"/>
    <n v="79"/>
    <s v="BIBO"/>
    <s v="WSO 198"/>
    <d v="2025-02-23T00:00:00"/>
    <x v="6"/>
    <s v="2425/5/TI-586"/>
    <x v="323"/>
    <d v="2025-02-24T00:00:00"/>
    <x v="0"/>
    <n v="15"/>
    <n v="360"/>
    <n v="15"/>
    <d v="2025-02-25T00:00:00"/>
    <s v="Delhi"/>
    <s v="Drona Logitech Pvt Ltd"/>
    <s v="DL1MA2872"/>
    <s v="22FT"/>
    <n v="7138"/>
    <s v="Dispatched"/>
    <s v="-"/>
    <m/>
  </r>
  <r>
    <n v="558"/>
    <n v="79"/>
    <s v="PIPO"/>
    <s v="PSO 331"/>
    <d v="2025-02-15T00:00:00"/>
    <x v="8"/>
    <s v="2425/5/TI-587"/>
    <x v="324"/>
    <d v="2025-02-24T00:00:00"/>
    <x v="0"/>
    <n v="190"/>
    <n v="190"/>
    <n v="19"/>
    <d v="2025-02-25T00:00:00"/>
    <s v="Delhi"/>
    <s v="Drona Logitech Pvt Ltd"/>
    <s v="DL1MA2872"/>
    <s v="22FT"/>
    <n v="7136"/>
    <s v="Dispatched"/>
    <s v="-"/>
    <m/>
  </r>
  <r>
    <n v="559"/>
    <n v="79"/>
    <s v="PIPO"/>
    <s v="PSO 334"/>
    <d v="2025-02-24T00:00:00"/>
    <x v="33"/>
    <s v="2425/5/TI-562"/>
    <x v="325"/>
    <d v="2025-02-24T00:00:00"/>
    <x v="0"/>
    <n v="467"/>
    <n v="467"/>
    <n v="47"/>
    <d v="2025-02-25T00:00:00"/>
    <s v="Delhi"/>
    <s v="Drona Logitech Pvt Ltd"/>
    <s v="DL1MA2872"/>
    <s v="22FT"/>
    <n v="7137"/>
    <s v="Dispatched"/>
    <s v="-"/>
    <m/>
  </r>
  <r>
    <n v="560"/>
    <n v="79"/>
    <s v="PIPO"/>
    <s v="PSO 339"/>
    <d v="2025-02-19T00:00:00"/>
    <x v="12"/>
    <s v="2425/5/TI-581"/>
    <x v="326"/>
    <d v="2025-02-22T00:00:00"/>
    <x v="0"/>
    <n v="174"/>
    <n v="174"/>
    <n v="17"/>
    <d v="2025-02-25T00:00:00"/>
    <s v="Delhi"/>
    <s v="Drona Logitech Pvt Ltd"/>
    <s v="DL1MA2872"/>
    <s v="22FT"/>
    <n v="7135"/>
    <s v="Dispatched"/>
    <s v="-"/>
    <m/>
  </r>
  <r>
    <n v="561"/>
    <n v="80"/>
    <s v="BIBO"/>
    <s v="WSO 206"/>
    <d v="2025-02-24T00:00:00"/>
    <x v="33"/>
    <s v="2425/5/TI-592"/>
    <x v="327"/>
    <d v="2025-02-25T00:00:00"/>
    <x v="0"/>
    <n v="9"/>
    <n v="216"/>
    <n v="9"/>
    <d v="2025-02-26T00:00:00"/>
    <s v="Delhi"/>
    <s v="Drona Logitech Pvt Ltd"/>
    <s v="DL1LGC9359"/>
    <s v="22FT"/>
    <n v="7147"/>
    <s v="Dispatched"/>
    <s v="-"/>
    <m/>
  </r>
  <r>
    <n v="562"/>
    <n v="80"/>
    <s v="BIBO"/>
    <s v="WSO 208"/>
    <d v="2025-02-25T00:00:00"/>
    <x v="30"/>
    <s v="2425/5/TI-599"/>
    <x v="328"/>
    <d v="2025-02-26T00:00:00"/>
    <x v="0"/>
    <n v="10"/>
    <n v="240"/>
    <n v="10"/>
    <d v="2025-02-26T00:00:00"/>
    <s v="Delhi"/>
    <s v="Drona Logitech Pvt Ltd"/>
    <s v="DL1LGC9359"/>
    <s v="22FT"/>
    <n v="7152"/>
    <s v="Dispatched"/>
    <s v="-"/>
    <m/>
  </r>
  <r>
    <n v="563"/>
    <n v="80"/>
    <s v="BIBO"/>
    <s v="WSO 209"/>
    <d v="2025-02-25T00:00:00"/>
    <x v="30"/>
    <s v="2425/5/TI-600"/>
    <x v="207"/>
    <d v="2025-02-26T00:00:00"/>
    <x v="0"/>
    <n v="1"/>
    <n v="24"/>
    <n v="1"/>
    <d v="2025-02-26T00:00:00"/>
    <s v="Delhi"/>
    <s v="Drona Logitech Pvt Ltd"/>
    <s v="DL1LGC9359"/>
    <s v="22FT"/>
    <n v="7151"/>
    <s v="Dispatched"/>
    <s v="-"/>
    <m/>
  </r>
  <r>
    <n v="564"/>
    <n v="80"/>
    <s v="BIBO"/>
    <s v="WSO 207"/>
    <d v="2025-02-24T00:00:00"/>
    <x v="32"/>
    <s v="2425/5/TI-594"/>
    <x v="329"/>
    <d v="2025-02-25T00:00:00"/>
    <x v="0"/>
    <n v="9"/>
    <n v="216"/>
    <n v="9"/>
    <d v="2025-02-26T00:00:00"/>
    <s v="Delhi"/>
    <s v="Drona Logitech Pvt Ltd"/>
    <s v="DL1LGC9359"/>
    <s v="22FT"/>
    <n v="7148"/>
    <s v="Dispatched"/>
    <s v="-"/>
    <m/>
  </r>
  <r>
    <n v="565"/>
    <n v="80"/>
    <s v="BIBO"/>
    <s v="WSO 197"/>
    <d v="2025-02-21T00:00:00"/>
    <x v="32"/>
    <s v="2425/5/TI-590"/>
    <x v="330"/>
    <d v="2025-02-25T00:00:00"/>
    <x v="0"/>
    <n v="9"/>
    <n v="168"/>
    <n v="9"/>
    <d v="2025-02-26T00:00:00"/>
    <s v="Delhi"/>
    <s v="Drona Logitech Pvt Ltd"/>
    <s v="DL1LGC9359"/>
    <s v="22FT"/>
    <n v="7140"/>
    <s v="Dispatched"/>
    <s v="-"/>
    <m/>
  </r>
  <r>
    <n v="566"/>
    <n v="80"/>
    <s v="BIBO"/>
    <s v="WSO 201"/>
    <d v="2025-02-24T00:00:00"/>
    <x v="27"/>
    <s v="2425/5/TI-595"/>
    <x v="331"/>
    <d v="2025-02-26T00:00:00"/>
    <x v="0"/>
    <n v="16"/>
    <n v="396"/>
    <n v="16"/>
    <d v="2025-02-26T00:00:00"/>
    <s v="Delhi"/>
    <s v="Drona Logitech Pvt Ltd"/>
    <s v="DL1LGC9359"/>
    <s v="22FT"/>
    <n v="7144"/>
    <s v="Dispatched"/>
    <s v="-"/>
    <m/>
  </r>
  <r>
    <n v="567"/>
    <n v="80"/>
    <s v="PIPO"/>
    <s v="PSO 343"/>
    <d v="2025-02-24T00:00:00"/>
    <x v="1"/>
    <s v="2425/5/TI-597"/>
    <x v="332"/>
    <d v="2025-02-26T00:00:00"/>
    <x v="0"/>
    <n v="410"/>
    <n v="410"/>
    <n v="41"/>
    <d v="2025-02-26T00:00:00"/>
    <s v="Delhi"/>
    <s v="Drona Logitech Pvt Ltd"/>
    <s v="DL1LGC9359"/>
    <s v="22FT"/>
    <n v="7150"/>
    <s v="Dispatched"/>
    <s v="-"/>
    <m/>
  </r>
  <r>
    <n v="568"/>
    <n v="80"/>
    <s v="BIBO"/>
    <s v="WSO 204"/>
    <d v="2025-02-24T00:00:00"/>
    <x v="1"/>
    <s v="2425/5/TI-593"/>
    <x v="333"/>
    <d v="2025-02-25T00:00:00"/>
    <x v="0"/>
    <n v="35"/>
    <n v="840"/>
    <n v="35"/>
    <d v="2025-02-26T00:00:00"/>
    <s v="Delhi"/>
    <s v="Drona Logitech Pvt Ltd"/>
    <s v="DL1LGC9359"/>
    <s v="22FT"/>
    <n v="7146"/>
    <s v="Dispatched"/>
    <s v="-"/>
    <m/>
  </r>
  <r>
    <n v="569"/>
    <n v="80"/>
    <s v="BIBO"/>
    <s v="WSO 202"/>
    <d v="2025-02-24T00:00:00"/>
    <x v="35"/>
    <s v="2425/5/TI-596"/>
    <x v="334"/>
    <d v="2025-02-26T00:00:00"/>
    <x v="0"/>
    <n v="32"/>
    <n v="732"/>
    <n v="32"/>
    <d v="2025-02-26T00:00:00"/>
    <s v="Delhi"/>
    <s v="Drona Logitech Pvt Ltd"/>
    <s v="DL1LGC9359"/>
    <s v="22FT"/>
    <n v="7145"/>
    <s v="Dispatched"/>
    <s v="-"/>
    <m/>
  </r>
  <r>
    <n v="570"/>
    <n v="80"/>
    <s v="BIBO"/>
    <s v="WSO 200"/>
    <d v="2025-02-23T00:00:00"/>
    <x v="4"/>
    <s v="2425/5/TI-589"/>
    <x v="335"/>
    <d v="2025-02-25T00:00:00"/>
    <x v="0"/>
    <n v="3"/>
    <n v="72"/>
    <n v="3"/>
    <d v="2025-02-26T00:00:00"/>
    <s v="Delhi"/>
    <s v="Drona Logitech Pvt Ltd"/>
    <s v="DL1LGC9359"/>
    <s v="22FT"/>
    <n v="7142"/>
    <s v="Dispatched"/>
    <s v="-"/>
    <m/>
  </r>
  <r>
    <n v="571"/>
    <n v="80"/>
    <s v="BIBO"/>
    <s v="WSO 205"/>
    <d v="2025-02-24T00:00:00"/>
    <x v="4"/>
    <s v="2425/5/TI-591"/>
    <x v="336"/>
    <d v="2025-02-25T00:00:00"/>
    <x v="0"/>
    <n v="5"/>
    <n v="120"/>
    <n v="5"/>
    <d v="2025-02-26T00:00:00"/>
    <s v="Delhi"/>
    <s v="Drona Logitech Pvt Ltd"/>
    <s v="DL1LGC9359"/>
    <s v="22FT"/>
    <n v="7147"/>
    <s v="Dispatched"/>
    <s v="-"/>
    <m/>
  </r>
  <r>
    <n v="572"/>
    <n v="81"/>
    <s v="PIPO"/>
    <s v="PSO 344"/>
    <d v="2025-02-24T00:00:00"/>
    <x v="4"/>
    <s v="2425/5/TI-602"/>
    <x v="337"/>
    <d v="2025-02-26T00:00:00"/>
    <x v="0"/>
    <n v="50"/>
    <n v="50"/>
    <n v="5"/>
    <d v="2025-02-27T00:00:00"/>
    <s v="Delhi"/>
    <s v="Drona Logitech Pvt Ltd"/>
    <s v="HR61E0283"/>
    <s v="22FT"/>
    <n v="7153"/>
    <s v="Dispatched"/>
    <s v="-"/>
    <m/>
  </r>
  <r>
    <n v="573"/>
    <n v="81"/>
    <s v="PIPO"/>
    <s v="PSO 346"/>
    <d v="2025-02-26T00:00:00"/>
    <x v="5"/>
    <s v="2425/5/TI-609"/>
    <x v="338"/>
    <d v="2025-02-27T00:00:00"/>
    <x v="0"/>
    <n v="142"/>
    <n v="142"/>
    <n v="14"/>
    <d v="2025-02-27T00:00:00"/>
    <s v="Delhi"/>
    <s v="Drona Logitech Pvt Ltd"/>
    <s v="HR61E0283"/>
    <s v="22FT"/>
    <n v="7159"/>
    <s v="Dispatched"/>
    <s v="-"/>
    <m/>
  </r>
  <r>
    <n v="574"/>
    <n v="81"/>
    <s v="PIPO"/>
    <s v="PSO 345"/>
    <d v="2025-02-25T00:00:00"/>
    <x v="4"/>
    <s v="2425/5/TI-608"/>
    <x v="339"/>
    <d v="2025-02-27T00:00:00"/>
    <x v="0"/>
    <n v="30"/>
    <n v="30"/>
    <n v="3"/>
    <d v="2025-02-27T00:00:00"/>
    <s v="Delhi"/>
    <s v="Drona Logitech Pvt Ltd"/>
    <s v="HR61E0283"/>
    <s v="22FT"/>
    <n v="7154"/>
    <s v="Dispatched"/>
    <s v="-"/>
    <m/>
  </r>
  <r>
    <n v="575"/>
    <n v="81"/>
    <s v="BIBO"/>
    <s v="WSO 213"/>
    <d v="2025-02-26T00:00:00"/>
    <x v="11"/>
    <s v="2425/5/TI-605"/>
    <x v="322"/>
    <d v="2025-02-27T00:00:00"/>
    <x v="0"/>
    <n v="6"/>
    <n v="144"/>
    <n v="6"/>
    <d v="2025-02-27T00:00:00"/>
    <s v="Delhi"/>
    <s v="Drona Logitech Pvt Ltd"/>
    <s v="HR61E0283"/>
    <s v="22FT"/>
    <n v="7151"/>
    <s v="Dispatched"/>
    <s v="-"/>
    <m/>
  </r>
  <r>
    <n v="576"/>
    <n v="81"/>
    <s v="BIBO"/>
    <s v="WSO 210"/>
    <d v="2025-02-25T00:00:00"/>
    <x v="42"/>
    <s v="2425/5/TI-610"/>
    <x v="340"/>
    <d v="2025-02-27T00:00:00"/>
    <x v="0"/>
    <n v="13"/>
    <n v="312"/>
    <n v="13"/>
    <d v="2025-02-27T00:00:00"/>
    <s v="Delhi"/>
    <s v="Drona Logitech Pvt Ltd"/>
    <s v="HR61E0283"/>
    <s v="22FT"/>
    <n v="7160"/>
    <s v="Dispatched"/>
    <s v="-"/>
    <m/>
  </r>
  <r>
    <n v="577"/>
    <n v="81"/>
    <s v="PIPO"/>
    <s v="PSO 342"/>
    <d v="2025-02-24T00:00:00"/>
    <x v="1"/>
    <s v="2425/5/TI-601"/>
    <x v="341"/>
    <d v="2025-02-26T00:00:00"/>
    <x v="0"/>
    <n v="420"/>
    <n v="420"/>
    <n v="42"/>
    <d v="2025-02-27T00:00:00"/>
    <s v="Delhi"/>
    <s v="Drona Logitech Pvt Ltd"/>
    <s v="HR61E0283"/>
    <s v="22FT"/>
    <n v="7152"/>
    <s v="Dispatched"/>
    <s v="-"/>
    <m/>
  </r>
  <r>
    <n v="578"/>
    <n v="81"/>
    <s v="BIBO"/>
    <s v="WSO 203"/>
    <d v="2025-02-24T00:00:00"/>
    <x v="1"/>
    <s v="2425/5/TI-598"/>
    <x v="342"/>
    <d v="2025-02-26T00:00:00"/>
    <x v="0"/>
    <n v="45"/>
    <n v="1080"/>
    <n v="45"/>
    <d v="2025-02-27T00:00:00"/>
    <s v="Delhi"/>
    <s v="Drona Logitech Pvt Ltd"/>
    <s v="HR61E0283"/>
    <s v="22FT"/>
    <n v="7155"/>
    <s v="Dispatched"/>
    <s v="-"/>
    <m/>
  </r>
  <r>
    <n v="579"/>
    <n v="81"/>
    <s v="BIBO"/>
    <s v="WSO 214"/>
    <d v="2025-02-27T00:00:00"/>
    <x v="2"/>
    <s v="2425/5/TI-606"/>
    <x v="119"/>
    <d v="2025-02-27T00:00:00"/>
    <x v="0"/>
    <n v="8"/>
    <n v="192"/>
    <n v="8"/>
    <d v="2025-02-27T00:00:00"/>
    <s v="Delhi"/>
    <s v="Drona Logitech Pvt Ltd"/>
    <s v="HR61E0283"/>
    <s v="22FT"/>
    <n v="7156"/>
    <s v="Dispatched"/>
    <s v="-"/>
    <m/>
  </r>
  <r>
    <n v="580"/>
    <n v="81"/>
    <s v="BIBO"/>
    <s v="WSO 215"/>
    <d v="2025-02-27T00:00:00"/>
    <x v="3"/>
    <s v="2425/5/TI-607"/>
    <x v="343"/>
    <d v="2025-02-27T00:00:00"/>
    <x v="0"/>
    <n v="20"/>
    <n v="480"/>
    <n v="20"/>
    <d v="2025-02-27T00:00:00"/>
    <s v="Delhi"/>
    <s v="Drona Logitech Pvt Ltd"/>
    <s v="HR61E0283"/>
    <s v="22FT"/>
    <n v="7157"/>
    <s v="Dispatched"/>
    <s v="-"/>
    <m/>
  </r>
  <r>
    <n v="581"/>
    <n v="81"/>
    <s v="BIBO"/>
    <s v="WSO 211"/>
    <d v="2025-02-25T00:00:00"/>
    <x v="4"/>
    <s v="2425/5/TI-603"/>
    <x v="344"/>
    <d v="2025-02-27T00:00:00"/>
    <x v="0"/>
    <n v="10"/>
    <n v="240"/>
    <n v="10"/>
    <d v="2025-02-27T00:00:00"/>
    <s v="Delhi"/>
    <s v="Drona Logitech Pvt Ltd"/>
    <s v="HR61E0283"/>
    <s v="22FT"/>
    <n v="7158"/>
    <s v="Dispatched"/>
    <s v="-"/>
    <m/>
  </r>
  <r>
    <n v="582"/>
    <n v="81"/>
    <s v="BIBO"/>
    <s v="WSO 212"/>
    <d v="2025-02-25T00:00:00"/>
    <x v="25"/>
    <s v="2425/5/TI-604"/>
    <x v="345"/>
    <d v="2025-02-27T00:00:00"/>
    <x v="0"/>
    <n v="13"/>
    <n v="312"/>
    <n v="13"/>
    <d v="2025-02-27T00:00:00"/>
    <s v="Delhi"/>
    <s v="Drona Logitech Pvt Ltd"/>
    <s v="HR61E0283"/>
    <s v="22FT"/>
    <n v="7150"/>
    <s v="Dispatched"/>
    <s v="-"/>
    <m/>
  </r>
  <r>
    <n v="583"/>
    <n v="84"/>
    <s v="PIPO"/>
    <s v="PSO 347"/>
    <d v="2025-02-27T00:00:00"/>
    <x v="25"/>
    <s v="2425/5/TI-652"/>
    <x v="346"/>
    <d v="2025-03-03T00:00:00"/>
    <x v="0"/>
    <n v="30"/>
    <n v="30"/>
    <n v="3"/>
    <d v="2025-03-04T00:00:00"/>
    <s v="Delhi"/>
    <s v="Drona Logitech Pvt Ltd"/>
    <s v="DL01MA2872"/>
    <s v="22FT"/>
    <n v="8023"/>
    <s v="Dispatched"/>
    <s v="-"/>
    <m/>
  </r>
  <r>
    <n v="584"/>
    <n v="85"/>
    <s v="PIPO"/>
    <s v="PSO 348"/>
    <d v="2025-02-28T00:00:00"/>
    <x v="4"/>
    <s v="2425/5/TI-636"/>
    <x v="347"/>
    <d v="2025-02-28T00:00:00"/>
    <x v="0"/>
    <n v="30"/>
    <n v="30"/>
    <n v="3"/>
    <d v="2025-03-05T00:00:00"/>
    <s v="Delhi"/>
    <s v="Drona Logitech Pvt Ltd"/>
    <s v="DL01GC9359"/>
    <s v="22FT"/>
    <n v="8034"/>
    <s v="Dispatched"/>
    <s v="-"/>
    <m/>
  </r>
  <r>
    <n v="585"/>
    <n v="84"/>
    <s v="PIPO"/>
    <s v="PSO 349"/>
    <d v="2025-02-28T00:00:00"/>
    <x v="31"/>
    <s v="2425/5/TI-637"/>
    <x v="348"/>
    <d v="2025-02-28T00:00:00"/>
    <x v="0"/>
    <n v="370"/>
    <n v="370"/>
    <n v="37"/>
    <d v="2025-03-04T00:00:00"/>
    <s v="Delhi"/>
    <s v="Drona Logitech Pvt Ltd"/>
    <s v="DL01MA2872"/>
    <s v="22FT"/>
    <n v="8022"/>
    <s v="Dispatched"/>
    <s v="-"/>
    <m/>
  </r>
  <r>
    <n v="586"/>
    <n v="86"/>
    <s v="PIPO"/>
    <s v="PSO 350"/>
    <d v="2025-02-28T00:00:00"/>
    <x v="2"/>
    <s v="2425/5/TI-658"/>
    <x v="349"/>
    <d v="2025-03-06T00:00:00"/>
    <x v="0"/>
    <n v="420"/>
    <n v="417"/>
    <n v="42"/>
    <d v="2025-03-09T00:00:00"/>
    <s v="Delhi"/>
    <s v="Drona Logitech Pvt Ltd"/>
    <s v="DL01MA2872"/>
    <s v="22FT"/>
    <n v="8036"/>
    <s v="Dispatched"/>
    <s v="-"/>
    <m/>
  </r>
  <r>
    <n v="587"/>
    <n v="86"/>
    <s v="PIPO"/>
    <s v="PSO 351"/>
    <d v="2025-02-28T00:00:00"/>
    <x v="2"/>
    <s v="2425/5/TI-659"/>
    <x v="350"/>
    <d v="2025-03-06T00:00:00"/>
    <x v="0"/>
    <n v="515"/>
    <n v="515"/>
    <n v="52"/>
    <d v="2025-03-09T00:00:00"/>
    <s v="Delhi"/>
    <s v="Drona Logitech Pvt Ltd"/>
    <s v="DL01MA2872"/>
    <s v="22FT"/>
    <n v="8035"/>
    <s v="Dispatched"/>
    <s v="-"/>
    <m/>
  </r>
  <r>
    <n v="588"/>
    <n v="85"/>
    <s v="PIPO"/>
    <s v="PSO 352"/>
    <d v="2025-02-28T00:00:00"/>
    <x v="2"/>
    <s v="2425/5/TI-639"/>
    <x v="351"/>
    <d v="2025-02-28T00:00:00"/>
    <x v="0"/>
    <n v="400"/>
    <n v="400"/>
    <n v="40"/>
    <d v="2025-03-05T00:00:00"/>
    <s v="Delhi"/>
    <s v="Drona Logitech Pvt Ltd"/>
    <s v="DL01GC9359"/>
    <s v="22FT"/>
    <n v="8022"/>
    <s v="Dispatched"/>
    <s v="-"/>
    <m/>
  </r>
  <r>
    <n v="589"/>
    <n v="85"/>
    <s v="PIPO"/>
    <s v="PSO 353"/>
    <d v="2025-02-28T00:00:00"/>
    <x v="2"/>
    <s v="2425/5/TI-641"/>
    <x v="352"/>
    <d v="2025-02-28T00:00:00"/>
    <x v="0"/>
    <n v="400"/>
    <n v="400"/>
    <n v="40"/>
    <d v="2025-03-05T00:00:00"/>
    <s v="Delhi"/>
    <s v="Drona Logitech Pvt Ltd"/>
    <s v="DL01GC9359"/>
    <s v="22FT"/>
    <n v="8026"/>
    <s v="Dispatched"/>
    <s v="-"/>
    <m/>
  </r>
  <r>
    <n v="590"/>
    <n v="84"/>
    <s v="PIPO"/>
    <s v="PSO 354"/>
    <d v="2025-02-28T00:00:00"/>
    <x v="2"/>
    <s v="2425/5/TI-626"/>
    <x v="353"/>
    <d v="2025-02-28T00:00:00"/>
    <x v="0"/>
    <n v="600"/>
    <n v="600"/>
    <n v="60"/>
    <d v="2025-03-04T00:00:00"/>
    <s v="Delhi"/>
    <s v="Drona Logitech Pvt Ltd"/>
    <s v="DL01MA2872"/>
    <s v="22FT"/>
    <n v="8021"/>
    <s v="Dispatched"/>
    <s v="-"/>
    <m/>
  </r>
  <r>
    <n v="591"/>
    <n v="84"/>
    <s v="PIPO"/>
    <s v="PSO 355"/>
    <d v="2025-02-28T00:00:00"/>
    <x v="2"/>
    <s v="2425/5/TI-627"/>
    <x v="354"/>
    <d v="2025-02-28T00:00:00"/>
    <x v="0"/>
    <n v="500"/>
    <n v="500"/>
    <n v="50"/>
    <d v="2025-03-04T00:00:00"/>
    <s v="Delhi"/>
    <s v="Drona Logitech Pvt Ltd"/>
    <s v="DL01MA2872"/>
    <s v="22FT"/>
    <n v="8020"/>
    <s v="Dispatched"/>
    <s v="-"/>
    <m/>
  </r>
  <r>
    <n v="592"/>
    <n v="84"/>
    <s v="PIPO"/>
    <s v="PSO 356"/>
    <d v="2025-02-28T00:00:00"/>
    <x v="2"/>
    <s v="2425/5/TI-628"/>
    <x v="355"/>
    <d v="2025-02-28T00:00:00"/>
    <x v="0"/>
    <n v="500"/>
    <n v="500"/>
    <n v="50"/>
    <d v="2025-03-04T00:00:00"/>
    <s v="Delhi"/>
    <s v="Drona Logitech Pvt Ltd"/>
    <s v="DL01MA2872"/>
    <s v="22FT"/>
    <n v="8019"/>
    <s v="Dispatched"/>
    <s v="-"/>
    <m/>
  </r>
  <r>
    <n v="593"/>
    <n v="85"/>
    <s v="PIPO"/>
    <s v="PSO 357"/>
    <d v="2025-02-28T00:00:00"/>
    <x v="2"/>
    <s v="2425/5/TI-629"/>
    <x v="356"/>
    <d v="2025-02-28T00:00:00"/>
    <x v="0"/>
    <n v="400"/>
    <n v="400"/>
    <n v="40"/>
    <d v="2025-03-05T00:00:00"/>
    <s v="Delhi"/>
    <s v="Drona Logitech Pvt Ltd"/>
    <s v="DL01GC9359"/>
    <s v="22FT"/>
    <n v="8029"/>
    <s v="Dispatched"/>
    <s v="-"/>
    <m/>
  </r>
  <r>
    <n v="594"/>
    <n v="83"/>
    <s v="PIPO"/>
    <s v="PSO 358"/>
    <d v="2025-02-28T00:00:00"/>
    <x v="2"/>
    <s v="2425/5/TI-630"/>
    <x v="357"/>
    <d v="2025-02-28T00:00:00"/>
    <x v="0"/>
    <n v="350"/>
    <n v="350"/>
    <n v="35"/>
    <d v="2025-03-02T00:00:00"/>
    <s v="Delhi"/>
    <s v="Drona Logitech Pvt Ltd"/>
    <s v="DL1MA2872"/>
    <s v="22 FT"/>
    <m/>
    <s v="Dispatched"/>
    <s v="-"/>
    <m/>
  </r>
  <r>
    <n v="595"/>
    <n v="85"/>
    <s v="PIPO"/>
    <s v="PSO 359"/>
    <d v="2025-02-28T00:00:00"/>
    <x v="29"/>
    <s v="2425/5/TI-642"/>
    <x v="358"/>
    <d v="2025-02-28T00:00:00"/>
    <x v="0"/>
    <n v="420"/>
    <n v="420"/>
    <n v="42"/>
    <d v="2025-03-05T00:00:00"/>
    <s v="Delhi"/>
    <s v="Drona Logitech Pvt Ltd"/>
    <s v="DL01GC9359"/>
    <s v="22 FT"/>
    <n v="8033"/>
    <s v="Dispatched"/>
    <s v="-"/>
    <m/>
  </r>
  <r>
    <n v="596"/>
    <n v="88"/>
    <s v="PIPO"/>
    <s v="PSO 360"/>
    <d v="2025-02-28T00:00:00"/>
    <x v="32"/>
    <s v="2425/5/TI-643"/>
    <x v="359"/>
    <d v="2025-02-28T00:00:00"/>
    <x v="0"/>
    <n v="340"/>
    <n v="340"/>
    <n v="34"/>
    <d v="2025-03-10T00:00:00"/>
    <s v="Delhi"/>
    <s v="Drona Logitech Pvt Ltd"/>
    <s v="DL01MA2872"/>
    <s v="22 FT"/>
    <n v="8065"/>
    <s v="Dispatched"/>
    <s v="-"/>
    <m/>
  </r>
  <r>
    <n v="597"/>
    <n v="88"/>
    <s v="PIPO"/>
    <s v="PSO 361"/>
    <d v="2025-02-28T00:00:00"/>
    <x v="13"/>
    <s v="2425/5/TI-644"/>
    <x v="360"/>
    <d v="2025-02-28T00:00:00"/>
    <x v="0"/>
    <n v="440"/>
    <n v="440"/>
    <n v="41"/>
    <d v="2025-03-10T00:00:00"/>
    <s v="Delhi"/>
    <s v="Drona Logitech Pvt Ltd"/>
    <s v="DL01MA2872"/>
    <s v="22 FT"/>
    <n v="8074"/>
    <s v="Dispatched"/>
    <s v="33 Qty Order created without available inventory Short Material Dispatched"/>
    <m/>
  </r>
  <r>
    <n v="598"/>
    <n v="86"/>
    <s v="PIPO"/>
    <s v="PSO 362"/>
    <d v="2025-02-28T00:00:00"/>
    <x v="13"/>
    <s v="2425/5/TI-671"/>
    <x v="361"/>
    <d v="2025-03-07T00:00:00"/>
    <x v="0"/>
    <n v="390"/>
    <n v="390"/>
    <n v="39"/>
    <d v="2025-03-09T00:00:00"/>
    <s v="Delhi"/>
    <s v="Drona Logitech Pvt Ltd"/>
    <s v="DL01MA2872"/>
    <s v="22 FT"/>
    <n v="8039"/>
    <s v="Dispatched"/>
    <s v="-"/>
    <m/>
  </r>
  <r>
    <n v="599"/>
    <n v="85"/>
    <s v="PIPO"/>
    <s v="PSO 363"/>
    <d v="2025-02-28T00:00:00"/>
    <x v="13"/>
    <s v="2425/5/TI-645"/>
    <x v="362"/>
    <d v="2025-02-28T00:00:00"/>
    <x v="0"/>
    <n v="400"/>
    <n v="400"/>
    <n v="40"/>
    <d v="2025-03-05T00:00:00"/>
    <s v="Delhi"/>
    <s v="Drona Logitech Pvt Ltd"/>
    <s v="DL01GC9359"/>
    <s v="22FT"/>
    <n v="8025"/>
    <s v="Dispatched"/>
    <s v="-"/>
    <m/>
  </r>
  <r>
    <n v="600"/>
    <n v="84"/>
    <s v="PIPO"/>
    <s v="PSO 364"/>
    <d v="2025-02-28T00:00:00"/>
    <x v="13"/>
    <s v="2425/5/TI-631"/>
    <x v="363"/>
    <d v="2025-02-28T00:00:00"/>
    <x v="0"/>
    <n v="200"/>
    <n v="200"/>
    <n v="20"/>
    <d v="2025-03-04T00:00:00"/>
    <s v="Delhi"/>
    <s v="Drona Logitech Pvt Ltd"/>
    <s v="DL01MA2872"/>
    <s v="22FT"/>
    <n v="8024"/>
    <s v="Dispatched"/>
    <s v="-"/>
    <m/>
  </r>
  <r>
    <n v="601"/>
    <n v="85"/>
    <s v="PIPO"/>
    <s v="PSO 365"/>
    <d v="2025-02-28T00:00:00"/>
    <x v="27"/>
    <s v="2425/5/TI-647"/>
    <x v="364"/>
    <d v="2025-02-28T00:00:00"/>
    <x v="0"/>
    <n v="240"/>
    <n v="240"/>
    <n v="24"/>
    <d v="2025-03-05T00:00:00"/>
    <s v="Delhi"/>
    <s v="Drona Logitech Pvt Ltd"/>
    <s v="DL01GC9359"/>
    <s v="22 FT"/>
    <n v="8027"/>
    <s v="Dispatched"/>
    <s v="-"/>
    <m/>
  </r>
  <r>
    <n v="602"/>
    <n v="85"/>
    <s v="PIPO"/>
    <s v="PSO 366"/>
    <d v="2025-02-28T00:00:00"/>
    <x v="27"/>
    <s v="2425/5/TI-632"/>
    <x v="365"/>
    <d v="2025-02-28T00:00:00"/>
    <x v="0"/>
    <n v="270"/>
    <n v="270"/>
    <n v="27"/>
    <d v="2025-03-05T00:00:00"/>
    <s v="Delhi"/>
    <s v="Drona Logitech Pvt Ltd"/>
    <s v="DL01GC9359"/>
    <s v="22 FT"/>
    <n v="8028"/>
    <s v="Dispatched"/>
    <s v="-"/>
    <m/>
  </r>
  <r>
    <n v="603"/>
    <n v="88"/>
    <s v="PIPO"/>
    <s v="PSO 367"/>
    <d v="2025-02-28T00:00:00"/>
    <x v="42"/>
    <s v="2425/5/TI-694"/>
    <x v="366"/>
    <d v="2025-03-09T00:00:00"/>
    <x v="0"/>
    <n v="190"/>
    <n v="190"/>
    <n v="19"/>
    <d v="2025-03-10T00:00:00"/>
    <s v="Delhi"/>
    <s v="Drona Logitech Pvt Ltd"/>
    <s v="DL01MA2872"/>
    <s v="22 FT"/>
    <n v="8070"/>
    <s v="Dispatched"/>
    <s v="-"/>
    <m/>
  </r>
  <r>
    <n v="604"/>
    <n v="87"/>
    <s v="PIPO"/>
    <s v="PSO 368"/>
    <d v="2025-02-28T00:00:00"/>
    <x v="1"/>
    <s v="2425/5/TI-655"/>
    <x v="367"/>
    <d v="2025-03-04T00:00:00"/>
    <x v="0"/>
    <n v="430"/>
    <n v="430"/>
    <n v="43"/>
    <d v="2025-03-10T00:00:00"/>
    <s v="Delhi"/>
    <s v="Drona Logitech Pvt Ltd"/>
    <s v="HR61E0283"/>
    <s v="22 FT"/>
    <n v="8058"/>
    <s v="Dispatched"/>
    <s v="-"/>
    <m/>
  </r>
  <r>
    <n v="605"/>
    <n v="83"/>
    <s v="PIPO"/>
    <s v="PSO 369"/>
    <d v="2025-02-28T00:00:00"/>
    <x v="1"/>
    <s v="2425/5/TI-633"/>
    <x v="368"/>
    <d v="2025-02-28T00:00:00"/>
    <x v="0"/>
    <n v="260"/>
    <n v="260"/>
    <n v="26"/>
    <d v="2025-03-02T00:00:00"/>
    <s v="Delhi"/>
    <s v="Drona Logitech Pvt Ltd"/>
    <s v="DL1MA2872"/>
    <s v="22 FT"/>
    <n v="8022"/>
    <s v="Dispatched"/>
    <s v="-"/>
    <m/>
  </r>
  <r>
    <n v="606"/>
    <n v="86"/>
    <s v="PIPO"/>
    <s v="PSO 370"/>
    <d v="2025-02-28T00:00:00"/>
    <x v="34"/>
    <s v="2425/5/TI-669"/>
    <x v="369"/>
    <d v="2025-03-07T00:00:00"/>
    <x v="0"/>
    <n v="100"/>
    <n v="100"/>
    <n v="10"/>
    <d v="2025-03-09T00:00:00"/>
    <s v="Delhi"/>
    <s v="Drona Logitech Pvt Ltd"/>
    <s v="DL01MA2872"/>
    <s v="22 FT"/>
    <n v="8037"/>
    <s v="Dispatched"/>
    <s v="-"/>
    <m/>
  </r>
  <r>
    <n v="607"/>
    <n v="85"/>
    <s v="PIPO"/>
    <s v="PSO 371"/>
    <d v="2025-02-28T00:00:00"/>
    <x v="18"/>
    <s v="2425/5/TI-654"/>
    <x v="370"/>
    <d v="2025-02-28T00:00:00"/>
    <x v="0"/>
    <n v="170"/>
    <n v="170"/>
    <n v="17"/>
    <d v="2025-03-05T00:00:00"/>
    <s v="Delhi"/>
    <s v="Drona Logitech Pvt Ltd"/>
    <s v="DL01GC9359"/>
    <s v="22 FT"/>
    <n v="8030"/>
    <s v="Dispatched"/>
    <s v="-"/>
    <m/>
  </r>
  <r>
    <n v="608"/>
    <n v="86"/>
    <s v="PIPO"/>
    <s v="PSO 372"/>
    <d v="2025-02-28T00:00:00"/>
    <x v="23"/>
    <s v="2425/5/TI-656"/>
    <x v="371"/>
    <d v="2025-03-05T00:00:00"/>
    <x v="0"/>
    <n v="80"/>
    <n v="80"/>
    <n v="8"/>
    <d v="2025-03-09T00:00:00"/>
    <s v="Delhi"/>
    <s v="Drona Logitech Pvt Ltd"/>
    <s v="DL01MA2872"/>
    <s v="22 FT"/>
    <n v="8042"/>
    <s v="Dispatched"/>
    <s v="-"/>
    <m/>
  </r>
  <r>
    <n v="609"/>
    <n v="85"/>
    <s v="PIPO"/>
    <s v="PSO 373"/>
    <d v="2025-02-28T00:00:00"/>
    <x v="17"/>
    <s v="2425/5/TI-653"/>
    <x v="372"/>
    <d v="2025-03-04T00:00:00"/>
    <x v="0"/>
    <n v="360"/>
    <n v="360"/>
    <n v="36"/>
    <d v="2025-03-05T00:00:00"/>
    <s v="Delhi"/>
    <s v="Drona Logitech Pvt Ltd"/>
    <s v="DL01GC9359"/>
    <s v="22 FT"/>
    <n v="8031"/>
    <s v="Dispatched"/>
    <s v="-"/>
    <m/>
  </r>
  <r>
    <n v="610"/>
    <n v="85"/>
    <s v="PIPO"/>
    <s v="PSO 374"/>
    <d v="2025-02-28T00:00:00"/>
    <x v="21"/>
    <s v="2425/5/TI-634"/>
    <x v="373"/>
    <d v="2025-02-28T00:00:00"/>
    <x v="0"/>
    <n v="80"/>
    <n v="80"/>
    <n v="8"/>
    <d v="2025-03-05T00:00:00"/>
    <s v="Delhi"/>
    <s v="Drona Logitech Pvt Ltd"/>
    <s v="DL01GC9359"/>
    <s v="22 FT"/>
    <n v="8024"/>
    <s v="Dispatched"/>
    <s v="-"/>
    <m/>
  </r>
  <r>
    <n v="611"/>
    <n v="86"/>
    <s v="PIPO"/>
    <s v="PSO 375"/>
    <d v="2025-02-28T00:00:00"/>
    <x v="24"/>
    <s v="2425/5/TI-670"/>
    <x v="374"/>
    <d v="2025-03-07T00:00:00"/>
    <x v="0"/>
    <n v="210"/>
    <n v="210"/>
    <n v="21"/>
    <d v="2025-03-09T00:00:00"/>
    <s v="Delhi"/>
    <s v="Drona Logitech Pvt Ltd"/>
    <s v="DL01MA2872"/>
    <s v="22 FT"/>
    <n v="8038"/>
    <s v="Dispatched"/>
    <s v="-"/>
    <m/>
  </r>
  <r>
    <n v="612"/>
    <n v="82"/>
    <s v="PIPO"/>
    <s v="PSO 376"/>
    <d v="2025-02-28T00:00:00"/>
    <x v="24"/>
    <s v="2425/5/TI-635"/>
    <x v="375"/>
    <d v="2025-02-28T00:00:00"/>
    <x v="0"/>
    <n v="200"/>
    <n v="200"/>
    <n v="20"/>
    <d v="2025-03-01T00:00:00"/>
    <s v="Delhi"/>
    <s v="Drona Logitech Pvt Ltd"/>
    <s v="DL1MA2872"/>
    <s v="22 FT"/>
    <n v="8016"/>
    <s v="Dispatched"/>
    <s v="-"/>
    <m/>
  </r>
  <r>
    <n v="613"/>
    <n v="88"/>
    <s v="PIPO"/>
    <s v="PSO 377"/>
    <d v="2025-03-01T00:00:00"/>
    <x v="32"/>
    <s v="2425/5/TI-673"/>
    <x v="376"/>
    <d v="2025-03-08T00:00:00"/>
    <x v="0"/>
    <n v="100"/>
    <n v="100"/>
    <n v="10"/>
    <d v="2025-03-10T00:00:00"/>
    <s v="Delhi"/>
    <s v="Drona Logitech Pvt Ltd"/>
    <s v="DL01MA2872"/>
    <s v="22 FT"/>
    <n v="8067"/>
    <s v="Dispatched"/>
    <s v="-"/>
    <m/>
  </r>
  <r>
    <n v="614"/>
    <n v="88"/>
    <s v="PIPO"/>
    <s v="PSO 378"/>
    <d v="2025-03-01T00:00:00"/>
    <x v="4"/>
    <s v="2425/5/TI-681"/>
    <x v="377"/>
    <d v="2025-03-09T00:00:00"/>
    <x v="0"/>
    <n v="218"/>
    <n v="218"/>
    <n v="22"/>
    <d v="2025-03-10T00:00:00"/>
    <s v="Delhi"/>
    <s v="Drona Logitech Pvt Ltd"/>
    <s v="DL01MA2872"/>
    <s v="22 FT"/>
    <n v="8073"/>
    <s v="Dispatched"/>
    <s v="-"/>
    <m/>
  </r>
  <r>
    <n v="615"/>
    <n v="87"/>
    <s v="PIPO"/>
    <s v="PSO 379"/>
    <d v="2025-03-01T00:00:00"/>
    <x v="8"/>
    <s v="2425/5/TI-682"/>
    <x v="378"/>
    <d v="2025-03-09T00:00:00"/>
    <x v="0"/>
    <n v="170"/>
    <n v="170"/>
    <n v="17"/>
    <d v="2025-03-10T00:00:00"/>
    <s v="Delhi"/>
    <s v="Drona Logitech Pvt Ltd"/>
    <s v="HR61E0283"/>
    <s v="22 FT"/>
    <n v="8056"/>
    <s v="Dispatched"/>
    <s v="-"/>
    <m/>
  </r>
  <r>
    <n v="616"/>
    <n v="88"/>
    <s v="PIPO"/>
    <s v="PSO 380"/>
    <d v="2025-03-01T00:00:00"/>
    <x v="25"/>
    <s v="2425/5/TI-679"/>
    <x v="379"/>
    <d v="2025-03-08T00:00:00"/>
    <x v="0"/>
    <n v="220"/>
    <n v="220"/>
    <n v="22"/>
    <d v="2025-03-10T00:00:00"/>
    <s v="Delhi"/>
    <s v="Drona Logitech Pvt Ltd"/>
    <s v="DL01MA2872"/>
    <s v="22 FT"/>
    <n v="8068"/>
    <s v="Dispatched"/>
    <s v="-"/>
    <m/>
  </r>
  <r>
    <n v="617"/>
    <n v="82"/>
    <s v="BIBO"/>
    <s v="WSO 216"/>
    <d v="2025-02-27T00:00:00"/>
    <x v="13"/>
    <s v="2425/5/TI-622"/>
    <x v="380"/>
    <d v="2025-02-28T00:00:00"/>
    <x v="0"/>
    <n v="25"/>
    <n v="384"/>
    <n v="19"/>
    <d v="2025-03-01T00:00:00"/>
    <s v="Delhi"/>
    <s v="Drona Logitech Pvt Ltd"/>
    <s v="DL1MA2872"/>
    <s v="22 FT"/>
    <n v="8004"/>
    <s v="Dispatched"/>
    <s v="-"/>
    <m/>
  </r>
  <r>
    <n v="618"/>
    <n v="82"/>
    <s v="BIBO"/>
    <s v="WSO 217"/>
    <d v="2025-02-27T00:00:00"/>
    <x v="16"/>
    <s v="2425/5/TI-623"/>
    <x v="381"/>
    <d v="2025-02-28T00:00:00"/>
    <x v="0"/>
    <n v="12"/>
    <n v="240"/>
    <n v="10"/>
    <d v="2025-03-01T00:00:00"/>
    <s v="Delhi"/>
    <s v="Drona Logitech Pvt Ltd"/>
    <s v="DL1MA2872"/>
    <s v="22 FT"/>
    <n v="8003"/>
    <s v="Dispatched"/>
    <s v="-"/>
    <m/>
  </r>
  <r>
    <n v="619"/>
    <n v="82"/>
    <s v="BIBO"/>
    <s v="WSO 218"/>
    <d v="2025-02-27T00:00:00"/>
    <x v="1"/>
    <s v="2425/5/TI-617"/>
    <x v="301"/>
    <d v="2025-02-28T00:00:00"/>
    <x v="0"/>
    <n v="5"/>
    <n v="120"/>
    <n v="5"/>
    <d v="2025-03-01T00:00:00"/>
    <s v="Delhi"/>
    <s v="Drona Logitech Pvt Ltd"/>
    <s v="DL1MA2872"/>
    <s v="22 FT"/>
    <n v="8002"/>
    <s v="Dispatched"/>
    <s v="-"/>
    <m/>
  </r>
  <r>
    <n v="620"/>
    <n v="82"/>
    <s v="BIBO"/>
    <s v="WSO 219"/>
    <d v="2025-02-27T00:00:00"/>
    <x v="2"/>
    <s v="2425/5/TI-618"/>
    <x v="382"/>
    <d v="2025-02-28T00:00:00"/>
    <x v="0"/>
    <n v="15"/>
    <n v="240"/>
    <n v="15"/>
    <d v="2025-03-01T00:00:00"/>
    <s v="Delhi"/>
    <s v="Drona Logitech Pvt Ltd"/>
    <s v="DL1MA2872"/>
    <s v="22 FT"/>
    <n v="8001"/>
    <s v="Dispatched"/>
    <s v="-"/>
    <m/>
  </r>
  <r>
    <n v="621"/>
    <n v="82"/>
    <s v="BIBO"/>
    <s v="WSO 220"/>
    <d v="2025-02-27T00:00:00"/>
    <x v="10"/>
    <s v="2425/5/TI-616"/>
    <x v="301"/>
    <d v="2025-02-28T00:00:00"/>
    <x v="0"/>
    <n v="5"/>
    <n v="120"/>
    <n v="5"/>
    <d v="2025-03-01T00:00:00"/>
    <s v="Delhi"/>
    <s v="Drona Logitech Pvt Ltd"/>
    <s v="DL1MA2872"/>
    <s v="22 FT"/>
    <n v="8008"/>
    <s v="Dispatched"/>
    <s v="-"/>
    <m/>
  </r>
  <r>
    <n v="622"/>
    <n v="82"/>
    <s v="BIBO"/>
    <s v="WSO 221"/>
    <d v="2025-02-27T00:00:00"/>
    <x v="2"/>
    <s v="2425/5/TI-615"/>
    <x v="301"/>
    <d v="2025-02-28T00:00:00"/>
    <x v="0"/>
    <n v="5"/>
    <n v="120"/>
    <n v="5"/>
    <d v="2025-03-01T00:00:00"/>
    <s v="Delhi"/>
    <s v="Drona Logitech Pvt Ltd"/>
    <s v="DL1MA2872"/>
    <s v="22 FT"/>
    <n v="8007"/>
    <s v="Dispatched"/>
    <s v="DISPATCHED"/>
    <m/>
  </r>
  <r>
    <n v="623"/>
    <n v="82"/>
    <s v="BIBO"/>
    <s v="WSO 222"/>
    <d v="2025-02-27T00:00:00"/>
    <x v="25"/>
    <s v="2425/5/TI-614"/>
    <x v="383"/>
    <d v="2025-02-28T00:00:00"/>
    <x v="0"/>
    <n v="3"/>
    <n v="72"/>
    <n v="3"/>
    <d v="2025-03-01T00:00:00"/>
    <s v="Delhi"/>
    <s v="Drona Logitech Pvt Ltd"/>
    <s v="DL1MA2872"/>
    <s v="22 FT"/>
    <n v="8006"/>
    <s v="Dispatched"/>
    <s v="-"/>
    <m/>
  </r>
  <r>
    <n v="624"/>
    <n v="82"/>
    <s v="BIBO"/>
    <s v="WSO 223"/>
    <d v="2025-02-27T00:00:00"/>
    <x v="6"/>
    <s v="2425/5/TI-619"/>
    <x v="384"/>
    <d v="2025-02-28T00:00:00"/>
    <x v="0"/>
    <n v="20"/>
    <n v="360"/>
    <n v="20"/>
    <d v="2025-03-01T00:00:00"/>
    <s v="Delhi"/>
    <s v="Drona Logitech Pvt Ltd"/>
    <s v="DL1MA2872"/>
    <s v="22 FT"/>
    <n v="8005"/>
    <s v="Dispatched"/>
    <s v="-"/>
    <m/>
  </r>
  <r>
    <n v="625"/>
    <n v="82"/>
    <s v="BIBO"/>
    <s v="WSO 224"/>
    <d v="2025-02-27T00:00:00"/>
    <x v="6"/>
    <s v="2425/5/TI-613"/>
    <x v="385"/>
    <d v="2025-02-28T00:00:00"/>
    <x v="0"/>
    <n v="5"/>
    <n v="60"/>
    <n v="5"/>
    <d v="2025-03-01T00:00:00"/>
    <s v="Delhi"/>
    <s v="Drona Logitech Pvt Ltd"/>
    <s v="DL1MA2872"/>
    <s v="22 FT"/>
    <n v="8014"/>
    <s v="Dispatched"/>
    <s v="-"/>
    <m/>
  </r>
  <r>
    <n v="626"/>
    <n v="82"/>
    <s v="BIBO"/>
    <s v="WSO 225"/>
    <d v="2025-02-27T00:00:00"/>
    <x v="23"/>
    <s v="2425/5/TI-624"/>
    <x v="386"/>
    <d v="2025-02-28T00:00:00"/>
    <x v="0"/>
    <n v="12"/>
    <n v="288"/>
    <n v="12"/>
    <d v="2025-03-01T00:00:00"/>
    <s v="Delhi"/>
    <s v="Drona Logitech Pvt Ltd"/>
    <s v="DL1MA2872"/>
    <s v="22 FT"/>
    <n v="8015"/>
    <s v="Dispatched"/>
    <s v="-"/>
    <m/>
  </r>
  <r>
    <n v="627"/>
    <n v="82"/>
    <s v="BIBO"/>
    <s v="WSO 226"/>
    <d v="2025-02-27T00:00:00"/>
    <x v="8"/>
    <s v="2425/5/TI-611"/>
    <x v="10"/>
    <d v="2025-02-28T00:00:00"/>
    <x v="0"/>
    <n v="2"/>
    <n v="48"/>
    <n v="2"/>
    <d v="2025-03-01T00:00:00"/>
    <s v="Delhi"/>
    <s v="Drona Logitech Pvt Ltd"/>
    <s v="DL1MA2872"/>
    <s v="22 FT"/>
    <n v="8011"/>
    <s v="Dispatched"/>
    <s v="-"/>
    <m/>
  </r>
  <r>
    <n v="628"/>
    <n v="82"/>
    <s v="BIBO"/>
    <s v="WSO 227"/>
    <d v="2025-02-27T00:00:00"/>
    <x v="10"/>
    <s v="2425/5/TI-612"/>
    <x v="387"/>
    <d v="2025-02-28T00:00:00"/>
    <x v="0"/>
    <n v="4"/>
    <n v="96"/>
    <n v="4"/>
    <d v="2025-03-01T00:00:00"/>
    <s v="Delhi"/>
    <s v="Drona Logitech Pvt Ltd"/>
    <s v="DL1MA2872"/>
    <s v="22 FT"/>
    <n v="8010"/>
    <s v="Dispatched"/>
    <s v="-"/>
    <m/>
  </r>
  <r>
    <n v="629"/>
    <n v="82"/>
    <s v="BIBO"/>
    <s v="WSO 228"/>
    <d v="2025-02-28T00:00:00"/>
    <x v="38"/>
    <s v="2425/5/TI-625"/>
    <x v="388"/>
    <d v="2025-02-28T00:00:00"/>
    <x v="0"/>
    <n v="16"/>
    <n v="288"/>
    <n v="16"/>
    <d v="2025-03-01T00:00:00"/>
    <s v="Delhi"/>
    <s v="Drona Logitech Pvt Ltd"/>
    <s v="DL1MA2872"/>
    <s v="22 FT"/>
    <n v="8009"/>
    <s v="Dispatched"/>
    <s v="-"/>
    <m/>
  </r>
  <r>
    <n v="630"/>
    <n v="83"/>
    <s v="BIBO"/>
    <s v="WSO 229"/>
    <d v="2025-02-28T00:00:00"/>
    <x v="2"/>
    <s v="2425/5/TI-649"/>
    <x v="389"/>
    <d v="2025-02-28T00:00:00"/>
    <x v="0"/>
    <n v="49"/>
    <n v="1080"/>
    <n v="45"/>
    <d v="2025-03-02T00:00:00"/>
    <s v="Delhi"/>
    <s v="Drona Logitech Pvt Ltd"/>
    <s v="DL1MA2872"/>
    <s v="22 FT"/>
    <n v="8017"/>
    <s v="Dispatched"/>
    <s v="-"/>
    <m/>
  </r>
  <r>
    <n v="631"/>
    <n v="82"/>
    <s v="BIBO"/>
    <s v="WSO 230"/>
    <d v="2025-02-28T00:00:00"/>
    <x v="4"/>
    <s v="2425/5/TI-620"/>
    <x v="390"/>
    <d v="2025-02-28T00:00:00"/>
    <x v="0"/>
    <n v="13"/>
    <n v="312"/>
    <n v="13"/>
    <d v="2025-03-01T00:00:00"/>
    <s v="Delhi"/>
    <s v="Drona Logitech Pvt Ltd"/>
    <s v="DL1MA2872"/>
    <s v="22 FT"/>
    <n v="8012"/>
    <s v="Dispatched"/>
    <s v="-"/>
    <m/>
  </r>
  <r>
    <n v="632"/>
    <n v="83"/>
    <s v="BIBO"/>
    <s v="WSO 231"/>
    <d v="2025-02-28T00:00:00"/>
    <x v="2"/>
    <s v="2425/5/TI-638"/>
    <x v="391"/>
    <d v="2025-02-28T00:00:00"/>
    <x v="0"/>
    <n v="37"/>
    <n v="816"/>
    <n v="43"/>
    <d v="2025-03-02T00:00:00"/>
    <s v="Delhi"/>
    <s v="Drona Logitech Pvt Ltd"/>
    <s v="DL1MA2872"/>
    <s v="22 FT"/>
    <n v="8018"/>
    <s v="Dispatched"/>
    <s v="-"/>
    <m/>
  </r>
  <r>
    <n v="633"/>
    <n v="82"/>
    <s v="BIBO"/>
    <s v="WSO 232"/>
    <d v="2025-02-28T00:00:00"/>
    <x v="21"/>
    <s v="2425/5/TI-640"/>
    <x v="392"/>
    <d v="2025-02-28T00:00:00"/>
    <x v="0"/>
    <n v="10"/>
    <n v="240"/>
    <n v="10"/>
    <d v="2025-03-01T00:00:00"/>
    <s v="Delhi"/>
    <s v="Drona Logitech Pvt Ltd"/>
    <s v="DL1MA2872"/>
    <s v="22 FT"/>
    <n v="8013"/>
    <s v="Dispatched"/>
    <s v="-"/>
    <m/>
  </r>
  <r>
    <n v="634"/>
    <n v="83"/>
    <s v="BIBO"/>
    <s v="WSO 233"/>
    <d v="2025-02-28T00:00:00"/>
    <x v="6"/>
    <s v="2425/5/TI-646"/>
    <x v="393"/>
    <d v="2025-02-28T00:00:00"/>
    <x v="0"/>
    <n v="12"/>
    <n v="288"/>
    <n v="12"/>
    <d v="2025-03-02T00:00:00"/>
    <s v="Delhi"/>
    <s v="Drona Logitech Pvt Ltd"/>
    <s v="DL1MA2872"/>
    <s v="22 FT"/>
    <n v="8019"/>
    <s v="Dispatched"/>
    <s v="-"/>
    <m/>
  </r>
  <r>
    <n v="635"/>
    <n v="87"/>
    <s v="BIBO"/>
    <s v="WSO 234"/>
    <d v="2025-02-28T00:00:00"/>
    <x v="31"/>
    <s v="2425/5/TI-657"/>
    <x v="394"/>
    <d v="2025-03-06T00:00:00"/>
    <x v="0"/>
    <n v="240"/>
    <n v="240"/>
    <n v="10"/>
    <d v="2025-03-10T00:00:00"/>
    <s v="Delhi"/>
    <s v="Drona Logitech Pvt Ltd"/>
    <s v="HR61E0283"/>
    <s v="22 FT"/>
    <n v="8059"/>
    <s v="Dispatched"/>
    <s v="-"/>
    <m/>
  </r>
  <r>
    <n v="636"/>
    <n v="83"/>
    <s v="BIBO"/>
    <s v="WSO 235"/>
    <d v="2025-03-01T00:00:00"/>
    <x v="4"/>
    <s v="2425/5/TI-650"/>
    <x v="395"/>
    <d v="2025-03-02T00:00:00"/>
    <x v="0"/>
    <n v="6"/>
    <n v="144"/>
    <n v="6"/>
    <d v="2025-03-02T00:00:00"/>
    <s v="Delhi"/>
    <s v="Drona Logitech Pvt Ltd"/>
    <s v="DL1MA2872"/>
    <s v="22 FT"/>
    <n v="8020"/>
    <s v="Dispatched"/>
    <s v="-"/>
    <m/>
  </r>
  <r>
    <n v="637"/>
    <n v="83"/>
    <s v="BIBO"/>
    <s v="WSO 236"/>
    <d v="2025-03-01T00:00:00"/>
    <x v="11"/>
    <s v="2425/5/TI-651"/>
    <x v="396"/>
    <d v="2025-03-02T00:00:00"/>
    <x v="0"/>
    <n v="7"/>
    <n v="168"/>
    <n v="7"/>
    <d v="2025-03-02T00:00:00"/>
    <s v="Delhi"/>
    <s v="Drona Logitech Pvt Ltd"/>
    <s v="DL1MA2872"/>
    <s v="22 FT"/>
    <n v="8021"/>
    <s v="Dispatched"/>
    <s v="-"/>
    <m/>
  </r>
  <r>
    <n v="638"/>
    <n v="88"/>
    <s v="PIPO"/>
    <s v="PSO 381"/>
    <d v="2025-03-05T00:00:00"/>
    <x v="4"/>
    <s v="2425/5/TI-683"/>
    <x v="397"/>
    <d v="2025-03-09T00:00:00"/>
    <x v="0"/>
    <n v="70"/>
    <n v="70"/>
    <n v="7"/>
    <d v="2025-03-10T00:00:00"/>
    <s v="Delhi"/>
    <s v="Drona Logitech Pvt Ltd"/>
    <s v="DL01MA2872"/>
    <s v="22 FT"/>
    <n v="8075"/>
    <s v="Dispatched"/>
    <s v="-"/>
    <m/>
  </r>
  <r>
    <n v="639"/>
    <n v="88"/>
    <s v="PIPO"/>
    <s v="PSO 382"/>
    <d v="2025-03-08T00:00:00"/>
    <x v="2"/>
    <s v="2425/5/TI-685"/>
    <x v="398"/>
    <d v="2025-03-09T00:00:00"/>
    <x v="0"/>
    <n v="150"/>
    <n v="150"/>
    <n v="15"/>
    <d v="2025-03-10T00:00:00"/>
    <s v="Delhi"/>
    <s v="Drona Logitech Pvt Ltd"/>
    <s v="DL01MA2872"/>
    <s v="22 FT"/>
    <n v="8065"/>
    <s v="Dispatched"/>
    <s v="-"/>
    <m/>
  </r>
  <r>
    <n v="640"/>
    <n v="87"/>
    <s v="PIPO"/>
    <s v="PSO 384"/>
    <d v="2025-03-08T00:00:00"/>
    <x v="16"/>
    <s v="2425/5/TI-695"/>
    <x v="399"/>
    <d v="2025-03-09T00:00:00"/>
    <x v="0"/>
    <n v="440"/>
    <n v="440"/>
    <n v="44"/>
    <d v="2025-03-10T00:00:00"/>
    <s v="Delhi"/>
    <s v="Drona Logitech Pvt Ltd"/>
    <s v="HR61E0283"/>
    <s v="22 FT"/>
    <n v="8051"/>
    <s v="Dispatched"/>
    <s v="-"/>
    <m/>
  </r>
  <r>
    <n v="641"/>
    <n v="88"/>
    <s v="PIPO"/>
    <s v="PSO 385"/>
    <d v="2025-03-08T00:00:00"/>
    <x v="4"/>
    <s v="2425/5/TI-688"/>
    <x v="400"/>
    <d v="2025-03-09T00:00:00"/>
    <x v="0"/>
    <n v="70"/>
    <n v="70"/>
    <n v="7"/>
    <d v="2025-03-10T00:00:00"/>
    <s v="Delhi"/>
    <s v="Drona Logitech Pvt Ltd"/>
    <s v="DL01MA2872"/>
    <s v="22 FT"/>
    <n v="8071"/>
    <s v="Dispatched"/>
    <s v="-"/>
    <m/>
  </r>
  <r>
    <n v="642"/>
    <n v="87"/>
    <s v="PIPO"/>
    <s v="PSO 386"/>
    <d v="2025-03-09T00:00:00"/>
    <x v="8"/>
    <s v="2425/5/TI-690"/>
    <x v="401"/>
    <d v="2025-03-09T00:00:00"/>
    <x v="0"/>
    <n v="40"/>
    <n v="40"/>
    <n v="4"/>
    <d v="2025-03-10T00:00:00"/>
    <s v="Delhi"/>
    <s v="Drona Logitech Pvt Ltd"/>
    <s v="HR61E0283"/>
    <s v="22 FT"/>
    <n v="8057"/>
    <s v="Dispatched"/>
    <s v="-"/>
    <m/>
  </r>
  <r>
    <n v="643"/>
    <n v="87"/>
    <s v="BIBO"/>
    <s v="WSO 237"/>
    <d v="2025-03-03T00:00:00"/>
    <x v="4"/>
    <s v="2425/5/TI-672"/>
    <x v="402"/>
    <d v="2025-03-07T00:00:00"/>
    <x v="0"/>
    <n v="288"/>
    <n v="288"/>
    <n v="12"/>
    <d v="2025-03-10T00:00:00"/>
    <s v="Delhi"/>
    <s v="Drona Logitech Pvt Ltd"/>
    <s v="HR61E0283"/>
    <s v="22 FT"/>
    <n v="8055"/>
    <s v="Dispatched"/>
    <s v="-"/>
    <m/>
  </r>
  <r>
    <n v="644"/>
    <n v="86"/>
    <s v="BIBO"/>
    <s v="WSO 238"/>
    <d v="2025-03-03T00:00:00"/>
    <x v="12"/>
    <s v="2425/5/TI-661"/>
    <x v="403"/>
    <d v="2025-03-07T00:00:00"/>
    <x v="0"/>
    <n v="4"/>
    <n v="96"/>
    <n v="4"/>
    <d v="2025-03-09T00:00:00"/>
    <s v="Delhi"/>
    <s v="Drona Logitech Pvt Ltd"/>
    <s v="DL01MA2872"/>
    <s v="22 FT"/>
    <n v="8044"/>
    <s v="Dispatched"/>
    <s v="-"/>
    <m/>
  </r>
  <r>
    <n v="645"/>
    <n v="86"/>
    <s v="BIBO"/>
    <s v="WSO 239"/>
    <d v="2025-03-03T00:00:00"/>
    <x v="2"/>
    <s v="2425/5/TI-660"/>
    <x v="403"/>
    <d v="2025-03-07T00:00:00"/>
    <x v="0"/>
    <n v="4"/>
    <n v="96"/>
    <n v="4"/>
    <d v="2025-03-09T00:00:00"/>
    <s v="Delhi"/>
    <s v="Drona Logitech Pvt Ltd"/>
    <s v="DL01MA2872"/>
    <s v="22 FT"/>
    <n v="8045"/>
    <s v="Dispatched"/>
    <s v="-"/>
    <m/>
  </r>
  <r>
    <n v="646"/>
    <n v="87"/>
    <s v="BIBO"/>
    <s v="WSO 240"/>
    <d v="2025-03-03T00:00:00"/>
    <x v="11"/>
    <s v="2425/5/TI-663"/>
    <x v="403"/>
    <d v="2025-03-07T00:00:00"/>
    <x v="0"/>
    <n v="4"/>
    <n v="96"/>
    <n v="4"/>
    <d v="2025-03-10T00:00:00"/>
    <s v="Delhi"/>
    <s v="Drona Logitech Pvt Ltd"/>
    <s v="HR61E0283"/>
    <s v="22 FT"/>
    <n v="8063"/>
    <s v="Dispatched"/>
    <s v="-"/>
    <m/>
  </r>
  <r>
    <n v="647"/>
    <n v="86"/>
    <s v="BIBO"/>
    <s v="WSO 241"/>
    <d v="2025-03-03T00:00:00"/>
    <x v="43"/>
    <s v="2425/5/TI-662"/>
    <x v="151"/>
    <d v="2025-03-07T00:00:00"/>
    <x v="0"/>
    <n v="6"/>
    <n v="144"/>
    <n v="6"/>
    <d v="2025-03-09T00:00:00"/>
    <s v="Delhi"/>
    <s v="Drona Logitech Pvt Ltd"/>
    <s v="DL01MA2872"/>
    <s v="22 FT"/>
    <n v="8043"/>
    <s v="Dispatched"/>
    <s v="-"/>
    <m/>
  </r>
  <r>
    <n v="648"/>
    <n v="87"/>
    <s v="BIBO"/>
    <s v="WSO 242"/>
    <d v="2025-03-03T00:00:00"/>
    <x v="16"/>
    <s v="2425/5/TI-668"/>
    <x v="404"/>
    <d v="2025-03-07T00:00:00"/>
    <x v="0"/>
    <n v="408"/>
    <n v="408"/>
    <n v="17"/>
    <d v="2025-03-10T00:00:00"/>
    <s v="Delhi"/>
    <s v="Drona Logitech Pvt Ltd"/>
    <s v="HR61E0283"/>
    <s v="22 FT"/>
    <n v="8047"/>
    <s v="Dispatched"/>
    <s v="-"/>
    <m/>
  </r>
  <r>
    <n v="649"/>
    <n v="87"/>
    <s v="BIBO"/>
    <s v="WSO 243"/>
    <d v="2025-03-05T00:00:00"/>
    <x v="13"/>
    <s v="2425/5/TI-674"/>
    <x v="405"/>
    <d v="2025-03-08T00:00:00"/>
    <x v="0"/>
    <n v="432"/>
    <n v="432"/>
    <n v="18"/>
    <d v="2025-03-10T00:00:00"/>
    <s v="Delhi"/>
    <s v="Drona Logitech Pvt Ltd"/>
    <s v="HR61E0283"/>
    <s v="22 FT"/>
    <n v="8060"/>
    <s v="Dispatched"/>
    <s v="-"/>
    <m/>
  </r>
  <r>
    <n v="650"/>
    <n v="86"/>
    <s v="BIBO"/>
    <s v="WSO 244"/>
    <d v="2025-03-05T00:00:00"/>
    <x v="9"/>
    <s v="2425/5/TI-665"/>
    <x v="406"/>
    <d v="2025-03-07T00:00:00"/>
    <x v="0"/>
    <n v="7"/>
    <n v="168"/>
    <n v="7"/>
    <d v="2025-03-09T00:00:00"/>
    <s v="Delhi"/>
    <s v="Drona Logitech Pvt Ltd"/>
    <s v="DL01MA2872"/>
    <s v="22 FT"/>
    <n v="8041"/>
    <s v="Dispatched"/>
    <s v="-"/>
    <m/>
  </r>
  <r>
    <n v="651"/>
    <n v="87"/>
    <s v="BIBO"/>
    <s v="WSO 245"/>
    <d v="2025-03-05T00:00:00"/>
    <x v="16"/>
    <s v="2425/5/TI-666"/>
    <x v="407"/>
    <d v="2025-03-07T00:00:00"/>
    <x v="0"/>
    <n v="168"/>
    <n v="168"/>
    <n v="7"/>
    <d v="2025-03-10T00:00:00"/>
    <s v="Delhi"/>
    <s v="Drona Logitech Pvt Ltd"/>
    <s v="HR61E0283"/>
    <s v="22 FT"/>
    <m/>
    <s v="Dispatched"/>
    <s v="-"/>
    <m/>
  </r>
  <r>
    <n v="652"/>
    <n v="86"/>
    <s v="BIBO"/>
    <s v="WSO 246"/>
    <d v="2025-03-05T00:00:00"/>
    <x v="4"/>
    <s v="2425/5/TI-667"/>
    <x v="408"/>
    <d v="2025-03-07T00:00:00"/>
    <x v="0"/>
    <n v="4"/>
    <n v="96"/>
    <n v="4"/>
    <d v="2025-03-09T00:00:00"/>
    <s v="Delhi"/>
    <s v="Drona Logitech Pvt Ltd"/>
    <s v="DL01MA2872"/>
    <s v="22 FT"/>
    <n v="8040"/>
    <s v="Dispatched"/>
    <s v="-"/>
    <m/>
  </r>
  <r>
    <n v="653"/>
    <n v="87"/>
    <s v="BIBO"/>
    <s v="WSO 247"/>
    <d v="2025-03-05T00:00:00"/>
    <x v="30"/>
    <s v="2425/5/TI-664"/>
    <x v="409"/>
    <d v="2025-03-07T00:00:00"/>
    <x v="0"/>
    <n v="4"/>
    <n v="96"/>
    <n v="4"/>
    <d v="2025-03-10T00:00:00"/>
    <s v="Delhi"/>
    <s v="Drona Logitech Pvt Ltd"/>
    <s v="HR61E0283"/>
    <s v="22 FT"/>
    <n v="8062"/>
    <s v="Dispatched"/>
    <s v="-"/>
    <m/>
  </r>
  <r>
    <n v="654"/>
    <n v="87"/>
    <s v="BIBO"/>
    <s v="WSO 248"/>
    <d v="2025-03-05T00:00:00"/>
    <x v="5"/>
    <s v="2425/5/TI-675"/>
    <x v="410"/>
    <d v="2025-03-08T00:00:00"/>
    <x v="0"/>
    <n v="21"/>
    <n v="504"/>
    <n v="21"/>
    <d v="2025-03-10T00:00:00"/>
    <s v="Delhi"/>
    <s v="Drona Logitech Pvt Ltd"/>
    <s v="HR61E0283"/>
    <s v="22 FT"/>
    <n v="8061"/>
    <s v="Dispatched"/>
    <s v="-"/>
    <m/>
  </r>
  <r>
    <n v="655"/>
    <n v="87"/>
    <s v="BIBO"/>
    <s v="WSO 250"/>
    <d v="2025-03-06T00:00:00"/>
    <x v="4"/>
    <s v="2425/5/TI-677"/>
    <x v="411"/>
    <d v="2025-03-08T00:00:00"/>
    <x v="0"/>
    <n v="5"/>
    <n v="120"/>
    <n v="5"/>
    <d v="2025-03-10T00:00:00"/>
    <s v="Delhi"/>
    <s v="Drona Logitech Pvt Ltd"/>
    <s v="HR61E0283"/>
    <s v="22 FT"/>
    <n v="8053"/>
    <s v="Dispatched"/>
    <s v="-"/>
    <m/>
  </r>
  <r>
    <n v="656"/>
    <n v="87"/>
    <s v="BIBO"/>
    <s v="WSO 251"/>
    <d v="2025-03-06T00:00:00"/>
    <x v="16"/>
    <s v="2425/5/TI-678"/>
    <x v="209"/>
    <d v="2025-03-08T00:00:00"/>
    <x v="0"/>
    <n v="144"/>
    <n v="144"/>
    <n v="6"/>
    <d v="2025-03-10T00:00:00"/>
    <s v="Delhi"/>
    <s v="Drona Logitech Pvt Ltd"/>
    <s v="HR61E0283"/>
    <s v="22 FT"/>
    <n v="8048"/>
    <s v="Dispatched"/>
    <s v="-"/>
    <m/>
  </r>
  <r>
    <n v="657"/>
    <n v="87"/>
    <s v="BIBO"/>
    <s v="WSO 258"/>
    <d v="2025-03-07T00:00:00"/>
    <x v="4"/>
    <s v="2425/5/TI-684"/>
    <x v="412"/>
    <d v="2025-03-09T00:00:00"/>
    <x v="0"/>
    <n v="6"/>
    <n v="276"/>
    <n v="6"/>
    <d v="2025-03-10T00:00:00"/>
    <s v="Delhi"/>
    <s v="Drona Logitech Pvt Ltd"/>
    <s v="HR61E0283"/>
    <s v="22 FT"/>
    <n v="8054"/>
    <s v="Dispatched"/>
    <s v="-"/>
    <m/>
  </r>
  <r>
    <n v="658"/>
    <n v="87"/>
    <s v="BIBO"/>
    <s v="WSO 254"/>
    <d v="2025-03-06T00:00:00"/>
    <x v="4"/>
    <s v="2425/5/TI-684"/>
    <x v="413"/>
    <d v="2025-03-09T00:00:00"/>
    <x v="0"/>
    <n v="5"/>
    <n v="276"/>
    <n v="5"/>
    <d v="2025-03-10T00:00:00"/>
    <s v="Delhi"/>
    <s v="Drona Logitech Pvt Ltd"/>
    <s v="HR61E0283"/>
    <s v="22 FT"/>
    <n v="8054"/>
    <s v="Dispatched"/>
    <s v="-"/>
    <m/>
  </r>
  <r>
    <n v="659"/>
    <n v="88"/>
    <s v="BIBO"/>
    <s v="WSO 256"/>
    <d v="2025-03-07T00:00:00"/>
    <x v="6"/>
    <s v="2425/5/TI-691"/>
    <x v="414"/>
    <d v="2025-03-09T00:00:00"/>
    <x v="0"/>
    <n v="336"/>
    <n v="336"/>
    <n v="14"/>
    <d v="2025-03-10T00:00:00"/>
    <s v="Delhi"/>
    <s v="Drona Logitech Pvt Ltd"/>
    <s v="DL01MA2872"/>
    <s v="22 FT"/>
    <n v="8072"/>
    <s v="Dispatched"/>
    <s v="-"/>
    <m/>
  </r>
  <r>
    <n v="660"/>
    <n v="87"/>
    <s v="BIBO"/>
    <s v="WSO 259"/>
    <d v="2025-03-07T00:00:00"/>
    <x v="16"/>
    <s v="2425/5/TI-680"/>
    <x v="415"/>
    <d v="2025-03-08T00:00:00"/>
    <x v="0"/>
    <n v="276"/>
    <n v="276"/>
    <n v="10"/>
    <d v="2025-03-10T00:00:00"/>
    <s v="Delhi"/>
    <s v="Drona Logitech Pvt Ltd"/>
    <s v="HR61E0283"/>
    <s v="22 FT"/>
    <n v="8046"/>
    <s v="Dispatched"/>
    <s v="-"/>
    <m/>
  </r>
  <r>
    <n v="661"/>
    <n v="88"/>
    <s v="BIBO"/>
    <s v="WSO 260"/>
    <d v="2025-03-07T00:00:00"/>
    <x v="32"/>
    <s v="2425/5/TI-686"/>
    <x v="416"/>
    <d v="2025-03-09T00:00:00"/>
    <x v="0"/>
    <n v="264"/>
    <n v="264"/>
    <n v="10"/>
    <d v="2025-03-10T00:00:00"/>
    <s v="Delhi"/>
    <s v="Drona Logitech Pvt Ltd"/>
    <s v="DL01MA2872"/>
    <s v="22 FT"/>
    <n v="8069"/>
    <s v="Dispatched"/>
    <s v="-"/>
    <m/>
  </r>
  <r>
    <n v="662"/>
    <n v="88"/>
    <s v="BIBO"/>
    <s v="WSO 261"/>
    <d v="2025-03-07T00:00:00"/>
    <x v="32"/>
    <s v="2425/5/TI-686"/>
    <x v="412"/>
    <d v="2025-03-09T00:00:00"/>
    <x v="0"/>
    <n v="264"/>
    <n v="264"/>
    <n v="1"/>
    <d v="2025-03-10T00:00:00"/>
    <s v="Delhi"/>
    <s v="Drona Logitech Pvt Ltd"/>
    <s v="DL01MA2872"/>
    <s v="22 FT"/>
    <n v="8069"/>
    <s v="Dispatched"/>
    <s v="-"/>
    <m/>
  </r>
  <r>
    <n v="663"/>
    <n v="87"/>
    <s v="BIBO"/>
    <s v="WSO263"/>
    <d v="2025-03-10T00:00:00"/>
    <x v="16"/>
    <s v="2425/5/TI-696"/>
    <x v="417"/>
    <d v="2025-03-09T00:00:00"/>
    <x v="0"/>
    <n v="192"/>
    <n v="192"/>
    <n v="6"/>
    <d v="2025-03-10T00:00:00"/>
    <s v="Delhi"/>
    <s v="Drona Logitech Pvt Ltd"/>
    <s v="HR61E0283"/>
    <s v="22 FT"/>
    <n v="8050"/>
    <s v="Dispatched"/>
    <s v="-"/>
    <m/>
  </r>
  <r>
    <n v="664"/>
    <n v="87"/>
    <s v="BIBO"/>
    <s v="WSO 265"/>
    <d v="2025-03-10T00:00:00"/>
    <x v="16"/>
    <s v="2425/5/TI-696"/>
    <x v="412"/>
    <d v="2025-03-09T00:00:00"/>
    <x v="0"/>
    <n v="192"/>
    <n v="192"/>
    <n v="2"/>
    <d v="2025-03-10T00:00:00"/>
    <s v="Delhi"/>
    <s v="Drona Logitech Pvt Ltd"/>
    <s v="HR61E0283"/>
    <s v="22 FT"/>
    <n v="8050"/>
    <s v="Dispatched"/>
    <s v="-"/>
    <m/>
  </r>
  <r>
    <n v="665"/>
    <n v="87"/>
    <s v="BIBO"/>
    <s v="WSO266"/>
    <d v="2025-03-10T00:00:00"/>
    <x v="4"/>
    <s v="2425/5/TI-699"/>
    <x v="418"/>
    <d v="2025-03-10T00:00:00"/>
    <x v="0"/>
    <n v="48"/>
    <n v="48"/>
    <n v="2"/>
    <d v="2025-03-10T00:00:00"/>
    <s v="Delhi"/>
    <s v="Drona Logitech Pvt Ltd"/>
    <s v="HR61E0283"/>
    <s v="22 FT"/>
    <n v="8052"/>
    <s v="Dispatched"/>
    <s v="-"/>
    <m/>
  </r>
  <r>
    <n v="666"/>
    <n v="89"/>
    <s v="PIPO"/>
    <s v="PSO 391"/>
    <d v="2025-03-10T00:00:00"/>
    <x v="34"/>
    <s v="2425/5/TI-704"/>
    <x v="419"/>
    <d v="2025-03-11T00:00:00"/>
    <x v="0"/>
    <n v="30"/>
    <n v="30"/>
    <n v="3"/>
    <d v="2025-03-11T00:00:00"/>
    <s v="Delhi"/>
    <s v="Drona Logitech Pvt Ltd"/>
    <s v="DL01MA2872"/>
    <s v="22 FT"/>
    <n v="8051"/>
    <s v="Dispatched"/>
    <s v="-"/>
    <m/>
  </r>
  <r>
    <n v="667"/>
    <n v="89"/>
    <s v="PIPO"/>
    <s v="PSO 400"/>
    <d v="2025-03-10T00:00:00"/>
    <x v="31"/>
    <s v="2425/5/TI-713"/>
    <x v="420"/>
    <d v="2025-03-11T00:00:00"/>
    <x v="0"/>
    <n v="20"/>
    <n v="20"/>
    <n v="2"/>
    <d v="2025-03-11T00:00:00"/>
    <s v="Delhi"/>
    <s v="Drona Logitech Pvt Ltd"/>
    <s v="DL01MA2872"/>
    <s v="22 FT"/>
    <n v="8050"/>
    <s v="Dispatched"/>
    <s v="-"/>
    <m/>
  </r>
  <r>
    <n v="668"/>
    <n v="89"/>
    <s v="PIPO"/>
    <s v="PSO 393"/>
    <d v="2025-03-10T00:00:00"/>
    <x v="42"/>
    <s v="2425/5/TI-706"/>
    <x v="421"/>
    <d v="2025-03-11T00:00:00"/>
    <x v="0"/>
    <n v="10"/>
    <n v="10"/>
    <n v="1"/>
    <d v="2025-03-11T00:00:00"/>
    <s v="Delhi"/>
    <s v="Drona Logitech Pvt Ltd"/>
    <s v="DL01MA2872"/>
    <s v="22 FT"/>
    <n v="8052"/>
    <s v="Dispatched"/>
    <s v="-"/>
    <m/>
  </r>
  <r>
    <n v="669"/>
    <n v="89"/>
    <s v="PIPO"/>
    <s v="PSO 390"/>
    <d v="2025-03-10T00:00:00"/>
    <x v="18"/>
    <s v="2425/5/TI-703"/>
    <x v="419"/>
    <d v="2025-03-11T00:00:00"/>
    <x v="0"/>
    <n v="30"/>
    <n v="30"/>
    <n v="3"/>
    <d v="2025-03-11T00:00:00"/>
    <s v="Delhi"/>
    <s v="Drona Logitech Pvt Ltd"/>
    <s v="DL01MA2872"/>
    <s v="22 FT"/>
    <n v="8053"/>
    <s v="Dispatched"/>
    <s v="-"/>
    <m/>
  </r>
  <r>
    <n v="670"/>
    <n v="89"/>
    <s v="PIPO"/>
    <s v="PSO 392"/>
    <d v="2025-03-10T00:00:00"/>
    <x v="1"/>
    <s v="2425/5/TI-705"/>
    <x v="422"/>
    <d v="2025-03-11T00:00:00"/>
    <x v="0"/>
    <n v="120"/>
    <n v="120"/>
    <n v="12"/>
    <d v="2025-03-11T00:00:00"/>
    <s v="Delhi"/>
    <s v="Drona Logitech Pvt Ltd"/>
    <s v="DL01MA2872"/>
    <s v="22 FT"/>
    <n v="8045"/>
    <s v="Dispatched"/>
    <s v="-"/>
    <m/>
  </r>
  <r>
    <n v="671"/>
    <n v="89"/>
    <s v="BIBO"/>
    <s v="WSO 268"/>
    <d v="2025-03-10T00:00:00"/>
    <x v="7"/>
    <s v="2425/5/TI-715"/>
    <x v="423"/>
    <d v="2025-03-11T00:00:00"/>
    <x v="0"/>
    <n v="240"/>
    <n v="240"/>
    <n v="11"/>
    <d v="2025-03-11T00:00:00"/>
    <s v="Delhi"/>
    <s v="Drona Logitech Pvt Ltd"/>
    <s v="DL01MA2872"/>
    <s v="22 FT"/>
    <n v="8055"/>
    <s v="Dispatched"/>
    <s v="-"/>
    <m/>
  </r>
  <r>
    <n v="672"/>
    <n v="89"/>
    <s v="BIBO"/>
    <s v="WSO 264"/>
    <d v="2025-03-09T00:00:00"/>
    <x v="3"/>
    <s v="2425/5/TI-693"/>
    <x v="424"/>
    <d v="2025-03-09T00:00:00"/>
    <x v="0"/>
    <n v="264"/>
    <n v="264"/>
    <n v="11"/>
    <d v="2025-03-11T00:00:00"/>
    <s v="Delhi"/>
    <s v="Drona Logitech Pvt Ltd"/>
    <s v="DL01MA2872"/>
    <s v="22 FT"/>
    <n v="8044"/>
    <s v="Dispatched"/>
    <s v="-"/>
    <m/>
  </r>
  <r>
    <n v="673"/>
    <n v="89"/>
    <s v="BIBO"/>
    <s v="WSO 252"/>
    <d v="2025-03-09T00:00:00"/>
    <x v="9"/>
    <s v="2425/5/TI-689"/>
    <x v="425"/>
    <d v="2025-03-09T00:00:00"/>
    <x v="0"/>
    <n v="72"/>
    <n v="72"/>
    <n v="3"/>
    <d v="2025-03-11T00:00:00"/>
    <s v="Delhi"/>
    <s v="Drona Logitech Pvt Ltd"/>
    <s v="DL01MA2872"/>
    <s v="22 FT"/>
    <n v="8046"/>
    <s v="Dispatched"/>
    <s v="-"/>
    <m/>
  </r>
  <r>
    <n v="674"/>
    <n v="89"/>
    <s v="PIPO"/>
    <s v="PSO 396"/>
    <d v="2025-03-10T00:00:00"/>
    <x v="32"/>
    <s v="2425/5/TI-709"/>
    <x v="426"/>
    <d v="2025-03-11T00:00:00"/>
    <x v="0"/>
    <n v="60"/>
    <n v="60"/>
    <n v="6"/>
    <d v="2025-03-11T00:00:00"/>
    <s v="Delhi"/>
    <s v="Drona Logitech Pvt Ltd"/>
    <s v="DL01MA2872"/>
    <s v="22 FT"/>
    <n v="8048"/>
    <s v="Dispatched"/>
    <s v="-"/>
    <m/>
  </r>
  <r>
    <n v="675"/>
    <n v="89"/>
    <s v="PIPO"/>
    <s v="PSO 383"/>
    <d v="2025-03-08T00:00:00"/>
    <x v="13"/>
    <s v="2425/5/TI-714"/>
    <x v="427"/>
    <d v="2025-03-11T00:00:00"/>
    <x v="0"/>
    <n v="116"/>
    <n v="116"/>
    <n v="12"/>
    <d v="2025-03-11T00:00:00"/>
    <s v="Delhi"/>
    <s v="Drona Logitech Pvt Ltd"/>
    <s v="DL01MA2872"/>
    <s v="22 FT"/>
    <n v="8054"/>
    <s v="Dispatched"/>
    <s v="-"/>
    <m/>
  </r>
  <r>
    <n v="676"/>
    <n v="89"/>
    <s v="PIPO"/>
    <s v="PSO 388"/>
    <d v="2025-03-10T00:00:00"/>
    <x v="16"/>
    <s v="2425/5/TI-701"/>
    <x v="422"/>
    <d v="2025-03-11T00:00:00"/>
    <x v="0"/>
    <n v="120"/>
    <n v="120"/>
    <n v="12"/>
    <d v="2025-03-11T00:00:00"/>
    <s v="Delhi"/>
    <s v="Drona Logitech Pvt Ltd"/>
    <s v="DL01MA2872"/>
    <s v="22 FT"/>
    <n v="8040"/>
    <s v="Dispatched"/>
    <s v="-"/>
    <m/>
  </r>
  <r>
    <n v="677"/>
    <n v="89"/>
    <s v="BIBO"/>
    <s v="PSO 253"/>
    <d v="2025-03-08T00:00:00"/>
    <x v="5"/>
    <s v="2425/5/TI-697"/>
    <x v="428"/>
    <d v="2025-03-09T00:00:00"/>
    <x v="0"/>
    <n v="72"/>
    <n v="72"/>
    <n v="3"/>
    <d v="2025-03-11T00:00:00"/>
    <s v="Delhi"/>
    <s v="Drona Logitech Pvt Ltd"/>
    <s v="DL01MA2872"/>
    <s v="22 FT"/>
    <n v="8047"/>
    <s v="Dispatched"/>
    <s v="-"/>
    <m/>
  </r>
  <r>
    <n v="678"/>
    <n v="89"/>
    <s v="PIPO"/>
    <s v="PSO 387"/>
    <d v="2025-03-10T00:00:00"/>
    <x v="4"/>
    <s v="2425/5/TI-700"/>
    <x v="429"/>
    <d v="2025-03-11T00:00:00"/>
    <x v="0"/>
    <n v="40"/>
    <n v="40"/>
    <n v="4"/>
    <d v="2025-03-11T00:00:00"/>
    <s v="Delhi"/>
    <s v="Drona Logitech Pvt Ltd"/>
    <s v="DL01MA2872"/>
    <s v="22 FT"/>
    <n v="8049"/>
    <s v="Dispatched"/>
    <s v="-"/>
    <m/>
  </r>
  <r>
    <n v="679"/>
    <n v="89"/>
    <s v="PIPO"/>
    <s v="PSO 389"/>
    <d v="2025-03-10T00:00:00"/>
    <x v="17"/>
    <s v="2425/5/TI-702"/>
    <x v="430"/>
    <d v="2025-03-11T00:00:00"/>
    <x v="0"/>
    <n v="110"/>
    <n v="110"/>
    <n v="11"/>
    <d v="2025-03-11T00:00:00"/>
    <s v="Delhi"/>
    <s v="Drona Logitech Pvt Ltd"/>
    <s v="DL01MA2872"/>
    <s v="22 FT"/>
    <n v="8038"/>
    <s v="Dispatched"/>
    <s v="-"/>
    <m/>
  </r>
  <r>
    <n v="680"/>
    <n v="89"/>
    <s v="BIBO"/>
    <s v="WSO 262"/>
    <d v="2025-03-08T00:00:00"/>
    <x v="27"/>
    <s v="2425/5/TI-692"/>
    <x v="431"/>
    <d v="2025-03-09T00:00:00"/>
    <x v="0"/>
    <n v="144"/>
    <n v="144"/>
    <n v="5"/>
    <d v="2025-03-11T00:00:00"/>
    <s v="Delhi"/>
    <s v="Drona Logitech Pvt Ltd"/>
    <s v="DL01MA2872"/>
    <s v="22 FT"/>
    <n v="8047"/>
    <s v="Dispatched"/>
    <s v="-"/>
    <m/>
  </r>
  <r>
    <n v="681"/>
    <n v="89"/>
    <s v="PIPO"/>
    <s v="PSO 395"/>
    <d v="2025-03-10T00:00:00"/>
    <x v="13"/>
    <s v="2425/5/TI-708"/>
    <x v="432"/>
    <d v="2025-03-11T00:00:00"/>
    <x v="0"/>
    <n v="150"/>
    <n v="150"/>
    <n v="15"/>
    <d v="2025-03-11T00:00:00"/>
    <s v="Delhi"/>
    <s v="Drona Logitech Pvt Ltd"/>
    <s v="DL01MA2872"/>
    <s v="22 FT"/>
    <n v="8043"/>
    <s v="Dispatched"/>
    <s v="-"/>
    <m/>
  </r>
  <r>
    <n v="682"/>
    <n v="89"/>
    <s v="PIPO"/>
    <s v="PSO 394"/>
    <d v="2025-03-10T00:00:00"/>
    <x v="27"/>
    <s v="2425/5/TI-707"/>
    <x v="433"/>
    <d v="2025-03-11T00:00:00"/>
    <x v="0"/>
    <n v="100"/>
    <n v="100"/>
    <n v="10"/>
    <d v="2025-03-11T00:00:00"/>
    <s v="Delhi"/>
    <s v="Drona Logitech Pvt Ltd"/>
    <s v="DL01MA2872"/>
    <s v="22 FT"/>
    <n v="8042"/>
    <s v="Dispatched"/>
    <s v="-"/>
    <m/>
  </r>
  <r>
    <n v="683"/>
    <n v="89"/>
    <s v="PIPO"/>
    <s v="PSO 397"/>
    <d v="2025-03-10T00:00:00"/>
    <x v="29"/>
    <s v="2425/5/TI-710"/>
    <x v="426"/>
    <d v="2025-03-11T00:00:00"/>
    <x v="0"/>
    <n v="60"/>
    <n v="60"/>
    <n v="6"/>
    <d v="2025-03-11T00:00:00"/>
    <s v="Delhi"/>
    <s v="Drona Logitech Pvt Ltd"/>
    <s v="DL01MA2872"/>
    <s v="22 FT"/>
    <n v="8041"/>
    <s v="Dispatched"/>
    <s v="-"/>
    <m/>
  </r>
  <r>
    <n v="684"/>
    <n v="89"/>
    <s v="BIBO"/>
    <s v="WSO 257"/>
    <d v="2025-03-08T00:00:00"/>
    <x v="33"/>
    <s v="2425/5/TI-698"/>
    <x v="434"/>
    <d v="2025-03-09T00:00:00"/>
    <x v="0"/>
    <n v="120"/>
    <n v="120"/>
    <n v="4"/>
    <d v="2025-03-11T00:00:00"/>
    <s v="Delhi"/>
    <s v="Drona Logitech Pvt Ltd"/>
    <s v="DL01MA2872"/>
    <s v="22 FT"/>
    <n v="8047"/>
    <s v="Dispatched"/>
    <s v="-"/>
    <m/>
  </r>
  <r>
    <n v="685"/>
    <n v="89"/>
    <s v="PIPO"/>
    <s v="PSO 401"/>
    <d v="2025-03-10T00:00:00"/>
    <x v="25"/>
    <s v="2425/5/TI-712"/>
    <x v="435"/>
    <d v="2025-03-11T00:00:00"/>
    <x v="0"/>
    <n v="80"/>
    <n v="80"/>
    <n v="8"/>
    <d v="2025-03-11T00:00:00"/>
    <s v="Delhi"/>
    <s v="Drona Logitech Pvt Ltd"/>
    <s v="DL01MA2872"/>
    <s v="22 FT"/>
    <n v="8039"/>
    <s v="Dispatched"/>
    <s v="-"/>
    <m/>
  </r>
  <r>
    <n v="686"/>
    <n v="89"/>
    <s v="BIBO"/>
    <s v="WSO 255"/>
    <d v="2025-03-08T00:00:00"/>
    <x v="2"/>
    <s v="2425/5/TI-687"/>
    <x v="436"/>
    <d v="2025-03-09T00:00:00"/>
    <x v="0"/>
    <n v="336"/>
    <n v="336"/>
    <n v="12"/>
    <d v="2025-03-11T00:00:00"/>
    <s v="Delhi"/>
    <s v="Drona Logitech Pvt Ltd"/>
    <s v="DL01MA2872"/>
    <s v="22 FT"/>
    <n v="8048"/>
    <s v="Dispatched"/>
    <s v="-"/>
    <m/>
  </r>
  <r>
    <n v="687"/>
    <n v="89"/>
    <s v="BIBO"/>
    <s v="WSO 249"/>
    <d v="2025-03-08T00:00:00"/>
    <x v="11"/>
    <s v="2425/5/TI-676"/>
    <x v="317"/>
    <d v="2025-03-08T00:00:00"/>
    <x v="0"/>
    <n v="144"/>
    <n v="144"/>
    <n v="6"/>
    <d v="2025-03-11T00:00:00"/>
    <s v="Delhi"/>
    <s v="Drona Logitech Pvt Ltd"/>
    <s v="DL01MA2872"/>
    <s v="22 FT"/>
    <n v="8049"/>
    <s v="Dispatched"/>
    <s v="-"/>
    <m/>
  </r>
  <r>
    <n v="688"/>
    <n v="90"/>
    <s v="PIPO"/>
    <s v="PSO 398"/>
    <d v="2025-03-10T00:00:00"/>
    <x v="2"/>
    <s v="2425/5/TI-711"/>
    <x v="437"/>
    <d v="2025-03-11T00:00:00"/>
    <x v="0"/>
    <n v="300"/>
    <n v="300"/>
    <n v="30"/>
    <d v="2025-03-17T00:00:00"/>
    <s v="Delhi"/>
    <s v="Drona Logitech Pvt Ltd"/>
    <s v="DL01MA2872"/>
    <s v="22 FT"/>
    <n v="8056"/>
    <s v="Dispatched"/>
    <s v="-"/>
    <m/>
  </r>
  <r>
    <n v="689"/>
    <n v="90"/>
    <s v="PIPO"/>
    <s v="PSO 399"/>
    <d v="2025-03-10T00:00:00"/>
    <x v="2"/>
    <s v="2425/5/TI-711"/>
    <x v="412"/>
    <d v="2025-03-11T00:00:00"/>
    <x v="0"/>
    <n v="500"/>
    <n v="500"/>
    <n v="50"/>
    <d v="2025-03-17T00:00:00"/>
    <s v="Delhi"/>
    <s v="Drona Logitech Pvt Ltd"/>
    <s v="DL01MA2872"/>
    <s v="22 FT"/>
    <n v="8056"/>
    <s v="Dispatched"/>
    <s v="-"/>
    <m/>
  </r>
  <r>
    <n v="690"/>
    <n v="90"/>
    <s v="PIPO"/>
    <s v="PSO 402"/>
    <d v="2025-03-11T00:00:00"/>
    <x v="7"/>
    <s v="2425/5/TI-717"/>
    <x v="438"/>
    <d v="2025-03-12T00:00:00"/>
    <x v="0"/>
    <n v="60"/>
    <n v="60"/>
    <n v="6"/>
    <d v="2025-03-17T00:00:00"/>
    <s v="Delhi"/>
    <s v="Drona Logitech Pvt Ltd"/>
    <s v="DL01MA2872"/>
    <s v="22 FT"/>
    <n v="8057"/>
    <s v="Dispatched"/>
    <s v="-"/>
    <m/>
  </r>
  <r>
    <n v="691"/>
    <n v="90"/>
    <s v="PIPO"/>
    <s v="PSO 403"/>
    <d v="2025-03-11T00:00:00"/>
    <x v="12"/>
    <s v="2425/5/TI-718"/>
    <x v="439"/>
    <d v="2025-03-12T00:00:00"/>
    <x v="0"/>
    <n v="120"/>
    <n v="120"/>
    <n v="12"/>
    <d v="2025-03-17T00:00:00"/>
    <s v="Delhi"/>
    <s v="Drona Logitech Pvt Ltd"/>
    <s v="DL01MA2872"/>
    <s v="22 FT"/>
    <n v="8058"/>
    <s v="Dispatched"/>
    <s v="-"/>
    <m/>
  </r>
  <r>
    <n v="692"/>
    <n v="90"/>
    <s v="BIBO"/>
    <s v="WSO 267"/>
    <d v="2025-03-10T00:00:00"/>
    <x v="10"/>
    <s v="2425/5/TI-721"/>
    <x v="440"/>
    <d v="2025-03-17T00:00:00"/>
    <x v="0"/>
    <n v="16"/>
    <n v="360"/>
    <n v="15"/>
    <d v="2025-03-17T00:00:00"/>
    <s v="Delhi"/>
    <s v="Drona Logitech Pvt Ltd"/>
    <s v="DL01MA2872"/>
    <s v="22 FT"/>
    <n v="8061"/>
    <s v="Dispatched"/>
    <s v="1 box Invoice issued as per approval Megha Ma'am"/>
    <m/>
  </r>
  <r>
    <n v="693"/>
    <n v="90"/>
    <s v="BIBO"/>
    <s v="WSO 269"/>
    <d v="2025-03-11T00:00:00"/>
    <x v="30"/>
    <s v="2425/5/TI-716"/>
    <x v="441"/>
    <d v="2025-03-12T00:00:00"/>
    <x v="0"/>
    <n v="5"/>
    <n v="132"/>
    <n v="5"/>
    <d v="2025-03-17T00:00:00"/>
    <s v="Delhi"/>
    <s v="Drona Logitech Pvt Ltd"/>
    <s v="DL01MA2872"/>
    <s v="22 FT"/>
    <n v="8062"/>
    <s v="Dispatched"/>
    <s v="-"/>
    <m/>
  </r>
  <r>
    <n v="694"/>
    <n v="90"/>
    <s v="BIBO"/>
    <s v="WSO 270"/>
    <d v="2025-03-12T00:00:00"/>
    <x v="17"/>
    <s v="2425/5/TI-719"/>
    <x v="442"/>
    <d v="2025-03-13T00:00:00"/>
    <x v="0"/>
    <n v="25"/>
    <n v="600"/>
    <n v="25"/>
    <d v="2025-03-17T00:00:00"/>
    <s v="Delhi"/>
    <s v="Drona Logitech Pvt Ltd"/>
    <s v="DL01MA2872"/>
    <s v="22 FT"/>
    <n v="8060"/>
    <s v="Dispatched"/>
    <s v="-"/>
    <m/>
  </r>
  <r>
    <n v="695"/>
    <n v="90"/>
    <s v="BIBO"/>
    <s v="WSO 271"/>
    <d v="2025-03-17T00:00:00"/>
    <x v="4"/>
    <s v="2425/5/TI-720"/>
    <x v="443"/>
    <d v="2025-03-17T00:00:00"/>
    <x v="0"/>
    <n v="19"/>
    <n v="468"/>
    <n v="19"/>
    <d v="2025-03-17T00:00:00"/>
    <s v="Delhi"/>
    <s v="Drona Logitech Pvt Ltd"/>
    <s v="DL01MA2872"/>
    <s v="22 FT"/>
    <n v="8059"/>
    <s v="Dispatched"/>
    <s v="-"/>
    <m/>
  </r>
  <r>
    <n v="696"/>
    <n v="90"/>
    <s v="BIBO"/>
    <s v="WSO 272"/>
    <d v="2025-03-17T00:00:00"/>
    <x v="4"/>
    <s v="2425/5/TI-720"/>
    <x v="412"/>
    <d v="2025-03-17T00:00:00"/>
    <x v="0"/>
    <n v="3"/>
    <n v="72"/>
    <n v="3"/>
    <d v="2025-03-17T00:00:00"/>
    <s v="Delhi"/>
    <s v="Drona Logitech Pvt Ltd"/>
    <s v="DL01MA2872"/>
    <s v="22 FT"/>
    <n v="8059"/>
    <s v="Dispatched"/>
    <s v="-"/>
    <m/>
  </r>
  <r>
    <n v="697"/>
    <n v="91"/>
    <s v="BIBO"/>
    <s v="WSO 165"/>
    <d v="2025-03-25T00:00:00"/>
    <x v="16"/>
    <s v="2425/5/TI-726"/>
    <x v="444"/>
    <d v="2025-03-25T00:00:00"/>
    <x v="0"/>
    <n v="6"/>
    <n v="144"/>
    <n v="6"/>
    <d v="2025-03-25T00:00:00"/>
    <s v="Delhi"/>
    <s v="Drona Logitech Pvt Ltd"/>
    <s v="DL01MA2872"/>
    <s v="22 FT"/>
    <n v="9039"/>
    <s v="Dispatched"/>
    <s v="-"/>
    <m/>
  </r>
  <r>
    <n v="698"/>
    <n v="91"/>
    <s v="BIBO"/>
    <s v="WSO 160"/>
    <d v="2025-02-13T00:00:00"/>
    <x v="4"/>
    <s v="2425/5/TI-725"/>
    <x v="445"/>
    <d v="2025-03-25T00:00:00"/>
    <x v="0"/>
    <n v="3"/>
    <n v="72"/>
    <n v="3"/>
    <d v="2025-03-25T00:00:00"/>
    <s v="Delhi"/>
    <s v="Drona Logitech Pvt Ltd"/>
    <s v="DL01MA2872"/>
    <s v="22 FT"/>
    <n v="9038"/>
    <s v="Dispatched"/>
    <s v="-"/>
    <m/>
  </r>
  <r>
    <n v="699"/>
    <n v="91"/>
    <s v="BIBO"/>
    <s v="WSO 73,85"/>
    <d v="2025-02-28T00:00:00"/>
    <x v="13"/>
    <s v="2425/5/TI-728"/>
    <x v="446"/>
    <d v="2025-03-25T00:00:00"/>
    <x v="0"/>
    <n v="3"/>
    <n v="72"/>
    <n v="3"/>
    <d v="2025-03-25T00:00:00"/>
    <s v="Delhi"/>
    <s v="Drona Logitech Pvt Ltd"/>
    <s v="DL01MA2872"/>
    <s v="22 FT"/>
    <n v="9037"/>
    <s v="Dispatched"/>
    <s v="-"/>
    <m/>
  </r>
  <r>
    <n v="700"/>
    <n v="91"/>
    <s v="BIBO"/>
    <s v="WSO 171"/>
    <d v="2025-02-18T00:00:00"/>
    <x v="4"/>
    <s v="2425/5/TI-732"/>
    <x v="447"/>
    <d v="2025-03-25T00:00:00"/>
    <x v="0"/>
    <n v="1"/>
    <n v="24"/>
    <n v="1"/>
    <d v="2025-03-25T00:00:00"/>
    <s v="Delhi"/>
    <s v="Drona Logitech Pvt Ltd"/>
    <s v="DL01MA2872"/>
    <s v="22 FT"/>
    <n v="9041"/>
    <s v="Dispatched"/>
    <s v="-"/>
    <m/>
  </r>
  <r>
    <n v="701"/>
    <n v="91"/>
    <s v="BIBO"/>
    <s v="WSO 170"/>
    <d v="2025-02-18T00:00:00"/>
    <x v="1"/>
    <s v="2425/5/TI-731"/>
    <x v="448"/>
    <d v="2025-03-25T00:00:00"/>
    <x v="0"/>
    <n v="1"/>
    <n v="12"/>
    <n v="1"/>
    <d v="2025-03-25T00:00:00"/>
    <s v="Delhi"/>
    <s v="Drona Logitech Pvt Ltd"/>
    <s v="DL01MA2872"/>
    <s v="22 FT"/>
    <n v="9040"/>
    <s v="Dispatched"/>
    <s v="-"/>
    <m/>
  </r>
  <r>
    <n v="702"/>
    <n v="91"/>
    <s v="BIBO"/>
    <s v="WSO 180"/>
    <d v="2025-02-28T00:00:00"/>
    <x v="10"/>
    <s v="2425/5/TI-727"/>
    <x v="449"/>
    <d v="2025-03-25T00:00:00"/>
    <x v="0"/>
    <n v="1"/>
    <n v="24"/>
    <n v="1"/>
    <d v="2025-03-25T00:00:00"/>
    <s v="Delhi"/>
    <s v="Drona Logitech Pvt Ltd"/>
    <s v="DL01MA2872"/>
    <s v="22 FT"/>
    <n v="9042"/>
    <s v="Dispatched"/>
    <s v="-"/>
    <m/>
  </r>
  <r>
    <n v="703"/>
    <n v="91"/>
    <s v="BIBO"/>
    <s v="WSO 217"/>
    <d v="2025-02-27T00:00:00"/>
    <x v="16"/>
    <s v="2425/5/TI-730"/>
    <x v="450"/>
    <d v="2025-03-25T00:00:00"/>
    <x v="0"/>
    <n v="2"/>
    <n v="48"/>
    <n v="2"/>
    <d v="2025-03-25T00:00:00"/>
    <s v="Delhi"/>
    <s v="Drona Logitech Pvt Ltd"/>
    <s v="DL01MA2872"/>
    <s v="22 FT"/>
    <n v="9044"/>
    <s v="Dispatched"/>
    <s v="-"/>
    <m/>
  </r>
  <r>
    <n v="704"/>
    <n v="91"/>
    <s v="BIBO"/>
    <s v="WSO 194"/>
    <d v="2025-02-21T00:00:00"/>
    <x v="31"/>
    <s v="2425/5/TI-733"/>
    <x v="451"/>
    <d v="2025-03-25T00:00:00"/>
    <x v="0"/>
    <n v="1"/>
    <n v="24"/>
    <n v="1"/>
    <d v="2025-03-25T00:00:00"/>
    <s v="Delhi"/>
    <s v="Drona Logitech Pvt Ltd"/>
    <s v="DL01MA2872"/>
    <s v="22 FT"/>
    <n v="9043"/>
    <s v="Dispatched"/>
    <s v="-"/>
    <m/>
  </r>
  <r>
    <n v="705"/>
    <n v="91"/>
    <s v="BIBO"/>
    <s v="WSO 286"/>
    <d v="2025-03-24T00:00:00"/>
    <x v="31"/>
    <s v="2425/5/TI-738"/>
    <x v="452"/>
    <d v="2025-03-25T00:00:00"/>
    <x v="0"/>
    <n v="68"/>
    <n v="1632"/>
    <n v="65"/>
    <d v="2025-03-25T00:00:00"/>
    <s v="Delhi"/>
    <s v="Drona Logitech Pvt Ltd"/>
    <s v="DL01MA2872"/>
    <s v="22 FT"/>
    <n v="9051"/>
    <s v="Dispatched"/>
    <s v="-"/>
    <m/>
  </r>
  <r>
    <n v="706"/>
    <n v="91"/>
    <s v="BIBO"/>
    <s v="WSO 282"/>
    <d v="2025-03-22T00:00:00"/>
    <x v="16"/>
    <s v="2425/5/TI-724"/>
    <x v="453"/>
    <d v="2025-03-25T00:00:00"/>
    <x v="0"/>
    <n v="14"/>
    <n v="336"/>
    <n v="14"/>
    <d v="2025-03-25T00:00:00"/>
    <s v="Delhi"/>
    <s v="Drona Logitech Pvt Ltd"/>
    <s v="DL01MA2872"/>
    <s v="22 FT"/>
    <n v="9050"/>
    <s v="Dispatched"/>
    <s v="-"/>
    <m/>
  </r>
  <r>
    <n v="707"/>
    <n v="91"/>
    <s v="BIBO"/>
    <s v="WSO 280"/>
    <d v="2025-03-22T00:00:00"/>
    <x v="32"/>
    <s v="2425/5/TI-723"/>
    <x v="454"/>
    <d v="2025-03-25T00:00:00"/>
    <x v="0"/>
    <n v="18"/>
    <n v="360"/>
    <n v="18"/>
    <d v="2025-03-25T00:00:00"/>
    <s v="Delhi"/>
    <s v="Drona Logitech Pvt Ltd"/>
    <s v="DL01MA2872"/>
    <s v="22 FT"/>
    <n v="9048"/>
    <s v="Dispatched"/>
    <s v="-"/>
    <m/>
  </r>
  <r>
    <n v="708"/>
    <n v="91"/>
    <s v="BIBO"/>
    <s v="WSO 273"/>
    <d v="2025-03-18T00:00:00"/>
    <x v="19"/>
    <s v="2425/5/TI-734"/>
    <x v="455"/>
    <d v="2025-03-25T00:00:00"/>
    <x v="0"/>
    <n v="10"/>
    <n v="240"/>
    <n v="10"/>
    <d v="2025-03-25T00:00:00"/>
    <s v="Delhi"/>
    <s v="Drona Logitech Pvt Ltd"/>
    <s v="DL01MA2872"/>
    <s v="22 FT"/>
    <n v="9046"/>
    <s v="Dispatched"/>
    <s v="-"/>
    <m/>
  </r>
  <r>
    <n v="709"/>
    <n v="91"/>
    <s v="BIBO"/>
    <s v="WSO 274"/>
    <d v="2025-03-18T00:00:00"/>
    <x v="4"/>
    <s v="2425/5/TI-737"/>
    <x v="456"/>
    <d v="2025-03-25T00:00:00"/>
    <x v="0"/>
    <n v="26"/>
    <n v="552"/>
    <n v="23"/>
    <d v="2025-03-25T00:00:00"/>
    <s v="Delhi"/>
    <s v="Drona Logitech Pvt Ltd"/>
    <s v="DL01MA2872"/>
    <s v="22 FT"/>
    <n v="9047"/>
    <s v="Dispatched"/>
    <s v="-"/>
    <m/>
  </r>
  <r>
    <n v="710"/>
    <n v="91"/>
    <s v="BIBO"/>
    <s v="WSO 229"/>
    <d v="2025-02-28T00:00:00"/>
    <x v="2"/>
    <s v="2425/5/TI-729"/>
    <x v="280"/>
    <d v="2025-03-25T00:00:00"/>
    <x v="0"/>
    <n v="3"/>
    <n v="96"/>
    <n v="3"/>
    <d v="2025-03-25T00:00:00"/>
    <s v="Delhi"/>
    <s v="Drona Logitech Pvt Ltd"/>
    <s v="DL01MA2872"/>
    <s v="22 FT"/>
    <n v="9045"/>
    <s v="Dispatched"/>
    <s v="-"/>
    <m/>
  </r>
  <r>
    <n v="711"/>
    <n v="92"/>
    <s v="BIBO"/>
    <s v="WSO 276"/>
    <d v="2025-03-24T00:00:00"/>
    <x v="2"/>
    <s v="2425/5/TI-739"/>
    <x v="457"/>
    <d v="2025-03-25T00:00:00"/>
    <x v="0"/>
    <n v="82"/>
    <n v="1896"/>
    <n v="79"/>
    <d v="2025-03-25T00:00:00"/>
    <s v="GHAZIBAD"/>
    <s v="Drona Logitech Pvt Ltd"/>
    <s v="HR55AK1776"/>
    <s v="22 FT"/>
    <n v="9049"/>
    <s v="Dispatched"/>
    <s v="-"/>
    <m/>
  </r>
  <r>
    <n v="712"/>
    <n v="93"/>
    <s v="BIBO"/>
    <s v="WSO 216"/>
    <d v="2025-03-24T00:00:00"/>
    <x v="13"/>
    <s v="2425/5/TI-748"/>
    <x v="458"/>
    <d v="2025-03-26T00:00:00"/>
    <x v="0"/>
    <n v="4"/>
    <n v="84"/>
    <n v="4"/>
    <d v="2025-03-27T00:00:00"/>
    <s v="Delhi"/>
    <s v="Drona Logitech Pvt Ltd"/>
    <s v="DL01GC9359"/>
    <s v="22 FT"/>
    <n v="9052"/>
    <s v="Dispatched"/>
    <s v="-"/>
    <m/>
  </r>
  <r>
    <n v="713"/>
    <n v="93"/>
    <s v="BIBO"/>
    <s v="WSO 278"/>
    <d v="2025-03-21T00:00:00"/>
    <x v="16"/>
    <s v="2425/5/TI-745"/>
    <x v="459"/>
    <d v="2025-03-26T00:00:00"/>
    <x v="0"/>
    <n v="6"/>
    <n v="144"/>
    <n v="6"/>
    <d v="2025-03-27T00:00:00"/>
    <s v="Delhi"/>
    <s v="Drona Logitech Pvt Ltd"/>
    <s v="DL01GC9359"/>
    <s v="22 FT"/>
    <n v="9053"/>
    <s v="Dispatched"/>
    <s v="-"/>
    <m/>
  </r>
  <r>
    <n v="714"/>
    <n v="93"/>
    <s v="BIBO"/>
    <s v="WSO 278"/>
    <d v="2025-03-21T00:00:00"/>
    <x v="16"/>
    <s v="2425/5/TI-754"/>
    <x v="460"/>
    <d v="2025-03-27T00:00:00"/>
    <x v="0"/>
    <n v="1"/>
    <n v="24"/>
    <n v="1"/>
    <d v="2025-03-27T00:00:00"/>
    <s v="Delhi"/>
    <s v="Drona Logitech Pvt Ltd"/>
    <s v="DL01GC9359"/>
    <s v="22 FT"/>
    <n v="9054"/>
    <s v="Dispatched"/>
    <s v="-"/>
    <m/>
  </r>
  <r>
    <n v="715"/>
    <n v="93"/>
    <s v="BIBO"/>
    <s v="WSO 279"/>
    <d v="2025-03-21T00:00:00"/>
    <x v="2"/>
    <s v="2425/5/TI-755"/>
    <x v="460"/>
    <d v="2025-03-27T00:00:00"/>
    <x v="0"/>
    <n v="1"/>
    <n v="24"/>
    <n v="1"/>
    <d v="2025-03-27T00:00:00"/>
    <s v="Delhi"/>
    <s v="Drona Logitech Pvt Ltd"/>
    <s v="DL01GC9359"/>
    <s v="22 FT"/>
    <n v="9055"/>
    <s v="Dispatched"/>
    <s v="-"/>
    <m/>
  </r>
  <r>
    <n v="716"/>
    <n v="93"/>
    <s v="BIBO"/>
    <s v="WSO 279"/>
    <d v="2025-03-21T00:00:00"/>
    <x v="2"/>
    <s v="2425/5/TI-749"/>
    <x v="461"/>
    <d v="2025-03-26T00:00:00"/>
    <x v="0"/>
    <n v="3"/>
    <n v="72"/>
    <n v="3"/>
    <d v="2025-03-27T00:00:00"/>
    <s v="Delhi"/>
    <s v="Drona Logitech Pvt Ltd"/>
    <s v="DL01GC9359"/>
    <s v="22 FT"/>
    <n v="9056"/>
    <s v="Dispatched"/>
    <s v="-"/>
    <m/>
  </r>
  <r>
    <n v="717"/>
    <n v="93"/>
    <s v="BIBO"/>
    <s v="WSO277"/>
    <d v="2025-03-20T00:00:00"/>
    <x v="16"/>
    <s v="2425/5/TI-735"/>
    <x v="462"/>
    <d v="2025-03-25T00:00:00"/>
    <x v="0"/>
    <n v="10"/>
    <n v="240"/>
    <n v="10"/>
    <d v="2025-03-27T00:00:00"/>
    <s v="Delhi"/>
    <s v="Drona Logitech Pvt Ltd"/>
    <s v="DL01GC9359"/>
    <s v="22 FT"/>
    <n v="9057"/>
    <s v="Dispatched"/>
    <s v="-"/>
    <m/>
  </r>
  <r>
    <n v="718"/>
    <n v="93"/>
    <s v="BIBO"/>
    <s v="WSO275"/>
    <d v="2025-03-19T00:00:00"/>
    <x v="13"/>
    <s v="2425/5/TI-736"/>
    <x v="463"/>
    <d v="2025-03-25T00:00:00"/>
    <x v="0"/>
    <n v="16"/>
    <n v="384"/>
    <n v="16"/>
    <d v="2025-03-27T00:00:00"/>
    <s v="Delhi"/>
    <s v="Drona Logitech Pvt Ltd"/>
    <s v="DL01GC9359"/>
    <s v="22 FT"/>
    <n v="9058"/>
    <s v="Dispatched"/>
    <s v="-"/>
    <m/>
  </r>
  <r>
    <n v="719"/>
    <n v="93"/>
    <s v="BIBO"/>
    <s v="WSO285"/>
    <d v="2025-03-24T00:00:00"/>
    <x v="2"/>
    <s v="2425/5/TI-740"/>
    <x v="464"/>
    <d v="2025-03-26T00:00:00"/>
    <x v="0"/>
    <n v="46"/>
    <n v="1104"/>
    <n v="46"/>
    <d v="2025-03-27T00:00:00"/>
    <s v="Delhi"/>
    <s v="Drona Logitech Pvt Ltd"/>
    <s v="DL01GC9359"/>
    <s v="22 FT"/>
    <n v="9059"/>
    <s v="Dispatched"/>
    <s v="-"/>
    <m/>
  </r>
  <r>
    <n v="720"/>
    <n v="93"/>
    <s v="BIBO"/>
    <s v="WSO284"/>
    <d v="2025-03-22T00:00:00"/>
    <x v="31"/>
    <s v="2425/5/TI-753"/>
    <x v="465"/>
    <d v="2025-03-26T00:00:00"/>
    <x v="0"/>
    <n v="12"/>
    <n v="288"/>
    <n v="12"/>
    <d v="2025-03-27T00:00:00"/>
    <s v="Delhi"/>
    <s v="Drona Logitech Pvt Ltd"/>
    <s v="DL01GC9359"/>
    <s v="22 FT"/>
    <n v="9060"/>
    <s v="Dispatched"/>
    <s v="-"/>
    <m/>
  </r>
  <r>
    <n v="721"/>
    <n v="93"/>
    <s v="BIBO"/>
    <s v="WSO 283"/>
    <d v="2025-03-22T00:00:00"/>
    <x v="3"/>
    <s v="2425/5/TI-744"/>
    <x v="466"/>
    <d v="2025-03-26T00:00:00"/>
    <x v="0"/>
    <n v="12"/>
    <n v="288"/>
    <n v="12"/>
    <d v="2025-03-27T00:00:00"/>
    <s v="Delhi"/>
    <s v="Drona Logitech Pvt Ltd"/>
    <s v="DL01GC9359"/>
    <s v="22 FT"/>
    <n v="9061"/>
    <s v="Dispatched"/>
    <s v="-"/>
    <m/>
  </r>
  <r>
    <n v="722"/>
    <n v="93"/>
    <s v="BIBO"/>
    <s v="WSO 158"/>
    <d v="2025-02-13T00:00:00"/>
    <x v="38"/>
    <s v="2425/5/TI-742"/>
    <x v="467"/>
    <d v="2025-03-26T00:00:00"/>
    <x v="0"/>
    <n v="2"/>
    <n v="36"/>
    <n v="2"/>
    <d v="2025-03-27T00:00:00"/>
    <s v="Delhi"/>
    <s v="Drona Logitech Pvt Ltd"/>
    <s v="DL01GC9359"/>
    <s v="22 FT"/>
    <n v="9062"/>
    <s v="Dispatched"/>
    <s v="-"/>
    <m/>
  </r>
  <r>
    <n v="723"/>
    <n v="93"/>
    <s v="BIBO"/>
    <s v="WSO 172"/>
    <d v="2025-02-18T00:00:00"/>
    <x v="20"/>
    <s v="2425/5/TI-741"/>
    <x v="468"/>
    <d v="2025-03-26T00:00:00"/>
    <x v="0"/>
    <n v="1"/>
    <n v="24"/>
    <n v="1"/>
    <d v="2025-03-27T00:00:00"/>
    <s v="Delhi"/>
    <s v="Drona Logitech Pvt Ltd"/>
    <s v="DL01GC9359"/>
    <s v="22 FT"/>
    <n v="9063"/>
    <s v="Dispatched"/>
    <s v="-"/>
    <m/>
  </r>
  <r>
    <n v="724"/>
    <n v="93"/>
    <s v="BIBO"/>
    <s v="WSO 197"/>
    <d v="2025-02-21T00:00:00"/>
    <x v="32"/>
    <s v="2425/5/TI-746"/>
    <x v="418"/>
    <d v="2025-03-26T00:00:00"/>
    <x v="0"/>
    <n v="2"/>
    <n v="28"/>
    <n v="2"/>
    <d v="2025-03-27T00:00:00"/>
    <s v="Delhi"/>
    <s v="Drona Logitech Pvt Ltd"/>
    <s v="DL01GC9359"/>
    <s v="22 FT"/>
    <n v="9064"/>
    <s v="Dispatched"/>
    <s v="-"/>
    <m/>
  </r>
  <r>
    <n v="725"/>
    <n v="93"/>
    <s v="BIBO"/>
    <s v="WSO 163"/>
    <d v="2025-02-14T00:00:00"/>
    <x v="13"/>
    <s v="2425/5/TI-747"/>
    <x v="469"/>
    <d v="2025-03-26T00:00:00"/>
    <x v="0"/>
    <n v="5"/>
    <n v="120"/>
    <n v="5"/>
    <d v="2025-03-27T00:00:00"/>
    <s v="Delhi"/>
    <s v="Drona Logitech Pvt Ltd"/>
    <s v="DL01GC9359"/>
    <s v="22 FT"/>
    <n v="9065"/>
    <s v="Dispatched"/>
    <s v="-"/>
    <m/>
  </r>
  <r>
    <n v="726"/>
    <n v="93"/>
    <s v="BIBO"/>
    <s v="WSO 281"/>
    <d v="2025-03-22T00:00:00"/>
    <x v="12"/>
    <s v="2425/5/TI-750"/>
    <x v="470"/>
    <d v="2025-03-26T00:00:00"/>
    <x v="0"/>
    <n v="45"/>
    <n v="1080"/>
    <n v="45"/>
    <d v="2025-03-27T00:00:00"/>
    <s v="Delhi"/>
    <s v="Drona Logitech Pvt Ltd"/>
    <s v="DL01GC9359"/>
    <s v="22 FT"/>
    <n v="9066"/>
    <s v="Dispatched"/>
    <s v="-"/>
    <m/>
  </r>
  <r>
    <n v="727"/>
    <n v="93"/>
    <s v="BIBO"/>
    <s v="WSO 288"/>
    <d v="2025-03-25T00:00:00"/>
    <x v="43"/>
    <s v="2425/5/TI-752"/>
    <x v="471"/>
    <d v="2025-03-26T00:00:00"/>
    <x v="0"/>
    <n v="26"/>
    <n v="720"/>
    <n v="26"/>
    <d v="2025-03-27T00:00:00"/>
    <s v="Delhi"/>
    <s v="Drona Logitech Pvt Ltd"/>
    <s v="DL01GC9359"/>
    <s v="22 FT"/>
    <n v="9067"/>
    <s v="Dispatched"/>
    <s v="-"/>
    <m/>
  </r>
  <r>
    <n v="728"/>
    <n v="93"/>
    <s v="BIBO"/>
    <s v="WSO 287"/>
    <d v="2025-03-25T00:00:00"/>
    <x v="4"/>
    <s v="2425/5/TI-743"/>
    <x v="472"/>
    <d v="2025-03-26T00:00:00"/>
    <x v="0"/>
    <n v="3"/>
    <n v="72"/>
    <n v="3"/>
    <d v="2025-03-27T00:00:00"/>
    <s v="Delhi"/>
    <s v="Drona Logitech Pvt Ltd"/>
    <s v="DL01GC9359"/>
    <s v="22 FT"/>
    <n v="9068"/>
    <s v="Dispatched"/>
    <s v="-"/>
    <m/>
  </r>
  <r>
    <n v="729"/>
    <n v="93"/>
    <s v="BIBO"/>
    <s v="WSO 292"/>
    <d v="2025-03-26T00:00:00"/>
    <x v="31"/>
    <s v="2425/5/TI-757"/>
    <x v="473"/>
    <d v="2025-03-27T00:00:00"/>
    <x v="0"/>
    <n v="17"/>
    <n v="408"/>
    <n v="17"/>
    <d v="2025-03-27T00:00:00"/>
    <s v="Delhi"/>
    <s v="Drona Logitech Pvt Ltd"/>
    <s v="DL01GC9359"/>
    <s v="22 FT"/>
    <n v="9069"/>
    <s v="Dispatched"/>
    <s v="-"/>
    <m/>
  </r>
  <r>
    <n v="730"/>
    <n v="94"/>
    <s v="BIBO"/>
    <s v="WSO 296"/>
    <d v="2025-03-26T00:00:00"/>
    <x v="4"/>
    <s v="2425/5/TI-770"/>
    <x v="474"/>
    <d v="2025-03-27T00:00:00"/>
    <x v="0"/>
    <n v="3"/>
    <n v="108"/>
    <n v="3"/>
    <d v="2025-03-28T00:00:00"/>
    <s v="Delhi"/>
    <s v="Drona Logitech Pvt Ltd"/>
    <s v="DL01MA2872"/>
    <s v="22 FT"/>
    <n v="9055"/>
    <s v="Dispatched"/>
    <s v="-"/>
    <m/>
  </r>
  <r>
    <n v="731"/>
    <n v="94"/>
    <s v="BIBO"/>
    <s v="WSO 290,291,293"/>
    <d v="2025-03-26T00:00:00"/>
    <x v="4"/>
    <s v="2425/5/TI-769"/>
    <x v="475"/>
    <d v="2025-03-27T00:00:00"/>
    <x v="0"/>
    <n v="44"/>
    <n v="1056"/>
    <n v="44"/>
    <d v="2025-03-28T00:00:00"/>
    <s v="Delhi"/>
    <s v="Drona Logitech Pvt Ltd"/>
    <s v="DL01MA2872"/>
    <s v="22 FT"/>
    <n v="9054"/>
    <s v="Dispatched"/>
    <s v="-"/>
    <m/>
  </r>
  <r>
    <n v="732"/>
    <n v="94"/>
    <s v="BIBO"/>
    <s v="WSO 289"/>
    <d v="2025-03-26T00:00:00"/>
    <x v="18"/>
    <s v="2425/5/TI-751"/>
    <x v="476"/>
    <d v="2025-03-26T00:00:00"/>
    <x v="0"/>
    <n v="70"/>
    <n v="1548"/>
    <n v="70"/>
    <d v="2025-03-28T00:00:00"/>
    <s v="Delhi"/>
    <s v="Drona Logitech Pvt Ltd"/>
    <s v="DL01MA2872"/>
    <s v="22 FT"/>
    <n v="9074"/>
    <s v="Dispatched"/>
    <s v="-"/>
    <m/>
  </r>
  <r>
    <n v="733"/>
    <n v="94"/>
    <s v="BIBO"/>
    <s v="WSO 294"/>
    <d v="2025-03-26T00:00:00"/>
    <x v="32"/>
    <s v="2425/5/TI-771"/>
    <x v="303"/>
    <d v="2025-03-27T00:00:00"/>
    <x v="0"/>
    <n v="12"/>
    <n v="144"/>
    <n v="12"/>
    <d v="2025-03-28T00:00:00"/>
    <s v="Delhi"/>
    <s v="Drona Logitech Pvt Ltd"/>
    <s v="DL01MA2872"/>
    <s v="22 FT"/>
    <n v="9072"/>
    <s v="Dispatched"/>
    <s v="-"/>
    <m/>
  </r>
  <r>
    <n v="734"/>
    <n v="94"/>
    <s v="PIPO"/>
    <s v="PSO 405"/>
    <d v="2025-03-24T00:00:00"/>
    <x v="31"/>
    <s v="2425/5/TI-758"/>
    <x v="477"/>
    <d v="2025-03-27T00:00:00"/>
    <x v="0"/>
    <n v="180"/>
    <n v="180"/>
    <n v="15"/>
    <d v="2025-03-28T00:00:00"/>
    <s v="Delhi"/>
    <s v="Drona Logitech Pvt Ltd"/>
    <s v="DL01MA2872"/>
    <s v="22 FT"/>
    <n v="9071"/>
    <s v="Dispatched"/>
    <s v="-"/>
    <m/>
  </r>
  <r>
    <n v="735"/>
    <n v="94"/>
    <s v="BIBO"/>
    <s v="PSO 406"/>
    <d v="2025-03-24T00:00:00"/>
    <x v="4"/>
    <s v="2425/5/TI-759"/>
    <x v="478"/>
    <d v="2025-03-27T00:00:00"/>
    <x v="0"/>
    <n v="120"/>
    <n v="120"/>
    <n v="10"/>
    <d v="2025-03-28T00:00:00"/>
    <s v="Delhi"/>
    <s v="Drona Logitech Pvt Ltd"/>
    <s v="DL01MA2872"/>
    <s v="22 FT"/>
    <n v="9070"/>
    <s v="Dispatched"/>
    <s v="-"/>
    <m/>
  </r>
  <r>
    <n v="736"/>
    <n v="95"/>
    <s v="BIBO"/>
    <s v="WSO 295"/>
    <d v="2025-03-26T00:00:00"/>
    <x v="13"/>
    <s v="2425/5/TI-772"/>
    <x v="479"/>
    <d v="2025-03-27T00:00:00"/>
    <x v="0"/>
    <n v="18"/>
    <n v="432"/>
    <n v="18"/>
    <d v="2025-03-28T00:00:00"/>
    <s v="Delhi"/>
    <s v="Drona Logitech Pvt Ltd"/>
    <s v="DL01GC9359"/>
    <s v="22 FT"/>
    <n v="9073"/>
    <s v="Dispatched"/>
    <s v="-"/>
    <m/>
  </r>
  <r>
    <n v="737"/>
    <n v="95"/>
    <s v="BIBO"/>
    <s v="WSO 299"/>
    <d v="2025-03-27T00:00:00"/>
    <x v="23"/>
    <s v="2425/5/TI-773"/>
    <x v="480"/>
    <d v="2025-03-28T00:00:00"/>
    <x v="0"/>
    <n v="28"/>
    <n v="672"/>
    <n v="28"/>
    <d v="2025-03-28T00:00:00"/>
    <s v="Delhi"/>
    <s v="Drona Logitech Pvt Ltd"/>
    <s v="DL01GC9359"/>
    <s v="22 FT"/>
    <n v="9076"/>
    <s v="Dispatched"/>
    <s v="-"/>
    <m/>
  </r>
  <r>
    <n v="738"/>
    <n v="95"/>
    <s v="BIBO"/>
    <s v="WSO 297,298"/>
    <d v="2025-03-27T00:00:00"/>
    <x v="9"/>
    <s v="2425/5/TI-774"/>
    <x v="481"/>
    <d v="2025-03-28T00:00:00"/>
    <x v="0"/>
    <n v="12"/>
    <n v="288"/>
    <n v="12"/>
    <d v="2025-03-28T00:00:00"/>
    <s v="Delhi"/>
    <s v="Drona Logitech Pvt Ltd"/>
    <s v="DL01GC9359"/>
    <s v="22 FT"/>
    <n v="9077"/>
    <s v="Dispatched"/>
    <s v="-"/>
    <m/>
  </r>
  <r>
    <n v="739"/>
    <n v="95"/>
    <s v="PIPO"/>
    <s v="PSO 420,424"/>
    <d v="2025-03-27T00:00:00"/>
    <x v="23"/>
    <s v="2425/5/TI-777"/>
    <x v="482"/>
    <d v="2025-03-28T00:00:00"/>
    <x v="0"/>
    <n v="46"/>
    <n v="46"/>
    <n v="4"/>
    <d v="2025-03-28T00:00:00"/>
    <s v="Delhi"/>
    <s v="Drona Logitech Pvt Ltd"/>
    <s v="DL01GC9359"/>
    <s v="22 FT"/>
    <n v="9085"/>
    <s v="Dispatched"/>
    <s v="-"/>
    <m/>
  </r>
  <r>
    <n v="740"/>
    <n v="95"/>
    <s v="PIPO"/>
    <s v="PSO 410"/>
    <d v="2025-03-25T00:00:00"/>
    <x v="25"/>
    <s v="2425/5/TI-762"/>
    <x v="483"/>
    <d v="2025-03-27T00:00:00"/>
    <x v="0"/>
    <n v="60"/>
    <n v="60"/>
    <n v="5"/>
    <d v="2025-03-28T00:00:00"/>
    <s v="Delhi"/>
    <s v="Drona Logitech Pvt Ltd"/>
    <s v="DL01GC9359"/>
    <s v="22 FT"/>
    <n v="9084"/>
    <s v="Dispatched"/>
    <s v="-"/>
    <m/>
  </r>
  <r>
    <n v="741"/>
    <n v="95"/>
    <s v="PIPO"/>
    <s v="PSO 408"/>
    <d v="2025-03-25T00:00:00"/>
    <x v="31"/>
    <s v="2425/5/TI-760"/>
    <x v="484"/>
    <d v="2025-03-27T00:00:00"/>
    <x v="0"/>
    <n v="240"/>
    <n v="240"/>
    <n v="24"/>
    <d v="2025-03-28T00:00:00"/>
    <s v="Delhi"/>
    <s v="Drona Logitech Pvt Ltd"/>
    <s v="DL01GC9359"/>
    <s v="22 FT"/>
    <n v="9083"/>
    <s v="Dispatched"/>
    <s v="-"/>
    <m/>
  </r>
  <r>
    <n v="742"/>
    <n v="95"/>
    <s v="PIPO"/>
    <s v="PSO 407"/>
    <d v="2025-03-24T00:00:00"/>
    <x v="13"/>
    <s v="2425/5/TI-756"/>
    <x v="478"/>
    <d v="2025-03-27T00:00:00"/>
    <x v="0"/>
    <n v="120"/>
    <n v="120"/>
    <n v="10"/>
    <d v="2025-03-28T00:00:00"/>
    <s v="Delhi"/>
    <s v="Drona Logitech Pvt Ltd"/>
    <s v="DL01GC9359"/>
    <s v="22 FT"/>
    <n v="9082"/>
    <s v="Dispatched"/>
    <s v="-"/>
    <m/>
  </r>
  <r>
    <n v="743"/>
    <n v="95"/>
    <s v="PIPO"/>
    <s v="PSO 414"/>
    <d v="2025-03-25T00:00:00"/>
    <x v="2"/>
    <s v="2425/5/TI-766"/>
    <x v="477"/>
    <d v="2025-03-27T00:00:00"/>
    <x v="0"/>
    <n v="180"/>
    <n v="180"/>
    <n v="15"/>
    <d v="2025-03-28T00:00:00"/>
    <s v="Delhi"/>
    <s v="Drona Logitech Pvt Ltd"/>
    <s v="DL01GC9359"/>
    <s v="22 FT"/>
    <n v="9090"/>
    <s v="Dispatched"/>
    <s v="-"/>
    <m/>
  </r>
  <r>
    <n v="744"/>
    <n v="95"/>
    <s v="PIPO"/>
    <s v="PSO 416"/>
    <d v="2025-03-26T00:00:00"/>
    <x v="2"/>
    <s v="2425/5/TI-768"/>
    <x v="478"/>
    <d v="2025-03-27T00:00:00"/>
    <x v="0"/>
    <n v="120"/>
    <n v="120"/>
    <n v="10"/>
    <d v="2025-03-28T00:00:00"/>
    <s v="Delhi"/>
    <s v="Drona Logitech Pvt Ltd"/>
    <s v="DL01GC9359"/>
    <s v="22 FT"/>
    <n v="9091"/>
    <s v="Dispatched"/>
    <s v="-"/>
    <m/>
  </r>
  <r>
    <n v="745"/>
    <n v="95"/>
    <s v="PIPO"/>
    <s v="PSO 413"/>
    <d v="2025-03-25T00:00:00"/>
    <x v="10"/>
    <s v="2425/5/TI-765"/>
    <x v="485"/>
    <d v="2025-03-27T00:00:00"/>
    <x v="0"/>
    <n v="84"/>
    <n v="84"/>
    <n v="7"/>
    <d v="2025-03-28T00:00:00"/>
    <s v="Delhi"/>
    <s v="Drona Logitech Pvt Ltd"/>
    <s v="DL01GC9359"/>
    <s v="22 FT"/>
    <n v="9089"/>
    <s v="Dispatched"/>
    <s v="-"/>
    <m/>
  </r>
  <r>
    <n v="746"/>
    <n v="95"/>
    <s v="PIPO"/>
    <s v="PSO 418,419"/>
    <d v="2025-03-27T00:00:00"/>
    <x v="8"/>
    <s v="2425/5/TI-780"/>
    <x v="486"/>
    <d v="2025-03-28T00:00:00"/>
    <x v="0"/>
    <n v="236"/>
    <n v="236"/>
    <n v="23"/>
    <d v="2025-03-28T00:00:00"/>
    <s v="Delhi"/>
    <s v="Drona Logitech Pvt Ltd"/>
    <s v="DL01GC9359"/>
    <s v="22 FT"/>
    <n v="9088"/>
    <s v="Dispatched"/>
    <s v="-"/>
    <m/>
  </r>
  <r>
    <n v="747"/>
    <n v="95"/>
    <s v="PIPO"/>
    <s v="PSO 409"/>
    <d v="2025-03-25T00:00:00"/>
    <x v="7"/>
    <s v="2425/5/TI-761"/>
    <x v="487"/>
    <d v="2025-03-27T00:00:00"/>
    <x v="0"/>
    <n v="60"/>
    <n v="60"/>
    <n v="5"/>
    <d v="2025-03-28T00:00:00"/>
    <s v="Delhi"/>
    <s v="Drona Logitech Pvt Ltd"/>
    <s v="DL01GC9359"/>
    <s v="22 FT"/>
    <n v="9081"/>
    <s v="Dispatched"/>
    <s v="-"/>
    <m/>
  </r>
  <r>
    <n v="748"/>
    <n v="95"/>
    <s v="PIPO"/>
    <s v="PSO 415"/>
    <d v="2025-03-26T00:00:00"/>
    <x v="13"/>
    <s v="2425/5/TI-767"/>
    <x v="477"/>
    <d v="2025-03-27T00:00:00"/>
    <x v="0"/>
    <n v="180"/>
    <n v="180"/>
    <n v="15"/>
    <d v="2025-03-28T00:00:00"/>
    <s v="Delhi"/>
    <s v="Drona Logitech Pvt Ltd"/>
    <s v="DL01GC9359"/>
    <s v="22 FT"/>
    <n v="9081"/>
    <s v="Dispatched"/>
    <s v="-"/>
    <m/>
  </r>
  <r>
    <n v="749"/>
    <n v="95"/>
    <s v="PIPO"/>
    <s v="PSO 411"/>
    <d v="2025-03-25T00:00:00"/>
    <x v="19"/>
    <s v="2425/5/TI-763"/>
    <x v="487"/>
    <d v="2025-03-27T00:00:00"/>
    <x v="0"/>
    <n v="60"/>
    <n v="60"/>
    <n v="5"/>
    <d v="2025-03-28T00:00:00"/>
    <s v="Delhi"/>
    <s v="Drona Logitech Pvt Ltd"/>
    <s v="DL01GC9359"/>
    <s v="22 FT"/>
    <n v="9080"/>
    <s v="Dispatched"/>
    <s v="-"/>
    <m/>
  </r>
  <r>
    <n v="750"/>
    <n v="95"/>
    <s v="PIPO"/>
    <s v="PSO 412"/>
    <d v="2025-03-25T00:00:00"/>
    <x v="8"/>
    <s v="2425/5/TI-764"/>
    <x v="483"/>
    <d v="2025-03-27T00:00:00"/>
    <x v="0"/>
    <n v="60"/>
    <n v="60"/>
    <n v="5"/>
    <d v="2025-03-28T00:00:00"/>
    <s v="Delhi"/>
    <s v="Drona Logitech Pvt Ltd"/>
    <s v="DL01GC9359"/>
    <s v="22 FT"/>
    <n v="9079"/>
    <s v="Dispatched"/>
    <s v="-"/>
    <m/>
  </r>
  <r>
    <n v="751"/>
    <n v="95"/>
    <s v="BIBO"/>
    <s v="WSO 288"/>
    <d v="2025-03-25T00:00:00"/>
    <x v="43"/>
    <s v="2425/5/TI-775"/>
    <x v="488"/>
    <d v="2025-03-28T00:00:00"/>
    <x v="0"/>
    <n v="36"/>
    <n v="1224"/>
    <n v="36"/>
    <d v="2025-03-28T00:00:00"/>
    <s v="Delhi"/>
    <s v="Drona Logitech Pvt Ltd"/>
    <s v="DL01GC9359"/>
    <s v="22 FT"/>
    <n v="9078"/>
    <s v="Dispatched"/>
    <s v="-"/>
    <m/>
  </r>
  <r>
    <n v="752"/>
    <n v="95"/>
    <s v="BIBO"/>
    <s v="WSO 302"/>
    <d v="2025-03-28T00:00:00"/>
    <x v="39"/>
    <s v="2425/5/TI-779"/>
    <x v="489"/>
    <d v="2025-03-28T00:00:00"/>
    <x v="0"/>
    <n v="9"/>
    <n v="216"/>
    <n v="9"/>
    <d v="2025-03-28T00:00:00"/>
    <s v="Delhi"/>
    <s v="Drona Logitech Pvt Ltd"/>
    <s v="DL01GC9359"/>
    <s v="22 FT"/>
    <n v="9088"/>
    <s v="Dispatched"/>
    <s v="-"/>
    <m/>
  </r>
  <r>
    <n v="753"/>
    <n v="95"/>
    <s v="BIBO"/>
    <s v="WSO 300"/>
    <d v="2025-03-28T00:00:00"/>
    <x v="4"/>
    <s v="2425/5/TI-778"/>
    <x v="490"/>
    <d v="2025-03-28T00:00:00"/>
    <x v="0"/>
    <n v="8"/>
    <n v="192"/>
    <n v="8"/>
    <d v="2025-03-28T00:00:00"/>
    <s v="Delhi"/>
    <s v="Drona Logitech Pvt Ltd"/>
    <s v="DL01GC9359"/>
    <s v="22 FT"/>
    <n v="9087"/>
    <s v="Dispatched"/>
    <s v="-"/>
    <m/>
  </r>
  <r>
    <n v="754"/>
    <n v="96"/>
    <s v="PIPO"/>
    <s v="PSO 426"/>
    <d v="2025-03-31T00:00:00"/>
    <x v="11"/>
    <s v="2425/5/TI-791"/>
    <x v="491"/>
    <d v="2025-03-31T00:00:00"/>
    <x v="0"/>
    <n v="60"/>
    <n v="60"/>
    <n v="5"/>
    <d v="2025-03-31T00:00:00"/>
    <s v="Delhi"/>
    <s v="Drona Logitech Pvt Ltd"/>
    <s v="DL01MA6900"/>
    <s v="22 FT"/>
    <n v="9112"/>
    <s v="Dispatched"/>
    <s v="-"/>
    <m/>
  </r>
  <r>
    <n v="755"/>
    <n v="96"/>
    <s v="PIPO"/>
    <s v="PSO 425"/>
    <d v="2025-03-29T00:00:00"/>
    <x v="4"/>
    <s v="2425/5/TI-783"/>
    <x v="492"/>
    <d v="2025-03-30T00:00:00"/>
    <x v="0"/>
    <n v="60"/>
    <n v="60"/>
    <n v="6"/>
    <d v="2025-03-31T00:00:00"/>
    <s v="Delhi"/>
    <s v="Drona Logitech Pvt Ltd"/>
    <s v="DL01MA6900"/>
    <s v="22 FT"/>
    <n v="9110"/>
    <s v="Dispatched"/>
    <s v="-"/>
    <m/>
  </r>
  <r>
    <n v="756"/>
    <n v="96"/>
    <s v="PIPO"/>
    <s v="PSO 422"/>
    <d v="2025-03-28T00:00:00"/>
    <x v="21"/>
    <s v="2425/5/TI-781"/>
    <x v="493"/>
    <d v="2025-03-28T00:00:00"/>
    <x v="0"/>
    <n v="48"/>
    <n v="48"/>
    <n v="4"/>
    <d v="2025-03-31T00:00:00"/>
    <s v="Delhi"/>
    <s v="Drona Logitech Pvt Ltd"/>
    <s v="DL01MA6900"/>
    <s v="22 FT"/>
    <n v="9108"/>
    <s v="Dispatched"/>
    <s v="-"/>
    <m/>
  </r>
  <r>
    <n v="757"/>
    <n v="96"/>
    <s v="PIPO"/>
    <s v="PSO423"/>
    <d v="2025-03-28T00:00:00"/>
    <x v="3"/>
    <s v="2425/5/TI-782"/>
    <x v="493"/>
    <d v="2025-03-28T00:00:00"/>
    <x v="0"/>
    <n v="48"/>
    <n v="48"/>
    <n v="4"/>
    <d v="2025-03-31T00:00:00"/>
    <s v="Delhi"/>
    <s v="Drona Logitech Pvt Ltd"/>
    <s v="DL01MA6900"/>
    <s v="22 FT"/>
    <n v="9011"/>
    <s v="Dispatched"/>
    <s v="-"/>
    <m/>
  </r>
  <r>
    <n v="758"/>
    <n v="96"/>
    <s v="PIPO"/>
    <s v="PSO 417,421"/>
    <d v="2025-03-28T00:00:00"/>
    <x v="4"/>
    <s v="2425/5/TI-776"/>
    <x v="494"/>
    <d v="2025-03-28T00:00:00"/>
    <x v="0"/>
    <n v="114"/>
    <n v="114"/>
    <n v="11"/>
    <d v="2025-03-31T00:00:00"/>
    <s v="Delhi"/>
    <s v="Drona Logitech Pvt Ltd"/>
    <s v="DL01MA6900"/>
    <s v="22 FT"/>
    <n v="9109"/>
    <s v="Dispatched"/>
    <s v="-"/>
    <m/>
  </r>
  <r>
    <n v="759"/>
    <n v="96"/>
    <s v="BIBO"/>
    <s v="WSO 307"/>
    <d v="2025-03-29T00:00:00"/>
    <x v="11"/>
    <s v="2425/5/TI-789"/>
    <x v="495"/>
    <d v="2025-03-31T00:00:00"/>
    <x v="0"/>
    <n v="8"/>
    <n v="192"/>
    <n v="8"/>
    <d v="2025-03-31T00:00:00"/>
    <s v="Delhi"/>
    <s v="Drona Logitech Pvt Ltd"/>
    <s v="DL01MA6900"/>
    <s v="22 FT"/>
    <n v="9107"/>
    <s v="Dispatched"/>
    <s v="-"/>
    <m/>
  </r>
  <r>
    <n v="760"/>
    <n v="96"/>
    <s v="BIBO"/>
    <s v="WSO 305"/>
    <d v="2025-03-29T00:00:00"/>
    <x v="13"/>
    <s v="2425/5/TI-787"/>
    <x v="496"/>
    <d v="2025-03-31T00:00:00"/>
    <x v="0"/>
    <n v="12"/>
    <n v="384"/>
    <n v="12"/>
    <d v="2025-03-31T00:00:00"/>
    <s v="Delhi"/>
    <s v="Drona Logitech Pvt Ltd"/>
    <s v="DL01MA6900"/>
    <s v="22 FT"/>
    <n v="9106"/>
    <s v="Dispatched"/>
    <s v="-"/>
    <m/>
  </r>
  <r>
    <n v="761"/>
    <n v="96"/>
    <s v="BIBO"/>
    <s v="WSO 308"/>
    <d v="2025-03-31T00:00:00"/>
    <x v="4"/>
    <s v="2425/5/TI-790"/>
    <x v="497"/>
    <d v="2025-03-31T00:00:00"/>
    <x v="0"/>
    <n v="14"/>
    <n v="336"/>
    <n v="14"/>
    <d v="2025-03-31T00:00:00"/>
    <s v="Delhi"/>
    <s v="Drona Logitech Pvt Ltd"/>
    <s v="DL01MA6900"/>
    <s v="22 FT"/>
    <n v="9105"/>
    <s v="Dispatched"/>
    <s v="-"/>
    <m/>
  </r>
  <r>
    <n v="762"/>
    <n v="96"/>
    <s v="BIBO"/>
    <s v="WSO  303"/>
    <d v="2025-03-29T00:00:00"/>
    <x v="4"/>
    <s v="2425/5/TI-785"/>
    <x v="498"/>
    <d v="2025-03-31T00:00:00"/>
    <x v="0"/>
    <n v="7"/>
    <n v="168"/>
    <n v="7"/>
    <d v="2025-03-31T00:00:00"/>
    <s v="Delhi"/>
    <s v="Drona Logitech Pvt Ltd"/>
    <s v="DL01MA6900"/>
    <s v="22 FT"/>
    <n v="9104"/>
    <s v="Dispatched"/>
    <s v="-"/>
    <m/>
  </r>
  <r>
    <n v="763"/>
    <n v="96"/>
    <s v="BIBO"/>
    <s v="WSO 301"/>
    <d v="2025-03-28T00:00:00"/>
    <x v="21"/>
    <s v="2425/5/TI-784"/>
    <x v="499"/>
    <d v="2025-03-31T00:00:00"/>
    <x v="0"/>
    <n v="33"/>
    <n v="648"/>
    <n v="33"/>
    <d v="2025-03-31T00:00:00"/>
    <s v="Delhi"/>
    <s v="Drona Logitech Pvt Ltd"/>
    <s v="DL01MA6900"/>
    <s v="22 FT"/>
    <n v="9100"/>
    <s v="Dispatched"/>
    <s v="-"/>
    <m/>
  </r>
  <r>
    <n v="764"/>
    <n v="96"/>
    <s v="BIBO"/>
    <s v="WSO 306"/>
    <d v="2025-03-29T00:00:00"/>
    <x v="29"/>
    <s v="2425/5/TI-788"/>
    <x v="500"/>
    <d v="2025-03-31T00:00:00"/>
    <x v="0"/>
    <n v="23"/>
    <n v="552"/>
    <n v="23"/>
    <d v="2025-03-31T00:00:00"/>
    <s v="Delhi"/>
    <s v="Drona Logitech Pvt Ltd"/>
    <s v="DL01MA6900"/>
    <s v="22 FT"/>
    <n v="9103"/>
    <s v="Dispatched"/>
    <s v="-"/>
    <m/>
  </r>
  <r>
    <n v="765"/>
    <n v="96"/>
    <s v="BIBO"/>
    <s v="WSO 304"/>
    <d v="2025-03-29T00:00:00"/>
    <x v="12"/>
    <s v="2425/5/TI-786"/>
    <x v="501"/>
    <d v="2025-03-31T00:00:00"/>
    <x v="0"/>
    <n v="17"/>
    <n v="408"/>
    <n v="17"/>
    <d v="2025-03-31T00:00:00"/>
    <s v="Delhi"/>
    <s v="Drona Logitech Pvt Ltd"/>
    <s v="DL01MA6900"/>
    <s v="22 FT"/>
    <n v="9102"/>
    <s v="Dispatched"/>
    <s v="-"/>
    <m/>
  </r>
  <r>
    <n v="766"/>
    <n v="97"/>
    <s v="BIBO"/>
    <s v="WSO 317"/>
    <d v="2025-04-04T00:00:00"/>
    <x v="11"/>
    <s v="2526/5/TI-13"/>
    <x v="502"/>
    <d v="2025-04-05T00:00:00"/>
    <x v="1"/>
    <n v="5"/>
    <n v="120"/>
    <n v="5"/>
    <d v="2025-04-05T00:00:00"/>
    <s v="Delhi"/>
    <s v="Drona Logitech Pvt Ltd"/>
    <s v="DL1MA3659"/>
    <s v="22 FT"/>
    <s v="109A"/>
    <s v="Dispatched"/>
    <s v="-"/>
    <m/>
  </r>
  <r>
    <n v="767"/>
    <n v="97"/>
    <s v="BIBO"/>
    <s v="WSO 317"/>
    <d v="2025-04-04T00:00:00"/>
    <x v="3"/>
    <s v="2526/5/TI-08"/>
    <x v="503"/>
    <d v="2025-04-05T00:00:00"/>
    <x v="1"/>
    <n v="6"/>
    <n v="144"/>
    <n v="6"/>
    <d v="2025-04-05T00:00:00"/>
    <s v="Delhi"/>
    <s v="Drona Logitech Pvt Ltd"/>
    <s v="DL1MA3659"/>
    <s v="22 FT"/>
    <s v="110A"/>
    <s v="Dispatched"/>
    <s v="-"/>
    <m/>
  </r>
  <r>
    <n v="768"/>
    <n v="97"/>
    <s v="PIPO"/>
    <s v="PSO 430"/>
    <d v="2025-04-04T00:00:00"/>
    <x v="8"/>
    <s v="2526/5/TI-04"/>
    <x v="504"/>
    <d v="2025-04-04T00:00:00"/>
    <x v="1"/>
    <n v="100"/>
    <n v="100"/>
    <n v="10"/>
    <d v="2025-04-05T00:00:00"/>
    <s v="Delhi"/>
    <s v="Drona Logitech Pvt Ltd"/>
    <s v="DL1MA3659"/>
    <s v="22 FT"/>
    <s v="101A"/>
    <s v="Dispatched"/>
    <s v="-"/>
    <m/>
  </r>
  <r>
    <n v="769"/>
    <n v="97"/>
    <s v="BIBO"/>
    <s v="WSO 315"/>
    <d v="2025-04-04T00:00:00"/>
    <x v="3"/>
    <s v="2526/5/TI-11"/>
    <x v="114"/>
    <d v="2025-04-05T00:00:00"/>
    <x v="1"/>
    <n v="3"/>
    <n v="72"/>
    <n v="3"/>
    <d v="2025-04-05T00:00:00"/>
    <s v="Delhi"/>
    <s v="Drona Logitech Pvt Ltd"/>
    <s v="DL1MA3659"/>
    <s v="22 FT"/>
    <s v="103A"/>
    <s v="Dispatched"/>
    <s v="-"/>
    <m/>
  </r>
  <r>
    <n v="770"/>
    <n v="97"/>
    <s v="PIPO"/>
    <s v="PSO 428"/>
    <d v="2025-04-04T00:00:00"/>
    <x v="17"/>
    <s v="2526/5/TI-2"/>
    <x v="505"/>
    <d v="2025-04-04T00:00:00"/>
    <x v="1"/>
    <n v="332"/>
    <n v="332"/>
    <n v="33"/>
    <d v="2025-04-05T00:00:00"/>
    <s v="Delhi"/>
    <s v="Drona Logitech Pvt Ltd"/>
    <s v="DL1MA3659"/>
    <s v="22 FT"/>
    <s v="102A"/>
    <s v="Dispatched"/>
    <s v="-"/>
    <m/>
  </r>
  <r>
    <n v="771"/>
    <n v="97"/>
    <s v="PIPO"/>
    <s v="PSO 429"/>
    <d v="2025-04-04T00:00:00"/>
    <x v="11"/>
    <s v="2526/5/TI-3"/>
    <x v="506"/>
    <d v="2025-04-04T00:00:00"/>
    <x v="1"/>
    <n v="460"/>
    <n v="460"/>
    <n v="46"/>
    <d v="2025-04-05T00:00:00"/>
    <s v="Delhi"/>
    <s v="Drona Logitech Pvt Ltd"/>
    <s v="DL1MA3659"/>
    <s v="22 FT"/>
    <s v="104A"/>
    <s v="Dispatched"/>
    <s v="-"/>
    <m/>
  </r>
  <r>
    <n v="772"/>
    <n v="97"/>
    <s v="BIBO"/>
    <s v="WSO 312"/>
    <d v="2025-04-04T00:00:00"/>
    <x v="11"/>
    <s v="2526/5/TI-5"/>
    <x v="507"/>
    <d v="2025-04-05T00:00:00"/>
    <x v="1"/>
    <n v="18"/>
    <n v="432"/>
    <n v="18"/>
    <d v="2025-04-05T00:00:00"/>
    <s v="Delhi"/>
    <s v="Drona Logitech Pvt Ltd"/>
    <s v="DL1MA3659"/>
    <s v="22 FT"/>
    <s v="105 A"/>
    <s v="Dispatched"/>
    <s v="-"/>
    <m/>
  </r>
  <r>
    <n v="773"/>
    <n v="97"/>
    <s v="PIPO"/>
    <s v="PSO 427"/>
    <d v="2025-04-04T00:00:00"/>
    <x v="4"/>
    <s v="2526/5/TI-1"/>
    <x v="478"/>
    <d v="2025-04-04T00:00:00"/>
    <x v="1"/>
    <n v="120"/>
    <n v="120"/>
    <n v="10"/>
    <d v="2025-04-05T00:00:00"/>
    <s v="Delhi"/>
    <s v="Drona Logitech Pvt Ltd"/>
    <s v="DL1MA3659"/>
    <s v="22 FT"/>
    <s v="106A"/>
    <s v="Dispatched"/>
    <s v="-"/>
    <m/>
  </r>
  <r>
    <n v="774"/>
    <n v="97"/>
    <s v="BIBO"/>
    <s v="WSO 311"/>
    <d v="2025-04-04T00:00:00"/>
    <x v="19"/>
    <s v="2526/5/TI-6"/>
    <x v="508"/>
    <d v="2025-04-05T00:00:00"/>
    <x v="1"/>
    <n v="3"/>
    <n v="72"/>
    <n v="3"/>
    <d v="2025-04-05T00:00:00"/>
    <s v="Delhi"/>
    <s v="Drona Logitech Pvt Ltd"/>
    <s v="DL1MA3659"/>
    <s v="22 FT"/>
    <s v="106A"/>
    <s v="Dispatched"/>
    <s v="-"/>
    <m/>
  </r>
  <r>
    <n v="775"/>
    <n v="97"/>
    <s v="BIBO"/>
    <s v="WSO 314"/>
    <d v="2025-04-04T00:00:00"/>
    <x v="31"/>
    <s v="2526/5/TI-10"/>
    <x v="394"/>
    <d v="2025-04-05T00:00:00"/>
    <x v="1"/>
    <n v="10"/>
    <n v="240"/>
    <n v="10"/>
    <d v="2025-04-05T00:00:00"/>
    <s v="Delhi"/>
    <s v="Drona Logitech Pvt Ltd"/>
    <s v="DL1MA3659"/>
    <s v="22 FT"/>
    <s v="110A"/>
    <s v="Dispatched"/>
    <s v="-"/>
    <m/>
  </r>
  <r>
    <n v="776"/>
    <n v="97"/>
    <s v="BIBO"/>
    <s v="WSO 313"/>
    <d v="2025-04-04T00:00:00"/>
    <x v="4"/>
    <s v="2526/5/TI-09"/>
    <x v="509"/>
    <d v="2025-04-05T00:00:00"/>
    <x v="1"/>
    <n v="9"/>
    <n v="216"/>
    <n v="9"/>
    <d v="2025-04-05T00:00:00"/>
    <s v="Delhi"/>
    <s v="Drona Logitech Pvt Ltd"/>
    <s v="DL1MA3659"/>
    <s v="22 FT"/>
    <s v="108A"/>
    <s v="Dispatched"/>
    <s v="-"/>
    <m/>
  </r>
  <r>
    <n v="777"/>
    <n v="97"/>
    <s v="BIBO"/>
    <s v="WSO 316"/>
    <d v="2025-04-04T00:00:00"/>
    <x v="4"/>
    <s v="2526/5/TI-12"/>
    <x v="114"/>
    <d v="2025-04-05T00:00:00"/>
    <x v="1"/>
    <n v="3"/>
    <n v="72"/>
    <n v="3"/>
    <d v="2025-04-05T00:00:00"/>
    <s v="Delhi"/>
    <s v="Drona Logitech Pvt Ltd"/>
    <s v="DL1MA3659"/>
    <s v="22 FT"/>
    <s v="108A"/>
    <s v="Dispatched"/>
    <s v="-"/>
    <m/>
  </r>
  <r>
    <n v="778"/>
    <n v="97"/>
    <s v="BIBO"/>
    <s v="WSO 309"/>
    <d v="2025-04-04T00:00:00"/>
    <x v="4"/>
    <s v="2526/5/TI-07"/>
    <x v="508"/>
    <d v="2025-04-05T00:00:00"/>
    <x v="1"/>
    <n v="3"/>
    <n v="72"/>
    <n v="3"/>
    <d v="2025-04-05T00:00:00"/>
    <s v="Delhi"/>
    <s v="Drona Logitech Pvt Ltd"/>
    <s v="DL1MA3659"/>
    <s v="22 FT"/>
    <s v="108A"/>
    <s v="Dispatched"/>
    <s v="-"/>
    <m/>
  </r>
  <r>
    <n v="779"/>
    <n v="98"/>
    <s v="PIPO"/>
    <s v="PSO 435"/>
    <d v="2025-04-08T00:00:00"/>
    <x v="13"/>
    <s v="2526/5/TI-18"/>
    <x v="510"/>
    <d v="2025-04-09T00:00:00"/>
    <x v="1"/>
    <n v="450"/>
    <n v="450"/>
    <n v="45"/>
    <d v="2025-04-10T00:00:00"/>
    <s v="Delhi"/>
    <s v="Drona Logitech Pvt Ltd"/>
    <s v="DL01MA6900"/>
    <s v="22 FT"/>
    <s v="111A"/>
    <s v="Dispatched"/>
    <s v="-"/>
    <m/>
  </r>
  <r>
    <n v="780"/>
    <n v="98"/>
    <s v="PIPO"/>
    <s v="PSO 434"/>
    <d v="2025-04-08T00:00:00"/>
    <x v="22"/>
    <s v="2526/5/TI-17"/>
    <x v="511"/>
    <d v="2025-04-09T00:00:00"/>
    <x v="1"/>
    <n v="84"/>
    <n v="84"/>
    <n v="8"/>
    <d v="2025-04-10T00:00:00"/>
    <s v="Delhi"/>
    <s v="Drona Logitech Pvt Ltd"/>
    <s v="DL01MA6900"/>
    <s v="22 FT"/>
    <s v="112A"/>
    <s v="Dispatched"/>
    <s v="-"/>
    <m/>
  </r>
  <r>
    <n v="781"/>
    <n v="98"/>
    <s v="PIPO"/>
    <s v="PSO 437"/>
    <d v="2025-04-08T00:00:00"/>
    <x v="22"/>
    <s v="2526/5/TI-20"/>
    <x v="512"/>
    <d v="2025-04-09T00:00:00"/>
    <x v="1"/>
    <n v="20"/>
    <n v="20"/>
    <n v="2"/>
    <d v="2025-04-10T00:00:00"/>
    <s v="Delhi"/>
    <s v="Drona Logitech Pvt Ltd"/>
    <s v="DL01MA6900"/>
    <s v="22 FT"/>
    <s v="112A"/>
    <s v="Dispatched"/>
    <s v="-"/>
    <m/>
  </r>
  <r>
    <n v="782"/>
    <n v="98"/>
    <s v="BIBO"/>
    <s v="WSO 319"/>
    <d v="2025-04-05T00:00:00"/>
    <x v="7"/>
    <s v="2526/5/TI-23"/>
    <x v="513"/>
    <d v="2025-04-10T00:00:00"/>
    <x v="1"/>
    <n v="12"/>
    <n v="288"/>
    <n v="12"/>
    <d v="2025-04-10T00:00:00"/>
    <s v="Delhi"/>
    <s v="Drona Logitech Pvt Ltd"/>
    <s v="DL01MA6900"/>
    <s v="22 FT"/>
    <s v="113A"/>
    <s v="Dispatched"/>
    <s v="-"/>
    <m/>
  </r>
  <r>
    <n v="783"/>
    <n v="98"/>
    <s v="PIPO"/>
    <s v="PSO 431"/>
    <d v="2025-04-05T00:00:00"/>
    <x v="7"/>
    <s v="2526/5/TI-14"/>
    <x v="514"/>
    <d v="2025-04-07T00:00:00"/>
    <x v="1"/>
    <n v="5"/>
    <n v="56"/>
    <n v="5"/>
    <d v="2025-04-10T00:00:00"/>
    <s v="Delhi"/>
    <s v="Drona Logitech Pvt Ltd"/>
    <s v="DL01MA6900"/>
    <s v="22 FT"/>
    <s v="113A"/>
    <s v="Dispatched"/>
    <s v="-"/>
    <m/>
  </r>
  <r>
    <n v="784"/>
    <n v="98"/>
    <s v="PIPO"/>
    <s v="PSO 433"/>
    <d v="2025-04-07T00:00:00"/>
    <x v="16"/>
    <s v="2526/5/TI-16"/>
    <x v="483"/>
    <d v="2025-04-07T00:00:00"/>
    <x v="1"/>
    <n v="60"/>
    <n v="60"/>
    <n v="5"/>
    <d v="2025-04-10T00:00:00"/>
    <s v="Delhi"/>
    <s v="Drona Logitech Pvt Ltd"/>
    <s v="DL01MA6900"/>
    <s v="22 FT"/>
    <s v="114A"/>
    <s v="Dispatched"/>
    <s v="-"/>
    <m/>
  </r>
  <r>
    <n v="785"/>
    <n v="98"/>
    <s v="BIBO"/>
    <s v="WSO 325"/>
    <d v="2025-04-08T00:00:00"/>
    <x v="22"/>
    <s v="2526/5/TI-22"/>
    <x v="515"/>
    <d v="2025-04-10T00:00:00"/>
    <x v="1"/>
    <n v="19"/>
    <n v="456"/>
    <n v="19"/>
    <d v="2025-04-10T00:00:00"/>
    <s v="Delhi"/>
    <s v="Drona Logitech Pvt Ltd"/>
    <s v="DL01MA6900"/>
    <s v="22 FT"/>
    <s v="115A"/>
    <s v="Dispatched"/>
    <s v="-"/>
    <m/>
  </r>
  <r>
    <n v="786"/>
    <n v="98"/>
    <s v="BIBO"/>
    <s v="WSO 322"/>
    <d v="2025-04-07T00:00:00"/>
    <x v="13"/>
    <s v="2526/5/TI-25"/>
    <x v="516"/>
    <d v="2025-04-10T00:00:00"/>
    <x v="1"/>
    <n v="10"/>
    <n v="264"/>
    <n v="10"/>
    <d v="2025-04-10T00:00:00"/>
    <s v="Delhi"/>
    <s v="Drona Logitech Pvt Ltd"/>
    <s v="DL01MA6900"/>
    <s v="22 FT"/>
    <s v="116A"/>
    <s v="Dispatched"/>
    <s v="-"/>
    <m/>
  </r>
  <r>
    <n v="787"/>
    <n v="98"/>
    <s v="BIBO"/>
    <s v="WSO 323"/>
    <d v="2025-04-07T00:00:00"/>
    <x v="31"/>
    <s v="2526/5/TI-29"/>
    <x v="517"/>
    <d v="2025-04-10T00:00:00"/>
    <x v="1"/>
    <n v="17"/>
    <n v="408"/>
    <n v="17"/>
    <d v="2025-04-10T00:00:00"/>
    <s v="Delhi"/>
    <s v="Drona Logitech Pvt Ltd"/>
    <s v="DL01MA6900"/>
    <s v="22 FT"/>
    <s v="117A"/>
    <s v="Dispatched"/>
    <s v="-"/>
    <m/>
  </r>
  <r>
    <n v="788"/>
    <n v="98"/>
    <s v="BIBO"/>
    <s v="WSO 328"/>
    <d v="2025-04-09T00:00:00"/>
    <x v="31"/>
    <s v="2526/5/TI-30"/>
    <x v="518"/>
    <d v="2025-04-10T00:00:00"/>
    <x v="1"/>
    <n v="12"/>
    <n v="216"/>
    <n v="12"/>
    <d v="2025-04-10T00:00:00"/>
    <s v="Delhi"/>
    <s v="Drona Logitech Pvt Ltd"/>
    <s v="DL01MA6900"/>
    <s v="22 FT"/>
    <s v="118A"/>
    <s v="Dispatched"/>
    <s v="-"/>
    <m/>
  </r>
  <r>
    <n v="789"/>
    <n v="98"/>
    <s v="PIPO"/>
    <s v="PSO 432"/>
    <d v="2025-04-07T00:00:00"/>
    <x v="31"/>
    <s v="2526/5/TI-15"/>
    <x v="477"/>
    <d v="2025-04-07T00:00:00"/>
    <x v="1"/>
    <n v="15"/>
    <n v="180"/>
    <n v="15"/>
    <d v="2025-04-10T00:00:00"/>
    <s v="Delhi"/>
    <s v="Drona Logitech Pvt Ltd"/>
    <s v="DL01MA6900"/>
    <s v="22 FT"/>
    <s v="118A"/>
    <s v="Dispatched"/>
    <s v="-"/>
    <m/>
  </r>
  <r>
    <n v="790"/>
    <n v="98"/>
    <s v="PIPO"/>
    <s v="PSO 436"/>
    <d v="2025-04-08T00:00:00"/>
    <x v="29"/>
    <s v="2526/5/TI-19"/>
    <x v="519"/>
    <d v="2025-04-09T00:00:00"/>
    <x v="1"/>
    <n v="15"/>
    <n v="156"/>
    <n v="15"/>
    <d v="2025-04-10T00:00:00"/>
    <s v="Delhi"/>
    <s v="Drona Logitech Pvt Ltd"/>
    <s v="DL01MA6900"/>
    <s v="22 FT"/>
    <s v="119A"/>
    <s v="Dispatched"/>
    <s v="-"/>
    <m/>
  </r>
  <r>
    <n v="791"/>
    <n v="98"/>
    <s v="BIBO"/>
    <s v="WSO 321"/>
    <d v="2025-04-07T00:00:00"/>
    <x v="16"/>
    <s v="2526/5/TI-18"/>
    <x v="520"/>
    <d v="2025-04-10T00:00:00"/>
    <x v="1"/>
    <n v="6"/>
    <n v="144"/>
    <n v="6"/>
    <d v="2025-04-10T00:00:00"/>
    <s v="Delhi"/>
    <s v="Drona Logitech Pvt Ltd"/>
    <s v="DL01MA6900"/>
    <s v="22 FT"/>
    <s v="120A"/>
    <s v="Dispatched"/>
    <s v="-"/>
    <m/>
  </r>
  <r>
    <n v="792"/>
    <n v="98"/>
    <s v="BIBO"/>
    <s v="WSO 333"/>
    <d v="2025-04-07T00:00:00"/>
    <x v="31"/>
    <s v="2526/5/TI-21"/>
    <x v="521"/>
    <d v="2025-04-10T00:00:00"/>
    <x v="1"/>
    <n v="10"/>
    <n v="192"/>
    <n v="10"/>
    <d v="2025-04-10T00:00:00"/>
    <s v="Delhi"/>
    <s v="Drona Logitech Pvt Ltd"/>
    <s v="DL01MA6900"/>
    <s v="22 FT"/>
    <s v="121A"/>
    <s v="Dispatched"/>
    <s v="-"/>
    <m/>
  </r>
  <r>
    <n v="793"/>
    <n v="99"/>
    <s v="PIPO"/>
    <s v="PSO 438"/>
    <d v="2025-04-10T00:00:00"/>
    <x v="2"/>
    <s v="2526/5/TI-33"/>
    <x v="522"/>
    <d v="2025-04-11T00:00:00"/>
    <x v="1"/>
    <n v="319"/>
    <n v="319"/>
    <n v="32"/>
    <d v="2025-04-11T00:00:00"/>
    <s v="Delhi"/>
    <s v="Drona Logitech Pvt Ltd"/>
    <s v="DL01MA9359"/>
    <s v="22 FT"/>
    <s v="135 A"/>
    <s v="Dispatched"/>
    <s v="-"/>
    <m/>
  </r>
  <r>
    <n v="794"/>
    <n v="99"/>
    <s v="BIBO"/>
    <s v="SSO-7"/>
    <d v="2025-04-10T00:00:00"/>
    <x v="0"/>
    <s v="2526/5/STO-2"/>
    <x v="523"/>
    <d v="2025-04-11T00:00:00"/>
    <x v="1"/>
    <n v="34"/>
    <n v="798"/>
    <n v="34"/>
    <d v="2025-04-11T00:00:00"/>
    <s v="Delhi"/>
    <s v="Drona Logitech Pvt Ltd"/>
    <s v="DL01MA9359"/>
    <s v="22 FT"/>
    <s v="138A"/>
    <s v="Dispatched"/>
    <s v="-"/>
    <m/>
  </r>
  <r>
    <n v="795"/>
    <n v="99"/>
    <s v="BIBO"/>
    <s v="WSO 318 ,327"/>
    <d v="2025-04-11T00:00:00"/>
    <x v="44"/>
    <s v="2526/5/TI-35"/>
    <x v="524"/>
    <d v="2025-04-11T00:00:00"/>
    <x v="1"/>
    <n v="23"/>
    <n v="552"/>
    <n v="23"/>
    <d v="2025-04-11T00:00:00"/>
    <s v="Delhi"/>
    <s v="Drona Logitech Pvt Ltd"/>
    <s v="DL01MA9359"/>
    <s v="22 FT"/>
    <s v="137A"/>
    <s v="Dispatched"/>
    <s v="-"/>
    <m/>
  </r>
  <r>
    <n v="796"/>
    <n v="99"/>
    <s v="BIBO"/>
    <s v="WSO 332"/>
    <d v="2025-04-09T00:00:00"/>
    <x v="31"/>
    <s v="2526/5/TI-34"/>
    <x v="525"/>
    <d v="2025-04-11T00:00:00"/>
    <x v="1"/>
    <n v="8"/>
    <n v="192"/>
    <n v="8"/>
    <d v="2025-04-11T00:00:00"/>
    <s v="Delhi"/>
    <s v="Drona Logitech Pvt Ltd"/>
    <s v="DL01MA9359"/>
    <s v="22 FT"/>
    <s v="136A"/>
    <s v="Dispatched"/>
    <s v="-"/>
    <m/>
  </r>
  <r>
    <n v="797"/>
    <n v="99"/>
    <s v="BIBO"/>
    <s v="WSO 327"/>
    <d v="2025-04-09T00:00:00"/>
    <x v="1"/>
    <s v="2526/5/TI-26"/>
    <x v="526"/>
    <d v="2025-04-10T00:00:00"/>
    <x v="1"/>
    <n v="8"/>
    <n v="144"/>
    <n v="8"/>
    <d v="2025-04-11T00:00:00"/>
    <s v="Delhi"/>
    <s v="Drona Logitech Pvt Ltd"/>
    <s v="DL01MA9359"/>
    <s v="22 FT"/>
    <s v="134A"/>
    <s v="Dispatched"/>
    <s v="-"/>
    <m/>
  </r>
  <r>
    <n v="798"/>
    <n v="99"/>
    <s v="BIBO"/>
    <s v="WSO 326,329"/>
    <d v="2025-04-09T00:00:00"/>
    <x v="12"/>
    <s v="2526/5/TI-27"/>
    <x v="527"/>
    <d v="2025-04-10T00:00:00"/>
    <x v="1"/>
    <n v="16"/>
    <n v="372"/>
    <n v="16"/>
    <d v="2025-04-11T00:00:00"/>
    <s v="Delhi"/>
    <s v="Drona Logitech Pvt Ltd"/>
    <s v="DL01MA9359"/>
    <s v="22 FT"/>
    <s v="133A"/>
    <s v="Dispatched"/>
    <s v="-"/>
    <m/>
  </r>
  <r>
    <n v="799"/>
    <n v="99"/>
    <s v="BIBO"/>
    <s v="WSO 320,324,330,331"/>
    <d v="2025-04-07T00:00:00"/>
    <x v="4"/>
    <s v="2526/5/TI-24"/>
    <x v="528"/>
    <d v="2025-04-10T00:00:00"/>
    <x v="1"/>
    <n v="37"/>
    <n v="840"/>
    <n v="37"/>
    <d v="2025-04-11T00:00:00"/>
    <s v="Delhi"/>
    <s v="Drona Logitech Pvt Ltd"/>
    <s v="DL01MA9359"/>
    <s v="22 FT"/>
    <s v="132A"/>
    <s v="Dispatched"/>
    <s v="-"/>
    <m/>
  </r>
  <r>
    <n v="800"/>
    <n v="99"/>
    <s v="BIBO"/>
    <s v="WSO 250,258"/>
    <d v="2025-04-10T00:00:00"/>
    <x v="4"/>
    <s v="2526/5/TI-31"/>
    <x v="529"/>
    <d v="2025-04-11T00:00:00"/>
    <x v="1"/>
    <n v="2"/>
    <n v="48"/>
    <n v="2"/>
    <d v="2025-04-11T00:00:00"/>
    <s v="Delhi"/>
    <s v="Drona Logitech Pvt Ltd"/>
    <s v="DL01MA9359"/>
    <s v="22 FT"/>
    <s v="131A"/>
    <s v="Dispatched"/>
    <s v="-"/>
    <m/>
  </r>
  <r>
    <n v="801"/>
    <n v="99"/>
    <s v="BIBO"/>
    <s v="WSO 334"/>
    <d v="2025-04-10T00:00:00"/>
    <x v="29"/>
    <s v="2526/5/TI-32"/>
    <x v="530"/>
    <d v="2025-04-11T00:00:00"/>
    <x v="1"/>
    <n v="12"/>
    <n v="282"/>
    <n v="12"/>
    <d v="2025-04-11T00:00:00"/>
    <s v="Delhi"/>
    <s v="Drona Logitech Pvt Ltd"/>
    <s v="DL01MA9359"/>
    <s v="22 FT"/>
    <s v="130A"/>
    <s v="Dispatched"/>
    <s v="-"/>
    <m/>
  </r>
  <r>
    <n v="802"/>
    <n v="100"/>
    <s v="BIBO"/>
    <s v="WSO 340"/>
    <d v="2025-04-12T00:00:00"/>
    <x v="10"/>
    <s v="2526/5/TI-52"/>
    <x v="531"/>
    <d v="2025-04-13T00:00:00"/>
    <x v="1"/>
    <n v="2"/>
    <n v="42"/>
    <n v="2"/>
    <d v="2025-04-13T00:00:00"/>
    <s v="Delhi"/>
    <s v="Drona Logitech Pvt Ltd"/>
    <s v="DL01MA3659"/>
    <s v="22 FT"/>
    <s v="156(A)"/>
    <s v="Dispatched"/>
    <s v="-"/>
    <m/>
  </r>
  <r>
    <n v="803"/>
    <n v="100"/>
    <s v="BIBO"/>
    <s v="WSO 346"/>
    <d v="2025-04-12T00:00:00"/>
    <x v="10"/>
    <s v="2526/5/TI-36"/>
    <x v="532"/>
    <d v="2025-04-13T00:00:00"/>
    <x v="1"/>
    <n v="16"/>
    <n v="366"/>
    <n v="16"/>
    <d v="2025-04-13T00:00:00"/>
    <s v="Delhi"/>
    <s v="Drona Logitech Pvt Ltd"/>
    <s v="DL01MA3659"/>
    <s v="22 FT"/>
    <s v="146(A)"/>
    <s v="Dispatched"/>
    <s v="-"/>
    <m/>
  </r>
  <r>
    <n v="804"/>
    <n v="100"/>
    <s v="PIPO"/>
    <s v="PSO 443"/>
    <d v="2025-04-12T00:00:00"/>
    <x v="11"/>
    <s v="2526/5/TI-51"/>
    <x v="533"/>
    <d v="2025-04-13T00:00:00"/>
    <x v="1"/>
    <n v="550"/>
    <n v="550"/>
    <n v="55"/>
    <d v="2025-04-13T00:00:00"/>
    <s v="Delhi"/>
    <s v="Drona Logitech Pvt Ltd"/>
    <s v="DL01MA3659"/>
    <s v="22 FT"/>
    <s v="155(A)"/>
    <s v="Dispatched"/>
    <s v="-"/>
    <m/>
  </r>
  <r>
    <n v="805"/>
    <n v="100"/>
    <s v="PIPO"/>
    <s v="PSO 442"/>
    <d v="2025-04-12T00:00:00"/>
    <x v="3"/>
    <s v="2526/5/TI-50"/>
    <x v="241"/>
    <d v="2025-04-13T00:00:00"/>
    <x v="1"/>
    <n v="36"/>
    <n v="36"/>
    <n v="3"/>
    <d v="2025-04-13T00:00:00"/>
    <s v="Delhi"/>
    <s v="Drona Logitech Pvt Ltd"/>
    <s v="DL01MA3659"/>
    <s v="22 FT"/>
    <s v="154(A)"/>
    <s v="Dispatched"/>
    <s v="-"/>
    <m/>
  </r>
  <r>
    <n v="806"/>
    <n v="100"/>
    <s v="PIPO"/>
    <s v="PSO 440"/>
    <d v="2025-04-12T00:00:00"/>
    <x v="11"/>
    <s v="2526/5/TI-48"/>
    <x v="534"/>
    <d v="2025-04-13T00:00:00"/>
    <x v="1"/>
    <n v="100"/>
    <n v="100"/>
    <n v="10"/>
    <d v="2025-04-13T00:00:00"/>
    <s v="Delhi"/>
    <s v="Drona Logitech Pvt Ltd"/>
    <s v="DL01MA3659"/>
    <s v="22 FT"/>
    <s v="153(A)"/>
    <s v="Dispatched"/>
    <s v="-"/>
    <m/>
  </r>
  <r>
    <n v="807"/>
    <n v="100"/>
    <s v="PIPO"/>
    <s v="PSO 441"/>
    <d v="2025-04-12T00:00:00"/>
    <x v="31"/>
    <s v="2526/5/TI-49"/>
    <x v="535"/>
    <d v="2025-04-13T00:00:00"/>
    <x v="1"/>
    <n v="500"/>
    <n v="500"/>
    <n v="50"/>
    <d v="2025-04-13T00:00:00"/>
    <s v="Delhi"/>
    <s v="Drona Logitech Pvt Ltd"/>
    <s v="DL01MA3659"/>
    <s v="22 FT"/>
    <s v="152(A)"/>
    <s v="Dispatched"/>
    <s v="-"/>
    <m/>
  </r>
  <r>
    <n v="808"/>
    <n v="100"/>
    <s v="PIPO"/>
    <s v="PSO 439"/>
    <d v="2025-04-11T00:00:00"/>
    <x v="8"/>
    <s v="2526/5/TI-47"/>
    <x v="536"/>
    <d v="2025-04-13T00:00:00"/>
    <x v="1"/>
    <n v="40"/>
    <n v="40"/>
    <n v="4"/>
    <d v="2025-04-13T00:00:00"/>
    <s v="Delhi"/>
    <s v="Drona Logitech Pvt Ltd"/>
    <s v="DL01MA3659"/>
    <s v="22 FT"/>
    <s v="151(A)"/>
    <s v="Dispatched"/>
    <s v="-"/>
    <m/>
  </r>
  <r>
    <n v="809"/>
    <n v="100"/>
    <s v="BIBO"/>
    <s v="WSO 345"/>
    <d v="2025-04-12T00:00:00"/>
    <x v="44"/>
    <s v="2526/5/TI-41"/>
    <x v="537"/>
    <d v="2025-04-13T00:00:00"/>
    <x v="1"/>
    <n v="8"/>
    <n v="192"/>
    <n v="8"/>
    <d v="2025-04-13T00:00:00"/>
    <s v="Delhi"/>
    <s v="Drona Logitech Pvt Ltd"/>
    <s v="DL01MA3659"/>
    <s v="22 FT"/>
    <s v="150(A)"/>
    <s v="Dispatched"/>
    <s v="-"/>
    <m/>
  </r>
  <r>
    <n v="810"/>
    <n v="100"/>
    <s v="BIBO"/>
    <s v="WSO 342"/>
    <d v="2025-04-12T00:00:00"/>
    <x v="31"/>
    <s v="2526/5/TI-45"/>
    <x v="538"/>
    <d v="2025-04-13T00:00:00"/>
    <x v="1"/>
    <n v="6"/>
    <n v="144"/>
    <n v="6"/>
    <d v="2025-04-13T00:00:00"/>
    <s v="Delhi"/>
    <s v="Drona Logitech Pvt Ltd"/>
    <s v="DL01MA3659"/>
    <s v="22 FT"/>
    <s v="149(A)"/>
    <s v="Dispatched"/>
    <s v="-"/>
    <m/>
  </r>
  <r>
    <n v="811"/>
    <n v="100"/>
    <s v="BIBO"/>
    <s v="WSO 339"/>
    <d v="2025-04-12T00:00:00"/>
    <x v="20"/>
    <s v="2526/5/TI-37"/>
    <x v="538"/>
    <d v="2025-04-13T00:00:00"/>
    <x v="1"/>
    <n v="6"/>
    <n v="144"/>
    <n v="6"/>
    <d v="2025-04-13T00:00:00"/>
    <s v="Delhi"/>
    <s v="Drona Logitech Pvt Ltd"/>
    <s v="DL01MA3659"/>
    <s v="22 FT"/>
    <s v="148(A)"/>
    <s v="Dispatched"/>
    <s v="-"/>
    <m/>
  </r>
  <r>
    <n v="812"/>
    <n v="100"/>
    <s v="BIBO"/>
    <s v="WSO 337"/>
    <d v="2025-04-11T00:00:00"/>
    <x v="8"/>
    <s v="2526/5/TI-46"/>
    <x v="446"/>
    <d v="2025-04-13T00:00:00"/>
    <x v="1"/>
    <n v="3"/>
    <n v="72"/>
    <n v="3"/>
    <d v="2025-04-13T00:00:00"/>
    <s v="Delhi"/>
    <s v="Drona Logitech Pvt Ltd"/>
    <s v="DL01MA3659"/>
    <s v="22 FT"/>
    <s v="147(A)"/>
    <s v="Dispatched"/>
    <s v="-"/>
    <m/>
  </r>
  <r>
    <n v="813"/>
    <n v="100"/>
    <s v="BIBO"/>
    <s v="WSO 347"/>
    <d v="2025-04-12T00:00:00"/>
    <x v="13"/>
    <s v="2526/5/TI-39"/>
    <x v="539"/>
    <d v="2025-04-13T00:00:00"/>
    <x v="1"/>
    <n v="13"/>
    <n v="300"/>
    <n v="13"/>
    <d v="2025-04-13T00:00:00"/>
    <s v="Delhi"/>
    <s v="Drona Logitech Pvt Ltd"/>
    <s v="DL01MA3659"/>
    <s v="22 FT"/>
    <s v="145(A)"/>
    <s v="Dispatched"/>
    <s v="-"/>
    <m/>
  </r>
  <r>
    <n v="814"/>
    <n v="100"/>
    <s v="BIBO"/>
    <s v="WSO 344"/>
    <d v="2025-04-12T00:00:00"/>
    <x v="11"/>
    <s v="2526/5/TI-42"/>
    <x v="540"/>
    <d v="2025-04-13T00:00:00"/>
    <x v="1"/>
    <n v="10"/>
    <n v="216"/>
    <n v="10"/>
    <d v="2025-04-13T00:00:00"/>
    <s v="Delhi"/>
    <s v="Drona Logitech Pvt Ltd"/>
    <s v="DL01MA3659"/>
    <s v="22 FT"/>
    <s v="144(A)"/>
    <s v="Dispatched"/>
    <s v="-"/>
    <m/>
  </r>
  <r>
    <n v="815"/>
    <n v="100"/>
    <s v="BIBO"/>
    <s v="WSO 348"/>
    <d v="2025-04-12T00:00:00"/>
    <x v="29"/>
    <s v="2526/5/TI-40"/>
    <x v="541"/>
    <d v="2025-04-13T00:00:00"/>
    <x v="1"/>
    <n v="10"/>
    <n v="240"/>
    <n v="10"/>
    <d v="2025-04-13T00:00:00"/>
    <s v="Delhi"/>
    <s v="Drona Logitech Pvt Ltd"/>
    <s v="DL01MA3659"/>
    <s v="22 FT"/>
    <s v="143(A)"/>
    <s v="Dispatched"/>
    <s v="-"/>
    <m/>
  </r>
  <r>
    <n v="816"/>
    <n v="100"/>
    <s v="BIBO"/>
    <s v="WSO 349 ,WSO 343"/>
    <d v="2025-04-12T00:00:00"/>
    <x v="4"/>
    <s v="2526/5/TI-38"/>
    <x v="542"/>
    <d v="2025-04-13T00:00:00"/>
    <x v="1"/>
    <n v="9"/>
    <n v="216"/>
    <n v="9"/>
    <d v="2025-04-13T00:00:00"/>
    <s v="Delhi"/>
    <s v="Drona Logitech Pvt Ltd"/>
    <s v="DL01MA3659"/>
    <s v="22 FT"/>
    <s v="142(A)"/>
    <s v="Dispatched"/>
    <s v="-"/>
    <m/>
  </r>
  <r>
    <n v="817"/>
    <n v="100"/>
    <s v="BIBO"/>
    <s v="WSO 341"/>
    <d v="2025-04-12T00:00:00"/>
    <x v="9"/>
    <s v="2526/5/TI-44"/>
    <x v="543"/>
    <d v="2025-04-13T00:00:00"/>
    <x v="1"/>
    <n v="8"/>
    <n v="180"/>
    <n v="8"/>
    <d v="2025-04-13T00:00:00"/>
    <s v="Delhi"/>
    <s v="Drona Logitech Pvt Ltd"/>
    <s v="DL01MA3659"/>
    <s v="22 FT"/>
    <s v="141(A)"/>
    <s v="Dispatched"/>
    <s v="-"/>
    <m/>
  </r>
  <r>
    <n v="818"/>
    <n v="100"/>
    <s v="BIBO"/>
    <s v="WSO 338"/>
    <d v="2025-04-12T00:00:00"/>
    <x v="8"/>
    <s v="2526/5/TI-43"/>
    <x v="425"/>
    <d v="2025-04-13T00:00:00"/>
    <x v="1"/>
    <n v="3"/>
    <n v="72"/>
    <n v="3"/>
    <d v="2025-04-13T00:00:00"/>
    <s v="Delhi"/>
    <s v="Drona Logitech Pvt Ltd"/>
    <s v="DL01MA3659"/>
    <s v="22 FT"/>
    <s v="140(A)"/>
    <s v="Dispatched"/>
    <s v="-"/>
    <m/>
  </r>
  <r>
    <n v="819"/>
    <n v="101"/>
    <s v="BIBO"/>
    <s v="WSO 350"/>
    <d v="2025-04-15T00:00:00"/>
    <x v="3"/>
    <s v="2526/5/TI-54"/>
    <x v="544"/>
    <d v="2025-04-15T00:00:00"/>
    <x v="1"/>
    <n v="15"/>
    <n v="324"/>
    <n v="15"/>
    <d v="2025-04-16T00:00:00"/>
    <s v="Delhi"/>
    <s v="Drona Logitech Pvt Ltd"/>
    <s v="DL01MA3659"/>
    <s v="22 FT"/>
    <s v="158A"/>
    <s v="Dispatched"/>
    <s v="-"/>
    <m/>
  </r>
  <r>
    <n v="820"/>
    <n v="101"/>
    <s v="BIBO"/>
    <s v="WSO 336"/>
    <d v="2025-04-14T00:00:00"/>
    <x v="38"/>
    <s v="2526/5/TI-53"/>
    <x v="545"/>
    <d v="2025-04-14T00:00:00"/>
    <x v="1"/>
    <n v="25"/>
    <n v="504"/>
    <n v="25"/>
    <d v="2025-04-16T00:00:00"/>
    <s v="Delhi"/>
    <s v="Drona Logitech Pvt Ltd"/>
    <s v="DL01MA3659"/>
    <s v="22 FT"/>
    <s v="157A"/>
    <s v="Dispatched"/>
    <s v="-"/>
    <m/>
  </r>
  <r>
    <n v="821"/>
    <n v="101"/>
    <s v="BIBO"/>
    <s v="WSO 353,355"/>
    <d v="2025-04-15T00:00:00"/>
    <x v="17"/>
    <s v="2526/5/TI-60"/>
    <x v="546"/>
    <d v="2025-04-16T00:00:00"/>
    <x v="1"/>
    <s v="48,7"/>
    <n v="1290"/>
    <s v="48,7"/>
    <d v="2025-04-16T00:00:00"/>
    <s v="Delhi"/>
    <s v="Drona Logitech Pvt Ltd"/>
    <s v="DL01MA3659"/>
    <s v="22 FT"/>
    <s v="164A"/>
    <s v="Dispatched"/>
    <s v="-"/>
    <m/>
  </r>
  <r>
    <n v="822"/>
    <n v="101"/>
    <s v="BIBO"/>
    <s v="WSO 358"/>
    <d v="2025-04-15T00:00:00"/>
    <x v="9"/>
    <s v="2526/5/TI-59"/>
    <x v="547"/>
    <d v="2025-04-16T00:00:00"/>
    <x v="1"/>
    <n v="7"/>
    <n v="168"/>
    <n v="7"/>
    <d v="2025-04-16T00:00:00"/>
    <s v="Delhi"/>
    <s v="Drona Logitech Pvt Ltd"/>
    <s v="DL01MA3659"/>
    <s v="22 FT"/>
    <s v="159A"/>
    <s v="Dispatched"/>
    <s v="-"/>
    <m/>
  </r>
  <r>
    <n v="823"/>
    <n v="101"/>
    <s v="BIBO"/>
    <s v="WSO352,354"/>
    <d v="2025-04-15T00:00:00"/>
    <x v="16"/>
    <s v="2526/5/TI-58"/>
    <x v="548"/>
    <d v="2025-04-16T00:00:00"/>
    <x v="1"/>
    <s v="9,1"/>
    <n v="222"/>
    <s v="9,1"/>
    <d v="2025-04-16T00:00:00"/>
    <s v="Delhi"/>
    <s v="Drona Logitech Pvt Ltd"/>
    <s v="DL01MA3659"/>
    <s v="22 FT"/>
    <s v="160A"/>
    <s v="Dispatched"/>
    <s v="-"/>
    <m/>
  </r>
  <r>
    <n v="824"/>
    <n v="101"/>
    <s v="BIBO"/>
    <s v="WSO 357"/>
    <d v="2025-04-15T00:00:00"/>
    <x v="32"/>
    <s v="2526/5/TI-57"/>
    <x v="549"/>
    <d v="2025-04-16T00:00:00"/>
    <x v="1"/>
    <n v="17"/>
    <n v="396"/>
    <n v="17"/>
    <d v="2025-04-16T00:00:00"/>
    <s v="Delhi"/>
    <s v="Drona Logitech Pvt Ltd"/>
    <s v="DL01MA3659"/>
    <s v="22 FT"/>
    <s v="161A"/>
    <s v="Dispatched"/>
    <s v="-"/>
    <m/>
  </r>
  <r>
    <n v="825"/>
    <n v="101"/>
    <s v="BIBO"/>
    <s v="WSO 356"/>
    <d v="2025-04-15T00:00:00"/>
    <x v="29"/>
    <s v="2526/5/TI-56"/>
    <x v="550"/>
    <d v="2025-04-16T00:00:00"/>
    <x v="1"/>
    <n v="24"/>
    <n v="576"/>
    <n v="24"/>
    <d v="2025-04-16T00:00:00"/>
    <s v="Delhi"/>
    <s v="Drona Logitech Pvt Ltd"/>
    <s v="DL01MA3659"/>
    <s v="22 FT"/>
    <s v="162A"/>
    <s v="Dispatched"/>
    <s v="-"/>
    <m/>
  </r>
  <r>
    <n v="826"/>
    <n v="101"/>
    <s v="BIBO"/>
    <s v="WSO 351"/>
    <d v="2025-04-15T00:00:00"/>
    <x v="7"/>
    <s v="2526/5/TI-55"/>
    <x v="551"/>
    <d v="2025-04-16T00:00:00"/>
    <x v="1"/>
    <n v="11"/>
    <n v="276"/>
    <n v="11"/>
    <d v="2025-04-16T00:00:00"/>
    <s v="Delhi"/>
    <s v="Drona Logitech Pvt Ltd"/>
    <s v="DL01MA3659"/>
    <s v="22 FT"/>
    <s v="163A"/>
    <s v="Dispatched"/>
    <s v="-"/>
    <m/>
  </r>
  <r>
    <n v="827"/>
    <n v="102"/>
    <s v="PIPO"/>
    <s v="PSO 446"/>
    <d v="2025-04-15T00:00:00"/>
    <x v="11"/>
    <s v="2526/5/TI-67"/>
    <x v="552"/>
    <d v="2025-04-16T00:00:00"/>
    <x v="1"/>
    <n v="32"/>
    <n v="320"/>
    <n v="32"/>
    <d v="2025-04-16T00:00:00"/>
    <s v="Delhi"/>
    <s v="Drona Logitech Pvt Ltd"/>
    <s v="DL01MA2872"/>
    <s v="22 FT"/>
    <s v="186A"/>
    <s v="Dispatched"/>
    <s v="-"/>
    <m/>
  </r>
  <r>
    <n v="828"/>
    <n v="102"/>
    <s v="BIBO"/>
    <s v="WSO 359,360,361"/>
    <d v="2025-04-15T00:00:00"/>
    <x v="4"/>
    <s v="2526/5/TI-62"/>
    <x v="553"/>
    <d v="2025-04-16T00:00:00"/>
    <x v="1"/>
    <n v="19"/>
    <n v="456"/>
    <n v="19"/>
    <d v="2025-04-16T00:00:00"/>
    <s v="Delhi"/>
    <s v="Drona Logitech Pvt Ltd"/>
    <s v="DL01MA2872"/>
    <s v="22 FT"/>
    <s v="185A"/>
    <s v="Dispatched"/>
    <s v="-"/>
    <m/>
  </r>
  <r>
    <n v="829"/>
    <n v="102"/>
    <s v="PIPO"/>
    <s v="PSO 448"/>
    <d v="2025-04-15T00:00:00"/>
    <x v="32"/>
    <s v="2526/5/TI-65"/>
    <x v="554"/>
    <d v="2025-04-16T00:00:00"/>
    <x v="1"/>
    <n v="12"/>
    <n v="120"/>
    <n v="12"/>
    <d v="2025-04-16T00:00:00"/>
    <s v="Delhi"/>
    <s v="Drona Logitech Pvt Ltd"/>
    <s v="DL01MA2872"/>
    <s v="22 FT"/>
    <s v="184A"/>
    <s v="Dispatched"/>
    <s v="-"/>
    <m/>
  </r>
  <r>
    <n v="830"/>
    <n v="102"/>
    <s v="PIPO"/>
    <s v="PSO 449"/>
    <d v="2025-04-15T00:00:00"/>
    <x v="44"/>
    <s v="2526/5/TI-66"/>
    <x v="555"/>
    <d v="2025-04-16T00:00:00"/>
    <x v="1"/>
    <n v="13"/>
    <n v="134"/>
    <n v="13"/>
    <d v="2025-04-16T00:00:00"/>
    <s v="Delhi"/>
    <s v="Drona Logitech Pvt Ltd"/>
    <s v="DL01MA2872"/>
    <s v="22 FT"/>
    <s v="183A"/>
    <s v="Dispatched"/>
    <s v="-"/>
    <m/>
  </r>
  <r>
    <n v="831"/>
    <n v="102"/>
    <s v="PIPO"/>
    <s v="PSO 445"/>
    <d v="2025-04-15T00:00:00"/>
    <x v="9"/>
    <s v="2526/5/TI-63"/>
    <x v="556"/>
    <d v="2025-04-16T00:00:00"/>
    <x v="1"/>
    <n v="110"/>
    <n v="110"/>
    <n v="11"/>
    <d v="2025-04-16T00:00:00"/>
    <s v="Delhi"/>
    <s v="Drona Logitech Pvt Ltd"/>
    <s v="DL01MA2872"/>
    <s v="22 FT"/>
    <s v="181A"/>
    <s v="Dispatched"/>
    <s v="-"/>
    <m/>
  </r>
  <r>
    <n v="832"/>
    <n v="102"/>
    <s v="PIPO"/>
    <s v="PSO 447"/>
    <d v="2025-04-15T00:00:00"/>
    <x v="13"/>
    <s v="2526/5/TI-64"/>
    <x v="477"/>
    <d v="2025-04-16T00:00:00"/>
    <x v="1"/>
    <n v="180"/>
    <n v="180"/>
    <n v="15"/>
    <d v="2025-04-16T00:00:00"/>
    <s v="Delhi"/>
    <s v="Drona Logitech Pvt Ltd"/>
    <s v="DL01MA2872"/>
    <s v="22 FT"/>
    <s v="180A "/>
    <s v="Dispatched"/>
    <s v="-"/>
    <m/>
  </r>
  <r>
    <n v="833"/>
    <n v="102"/>
    <s v="PIPO"/>
    <s v="PSO 444"/>
    <d v="2025-04-15T00:00:00"/>
    <x v="11"/>
    <s v="2526/5/TI-61"/>
    <x v="557"/>
    <d v="2025-04-16T00:00:00"/>
    <x v="1"/>
    <n v="68"/>
    <n v="717"/>
    <n v="68"/>
    <d v="2025-04-16T00:00:00"/>
    <s v="Delhi"/>
    <s v="Drona Logitech Pvt Ltd"/>
    <s v="DL01MA2872"/>
    <s v="22 FT"/>
    <s v="182A"/>
    <s v="Dispatched"/>
    <s v="-"/>
    <m/>
  </r>
  <r>
    <n v="834"/>
    <n v="103"/>
    <s v="BIBO"/>
    <s v="WSO 365"/>
    <d v="2025-04-18T00:00:00"/>
    <x v="27"/>
    <s v="2526/5/TI-76"/>
    <x v="558"/>
    <d v="2025-04-18T00:00:00"/>
    <x v="1"/>
    <n v="9"/>
    <n v="192"/>
    <n v="9"/>
    <d v="2025-04-18T00:00:00"/>
    <s v="Delhi"/>
    <s v="Drona Logitech Pvt Ltd"/>
    <s v="DL01MA2872"/>
    <s v="22 FT"/>
    <s v="200A"/>
    <s v="Dispatched"/>
    <s v="-"/>
    <m/>
  </r>
  <r>
    <n v="835"/>
    <n v="103"/>
    <s v="BIBO"/>
    <s v="WSO 367"/>
    <d v="2025-04-18T00:00:00"/>
    <x v="4"/>
    <s v="2526/5/TI-78"/>
    <x v="559"/>
    <d v="2025-04-18T00:00:00"/>
    <x v="1"/>
    <n v="15"/>
    <n v="372"/>
    <n v="15"/>
    <d v="2025-04-18T00:00:00"/>
    <s v="Delhi"/>
    <s v="Drona Logitech Pvt Ltd"/>
    <s v="DL01MA2872"/>
    <s v="22 FT"/>
    <s v="199A"/>
    <s v="Dispatched"/>
    <s v="-"/>
    <m/>
  </r>
  <r>
    <n v="836"/>
    <n v="103"/>
    <s v="BIBO"/>
    <s v="WSO 366"/>
    <d v="2025-04-18T00:00:00"/>
    <x v="2"/>
    <s v="2526/5/TI-77"/>
    <x v="560"/>
    <d v="2025-04-18T00:00:00"/>
    <x v="1"/>
    <n v="14"/>
    <n v="288"/>
    <n v="14"/>
    <d v="2025-04-18T00:00:00"/>
    <s v="Delhi"/>
    <s v="Drona Logitech Pvt Ltd"/>
    <s v="DL01MA2872"/>
    <s v="22 FT"/>
    <s v="194A"/>
    <s v="Dispatched"/>
    <s v="-"/>
    <m/>
  </r>
  <r>
    <n v="837"/>
    <n v="103"/>
    <s v="PIPO"/>
    <s v="PSO 453"/>
    <d v="2025-04-18T00:00:00"/>
    <x v="37"/>
    <s v="2526/5/TI-70"/>
    <x v="561"/>
    <d v="2025-04-18T00:00:00"/>
    <x v="1"/>
    <n v="124"/>
    <n v="124"/>
    <n v="12"/>
    <d v="2025-04-18T00:00:00"/>
    <s v="Delhi"/>
    <s v="Drona Logitech Pvt Ltd"/>
    <s v="DL01MA2872"/>
    <s v="22 FT"/>
    <s v="187A"/>
    <s v="Dispatched"/>
    <s v="-"/>
    <m/>
  </r>
  <r>
    <n v="838"/>
    <n v="103"/>
    <s v="PIPO"/>
    <s v="PSO 450,451"/>
    <d v="2025-04-18T00:00:00"/>
    <x v="19"/>
    <s v="2526/5/TI-68"/>
    <x v="562"/>
    <d v="2025-04-18T00:00:00"/>
    <x v="1"/>
    <n v="130"/>
    <n v="130"/>
    <n v="12"/>
    <d v="2025-04-18T00:00:00"/>
    <s v="Delhi"/>
    <s v="Drona Logitech Pvt Ltd"/>
    <s v="DL01MA2872"/>
    <s v="22 FT"/>
    <s v="190A"/>
    <s v="Dispatched"/>
    <s v="-"/>
    <m/>
  </r>
  <r>
    <n v="839"/>
    <n v="103"/>
    <s v="PIPO"/>
    <s v="PSO 452"/>
    <d v="2025-04-18T00:00:00"/>
    <x v="11"/>
    <s v="2526/5/TI-69"/>
    <x v="563"/>
    <d v="2025-04-18T00:00:00"/>
    <x v="1"/>
    <n v="115"/>
    <n v="115"/>
    <n v="12"/>
    <d v="2025-04-18T00:00:00"/>
    <s v="Delhi"/>
    <s v="Drona Logitech Pvt Ltd"/>
    <s v="DL01MA2872"/>
    <s v="22 FT"/>
    <s v="188A"/>
    <s v="Dispatched"/>
    <s v="-"/>
    <m/>
  </r>
  <r>
    <n v="840"/>
    <n v="103"/>
    <s v="PIPO"/>
    <s v="PSO 454"/>
    <d v="2025-04-18T00:00:00"/>
    <x v="21"/>
    <s v="2526/5/TI-71"/>
    <x v="564"/>
    <d v="2025-04-18T00:00:00"/>
    <x v="1"/>
    <n v="24"/>
    <n v="24"/>
    <n v="2"/>
    <d v="2025-04-18T00:00:00"/>
    <s v="Delhi"/>
    <s v="Drona Logitech Pvt Ltd"/>
    <s v="DL01MA2872"/>
    <s v="22 FT"/>
    <s v="191A"/>
    <s v="Dispatched"/>
    <s v="-"/>
    <m/>
  </r>
  <r>
    <n v="841"/>
    <n v="103"/>
    <s v="PIPO"/>
    <s v="PSO 455"/>
    <d v="2025-04-18T00:00:00"/>
    <x v="4"/>
    <s v="2526/5/TI-72"/>
    <x v="478"/>
    <d v="2025-04-18T00:00:00"/>
    <x v="1"/>
    <n v="120"/>
    <n v="120"/>
    <n v="10"/>
    <d v="2025-04-18T00:00:00"/>
    <s v="Delhi"/>
    <s v="Drona Logitech Pvt Ltd"/>
    <s v="DL01MA2872"/>
    <s v="22 FT"/>
    <s v="189A"/>
    <s v="Dispatched"/>
    <s v="-"/>
    <m/>
  </r>
  <r>
    <n v="842"/>
    <n v="103"/>
    <s v="BIBO"/>
    <s v="WSO 362"/>
    <d v="2025-04-18T00:00:00"/>
    <x v="39"/>
    <s v="2526/5/TI-73"/>
    <x v="565"/>
    <d v="2025-04-18T00:00:00"/>
    <x v="1"/>
    <n v="44"/>
    <n v="1068"/>
    <n v="44"/>
    <d v="2025-04-18T00:00:00"/>
    <s v="Delhi"/>
    <s v="Drona Logitech Pvt Ltd"/>
    <s v="DL01MA2872"/>
    <s v="22 FT"/>
    <s v="195A"/>
    <s v="Dispatched"/>
    <s v="-"/>
    <m/>
  </r>
  <r>
    <n v="843"/>
    <n v="103"/>
    <s v="BIBO"/>
    <s v="WSO 363"/>
    <d v="2025-04-18T00:00:00"/>
    <x v="3"/>
    <s v="2526/5/TI-74"/>
    <x v="566"/>
    <d v="2025-04-18T00:00:00"/>
    <x v="1"/>
    <n v="9"/>
    <n v="216"/>
    <n v="9"/>
    <d v="2025-04-18T00:00:00"/>
    <s v="Delhi"/>
    <s v="Drona Logitech Pvt Ltd"/>
    <s v="DL01MA2872"/>
    <s v="22 FT"/>
    <s v="192A"/>
    <s v="Dispatched"/>
    <s v="-"/>
    <m/>
  </r>
  <r>
    <n v="844"/>
    <n v="103"/>
    <s v="BIBO"/>
    <s v="WSO 364"/>
    <d v="2025-04-18T00:00:00"/>
    <x v="21"/>
    <s v="2526/5/TI-75"/>
    <x v="567"/>
    <d v="2025-04-18T00:00:00"/>
    <x v="1"/>
    <n v="15"/>
    <n v="360"/>
    <n v="15"/>
    <d v="2025-04-18T00:00:00"/>
    <s v="Delhi"/>
    <s v="Drona Logitech Pvt Ltd"/>
    <s v="DL01MA2872"/>
    <s v="22 FT"/>
    <s v="193A"/>
    <s v="Dispatched"/>
    <s v="-"/>
    <m/>
  </r>
  <r>
    <n v="845"/>
    <n v="104"/>
    <s v="BIBO"/>
    <s v="WSO 374"/>
    <d v="2025-04-19T00:00:00"/>
    <x v="9"/>
    <s v="2526/5/TI-84"/>
    <x v="568"/>
    <d v="2025-04-19T00:00:00"/>
    <x v="1"/>
    <n v="5"/>
    <n v="120"/>
    <n v="5"/>
    <d v="2025-04-19T00:00:00"/>
    <s v="Delhi"/>
    <s v="Drona Logitech Pvt Ltd"/>
    <s v="DL01MA3659"/>
    <s v="22 FT"/>
    <s v="161AA"/>
    <s v="Dispatched"/>
    <s v="-"/>
    <m/>
  </r>
  <r>
    <n v="846"/>
    <n v="104"/>
    <s v="BIBO"/>
    <s v="WSO 372"/>
    <d v="2025-04-19T00:00:00"/>
    <x v="22"/>
    <s v="2526/5/TI-79"/>
    <x v="569"/>
    <d v="2025-04-19T00:00:00"/>
    <x v="1"/>
    <n v="4"/>
    <n v="96"/>
    <n v="4"/>
    <d v="2025-04-19T00:00:00"/>
    <s v="Delhi"/>
    <s v="Drona Logitech Pvt Ltd"/>
    <s v="DL01MA3659"/>
    <s v="22 FT"/>
    <s v="164AA"/>
    <s v="Dispatched"/>
    <s v="-"/>
    <m/>
  </r>
  <r>
    <n v="847"/>
    <n v="104"/>
    <s v="BIBO"/>
    <s v="WSO 370"/>
    <d v="2025-04-19T00:00:00"/>
    <x v="13"/>
    <s v="2526/5/TI-81"/>
    <x v="570"/>
    <d v="2025-04-19T00:00:00"/>
    <x v="1"/>
    <n v="24"/>
    <n v="576"/>
    <n v="24"/>
    <d v="2025-04-19T00:00:00"/>
    <s v="Delhi"/>
    <s v="Drona Logitech Pvt Ltd"/>
    <s v="DL01MA3659"/>
    <s v="22 FT"/>
    <s v="163AA"/>
    <s v="Dispatched"/>
    <s v="-"/>
    <m/>
  </r>
  <r>
    <n v="848"/>
    <n v="104"/>
    <s v="BIBO"/>
    <s v="WSO 371"/>
    <d v="2025-04-19T00:00:00"/>
    <x v="5"/>
    <s v="2526/5/TI-82"/>
    <x v="571"/>
    <d v="2025-04-19T00:00:00"/>
    <x v="1"/>
    <n v="39"/>
    <n v="924"/>
    <n v="39"/>
    <d v="2025-04-19T00:00:00"/>
    <s v="Delhi"/>
    <s v="Drona Logitech Pvt Ltd"/>
    <s v="DL01MA3659"/>
    <s v="22 FT"/>
    <s v="162AA"/>
    <s v="Dispatched"/>
    <s v="-"/>
    <m/>
  </r>
  <r>
    <n v="849"/>
    <n v="104"/>
    <s v="BIBO"/>
    <s v="WSO 369"/>
    <d v="2025-04-19T00:00:00"/>
    <x v="4"/>
    <s v="2526/5/TI-80"/>
    <x v="572"/>
    <d v="2025-04-19T00:00:00"/>
    <x v="1"/>
    <n v="11"/>
    <n v="288"/>
    <n v="11"/>
    <d v="2025-04-19T00:00:00"/>
    <s v="Delhi"/>
    <s v="Drona Logitech Pvt Ltd"/>
    <s v="DL01MA3659"/>
    <s v="22 FT"/>
    <s v="165AA"/>
    <s v="Dispatched"/>
    <s v="-"/>
    <m/>
  </r>
  <r>
    <n v="850"/>
    <n v="104"/>
    <s v="BIBO"/>
    <s v="WSO 368"/>
    <d v="2025-04-19T00:00:00"/>
    <x v="6"/>
    <s v="2526/5/TI-83"/>
    <x v="573"/>
    <d v="2025-04-19T00:00:00"/>
    <x v="1"/>
    <n v="28"/>
    <n v="672"/>
    <n v="28"/>
    <d v="2025-04-19T00:00:00"/>
    <s v="Delhi"/>
    <s v="Drona Logitech Pvt Ltd"/>
    <s v="DL01MA3659"/>
    <s v="22 FT"/>
    <s v="166AA"/>
    <s v="Dispatched"/>
    <s v="-"/>
    <m/>
  </r>
  <r>
    <n v="851"/>
    <n v="104"/>
    <s v="PIPO"/>
    <s v="PSO 456"/>
    <d v="2025-04-19T00:00:00"/>
    <x v="13"/>
    <s v="2526/5/TI-85"/>
    <x v="574"/>
    <d v="2025-04-19T00:00:00"/>
    <x v="1"/>
    <n v="469"/>
    <n v="469"/>
    <n v="47"/>
    <d v="2025-04-19T00:00:00"/>
    <s v="Delhi"/>
    <s v="Drona Logitech Pvt Ltd"/>
    <s v="DL01MA3659"/>
    <s v="22 FT"/>
    <s v="168AA"/>
    <s v="Dispatched"/>
    <s v="-"/>
    <m/>
  </r>
  <r>
    <n v="852"/>
    <n v="104"/>
    <s v="PIPO"/>
    <s v="PSO 457,459"/>
    <d v="2025-04-19T00:00:00"/>
    <x v="32"/>
    <s v="2526/5/TI-88"/>
    <x v="575"/>
    <d v="2025-04-19T00:00:00"/>
    <x v="1"/>
    <n v="194"/>
    <n v="194"/>
    <n v="19"/>
    <d v="2025-04-19T00:00:00"/>
    <s v="Delhi"/>
    <s v="Drona Logitech Pvt Ltd"/>
    <s v="DL01MA3659"/>
    <s v="22 FT"/>
    <s v="167AA"/>
    <s v="Dispatched"/>
    <s v="-"/>
    <m/>
  </r>
  <r>
    <n v="853"/>
    <n v="104"/>
    <s v="PIPO"/>
    <s v="PSO 458,460"/>
    <d v="2025-04-19T00:00:00"/>
    <x v="22"/>
    <s v="2526/5/TI-86"/>
    <x v="576"/>
    <d v="2025-04-19T00:00:00"/>
    <x v="1"/>
    <n v="114"/>
    <n v="114"/>
    <n v="11"/>
    <d v="2025-04-19T00:00:00"/>
    <s v="Delhi"/>
    <s v="Drona Logitech Pvt Ltd"/>
    <s v="DL01MA3659"/>
    <s v="22 FT"/>
    <s v="170AA"/>
    <s v="Dispatched"/>
    <s v="-"/>
    <m/>
  </r>
  <r>
    <n v="854"/>
    <n v="104"/>
    <s v="PIPO"/>
    <s v="SSO-8"/>
    <d v="2025-04-19T00:00:00"/>
    <x v="0"/>
    <s v="2526/5/TI-89"/>
    <x v="577"/>
    <d v="2025-04-19T00:00:00"/>
    <x v="1"/>
    <n v="306"/>
    <n v="306"/>
    <n v="30"/>
    <d v="2025-04-19T00:00:00"/>
    <s v="Delhi"/>
    <s v="Drona Logitech Pvt Ltd"/>
    <s v="DL01MA3659"/>
    <s v="22 FT"/>
    <s v="169AA"/>
    <s v="Dispatched"/>
    <s v="-"/>
    <m/>
  </r>
  <r>
    <n v="855"/>
    <n v="105"/>
    <s v="PIPO"/>
    <s v="PSO 463"/>
    <d v="2025-04-19T00:00:00"/>
    <x v="8"/>
    <s v="2526/5/TI-95"/>
    <x v="578"/>
    <d v="2025-04-22T00:00:00"/>
    <x v="1"/>
    <n v="70"/>
    <n v="70"/>
    <n v="7"/>
    <d v="2025-04-22T00:00:00"/>
    <s v="Delhi"/>
    <s v="VIJAY LAXMI TRANSPORT"/>
    <s v="DL01MA2872"/>
    <s v="22 FT"/>
    <n v="1016802"/>
    <s v="Dispatched"/>
    <s v="-"/>
    <m/>
  </r>
  <r>
    <n v="856"/>
    <n v="105"/>
    <s v="PIPO"/>
    <s v="SSO 9"/>
    <d v="2025-04-19T00:00:00"/>
    <x v="0"/>
    <s v="2526/5/STO-3"/>
    <x v="579"/>
    <d v="2025-04-22T00:00:00"/>
    <x v="1"/>
    <n v="1"/>
    <n v="1"/>
    <n v="1"/>
    <d v="2025-04-22T00:00:00"/>
    <s v="Delhi"/>
    <s v="VIJAY LAXMI TRANSPORT"/>
    <s v="DL01MA2872"/>
    <s v="22 FT"/>
    <n v="1016803"/>
    <s v="Dispatched"/>
    <s v="-"/>
    <m/>
  </r>
  <r>
    <n v="857"/>
    <n v="105"/>
    <s v="PIPO"/>
    <s v="PSO 462"/>
    <d v="2025-04-19T00:00:00"/>
    <x v="31"/>
    <s v="2526/5/TI-94"/>
    <x v="580"/>
    <d v="2025-04-22T00:00:00"/>
    <x v="1"/>
    <n v="69"/>
    <n v="69"/>
    <n v="7"/>
    <d v="2025-04-22T00:00:00"/>
    <s v="Delhi"/>
    <s v="VIJAY LAXMI TRANSPORT"/>
    <s v="DL01MA2872"/>
    <s v="22 FT"/>
    <n v="1016804"/>
    <s v="Dispatched"/>
    <s v="-"/>
    <m/>
  </r>
  <r>
    <n v="858"/>
    <n v="105"/>
    <s v="PIPO"/>
    <s v="PSO 464 465"/>
    <d v="2025-04-21T00:00:00"/>
    <x v="4"/>
    <s v="2526/5/TI-92"/>
    <x v="581"/>
    <d v="2025-04-22T00:00:00"/>
    <x v="1"/>
    <n v="82"/>
    <n v="82"/>
    <n v="8"/>
    <d v="2025-04-22T00:00:00"/>
    <s v="Delhi"/>
    <s v="VIJAY LAXMI TRANSPORT"/>
    <s v="DL01MA2872"/>
    <s v="22 FT"/>
    <n v="1016805"/>
    <s v="Dispatched"/>
    <s v="-"/>
    <m/>
  </r>
  <r>
    <n v="859"/>
    <n v="105"/>
    <s v="PIPO"/>
    <s v="PSO 467"/>
    <d v="2025-04-22T00:00:00"/>
    <x v="12"/>
    <s v="2526/5/TI-93"/>
    <x v="478"/>
    <d v="2025-04-22T00:00:00"/>
    <x v="1"/>
    <n v="120"/>
    <n v="120"/>
    <n v="10"/>
    <d v="2025-04-22T00:00:00"/>
    <s v="Delhi"/>
    <s v="VIJAY LAXMI TRANSPORT"/>
    <s v="DL01MA2872"/>
    <s v="22 FT"/>
    <n v="1016806"/>
    <s v="Dispatched"/>
    <s v="-"/>
    <m/>
  </r>
  <r>
    <n v="860"/>
    <n v="105"/>
    <s v="BIBO"/>
    <s v="WSO 375"/>
    <d v="2025-04-21T00:00:00"/>
    <x v="33"/>
    <s v="2526/5/TI-90"/>
    <x v="582"/>
    <d v="2025-04-22T00:00:00"/>
    <x v="1"/>
    <n v="19"/>
    <n v="456"/>
    <n v="19"/>
    <d v="2025-04-22T00:00:00"/>
    <s v="Delhi"/>
    <s v="VIJAY LAXMI TRANSPORT"/>
    <s v="DL01MA2872"/>
    <s v="22 FT"/>
    <n v="1016807"/>
    <s v="Dispatched"/>
    <s v="-"/>
    <m/>
  </r>
  <r>
    <n v="861"/>
    <n v="105"/>
    <s v="PIPO"/>
    <s v="PSO 461"/>
    <d v="2025-04-19T00:00:00"/>
    <x v="9"/>
    <s v="2526/5/TI-91"/>
    <x v="583"/>
    <d v="2025-04-22T00:00:00"/>
    <x v="1"/>
    <n v="58"/>
    <n v="58"/>
    <n v="6"/>
    <d v="2025-04-22T00:00:00"/>
    <s v="Delhi"/>
    <s v="VIJAY LAXMI TRANSPORT"/>
    <s v="DL01MA2872"/>
    <s v="22 FT"/>
    <n v="1016808"/>
    <s v="Dispatched"/>
    <s v="-"/>
    <m/>
  </r>
  <r>
    <n v="862"/>
    <n v="106"/>
    <s v="PIPO"/>
    <s v="PSO 466"/>
    <d v="2025-04-21T00:00:00"/>
    <x v="8"/>
    <s v="2526/5/TI-105"/>
    <x v="584"/>
    <d v="2025-04-26T00:00:00"/>
    <x v="1"/>
    <n v="104"/>
    <n v="104"/>
    <n v="10"/>
    <d v="2025-04-26T00:00:00"/>
    <s v="Delhi"/>
    <s v="VIJAY LAXMI TRANSPORT"/>
    <s v="DL01MA2872"/>
    <s v="22 FT"/>
    <n v="1016873"/>
    <s v="Dispatched"/>
    <s v="-"/>
    <m/>
  </r>
  <r>
    <n v="863"/>
    <n v="106"/>
    <s v="PIPO"/>
    <s v="PSO 468"/>
    <d v="2025-04-22T00:00:00"/>
    <x v="13"/>
    <s v="2526/5/TI-98"/>
    <x v="477"/>
    <d v="2025-04-25T00:00:00"/>
    <x v="1"/>
    <n v="180"/>
    <n v="180"/>
    <n v="15"/>
    <d v="2025-04-26T00:00:00"/>
    <s v="Delhi"/>
    <s v="VIJAY LAXMI TRANSPORT"/>
    <s v="DL01MA2872"/>
    <s v="22 FT"/>
    <n v="10229735"/>
    <s v="Dispatched"/>
    <s v="-"/>
    <m/>
  </r>
  <r>
    <n v="864"/>
    <n v="106"/>
    <s v="PIPO"/>
    <s v="PSO 469"/>
    <d v="2025-04-22T00:00:00"/>
    <x v="23"/>
    <s v="2526/5/TI-103"/>
    <x v="585"/>
    <d v="2025-04-25T00:00:00"/>
    <x v="1"/>
    <n v="90"/>
    <n v="90"/>
    <n v="9"/>
    <d v="2025-04-26T00:00:00"/>
    <s v="Delhi"/>
    <s v="VIJAY LAXMI TRANSPORT"/>
    <s v="DL01MA2872"/>
    <s v="22 FT"/>
    <n v="1016870"/>
    <s v="Dispatched"/>
    <s v="-"/>
    <m/>
  </r>
  <r>
    <n v="865"/>
    <n v="106"/>
    <s v="PIPO"/>
    <s v="PSO 470"/>
    <d v="2025-04-23T00:00:00"/>
    <x v="33"/>
    <s v="2526/5/TI-99"/>
    <x v="586"/>
    <d v="2025-04-25T00:00:00"/>
    <x v="1"/>
    <n v="206"/>
    <n v="206"/>
    <n v="20"/>
    <d v="2025-04-26T00:00:00"/>
    <s v="Delhi"/>
    <s v="VIJAY LAXMI TRANSPORT"/>
    <s v="DL01MA2872"/>
    <s v="22 FT"/>
    <n v="1016869"/>
    <s v="Dispatched"/>
    <s v="-"/>
    <m/>
  </r>
  <r>
    <n v="866"/>
    <n v="106"/>
    <s v="PIPO"/>
    <s v="PSO 471"/>
    <d v="2025-04-23T00:00:00"/>
    <x v="9"/>
    <s v="2526/5/TI-100"/>
    <x v="587"/>
    <d v="2025-04-25T00:00:00"/>
    <x v="1"/>
    <n v="70"/>
    <n v="70"/>
    <n v="7"/>
    <d v="2025-04-26T00:00:00"/>
    <s v="Delhi"/>
    <s v="VIJAY LAXMI TRANSPORT"/>
    <s v="DL01MA2872"/>
    <s v="22 FT"/>
    <n v="1016871"/>
    <s v="Dispatched"/>
    <s v="-"/>
    <m/>
  </r>
  <r>
    <n v="867"/>
    <n v="106"/>
    <s v="PIPO"/>
    <s v="PSO 472 ,PSO 473"/>
    <d v="2025-04-23T00:00:00"/>
    <x v="12"/>
    <s v="2526/5/TI-97"/>
    <x v="588"/>
    <d v="2025-04-25T00:00:00"/>
    <x v="1"/>
    <n v="60"/>
    <n v="60"/>
    <n v="6"/>
    <d v="2025-04-26T00:00:00"/>
    <s v="Delhi"/>
    <s v="VIJAY LAXMI TRANSPORT"/>
    <s v="DL01MA2872"/>
    <s v="22 FT"/>
    <n v="1016867"/>
    <s v="Dispatched"/>
    <s v="-"/>
    <m/>
  </r>
  <r>
    <n v="868"/>
    <n v="106"/>
    <s v="PIPO"/>
    <s v="PSO 474"/>
    <d v="2025-04-24T00:00:00"/>
    <x v="4"/>
    <s v="2526/5/TI-101"/>
    <x v="589"/>
    <d v="2025-04-25T00:00:00"/>
    <x v="1"/>
    <n v="70"/>
    <n v="70"/>
    <n v="7"/>
    <d v="2025-04-26T00:00:00"/>
    <s v="Delhi"/>
    <s v="VIJAY LAXMI TRANSPORT"/>
    <s v="DL01MA2872"/>
    <s v="22 FT"/>
    <n v="1016876"/>
    <s v="Dispatched"/>
    <s v="-"/>
    <m/>
  </r>
  <r>
    <n v="869"/>
    <n v="106"/>
    <s v="BIBO"/>
    <s v="WSO 335"/>
    <d v="2025-04-10T00:00:00"/>
    <x v="20"/>
    <s v="2526/5/TI-106"/>
    <x v="590"/>
    <d v="2025-04-26T00:00:00"/>
    <x v="1"/>
    <n v="17"/>
    <n v="384"/>
    <n v="17"/>
    <d v="2025-04-26T00:00:00"/>
    <s v="Delhi"/>
    <s v="VIJAY LAXMI TRANSPORT"/>
    <s v="DL01MA2872"/>
    <s v="22 FT"/>
    <n v="1016877"/>
    <s v="Dispatched"/>
    <s v="-"/>
    <m/>
  </r>
  <r>
    <n v="870"/>
    <n v="106"/>
    <s v="BIBO"/>
    <s v="WSO 376"/>
    <d v="2025-04-21T00:00:00"/>
    <x v="10"/>
    <s v="2526/5/TI-96"/>
    <x v="591"/>
    <d v="2025-04-23T00:00:00"/>
    <x v="1"/>
    <n v="5"/>
    <n v="120"/>
    <n v="5"/>
    <d v="2025-04-26T00:00:00"/>
    <s v="Delhi"/>
    <s v="VIJAY LAXMI TRANSPORT"/>
    <s v="DL01MA2872"/>
    <s v="22 FT"/>
    <n v="1016875"/>
    <s v="Dispatched"/>
    <s v="-"/>
    <m/>
  </r>
  <r>
    <n v="871"/>
    <n v="106"/>
    <s v="BIBO"/>
    <s v="WSO 377"/>
    <d v="2025-04-21T00:00:00"/>
    <x v="29"/>
    <s v="2526/5/TI-104"/>
    <x v="592"/>
    <d v="2025-04-25T00:00:00"/>
    <x v="1"/>
    <n v="6"/>
    <n v="138"/>
    <n v="6"/>
    <d v="2025-04-26T00:00:00"/>
    <s v="Delhi"/>
    <s v="VIJAY LAXMI TRANSPORT"/>
    <s v="DL01MA2872"/>
    <s v="22 FT"/>
    <n v="1016874"/>
    <s v="Dispatched"/>
    <s v="-"/>
    <m/>
  </r>
  <r>
    <n v="872"/>
    <n v="106"/>
    <s v="BIBO"/>
    <s v="WSO 378"/>
    <d v="2025-04-22T00:00:00"/>
    <x v="8"/>
    <s v="2526/5/TI-102"/>
    <x v="593"/>
    <d v="2025-04-25T00:00:00"/>
    <x v="1"/>
    <n v="2"/>
    <n v="48"/>
    <n v="2"/>
    <d v="2025-04-26T00:00:00"/>
    <s v="Delhi"/>
    <s v="VIJAY LAXMI TRANSPORT"/>
    <s v="DL01MA2872"/>
    <s v="22 FT"/>
    <n v="1016872"/>
    <s v="Dispatched"/>
    <s v="-"/>
    <m/>
  </r>
  <r>
    <n v="873"/>
    <n v="106"/>
    <s v="BIBO"/>
    <s v="WSO 379"/>
    <d v="2025-04-23T00:00:00"/>
    <x v="12"/>
    <s v="2526/5/TI-107"/>
    <x v="594"/>
    <d v="2025-04-26T00:00:00"/>
    <x v="1"/>
    <n v="47"/>
    <n v="1128"/>
    <n v="47"/>
    <d v="2025-04-26T00:00:00"/>
    <s v="Delhi"/>
    <s v="VIJAY LAXMI TRANSPORT"/>
    <s v="DL01MA2872"/>
    <s v="22 FT"/>
    <n v="1016891"/>
    <s v="Dispatched"/>
    <s v="-"/>
    <m/>
  </r>
  <r>
    <n v="874"/>
    <n v="106"/>
    <s v="BIBO"/>
    <s v="WSO 380"/>
    <d v="2025-04-24T00:00:00"/>
    <x v="16"/>
    <s v="2526/5/TI-108"/>
    <x v="595"/>
    <d v="2025-04-26T00:00:00"/>
    <x v="1"/>
    <n v="15"/>
    <n v="360"/>
    <n v="15"/>
    <d v="2025-04-26T00:00:00"/>
    <s v="Delhi"/>
    <s v="VIJAY LAXMI TRANSPORT"/>
    <s v="DL01MA2872"/>
    <s v="22 FT"/>
    <n v="1016893"/>
    <s v="Dispatched"/>
    <s v="-"/>
    <m/>
  </r>
  <r>
    <n v="875"/>
    <n v="107"/>
    <s v="BIBO"/>
    <s v="WSO 382"/>
    <d v="2025-04-25T00:00:00"/>
    <x v="29"/>
    <s v="2526/5/TI-115"/>
    <x v="596"/>
    <d v="2025-04-29T00:00:00"/>
    <x v="1"/>
    <n v="1"/>
    <n v="18"/>
    <n v="1"/>
    <d v="2025-04-29T00:00:00"/>
    <s v="Delhi"/>
    <s v="VIJAY LAXMI TRANSPORT"/>
    <s v="DL01MA2872"/>
    <s v="22 FT"/>
    <n v="1016941"/>
    <s v="Dispatched"/>
    <s v="-"/>
    <m/>
  </r>
  <r>
    <n v="876"/>
    <n v="107"/>
    <s v="BIBO"/>
    <s v="WSO 384"/>
    <d v="2025-04-25T00:00:00"/>
    <x v="7"/>
    <s v="2526/5/TI-117"/>
    <x v="597"/>
    <d v="2025-04-29T00:00:00"/>
    <x v="1"/>
    <n v="9"/>
    <n v="216"/>
    <n v="9"/>
    <d v="2025-04-29T00:00:00"/>
    <s v="Delhi"/>
    <s v="VIJAY LAXMI TRANSPORT"/>
    <s v="DL01MA2872"/>
    <s v="22 FT"/>
    <n v="1016946"/>
    <s v="Dispatched"/>
    <s v="-"/>
    <m/>
  </r>
  <r>
    <n v="877"/>
    <n v="107"/>
    <s v="BIBO"/>
    <s v="WSO 385"/>
    <d v="2025-04-25T00:00:00"/>
    <x v="12"/>
    <s v="2526/5/TI-118"/>
    <x v="598"/>
    <d v="2025-04-29T00:00:00"/>
    <x v="1"/>
    <n v="5"/>
    <n v="120"/>
    <n v="5"/>
    <d v="2025-04-29T00:00:00"/>
    <s v="Delhi"/>
    <s v="VIJAY LAXMI TRANSPORT"/>
    <s v="DL01MA2872"/>
    <s v="22 FT"/>
    <n v="1016947"/>
    <s v="Dispatched"/>
    <s v="-"/>
    <m/>
  </r>
  <r>
    <n v="878"/>
    <n v="107"/>
    <s v="PIPO"/>
    <s v="PSO 476"/>
    <d v="2025-04-24T00:00:00"/>
    <x v="31"/>
    <s v="2526/5/TI-110"/>
    <x v="599"/>
    <d v="2025-04-28T00:00:00"/>
    <x v="1"/>
    <n v="220"/>
    <n v="220"/>
    <n v="20"/>
    <d v="2025-04-29T00:00:00"/>
    <s v="Delhi"/>
    <s v="VIJAY LAXMI TRANSPORT"/>
    <s v="DL01MA2872"/>
    <s v="22 FT"/>
    <n v="1016940"/>
    <s v="Dispatched"/>
    <s v="-"/>
    <m/>
  </r>
  <r>
    <n v="879"/>
    <n v="107"/>
    <s v="PIPO"/>
    <s v="PSO 479, PSO 481"/>
    <d v="2025-04-26T00:00:00"/>
    <x v="4"/>
    <s v="2526/5/TI-113"/>
    <x v="600"/>
    <d v="2025-04-29T00:00:00"/>
    <x v="1"/>
    <n v="100"/>
    <n v="100"/>
    <n v="10"/>
    <d v="2025-04-29T00:00:00"/>
    <s v="Delhi"/>
    <s v="VIJAY LAXMI TRANSPORT"/>
    <s v="DL01MA2872"/>
    <s v="22 FT"/>
    <n v="1016939"/>
    <s v="Dispatched"/>
    <s v="-"/>
    <m/>
  </r>
  <r>
    <n v="880"/>
    <n v="107"/>
    <s v="BIBO"/>
    <s v="WSO 386"/>
    <d v="2025-04-26T00:00:00"/>
    <x v="40"/>
    <s v="2526/5/TI-119"/>
    <x v="601"/>
    <d v="2025-04-29T00:00:00"/>
    <x v="1"/>
    <n v="14"/>
    <n v="336"/>
    <n v="14"/>
    <d v="2025-04-29T00:00:00"/>
    <s v="Delhi"/>
    <s v="VIJAY LAXMI TRANSPORT"/>
    <s v="DL01MA2872"/>
    <s v="22 FT"/>
    <n v="1016945"/>
    <s v="Dispatched"/>
    <s v="-"/>
    <m/>
  </r>
  <r>
    <n v="881"/>
    <n v="107"/>
    <s v="BIBO"/>
    <s v="WSO 383"/>
    <d v="2025-04-25T00:00:00"/>
    <x v="45"/>
    <s v="2526/5/TI-116"/>
    <x v="602"/>
    <d v="2025-04-29T00:00:00"/>
    <x v="1"/>
    <n v="39"/>
    <n v="912"/>
    <n v="39"/>
    <d v="2025-04-29T00:00:00"/>
    <s v="Delhi"/>
    <s v="VIJAY LAXMI TRANSPORT"/>
    <s v="DL01MA2872"/>
    <s v="22 FT"/>
    <n v="1016944"/>
    <s v="Dispatched"/>
    <s v="-"/>
    <m/>
  </r>
  <r>
    <n v="882"/>
    <n v="107"/>
    <s v="BIBO"/>
    <s v="WSO 381"/>
    <d v="2025-04-29T00:00:00"/>
    <x v="4"/>
    <s v="2526/5/TI-114"/>
    <x v="603"/>
    <d v="2025-04-29T00:00:00"/>
    <x v="1"/>
    <n v="6"/>
    <n v="144"/>
    <n v="6"/>
    <d v="2025-04-29T00:00:00"/>
    <s v="Delhi"/>
    <s v="VIJAY LAXMI TRANSPORT"/>
    <s v="DL01MA2872"/>
    <s v="22 FT"/>
    <n v="1016943"/>
    <s v="Dispatched"/>
    <s v="-"/>
    <m/>
  </r>
  <r>
    <n v="883"/>
    <n v="107"/>
    <s v="PIPO"/>
    <s v="PSO 478"/>
    <d v="2025-04-24T00:00:00"/>
    <x v="45"/>
    <s v="2526/5/TI-111"/>
    <x v="604"/>
    <d v="2025-04-28T00:00:00"/>
    <x v="1"/>
    <n v="112"/>
    <n v="112"/>
    <n v="11"/>
    <d v="2025-04-29T00:00:00"/>
    <s v="Delhi"/>
    <s v="VIJAY LAXMI TRANSPORT"/>
    <s v="DL01MA2872"/>
    <s v="22 FT"/>
    <n v="1016942"/>
    <s v="Dispatched"/>
    <s v="-"/>
    <m/>
  </r>
  <r>
    <n v="884"/>
    <n v="107"/>
    <s v="PIPO"/>
    <s v="PSO 480"/>
    <d v="2025-04-26T00:00:00"/>
    <x v="29"/>
    <s v="2526/5/TI-112"/>
    <x v="605"/>
    <d v="2025-04-28T00:00:00"/>
    <x v="1"/>
    <n v="310"/>
    <n v="310"/>
    <n v="30"/>
    <d v="2025-04-29T00:00:00"/>
    <s v="Delhi"/>
    <s v="VIJAY LAXMI TRANSPORT"/>
    <s v="DL01MA2872"/>
    <s v="22 FT"/>
    <n v="1016938"/>
    <s v="Dispatched"/>
    <s v="-"/>
    <m/>
  </r>
  <r>
    <n v="885"/>
    <n v="107"/>
    <s v="PIPO"/>
    <s v="PSO 475, PSO 477"/>
    <d v="2025-04-24T00:00:00"/>
    <x v="32"/>
    <s v="2526/5/TI-109"/>
    <x v="606"/>
    <d v="2025-04-28T00:00:00"/>
    <x v="1"/>
    <n v="270"/>
    <n v="270"/>
    <n v="27"/>
    <d v="2025-04-29T00:00:00"/>
    <s v="Delhi"/>
    <s v="VIJAY LAXMI TRANSPORT"/>
    <s v="DL01MA2872"/>
    <s v="22 FT"/>
    <n v="1016937"/>
    <s v="Dispatched"/>
    <s v="-"/>
    <m/>
  </r>
  <r>
    <n v="886"/>
    <n v="108"/>
    <s v="PIPO"/>
    <s v="PSO 482"/>
    <d v="2025-04-28T00:00:00"/>
    <x v="36"/>
    <s v="2526/5/TI-129"/>
    <x v="607"/>
    <d v="2025-04-30T00:00:00"/>
    <x v="1"/>
    <n v="230"/>
    <n v="230"/>
    <n v="23"/>
    <d v="2025-04-30T00:00:00"/>
    <s v="Delhi"/>
    <s v="VIJAY LAXMI TRANSPORT"/>
    <s v="DL01MA2872"/>
    <s v="22 FT"/>
    <n v="1016961"/>
    <s v="Dispatched"/>
    <s v="-"/>
    <m/>
  </r>
  <r>
    <n v="887"/>
    <n v="108"/>
    <s v="BIBO"/>
    <s v="WSO 387"/>
    <d v="2025-04-26T00:00:00"/>
    <x v="5"/>
    <s v="2526/5/TI-120"/>
    <x v="608"/>
    <d v="2025-04-30T00:00:00"/>
    <x v="1"/>
    <n v="9"/>
    <n v="216"/>
    <n v="9"/>
    <d v="2025-04-30T00:00:00"/>
    <s v="Delhi"/>
    <s v="VIJAY LAXMI TRANSPORT"/>
    <s v="DL01MA2872"/>
    <s v="22 FT"/>
    <n v="1016960"/>
    <s v="Dispatched"/>
    <s v="-"/>
    <m/>
  </r>
  <r>
    <n v="888"/>
    <n v="108"/>
    <s v="PIPO"/>
    <s v="PSO 484,PSO 483"/>
    <d v="2025-04-28T00:00:00"/>
    <x v="8"/>
    <s v="2526/5/TI-130"/>
    <x v="609"/>
    <d v="2025-04-30T00:00:00"/>
    <x v="1"/>
    <n v="90"/>
    <n v="90"/>
    <n v="9"/>
    <d v="2025-04-30T00:00:00"/>
    <s v="Delhi"/>
    <s v="VIJAY LAXMI TRANSPORT"/>
    <s v="DL01MA2872"/>
    <s v="22 FT"/>
    <n v="1016959"/>
    <s v="Dispatched"/>
    <s v="-"/>
    <m/>
  </r>
  <r>
    <n v="889"/>
    <n v="108"/>
    <s v="BIBO"/>
    <s v="WSO 392"/>
    <d v="2025-04-28T00:00:00"/>
    <x v="43"/>
    <s v="2526/5/TI-128"/>
    <x v="165"/>
    <d v="2025-04-30T00:00:00"/>
    <x v="1"/>
    <n v="24"/>
    <n v="24"/>
    <n v="1"/>
    <d v="2025-04-30T00:00:00"/>
    <s v="Delhi"/>
    <s v="VIJAY LAXMI TRANSPORT"/>
    <s v="DL01MA2872"/>
    <s v="22 FT"/>
    <n v="1016955"/>
    <s v="Dispatched"/>
    <s v="-"/>
    <m/>
  </r>
  <r>
    <n v="890"/>
    <n v="108"/>
    <s v="BIBO"/>
    <s v="WSO 391"/>
    <d v="2025-04-28T00:00:00"/>
    <x v="19"/>
    <s v="2526/5/TI-124"/>
    <x v="610"/>
    <d v="2025-04-30T00:00:00"/>
    <x v="1"/>
    <n v="7"/>
    <n v="168"/>
    <n v="7"/>
    <d v="2025-04-30T00:00:00"/>
    <s v="Delhi"/>
    <s v="VIJAY LAXMI TRANSPORT"/>
    <s v="DL01MA2872"/>
    <s v="22 FT"/>
    <n v="1016958"/>
    <s v="Dispatched"/>
    <s v="-"/>
    <m/>
  </r>
  <r>
    <n v="891"/>
    <n v="108"/>
    <s v="BIBO"/>
    <s v="WSO 390"/>
    <d v="2025-04-28T00:00:00"/>
    <x v="36"/>
    <s v="2526/5/TI-123"/>
    <x v="611"/>
    <d v="2025-04-30T00:00:00"/>
    <x v="1"/>
    <n v="2"/>
    <n v="48"/>
    <n v="2"/>
    <d v="2025-04-30T00:00:00"/>
    <s v="Delhi"/>
    <s v="VIJAY LAXMI TRANSPORT"/>
    <s v="DL01MA2872"/>
    <s v="22 FT"/>
    <n v="1016961"/>
    <s v="Dispatched"/>
    <s v="-"/>
    <m/>
  </r>
  <r>
    <n v="892"/>
    <n v="108"/>
    <s v="BIBO"/>
    <s v="WSO 393"/>
    <d v="2025-04-29T00:00:00"/>
    <x v="4"/>
    <s v="2526/5/TI-127"/>
    <x v="612"/>
    <d v="2025-04-30T00:00:00"/>
    <x v="1"/>
    <n v="8"/>
    <n v="180"/>
    <n v="8"/>
    <d v="2025-04-30T00:00:00"/>
    <s v="Delhi"/>
    <s v="VIJAY LAXMI TRANSPORT"/>
    <s v="DL01MA2872"/>
    <s v="22 FT"/>
    <n v="1016957"/>
    <s v="Dispatched"/>
    <s v="-"/>
    <m/>
  </r>
  <r>
    <n v="893"/>
    <n v="108"/>
    <s v="BIBO"/>
    <s v="WSO 389"/>
    <d v="2025-04-26T00:00:00"/>
    <x v="27"/>
    <s v="2526/5/TI-122"/>
    <x v="613"/>
    <d v="2025-04-30T00:00:00"/>
    <x v="1"/>
    <n v="18"/>
    <n v="360"/>
    <n v="18"/>
    <d v="2025-04-30T00:00:00"/>
    <s v="Delhi"/>
    <s v="VIJAY LAXMI TRANSPORT"/>
    <s v="DL01MA2872"/>
    <s v="22 FT"/>
    <n v="1016956"/>
    <s v="Dispatched"/>
    <s v="-"/>
    <m/>
  </r>
  <r>
    <n v="894"/>
    <n v="108"/>
    <s v="BIBO"/>
    <s v="WSO 392"/>
    <d v="2025-04-29T00:00:00"/>
    <x v="43"/>
    <s v="2526/5/TI-125"/>
    <x v="614"/>
    <d v="2025-04-30T00:00:00"/>
    <x v="1"/>
    <n v="30"/>
    <n v="540"/>
    <n v="30"/>
    <d v="2025-04-30T00:00:00"/>
    <s v="Delhi"/>
    <s v="VIJAY LAXMI TRANSPORT"/>
    <s v="DL01MA2872"/>
    <s v="22 FT"/>
    <n v="1016955"/>
    <s v="Dispatched"/>
    <s v="-"/>
    <m/>
  </r>
  <r>
    <n v="895"/>
    <n v="108"/>
    <s v="BIBO"/>
    <s v="WSO 392"/>
    <d v="2025-04-29T00:00:00"/>
    <x v="43"/>
    <s v="2526/5/TI-126"/>
    <x v="615"/>
    <d v="2025-04-30T00:00:00"/>
    <x v="1"/>
    <n v="30"/>
    <n v="642"/>
    <n v="30"/>
    <d v="2025-04-30T00:00:00"/>
    <s v="Delhi"/>
    <s v="VIJAY LAXMI TRANSPORT"/>
    <s v="DL01MA2872"/>
    <s v="22 FT"/>
    <n v="1016954"/>
    <s v="Dispatched"/>
    <s v="-"/>
    <m/>
  </r>
  <r>
    <n v="896"/>
    <n v="108"/>
    <s v="BIBO"/>
    <s v="WSO 388"/>
    <d v="2025-04-26T00:00:00"/>
    <x v="45"/>
    <s v="2526/5/TI-121"/>
    <x v="418"/>
    <d v="2025-04-30T00:00:00"/>
    <x v="1"/>
    <n v="2"/>
    <n v="48"/>
    <n v="2"/>
    <d v="2025-04-30T00:00:00"/>
    <s v="Delhi"/>
    <s v="VIJAY LAXMI TRANSPORT"/>
    <s v="DL01MA2872"/>
    <s v="22 FT"/>
    <n v="1016952"/>
    <s v="Dispatched"/>
    <s v="-"/>
    <m/>
  </r>
  <r>
    <n v="897"/>
    <n v="109"/>
    <s v="BIBO"/>
    <s v="WSO 400, WSO 409"/>
    <d v="2025-04-30T00:00:00"/>
    <x v="31"/>
    <s v="2526/5/TI-138"/>
    <x v="616"/>
    <d v="2025-04-30T00:00:00"/>
    <x v="1"/>
    <n v="9"/>
    <n v="264"/>
    <n v="9"/>
    <d v="2025-05-02T00:00:00"/>
    <s v="Delhi"/>
    <s v="VIJAY LAXMI TRANSPORT"/>
    <s v="DL01MA2872"/>
    <s v="22 FT"/>
    <n v="1016982"/>
    <s v="Dispatched"/>
    <s v="-"/>
    <m/>
  </r>
  <r>
    <n v="898"/>
    <n v="109"/>
    <s v="BIBO"/>
    <s v="WSO 398"/>
    <d v="2025-04-30T00:00:00"/>
    <x v="31"/>
    <s v="2526/5/TI-146"/>
    <x v="617"/>
    <d v="2025-04-30T00:00:00"/>
    <x v="1"/>
    <n v="2"/>
    <n v="48"/>
    <n v="2"/>
    <d v="2025-05-02T00:00:00"/>
    <s v="Delhi"/>
    <s v="VIJAY LAXMI TRANSPORT"/>
    <s v="DL01MA2872"/>
    <s v="22 FT"/>
    <n v="1016983"/>
    <s v="Dispatched"/>
    <s v="-"/>
    <m/>
  </r>
  <r>
    <n v="899"/>
    <n v="109"/>
    <s v="BIBO"/>
    <s v="WSO 398"/>
    <d v="2025-04-30T00:00:00"/>
    <x v="31"/>
    <s v="2526/5/TI-136"/>
    <x v="618"/>
    <d v="2025-04-30T00:00:00"/>
    <x v="1"/>
    <n v="23"/>
    <n v="546"/>
    <n v="23"/>
    <d v="2025-05-02T00:00:00"/>
    <s v="Delhi"/>
    <s v="VIJAY LAXMI TRANSPORT"/>
    <s v="DL01MA2872"/>
    <s v="22 FT"/>
    <n v="1016984"/>
    <s v="Dispatched"/>
    <s v="-"/>
    <m/>
  </r>
  <r>
    <n v="900"/>
    <n v="109"/>
    <s v="BIBO"/>
    <s v="WSO 397,WSO 401"/>
    <d v="2025-04-30T00:00:00"/>
    <x v="29"/>
    <s v="2526/5/TI-135"/>
    <x v="619"/>
    <d v="2025-04-30T00:00:00"/>
    <x v="1"/>
    <n v="30"/>
    <n v="738"/>
    <n v="30"/>
    <d v="2025-05-02T00:00:00"/>
    <s v="Delhi"/>
    <s v="VIJAY LAXMI TRANSPORT"/>
    <s v="DL01MA2872"/>
    <s v="22 FT"/>
    <n v="1016985"/>
    <s v="Dispatched"/>
    <s v="-"/>
    <m/>
  </r>
  <r>
    <n v="901"/>
    <n v="109"/>
    <s v="BIBO"/>
    <s v="WSO 397"/>
    <d v="2025-04-30T00:00:00"/>
    <x v="29"/>
    <s v="2526/5/TI-155"/>
    <x v="460"/>
    <d v="2025-04-30T00:00:00"/>
    <x v="1"/>
    <n v="1"/>
    <n v="24"/>
    <n v="1"/>
    <d v="2025-05-02T00:00:00"/>
    <s v="Delhi"/>
    <s v="VIJAY LAXMI TRANSPORT"/>
    <s v="DL01MA2872"/>
    <s v="22 FT"/>
    <n v="1016987"/>
    <s v="Dispatched"/>
    <s v="-"/>
    <m/>
  </r>
  <r>
    <n v="902"/>
    <n v="109"/>
    <s v="BIBO"/>
    <s v="WSO396"/>
    <d v="2025-04-30T00:00:00"/>
    <x v="16"/>
    <s v="2526/5/TI-134"/>
    <x v="620"/>
    <d v="2025-04-30T00:00:00"/>
    <x v="1"/>
    <n v="7"/>
    <n v="168"/>
    <n v="7"/>
    <d v="2025-05-02T00:00:00"/>
    <s v="Delhi"/>
    <s v="VIJAY LAXMI TRANSPORT"/>
    <s v="DL01MA2872"/>
    <s v="22 FT"/>
    <n v="1016986"/>
    <s v="Dispatched"/>
    <s v="-"/>
    <m/>
  </r>
  <r>
    <n v="903"/>
    <n v="109"/>
    <s v="BIBO"/>
    <s v="WSO 395"/>
    <d v="2025-04-30T00:00:00"/>
    <x v="6"/>
    <s v="2526/5/TI-133"/>
    <x v="621"/>
    <d v="2025-04-30T00:00:00"/>
    <x v="1"/>
    <n v="21"/>
    <n v="504"/>
    <n v="21"/>
    <d v="2025-05-02T00:00:00"/>
    <s v="Delhi"/>
    <s v="VIJAY LAXMI TRANSPORT"/>
    <s v="DL01MA2872"/>
    <s v="22 FT"/>
    <n v="1016988"/>
    <s v="Dispatched"/>
    <s v="-"/>
    <m/>
  </r>
  <r>
    <n v="904"/>
    <n v="109"/>
    <s v="BIBO"/>
    <s v="WSO 394"/>
    <d v="2025-04-30T00:00:00"/>
    <x v="6"/>
    <s v="2526/5/TI-132"/>
    <x v="622"/>
    <d v="2025-04-30T00:00:00"/>
    <x v="1"/>
    <n v="43"/>
    <n v="990"/>
    <n v="43"/>
    <d v="2025-05-02T00:00:00"/>
    <s v="Delhi"/>
    <s v="VIJAY LAXMI TRANSPORT"/>
    <s v="DL01MA2872"/>
    <s v="22 FT"/>
    <n v="1016989"/>
    <s v="Dispatched"/>
    <s v="-"/>
    <m/>
  </r>
  <r>
    <n v="905"/>
    <n v="110"/>
    <s v="BIBO"/>
    <s v="WSO 402"/>
    <d v="2025-04-30T00:00:00"/>
    <x v="10"/>
    <s v="2526/5/TI-139"/>
    <x v="387"/>
    <d v="2025-04-30T00:00:00"/>
    <x v="1"/>
    <n v="4"/>
    <n v="96"/>
    <n v="4"/>
    <d v="2025-05-02T00:00:00"/>
    <s v="Delhi"/>
    <s v="VIJAY LAXMI TRANSPORT"/>
    <s v="DL01MA3659"/>
    <s v="22 FT"/>
    <n v="1017015"/>
    <s v="Dispatched"/>
    <s v="-"/>
    <m/>
  </r>
  <r>
    <n v="906"/>
    <n v="110"/>
    <s v="BIBO"/>
    <s v="WSO 399"/>
    <d v="2025-04-30T00:00:00"/>
    <x v="31"/>
    <s v="2526/5/TI-137"/>
    <x v="623"/>
    <d v="2025-04-30T00:00:00"/>
    <x v="1"/>
    <n v="26"/>
    <n v="624"/>
    <n v="26"/>
    <d v="2025-05-02T00:00:00"/>
    <s v="Delhi"/>
    <s v="VIJAY LAXMI TRANSPORT"/>
    <s v="DL01MA3659"/>
    <s v="22 FT"/>
    <n v="1017016"/>
    <s v="Dispatched"/>
    <s v="-"/>
    <m/>
  </r>
  <r>
    <n v="907"/>
    <n v="110"/>
    <s v="PIPO"/>
    <s v="WSO 485"/>
    <d v="2025-04-30T00:00:00"/>
    <x v="8"/>
    <s v="2526/5/TI-131"/>
    <x v="624"/>
    <d v="2025-04-30T00:00:00"/>
    <x v="1"/>
    <n v="50"/>
    <n v="50"/>
    <n v="5"/>
    <d v="2025-05-02T00:00:00"/>
    <s v="Delhi"/>
    <s v="VIJAY LAXMI TRANSPORT"/>
    <s v="DL01MA3659"/>
    <s v="22 FT"/>
    <n v="1017017"/>
    <s v="Dispatched"/>
    <s v="-"/>
    <m/>
  </r>
  <r>
    <n v="908"/>
    <n v="110"/>
    <s v="BIBO"/>
    <s v="WSO 419"/>
    <d v="2025-04-30T00:00:00"/>
    <x v="22"/>
    <s v="2526/5/TI-159"/>
    <x v="625"/>
    <d v="2025-05-02T00:00:00"/>
    <x v="2"/>
    <n v="9"/>
    <n v="216"/>
    <n v="9"/>
    <d v="2025-05-02T00:00:00"/>
    <s v="Delhi"/>
    <s v="VIJAY LAXMI TRANSPORT"/>
    <s v="DL01MA3659"/>
    <s v="22 FT"/>
    <n v="1016998"/>
    <s v="Dispatched"/>
    <s v="-"/>
    <m/>
  </r>
  <r>
    <n v="909"/>
    <n v="110"/>
    <s v="BIBO"/>
    <s v="WSO 418"/>
    <d v="2025-04-30T00:00:00"/>
    <x v="46"/>
    <s v="2526/5/TI-158"/>
    <x v="626"/>
    <d v="2025-05-02T00:00:00"/>
    <x v="2"/>
    <n v="13"/>
    <n v="300"/>
    <n v="13"/>
    <d v="2025-05-02T00:00:00"/>
    <s v="Delhi"/>
    <s v="VIJAY LAXMI TRANSPORT"/>
    <s v="DL01MA3659"/>
    <s v="22 FT"/>
    <n v="1017034"/>
    <s v="Dispatched"/>
    <s v="-"/>
    <m/>
  </r>
  <r>
    <n v="910"/>
    <n v="110"/>
    <s v="BIBO"/>
    <s v="WSO 416"/>
    <d v="2025-04-30T00:00:00"/>
    <x v="11"/>
    <s v="2526/5/TI-153"/>
    <x v="627"/>
    <d v="2025-04-30T00:00:00"/>
    <x v="1"/>
    <n v="8"/>
    <n v="192"/>
    <n v="8"/>
    <d v="2025-05-02T00:00:00"/>
    <s v="Delhi"/>
    <s v="VIJAY LAXMI TRANSPORT"/>
    <s v="DL01MA3659"/>
    <s v="22 FT"/>
    <n v="1016999"/>
    <s v="Dispatched"/>
    <s v="-"/>
    <m/>
  </r>
  <r>
    <n v="911"/>
    <n v="110"/>
    <s v="BIBO"/>
    <s v="WSO 417"/>
    <d v="2025-04-30T00:00:00"/>
    <x v="21"/>
    <s v="2526/5/TI-154"/>
    <x v="628"/>
    <d v="2025-04-30T00:00:00"/>
    <x v="1"/>
    <n v="10"/>
    <n v="240"/>
    <n v="10"/>
    <d v="2025-05-02T00:00:00"/>
    <s v="Delhi"/>
    <s v="VIJAY LAXMI TRANSPORT"/>
    <s v="DL01MA3659"/>
    <s v="22 FT"/>
    <n v="101700"/>
    <s v="Dispatched"/>
    <s v="-"/>
    <m/>
  </r>
  <r>
    <n v="912"/>
    <n v="110"/>
    <s v="BIBO"/>
    <s v="WSO 415"/>
    <d v="2025-04-30T00:00:00"/>
    <x v="9"/>
    <s v="2526/5/TI-152"/>
    <x v="629"/>
    <d v="2025-04-30T00:00:00"/>
    <x v="1"/>
    <n v="10"/>
    <n v="240"/>
    <n v="10"/>
    <d v="2025-05-02T00:00:00"/>
    <s v="Delhi"/>
    <s v="VIJAY LAXMI TRANSPORT"/>
    <s v="DL01MA3659"/>
    <s v="22 FT"/>
    <n v="1017001"/>
    <s v="Dispatched"/>
    <s v="-"/>
    <m/>
  </r>
  <r>
    <n v="913"/>
    <n v="110"/>
    <s v="BIBO"/>
    <s v="WSO 414"/>
    <d v="2025-04-30T00:00:00"/>
    <x v="27"/>
    <s v="2526/5/TI-151"/>
    <x v="126"/>
    <d v="2025-04-30T00:00:00"/>
    <x v="1"/>
    <n v="8"/>
    <n v="192"/>
    <n v="8"/>
    <d v="2025-05-02T00:00:00"/>
    <s v="Delhi"/>
    <s v="VIJAY LAXMI TRANSPORT"/>
    <s v="DL01MA3659"/>
    <s v="22 FT"/>
    <n v="1017002"/>
    <s v="Dispatched"/>
    <s v="-"/>
    <m/>
  </r>
  <r>
    <n v="914"/>
    <n v="110"/>
    <s v="BIBO"/>
    <s v="WSO 413"/>
    <d v="2025-04-30T00:00:00"/>
    <x v="13"/>
    <s v="2526/5/TI-150"/>
    <x v="630"/>
    <d v="2025-04-30T00:00:00"/>
    <x v="1"/>
    <n v="5"/>
    <n v="120"/>
    <n v="5"/>
    <d v="2025-05-02T00:00:00"/>
    <s v="Delhi"/>
    <s v="VIJAY LAXMI TRANSPORT"/>
    <s v="DL01MA3659"/>
    <s v="22 FT"/>
    <n v="1017003"/>
    <s v="Dispatched"/>
    <s v="-"/>
    <m/>
  </r>
  <r>
    <n v="915"/>
    <n v="110"/>
    <s v="BIBO"/>
    <s v="WSO 412"/>
    <d v="2025-04-30T00:00:00"/>
    <x v="44"/>
    <s v="2526/5/TI-149"/>
    <x v="305"/>
    <d v="2025-04-30T00:00:00"/>
    <x v="1"/>
    <n v="8"/>
    <n v="192"/>
    <n v="8"/>
    <d v="2025-05-02T00:00:00"/>
    <s v="Delhi"/>
    <s v="VIJAY LAXMI TRANSPORT"/>
    <s v="DL01MA3659"/>
    <s v="22 FT"/>
    <n v="1017004"/>
    <s v="Dispatched"/>
    <s v="-"/>
    <m/>
  </r>
  <r>
    <n v="916"/>
    <n v="110"/>
    <s v="BIBO"/>
    <s v="WSO 411"/>
    <d v="2025-04-30T00:00:00"/>
    <x v="3"/>
    <s v="2526/5/TI-148"/>
    <x v="142"/>
    <d v="2025-04-30T00:00:00"/>
    <x v="1"/>
    <n v="6"/>
    <n v="144"/>
    <n v="6"/>
    <d v="2025-05-02T00:00:00"/>
    <s v="Delhi"/>
    <s v="VIJAY LAXMI TRANSPORT"/>
    <s v="DL01MA3659"/>
    <s v="22 FT"/>
    <n v="1017005"/>
    <s v="Dispatched"/>
    <s v="-"/>
    <m/>
  </r>
  <r>
    <n v="917"/>
    <n v="110"/>
    <s v="BIBO"/>
    <s v="WSO 410"/>
    <d v="2025-04-30T00:00:00"/>
    <x v="23"/>
    <s v="2526/5/TI-147"/>
    <x v="631"/>
    <d v="2025-04-30T00:00:00"/>
    <x v="1"/>
    <n v="15"/>
    <n v="360"/>
    <n v="15"/>
    <d v="2025-05-02T00:00:00"/>
    <s v="Delhi"/>
    <s v="VIJAY LAXMI TRANSPORT"/>
    <s v="DL01MA3659"/>
    <s v="22 FT"/>
    <n v="1017006"/>
    <s v="Dispatched"/>
    <s v="-"/>
    <m/>
  </r>
  <r>
    <n v="918"/>
    <n v="110"/>
    <s v="BIBO"/>
    <s v="WSO 408"/>
    <d v="2025-04-30T00:00:00"/>
    <x v="2"/>
    <s v="2526/5/TI-145"/>
    <x v="632"/>
    <d v="2025-04-30T00:00:00"/>
    <x v="1"/>
    <n v="15"/>
    <n v="360"/>
    <n v="15"/>
    <d v="2025-05-02T00:00:00"/>
    <s v="Delhi"/>
    <s v="VIJAY LAXMI TRANSPORT"/>
    <s v="DL01MA3659"/>
    <s v="22 FT"/>
    <n v="1017007"/>
    <s v="Dispatched"/>
    <s v="-"/>
    <m/>
  </r>
  <r>
    <n v="919"/>
    <n v="110"/>
    <s v="BIBO"/>
    <s v="WSO 407"/>
    <d v="2025-04-30T00:00:00"/>
    <x v="5"/>
    <s v="2526/5/TI-144"/>
    <x v="633"/>
    <d v="2025-04-30T00:00:00"/>
    <x v="1"/>
    <n v="10"/>
    <n v="240"/>
    <n v="10"/>
    <d v="2025-05-02T00:00:00"/>
    <s v="Delhi"/>
    <s v="VIJAY LAXMI TRANSPORT"/>
    <s v="DL01MA3659"/>
    <s v="22 FT"/>
    <n v="1017008"/>
    <s v="Dispatched"/>
    <s v="-"/>
    <m/>
  </r>
  <r>
    <n v="920"/>
    <n v="110"/>
    <s v="BIBO"/>
    <s v="WSO 406"/>
    <d v="2025-04-30T00:00:00"/>
    <x v="22"/>
    <s v="2526/5/TI-143"/>
    <x v="634"/>
    <d v="2025-04-30T00:00:00"/>
    <x v="1"/>
    <n v="7"/>
    <n v="168"/>
    <n v="7"/>
    <d v="2025-05-02T00:00:00"/>
    <s v="Delhi"/>
    <s v="VIJAY LAXMI TRANSPORT"/>
    <s v="DL01MA3659"/>
    <s v="22 FT"/>
    <n v="1017009"/>
    <s v="Dispatched"/>
    <s v="-"/>
    <m/>
  </r>
  <r>
    <n v="921"/>
    <n v="110"/>
    <s v="BIBO"/>
    <s v="WSO 404"/>
    <d v="2025-04-30T00:00:00"/>
    <x v="17"/>
    <s v="2526/5/TI-141"/>
    <x v="635"/>
    <d v="2025-04-30T00:00:00"/>
    <x v="1"/>
    <n v="7"/>
    <n v="168"/>
    <n v="7"/>
    <d v="2025-05-02T00:00:00"/>
    <s v="Delhi"/>
    <s v="VIJAY LAXMI TRANSPORT"/>
    <s v="DL01MA3659"/>
    <s v="22 FT"/>
    <n v="1017013"/>
    <s v="Dispatched"/>
    <s v="-"/>
    <m/>
  </r>
  <r>
    <n v="922"/>
    <n v="110"/>
    <s v="BIBO"/>
    <s v="WSO 403"/>
    <d v="2025-04-30T00:00:00"/>
    <x v="11"/>
    <s v="2526/5/TI-140"/>
    <x v="636"/>
    <d v="2025-04-30T00:00:00"/>
    <x v="1"/>
    <n v="8"/>
    <n v="192"/>
    <n v="8"/>
    <d v="2025-05-02T00:00:00"/>
    <s v="Delhi"/>
    <s v="VIJAY LAXMI TRANSPORT"/>
    <s v="DL01MA3659"/>
    <s v="22 FT"/>
    <n v="1017014"/>
    <s v="Dispatched"/>
    <s v="-"/>
    <m/>
  </r>
  <r>
    <n v="923"/>
    <n v="110"/>
    <s v="BIBO"/>
    <s v="WSO 404"/>
    <d v="2025-04-30T00:00:00"/>
    <x v="17"/>
    <s v="2526/5/TI-156"/>
    <x v="148"/>
    <d v="2025-04-30T00:00:00"/>
    <x v="1"/>
    <n v="1"/>
    <n v="24"/>
    <n v="1"/>
    <d v="2025-05-02T00:00:00"/>
    <s v="Delhi"/>
    <s v="VIJAY LAXMI TRANSPORT"/>
    <s v="DL01MA3659"/>
    <s v="22 FT"/>
    <n v="1017012"/>
    <s v="Dispatched"/>
    <s v="-"/>
    <m/>
  </r>
  <r>
    <n v="924"/>
    <n v="110"/>
    <s v="BIBO"/>
    <s v="WSO  405"/>
    <d v="2025-04-30T00:00:00"/>
    <x v="32"/>
    <s v="2526/5/TI-142"/>
    <x v="637"/>
    <d v="2025-04-30T00:00:00"/>
    <x v="1"/>
    <n v="9"/>
    <n v="216"/>
    <n v="9"/>
    <d v="2025-05-02T00:00:00"/>
    <s v="Delhi"/>
    <s v="VIJAY LAXMI TRANSPORT"/>
    <s v="DL01MA3659"/>
    <s v="22 FT"/>
    <n v="1017010"/>
    <s v="Dispatched"/>
    <s v="-"/>
    <m/>
  </r>
  <r>
    <n v="925"/>
    <n v="110"/>
    <s v="BIBO"/>
    <s v="WSO 405"/>
    <d v="2025-04-30T00:00:00"/>
    <x v="32"/>
    <s v="2526/5/TI-157"/>
    <x v="228"/>
    <d v="2025-04-30T00:00:00"/>
    <x v="1"/>
    <n v="1"/>
    <n v="24"/>
    <n v="1"/>
    <d v="2025-05-02T00:00:00"/>
    <s v="Delhi"/>
    <s v="VIJAY LAXMI TRANSPORT"/>
    <s v="DL01MA3659"/>
    <s v="22 FT"/>
    <n v="1017011"/>
    <s v="Dispatched"/>
    <s v="-"/>
    <m/>
  </r>
  <r>
    <n v="926"/>
    <n v="111"/>
    <s v="PIPO"/>
    <s v="PSO 486, PSO 492"/>
    <d v="2025-05-05T00:00:00"/>
    <x v="8"/>
    <s v="2526/5/TI-160"/>
    <x v="638"/>
    <d v="2025-05-06T00:00:00"/>
    <x v="2"/>
    <n v="98"/>
    <n v="98"/>
    <n v="9"/>
    <d v="2025-05-06T00:00:00"/>
    <s v="Delhi"/>
    <s v="VIJAY LAXMI TRANSPORT"/>
    <s v="DL01MA9359"/>
    <s v="22 FT"/>
    <n v="1017056"/>
    <s v="Dispatched"/>
    <s v="-"/>
    <m/>
  </r>
  <r>
    <n v="927"/>
    <n v="111"/>
    <s v="PIPO"/>
    <s v="PSO 487"/>
    <d v="2025-05-01T00:00:00"/>
    <x v="22"/>
    <s v="2526/5/TI-161"/>
    <x v="639"/>
    <d v="2025-05-06T00:00:00"/>
    <x v="2"/>
    <n v="20"/>
    <n v="20"/>
    <n v="2"/>
    <d v="2025-05-06T00:00:00"/>
    <s v="Delhi"/>
    <s v="VIJAY LAXMI TRANSPORT"/>
    <s v="DL01MA9359"/>
    <s v="22 FT"/>
    <n v="1017051"/>
    <s v="Dispatched"/>
    <s v="-"/>
    <m/>
  </r>
  <r>
    <n v="928"/>
    <n v="111"/>
    <s v="PIPO"/>
    <s v="PSO 488, PSO 491"/>
    <d v="2025-05-02T00:00:00"/>
    <x v="4"/>
    <s v="2526/5/TI-162"/>
    <x v="640"/>
    <d v="2025-05-06T00:00:00"/>
    <x v="2"/>
    <n v="70"/>
    <n v="70"/>
    <n v="7"/>
    <d v="2025-05-06T00:00:00"/>
    <s v="Delhi"/>
    <s v="VIJAY LAXMI TRANSPORT"/>
    <s v="DL01MA9359"/>
    <s v="22 FT"/>
    <n v="6502"/>
    <s v="Dispatched"/>
    <s v="-"/>
    <m/>
  </r>
  <r>
    <n v="929"/>
    <n v="111"/>
    <s v="PIPO"/>
    <s v="PSO 489"/>
    <d v="2025-05-03T00:00:00"/>
    <x v="19"/>
    <s v="2526/5/TI-163"/>
    <x v="483"/>
    <d v="2025-05-06T00:00:00"/>
    <x v="2"/>
    <n v="60"/>
    <n v="60"/>
    <n v="5"/>
    <d v="2025-05-06T00:00:00"/>
    <s v="Delhi"/>
    <s v="VIJAY LAXMI TRANSPORT"/>
    <s v="DL01MA9359"/>
    <s v="22 FT"/>
    <n v="1017058"/>
    <s v="Dispatched"/>
    <s v="-"/>
    <m/>
  </r>
  <r>
    <n v="930"/>
    <n v="111"/>
    <s v="PIPO"/>
    <s v="PSO 490"/>
    <d v="2025-05-05T00:00:00"/>
    <x v="2"/>
    <s v="2526/5/TI-164"/>
    <x v="477"/>
    <d v="2025-05-06T00:00:00"/>
    <x v="2"/>
    <n v="180"/>
    <n v="180"/>
    <n v="15"/>
    <d v="2025-05-06T00:00:00"/>
    <s v="Delhi"/>
    <s v="VIJAY LAXMI TRANSPORT"/>
    <s v="DL01MA9359"/>
    <s v="22 FT"/>
    <n v="1017057"/>
    <s v="Dispatched"/>
    <s v="-"/>
    <m/>
  </r>
  <r>
    <n v="931"/>
    <n v="111"/>
    <s v="PIPO"/>
    <s v="SSO 10"/>
    <d v="2025-05-03T00:00:00"/>
    <x v="0"/>
    <s v="2526/5/STO-4"/>
    <x v="641"/>
    <d v="2025-05-06T00:00:00"/>
    <x v="2"/>
    <n v="104"/>
    <n v="104"/>
    <n v="10"/>
    <d v="2025-05-06T00:00:00"/>
    <s v="Delhi"/>
    <s v="VIJAY LAXMI TRANSPORT"/>
    <s v="DL01MA9359"/>
    <s v="22 FT"/>
    <n v="6501"/>
    <s v="Dispatched"/>
    <s v="-"/>
    <m/>
  </r>
  <r>
    <n v="932"/>
    <n v="111"/>
    <s v="BIBO"/>
    <s v="SSO 11"/>
    <d v="2025-05-03T00:00:00"/>
    <x v="0"/>
    <s v="2526/5/STO-6"/>
    <x v="642"/>
    <d v="2025-05-06T00:00:00"/>
    <x v="2"/>
    <n v="312"/>
    <n v="312"/>
    <n v="15"/>
    <d v="2025-05-06T00:00:00"/>
    <s v="Delhi"/>
    <s v="VIJAY LAXMI TRANSPORT"/>
    <s v="DL01MA9359"/>
    <s v="22 FT"/>
    <n v="6501"/>
    <s v="Dispatched"/>
    <s v="-"/>
    <m/>
  </r>
  <r>
    <n v="933"/>
    <n v="111"/>
    <s v="PIPO"/>
    <s v="SSO 12"/>
    <d v="2025-05-05T00:00:00"/>
    <x v="0"/>
    <s v="2526/5/STO-5"/>
    <x v="643"/>
    <d v="2025-05-06T00:00:00"/>
    <x v="2"/>
    <n v="24"/>
    <n v="24"/>
    <n v="2"/>
    <d v="2025-05-06T00:00:00"/>
    <s v="Delhi"/>
    <s v="VIJAY LAXMI TRANSPORT"/>
    <s v="DL01MA9359"/>
    <s v="22 FT"/>
    <n v="6501"/>
    <s v="Dispatched"/>
    <s v="-"/>
    <m/>
  </r>
  <r>
    <n v="934"/>
    <n v="111"/>
    <s v="BIBO"/>
    <s v="WSO  420"/>
    <d v="2025-05-02T00:00:00"/>
    <x v="10"/>
    <s v="2526/5/TI-171"/>
    <x v="228"/>
    <d v="2025-05-06T00:00:00"/>
    <x v="2"/>
    <n v="1"/>
    <n v="24"/>
    <n v="1"/>
    <d v="2025-05-06T00:00:00"/>
    <s v="Delhi"/>
    <s v="VIJAY LAXMI TRANSPORT"/>
    <s v="DL01MA9359"/>
    <s v="22 FT"/>
    <s v="NOT RECEIVED"/>
    <s v="Dispatched"/>
    <s v="-"/>
    <m/>
  </r>
  <r>
    <n v="935"/>
    <n v="111"/>
    <s v="BIBO"/>
    <s v="WSO 420"/>
    <d v="2025-05-02T00:00:00"/>
    <x v="10"/>
    <s v="2526/5/TI-165"/>
    <x v="644"/>
    <d v="2025-05-06T00:00:00"/>
    <x v="2"/>
    <n v="4"/>
    <n v="96"/>
    <n v="4"/>
    <d v="2025-05-06T00:00:00"/>
    <s v="Delhi"/>
    <s v="VIJAY LAXMI TRANSPORT"/>
    <s v="DL01MA9359"/>
    <s v="22 FT"/>
    <n v="1017052"/>
    <s v="Dispatched"/>
    <s v="-"/>
    <m/>
  </r>
  <r>
    <n v="936"/>
    <n v="111"/>
    <s v="BIBO"/>
    <s v="WSO 421"/>
    <d v="2025-05-02T00:00:00"/>
    <x v="39"/>
    <s v="2526/5/TI-166"/>
    <x v="645"/>
    <d v="2025-05-06T00:00:00"/>
    <x v="2"/>
    <n v="12"/>
    <n v="282"/>
    <n v="12"/>
    <d v="2025-05-06T00:00:00"/>
    <s v="Delhi"/>
    <s v="VIJAY LAXMI TRANSPORT"/>
    <s v="DL01MA9359"/>
    <s v="22 FT"/>
    <n v="1017053"/>
    <s v="Dispatched"/>
    <s v="-"/>
    <m/>
  </r>
  <r>
    <n v="937"/>
    <n v="111"/>
    <s v="BIBO"/>
    <s v="WSO 422, WSO 427"/>
    <d v="2025-05-02T00:00:00"/>
    <x v="4"/>
    <s v="2526/5/TI-167"/>
    <x v="646"/>
    <d v="2025-05-06T00:00:00"/>
    <x v="2"/>
    <n v="10"/>
    <n v="240"/>
    <n v="10"/>
    <d v="2025-05-06T00:00:00"/>
    <s v="Delhi"/>
    <s v="VIJAY LAXMI TRANSPORT"/>
    <s v="DL01MA9359"/>
    <s v="22 FT"/>
    <s v="NOT RECEIVED"/>
    <s v="Dispatched"/>
    <s v="-"/>
    <m/>
  </r>
  <r>
    <n v="938"/>
    <n v="111"/>
    <s v="BIBO"/>
    <s v="WSO 423, WSO 424, WSO 425"/>
    <d v="2025-05-03T00:00:00"/>
    <x v="40"/>
    <s v="2526/5/TI-168"/>
    <x v="647"/>
    <d v="2025-05-06T00:00:00"/>
    <x v="2"/>
    <n v="69"/>
    <n v="1656"/>
    <n v="69"/>
    <d v="2025-05-06T00:00:00"/>
    <s v="Delhi"/>
    <s v="VIJAY LAXMI TRANSPORT"/>
    <s v="DL01MA9359"/>
    <s v="22 FT"/>
    <n v="1017050"/>
    <s v="Dispatched"/>
    <s v="-"/>
    <m/>
  </r>
  <r>
    <n v="939"/>
    <n v="111"/>
    <s v="BIBO"/>
    <s v="WSO 426"/>
    <d v="2025-05-03T00:00:00"/>
    <x v="43"/>
    <s v="2526/5/TI-169"/>
    <x v="648"/>
    <d v="2025-05-06T00:00:00"/>
    <x v="2"/>
    <n v="5"/>
    <n v="120"/>
    <n v="5"/>
    <d v="2025-05-06T00:00:00"/>
    <s v="Delhi"/>
    <s v="VIJAY LAXMI TRANSPORT"/>
    <s v="DL01MA9359"/>
    <s v="22 FT"/>
    <n v="1017054"/>
    <s v="Dispatched"/>
    <s v="-"/>
    <m/>
  </r>
  <r>
    <n v="940"/>
    <n v="111"/>
    <s v="BIBO"/>
    <s v="WSO 428"/>
    <d v="2025-05-05T00:00:00"/>
    <x v="44"/>
    <s v="2526/5/TI-170"/>
    <x v="649"/>
    <d v="2025-05-06T00:00:00"/>
    <x v="2"/>
    <n v="43"/>
    <n v="954"/>
    <n v="43"/>
    <d v="2025-05-06T00:00:00"/>
    <s v="Delhi"/>
    <s v="VIJAY LAXMI TRANSPORT"/>
    <s v="DL01MA9359"/>
    <s v="22 FT"/>
    <n v="1017055"/>
    <s v="Dispatched"/>
    <s v="-"/>
    <m/>
  </r>
  <r>
    <n v="941"/>
    <n v="112"/>
    <s v="BIBO"/>
    <s v="WSO 429"/>
    <d v="2025-05-06T00:00:00"/>
    <x v="2"/>
    <s v="2526/5/TI-177"/>
    <x v="650"/>
    <d v="2025-05-09T00:00:00"/>
    <x v="2"/>
    <n v="7"/>
    <n v="168"/>
    <n v="7"/>
    <d v="2025-05-09T00:00:00"/>
    <s v="Delhi"/>
    <s v="VIJAY LAXMI TRANSPORT"/>
    <s v="DL01MA3659"/>
    <s v="22 FT"/>
    <n v="1017116"/>
    <s v="Dispatched"/>
    <s v="-"/>
    <m/>
  </r>
  <r>
    <n v="942"/>
    <n v="112"/>
    <s v="PIPO"/>
    <s v="PSO 495"/>
    <d v="2025-05-06T00:00:00"/>
    <x v="13"/>
    <s v="2526/5/TI-176"/>
    <x v="651"/>
    <d v="2025-05-09T00:00:00"/>
    <x v="2"/>
    <n v="130"/>
    <n v="130"/>
    <n v="12"/>
    <d v="2025-05-09T00:00:00"/>
    <s v="Delhi"/>
    <s v="VIJAY LAXMI TRANSPORT"/>
    <s v="DL01MA3659"/>
    <s v="22 FT"/>
    <n v="1017114"/>
    <s v="Dispatched"/>
    <s v="-"/>
    <m/>
  </r>
  <r>
    <n v="943"/>
    <n v="112"/>
    <s v="PIPO"/>
    <s v="PSO 497"/>
    <d v="2025-05-07T00:00:00"/>
    <x v="34"/>
    <s v="2526/5/TI-175"/>
    <x v="652"/>
    <d v="2025-05-09T00:00:00"/>
    <x v="2"/>
    <n v="74"/>
    <n v="74"/>
    <n v="7"/>
    <d v="2025-05-09T00:00:00"/>
    <s v="Delhi"/>
    <s v="VIJAY LAXMI TRANSPORT"/>
    <s v="DL01MA3659"/>
    <s v="22 FT"/>
    <n v="1017121"/>
    <s v="Dispatched"/>
    <s v="-"/>
    <m/>
  </r>
  <r>
    <n v="944"/>
    <n v="112"/>
    <s v="BIBO"/>
    <s v="WSO 431"/>
    <d v="2025-05-08T00:00:00"/>
    <x v="17"/>
    <s v="2526/5/TI-179"/>
    <x v="653"/>
    <d v="2025-05-09T00:00:00"/>
    <x v="2"/>
    <n v="42"/>
    <n v="1008"/>
    <n v="42"/>
    <d v="2025-05-09T00:00:00"/>
    <s v="Delhi"/>
    <s v="VIJAY LAXMI TRANSPORT"/>
    <s v="DL01MA3659"/>
    <s v="22 FT"/>
    <n v="1017120"/>
    <s v="Dispatched"/>
    <s v="-"/>
    <m/>
  </r>
  <r>
    <n v="945"/>
    <n v="112"/>
    <s v="PIPO"/>
    <s v="PSO 493"/>
    <d v="2025-05-05T00:00:00"/>
    <x v="44"/>
    <s v="2526/5/TI-172"/>
    <x v="654"/>
    <d v="2025-05-09T00:00:00"/>
    <x v="2"/>
    <n v="658"/>
    <n v="658"/>
    <n v="64"/>
    <d v="2025-05-09T00:00:00"/>
    <s v="Delhi"/>
    <s v="VIJAY LAXMI TRANSPORT"/>
    <s v="DL01MA3659"/>
    <s v="22 FT"/>
    <n v="1017119"/>
    <s v="Dispatched"/>
    <s v="-"/>
    <m/>
  </r>
  <r>
    <n v="946"/>
    <n v="112"/>
    <s v="PIPO"/>
    <s v="PSO 494"/>
    <d v="2025-05-06T00:00:00"/>
    <x v="32"/>
    <s v="2526/5/TI-173"/>
    <x v="655"/>
    <d v="2025-05-09T00:00:00"/>
    <x v="2"/>
    <n v="176"/>
    <n v="176"/>
    <n v="17"/>
    <d v="2025-05-09T00:00:00"/>
    <s v="Delhi"/>
    <s v="VIJAY LAXMI TRANSPORT"/>
    <s v="DL01MA3659"/>
    <s v="22 FT"/>
    <n v="1017118"/>
    <s v="Dispatched"/>
    <s v="-"/>
    <m/>
  </r>
  <r>
    <n v="947"/>
    <n v="112"/>
    <s v="PIPO"/>
    <s v="PSO 496"/>
    <d v="2025-05-06T00:00:00"/>
    <x v="4"/>
    <s v="2526/5/TI-174"/>
    <x v="483"/>
    <d v="2025-05-09T00:00:00"/>
    <x v="2"/>
    <n v="5"/>
    <n v="60"/>
    <n v="5"/>
    <d v="2025-05-09T00:00:00"/>
    <s v="Delhi"/>
    <s v="VIJAY LAXMI TRANSPORT"/>
    <s v="DL01MA3659"/>
    <s v="22 FT"/>
    <n v="1017117"/>
    <s v="Dispatched"/>
    <s v="-"/>
    <m/>
  </r>
  <r>
    <n v="948"/>
    <n v="112"/>
    <s v="BIBO"/>
    <s v="WSO 430, WSO 432"/>
    <d v="2025-05-08T00:00:00"/>
    <x v="4"/>
    <s v="2526/5/TI-178"/>
    <x v="656"/>
    <d v="2025-05-09T00:00:00"/>
    <x v="2"/>
    <n v="17"/>
    <n v="408"/>
    <n v="17"/>
    <d v="2025-05-09T00:00:00"/>
    <s v="Delhi"/>
    <s v="VIJAY LAXMI TRANSPORT"/>
    <s v="DL01MA3659"/>
    <s v="22 FT"/>
    <n v="1017115"/>
    <s v="Dispatched"/>
    <s v="-"/>
    <m/>
  </r>
  <r>
    <n v="949"/>
    <n v="113"/>
    <s v="PIPO"/>
    <s v="PSO  498"/>
    <d v="2025-05-07T00:00:00"/>
    <x v="19"/>
    <s v="2526/5/TI-180"/>
    <x v="657"/>
    <d v="2025-05-11T00:00:00"/>
    <x v="2"/>
    <n v="70"/>
    <n v="70"/>
    <n v="7"/>
    <d v="2025-05-11T00:00:00"/>
    <s v="Delhi"/>
    <s v="VIJAY LAXMI TRANSPORT"/>
    <s v="DL01MA2872"/>
    <s v="22 FT"/>
    <n v="1017150"/>
    <s v="Dispatched"/>
    <s v="-"/>
    <m/>
  </r>
  <r>
    <n v="950"/>
    <n v="113"/>
    <s v="PIPO"/>
    <s v="PSO 505"/>
    <d v="2025-05-08T00:00:00"/>
    <x v="8"/>
    <s v="2526/5/TI-187"/>
    <x v="658"/>
    <d v="2025-05-11T00:00:00"/>
    <x v="2"/>
    <n v="190"/>
    <n v="190"/>
    <n v="19"/>
    <d v="2025-05-11T00:00:00"/>
    <s v="Delhi"/>
    <s v="VIJAY LAXMI TRANSPORT"/>
    <s v="DL01MA2872"/>
    <s v="22 FT"/>
    <n v="1017141"/>
    <s v="Dispatched"/>
    <s v="-"/>
    <m/>
  </r>
  <r>
    <n v="951"/>
    <n v="113"/>
    <s v="PIPO"/>
    <s v="PSO 500"/>
    <d v="2025-05-07T00:00:00"/>
    <x v="31"/>
    <s v="2526/5/TI-182"/>
    <x v="659"/>
    <d v="2025-05-11T00:00:00"/>
    <x v="2"/>
    <n v="190"/>
    <n v="190"/>
    <n v="19"/>
    <d v="2025-05-11T00:00:00"/>
    <s v="Delhi"/>
    <s v="VIJAY LAXMI TRANSPORT"/>
    <s v="DL01MA2872"/>
    <s v="22 FT"/>
    <n v="1017142"/>
    <s v="Dispatched"/>
    <s v="-"/>
    <m/>
  </r>
  <r>
    <n v="952"/>
    <n v="113"/>
    <s v="PIPO"/>
    <s v="PSO 506"/>
    <d v="2025-05-08T00:00:00"/>
    <x v="27"/>
    <s v="2526/5/TI-188"/>
    <x v="660"/>
    <d v="2025-05-11T00:00:00"/>
    <x v="2"/>
    <n v="320"/>
    <n v="320"/>
    <n v="32"/>
    <d v="2025-05-11T00:00:00"/>
    <s v="Delhi"/>
    <s v="VIJAY LAXMI TRANSPORT"/>
    <s v="DL01MA2872"/>
    <s v="22 FT"/>
    <n v="1017143"/>
    <s v="Dispatched"/>
    <s v="-"/>
    <m/>
  </r>
  <r>
    <n v="953"/>
    <n v="113"/>
    <s v="PIPO"/>
    <s v="PSO 502"/>
    <d v="2025-05-07T00:00:00"/>
    <x v="13"/>
    <s v="2526/5/TI-184"/>
    <x v="661"/>
    <d v="2025-05-11T00:00:00"/>
    <x v="2"/>
    <n v="320"/>
    <n v="320"/>
    <n v="32"/>
    <d v="2025-05-11T00:00:00"/>
    <s v="Delhi"/>
    <s v="VIJAY LAXMI TRANSPORT"/>
    <s v="DL01MA2872"/>
    <s v="22 FT"/>
    <n v="1017144"/>
    <s v="Dispatched"/>
    <s v="-"/>
    <m/>
  </r>
  <r>
    <n v="954"/>
    <n v="113"/>
    <s v="PIPO"/>
    <s v="PSO 499"/>
    <d v="2025-05-07T00:00:00"/>
    <x v="12"/>
    <s v="2526/5/TI-181"/>
    <x v="662"/>
    <d v="2025-05-11T00:00:00"/>
    <x v="2"/>
    <n v="130"/>
    <n v="130"/>
    <n v="13"/>
    <d v="2025-05-11T00:00:00"/>
    <s v="Delhi"/>
    <s v="VIJAY LAXMI TRANSPORT"/>
    <s v="DL01MA2872"/>
    <s v="22 FT"/>
    <n v="1017145"/>
    <s v="Dispatched"/>
    <s v="-"/>
    <m/>
  </r>
  <r>
    <n v="955"/>
    <n v="113"/>
    <s v="PIPO"/>
    <s v="PSO 503"/>
    <d v="2025-05-07T00:00:00"/>
    <x v="4"/>
    <s v="2526/5/TI-185"/>
    <x v="663"/>
    <d v="2025-05-11T00:00:00"/>
    <x v="2"/>
    <n v="80"/>
    <n v="80"/>
    <n v="8"/>
    <d v="2025-05-11T00:00:00"/>
    <s v="Delhi"/>
    <s v="VIJAY LAXMI TRANSPORT"/>
    <s v="DL01MA2872"/>
    <s v="22 FT"/>
    <n v="1017146"/>
    <s v="Dispatched"/>
    <s v="-"/>
    <m/>
  </r>
  <r>
    <n v="956"/>
    <n v="113"/>
    <s v="PIPO"/>
    <s v="PSO 504"/>
    <d v="2025-05-07T00:00:00"/>
    <x v="32"/>
    <s v="2526/5/TI-186"/>
    <x v="664"/>
    <d v="2025-05-11T00:00:00"/>
    <x v="2"/>
    <n v="340"/>
    <n v="340"/>
    <n v="34"/>
    <d v="2025-05-11T00:00:00"/>
    <s v="Delhi"/>
    <s v="VIJAY LAXMI TRANSPORT"/>
    <s v="DL01MA2872"/>
    <s v="22 FT"/>
    <n v="1017147"/>
    <s v="Dispatched"/>
    <s v="-"/>
    <m/>
  </r>
  <r>
    <n v="957"/>
    <n v="113"/>
    <s v="PIPO"/>
    <s v="PSO 509"/>
    <d v="2025-05-08T00:00:00"/>
    <x v="2"/>
    <s v="2526/5/TI-189"/>
    <x v="665"/>
    <d v="2025-05-11T00:00:00"/>
    <x v="2"/>
    <n v="450"/>
    <n v="450"/>
    <n v="45"/>
    <d v="2025-05-11T00:00:00"/>
    <s v="Delhi"/>
    <s v="VIJAY LAXMI TRANSPORT"/>
    <s v="DL01MA2872"/>
    <s v="22 FT"/>
    <n v="1017148"/>
    <s v="Dispatched"/>
    <s v="-"/>
    <m/>
  </r>
  <r>
    <n v="958"/>
    <n v="114"/>
    <s v="PIPO"/>
    <s v="PSO 501"/>
    <d v="2025-05-07T00:00:00"/>
    <x v="29"/>
    <s v="2526/5/TI-183"/>
    <x v="666"/>
    <d v="2025-05-11T00:00:00"/>
    <x v="2"/>
    <n v="150"/>
    <n v="150"/>
    <n v="15"/>
    <d v="2025-05-13T00:00:00"/>
    <s v="Delhi"/>
    <s v="VIJAY LAXMI TRANSPORT"/>
    <s v="DL01MA2872"/>
    <s v="22 FT"/>
    <n v="1017168"/>
    <s v="Dispatched"/>
    <s v="-"/>
    <m/>
  </r>
  <r>
    <n v="959"/>
    <n v="114"/>
    <s v="BIBO"/>
    <s v="WSO 433"/>
    <d v="2025-05-09T00:00:00"/>
    <x v="27"/>
    <s v="2526/5/TI-199"/>
    <x v="667"/>
    <d v="2025-05-13T00:00:00"/>
    <x v="2"/>
    <n v="14"/>
    <n v="312"/>
    <n v="14"/>
    <d v="2025-05-13T00:00:00"/>
    <s v="Delhi"/>
    <s v="VIJAY LAXMI TRANSPORT"/>
    <s v="DL01MA2872"/>
    <s v="22 FT"/>
    <n v="101717"/>
    <s v="Dispatched"/>
    <s v="-"/>
    <m/>
  </r>
  <r>
    <n v="960"/>
    <n v="114"/>
    <s v="PIPO"/>
    <s v="PSO 507"/>
    <d v="2025-05-08T00:00:00"/>
    <x v="44"/>
    <s v="2526/5/TI-190"/>
    <x v="668"/>
    <d v="2025-05-12T00:00:00"/>
    <x v="2"/>
    <n v="270"/>
    <n v="270"/>
    <n v="27"/>
    <d v="2025-05-13T00:00:00"/>
    <s v="Delhi"/>
    <s v="VIJAY LAXMI TRANSPORT"/>
    <s v="DL01MA2872"/>
    <s v="22 FT"/>
    <n v="1017175"/>
    <s v="Dispatched"/>
    <s v="-"/>
    <m/>
  </r>
  <r>
    <n v="961"/>
    <n v="114"/>
    <s v="PIPO"/>
    <s v="PSO 508"/>
    <d v="2025-05-08T00:00:00"/>
    <x v="7"/>
    <s v="2526/5/TI-191"/>
    <x v="669"/>
    <d v="2025-05-12T00:00:00"/>
    <x v="2"/>
    <n v="70"/>
    <n v="70"/>
    <n v="7"/>
    <d v="2025-05-13T00:00:00"/>
    <s v="Delhi"/>
    <s v="VIJAY LAXMI TRANSPORT"/>
    <s v="DL01MA2872"/>
    <s v="22 FT"/>
    <n v="1017170"/>
    <s v="Dispatched"/>
    <s v="-"/>
    <m/>
  </r>
  <r>
    <n v="962"/>
    <n v="114"/>
    <s v="PIPO"/>
    <s v="PSO 510"/>
    <d v="2025-05-08T00:00:00"/>
    <x v="2"/>
    <s v="2526/5/TI-192"/>
    <x v="670"/>
    <d v="2025-05-12T00:00:00"/>
    <x v="2"/>
    <n v="370"/>
    <n v="370"/>
    <n v="37"/>
    <d v="2025-05-13T00:00:00"/>
    <s v="Delhi"/>
    <s v="VIJAY LAXMI TRANSPORT"/>
    <s v="DL01MA2872"/>
    <s v="22 FT"/>
    <n v="1017172"/>
    <s v="Dispatched"/>
    <s v="-"/>
    <m/>
  </r>
  <r>
    <n v="963"/>
    <n v="114"/>
    <s v="PIPO"/>
    <s v="PSO 511"/>
    <d v="2025-05-08T00:00:00"/>
    <x v="11"/>
    <s v="2526/5/TI-193"/>
    <x v="671"/>
    <d v="2025-05-12T00:00:00"/>
    <x v="2"/>
    <n v="370"/>
    <n v="370"/>
    <n v="37"/>
    <d v="2025-05-13T00:00:00"/>
    <s v="Delhi"/>
    <s v="VIJAY LAXMI TRANSPORT"/>
    <s v="DL01MA2872"/>
    <s v="22 FT"/>
    <n v="1017176"/>
    <s v="Dispatched"/>
    <s v="-"/>
    <m/>
  </r>
  <r>
    <n v="964"/>
    <n v="114"/>
    <s v="PIPO"/>
    <s v="PSO 514"/>
    <d v="2025-05-08T00:00:00"/>
    <x v="10"/>
    <s v="2526/5/TI-195"/>
    <x v="672"/>
    <d v="2025-05-12T00:00:00"/>
    <x v="2"/>
    <n v="70"/>
    <n v="70"/>
    <n v="7"/>
    <d v="2025-05-13T00:00:00"/>
    <s v="Delhi"/>
    <s v="VIJAY LAXMI TRANSPORT"/>
    <s v="DL01MA2872"/>
    <s v="22 FT"/>
    <n v="1017173"/>
    <s v="Dispatched"/>
    <s v="-"/>
    <m/>
  </r>
  <r>
    <n v="965"/>
    <n v="114"/>
    <s v="PIPO"/>
    <s v="PSO 515, PSO 518"/>
    <d v="2025-05-08T00:00:00"/>
    <x v="27"/>
    <s v="2526/5/TI-196"/>
    <x v="673"/>
    <d v="2025-05-12T00:00:00"/>
    <x v="2"/>
    <n v="227"/>
    <n v="227"/>
    <n v="22"/>
    <d v="2025-05-13T00:00:00"/>
    <s v="Delhi"/>
    <s v="VIJAY LAXMI TRANSPORT"/>
    <s v="DL01MA2872"/>
    <s v="22 FT"/>
    <n v="1017167"/>
    <s v="Dispatched"/>
    <s v="-"/>
    <m/>
  </r>
  <r>
    <n v="966"/>
    <n v="114"/>
    <s v="PIPO"/>
    <s v="PSO 513"/>
    <d v="2025-05-08T00:00:00"/>
    <x v="34"/>
    <s v="2526/5/TI-194"/>
    <x v="674"/>
    <d v="2025-05-12T00:00:00"/>
    <x v="2"/>
    <n v="90"/>
    <n v="90"/>
    <n v="9"/>
    <d v="2025-05-13T00:00:00"/>
    <s v="Delhi"/>
    <s v="VIJAY LAXMI TRANSPORT"/>
    <s v="DL01MA2872"/>
    <s v="22 FT"/>
    <n v="1017169"/>
    <s v="Dispatched"/>
    <s v="-"/>
    <m/>
  </r>
  <r>
    <n v="967"/>
    <n v="114"/>
    <s v="PIPO"/>
    <s v="PSO 519"/>
    <d v="2025-05-08T00:00:00"/>
    <x v="18"/>
    <s v="2526/5/TI-198"/>
    <x v="675"/>
    <d v="2025-05-12T00:00:00"/>
    <x v="2"/>
    <n v="100"/>
    <n v="100"/>
    <n v="10"/>
    <d v="2025-05-13T00:00:00"/>
    <s v="Delhi"/>
    <s v="VIJAY LAXMI TRANSPORT"/>
    <s v="DL01MA2872"/>
    <s v="22 FT"/>
    <s v="NOT RECEIVED"/>
    <s v="Dispatched"/>
    <s v="-"/>
    <m/>
  </r>
  <r>
    <n v="968"/>
    <n v="114"/>
    <s v="PIPO"/>
    <s v="PSO 512, PSO 520"/>
    <d v="2025-05-08T00:00:00"/>
    <x v="22"/>
    <s v="2526/5/TI-197"/>
    <x v="676"/>
    <d v="2025-05-12T00:00:00"/>
    <x v="2"/>
    <n v="104"/>
    <n v="104"/>
    <n v="10"/>
    <d v="2025-05-13T00:00:00"/>
    <s v="Delhi"/>
    <s v="VIJAY LAXMI TRANSPORT"/>
    <s v="DL01MA2872"/>
    <s v="22 FT"/>
    <n v="1017171"/>
    <s v="Dispatched"/>
    <s v="-"/>
    <m/>
  </r>
  <r>
    <n v="969"/>
    <n v="115"/>
    <s v="PIPO"/>
    <s v="PSO 526"/>
    <d v="2025-05-14T00:00:00"/>
    <x v="16"/>
    <s v="2526/5/TI-207"/>
    <x v="677"/>
    <d v="2025-05-16T00:00:00"/>
    <x v="2"/>
    <n v="80"/>
    <n v="80"/>
    <n v="8"/>
    <d v="2025-05-16T00:00:00"/>
    <s v="Delhi"/>
    <s v="VIJAY LAXMI TRANSPORT"/>
    <s v="DL01MA9359"/>
    <s v="22 FT"/>
    <s v="NOT RECEIVED"/>
    <s v="Dispatched"/>
    <s v="-"/>
    <m/>
  </r>
  <r>
    <n v="970"/>
    <n v="115"/>
    <s v="PIPO"/>
    <s v="PSO 524, PSO 527"/>
    <d v="2025-05-13T00:00:00"/>
    <x v="18"/>
    <s v="2526/5/TI-205"/>
    <x v="678"/>
    <d v="2025-05-16T00:00:00"/>
    <x v="2"/>
    <n v="106"/>
    <n v="106"/>
    <n v="10"/>
    <d v="2025-05-16T00:00:00"/>
    <s v="Delhi"/>
    <s v="VIJAY LAXMI TRANSPORT"/>
    <s v="DL01MA9359"/>
    <s v="22 FT"/>
    <s v="NOT RECEIVED"/>
    <s v="Dispatched"/>
    <s v="-"/>
    <m/>
  </r>
  <r>
    <n v="971"/>
    <n v="115"/>
    <s v="PIPO"/>
    <s v="PSO 523"/>
    <d v="2025-05-13T00:00:00"/>
    <x v="17"/>
    <s v="2526/5/TI-204"/>
    <x v="679"/>
    <d v="2025-05-16T00:00:00"/>
    <x v="2"/>
    <n v="100"/>
    <n v="100"/>
    <n v="10"/>
    <d v="2025-05-16T00:00:00"/>
    <s v="Delhi"/>
    <s v="VIJAY LAXMI TRANSPORT"/>
    <s v="DL01MA9359"/>
    <s v="22 FT"/>
    <s v="NOT RECEIVED"/>
    <s v="Dispatched"/>
    <s v="-"/>
    <m/>
  </r>
  <r>
    <n v="972"/>
    <n v="115"/>
    <s v="PIPO"/>
    <s v="PSO 529"/>
    <d v="2025-05-15T00:00:00"/>
    <x v="27"/>
    <s v="2526/5/TI-200"/>
    <x v="680"/>
    <d v="2025-05-16T00:00:00"/>
    <x v="2"/>
    <n v="100"/>
    <n v="100"/>
    <n v="10"/>
    <d v="2025-05-16T00:00:00"/>
    <s v="Credit not from client side due to MRP Issue"/>
    <s v="Credit not from client side due to MRP Issue"/>
    <s v="Credit not from client side due to MRP Issue"/>
    <s v="Credit not from client side due to MRP Issue"/>
    <s v="Credit not from client side due to MRP Issue"/>
    <s v="Credit not from client side due to MRP Issue"/>
    <s v="-"/>
    <m/>
  </r>
  <r>
    <n v="973"/>
    <n v="115"/>
    <s v="PIPO"/>
    <s v="PSO 530"/>
    <d v="2025-05-15T00:00:00"/>
    <x v="22"/>
    <s v="2526/5/TI-201"/>
    <x v="681"/>
    <d v="2025-05-16T00:00:00"/>
    <x v="2"/>
    <n v="84"/>
    <n v="84"/>
    <n v="8"/>
    <d v="2025-05-16T00:00:00"/>
    <s v="Credit not from client side due to MRP Issue"/>
    <s v="Credit not from client side due to MRP Issue"/>
    <s v="Credit not from client side due to MRP Issue"/>
    <s v="Credit not from client side due to MRP Issue"/>
    <s v="Credit not from client side due to MRP Issue"/>
    <s v="Credit not from client side due to MRP Issue"/>
    <s v="-"/>
    <m/>
  </r>
  <r>
    <n v="974"/>
    <n v="115"/>
    <s v="PIPO"/>
    <s v="PSO 521, PSO 522"/>
    <d v="2025-05-13T00:00:00"/>
    <x v="2"/>
    <s v="2526/5/TI-203"/>
    <x v="682"/>
    <d v="2025-05-16T00:00:00"/>
    <x v="2"/>
    <n v="100"/>
    <n v="100"/>
    <n v="10"/>
    <d v="2025-05-16T00:00:00"/>
    <s v="Delhi"/>
    <s v="VIJAY LAXMI TRANSPORT"/>
    <s v="DL01MA9359"/>
    <s v="22 FT"/>
    <s v="NOT RECEIVED"/>
    <s v="Dispatched"/>
    <s v="-"/>
    <m/>
  </r>
  <r>
    <n v="975"/>
    <n v="115"/>
    <s v="PIPO"/>
    <s v="PSO 516, PSO 517"/>
    <d v="2025-05-09T00:00:00"/>
    <x v="13"/>
    <s v="2526/5/TI-202"/>
    <x v="683"/>
    <d v="2025-05-16T00:00:00"/>
    <x v="2"/>
    <n v="560"/>
    <n v="560"/>
    <n v="53"/>
    <d v="2025-05-16T00:00:00"/>
    <s v="Delhi"/>
    <s v="VIJAY LAXMI TRANSPORT"/>
    <s v="DL01MA9359"/>
    <s v="22 FT"/>
    <s v="NOT RECEIVED"/>
    <s v="Dispatched"/>
    <s v="-"/>
    <m/>
  </r>
  <r>
    <n v="976"/>
    <n v="115"/>
    <s v="BIBO"/>
    <s v="WSO 437"/>
    <d v="2025-05-16T00:00:00"/>
    <x v="12"/>
    <s v="2526/5/TI-212"/>
    <x v="684"/>
    <d v="2025-05-16T00:00:00"/>
    <x v="2"/>
    <n v="27"/>
    <n v="684"/>
    <n v="27"/>
    <d v="2025-05-16T00:00:00"/>
    <s v="Delhi"/>
    <s v="VIJAY LAXMI TRANSPORT"/>
    <s v="DL01MA9359"/>
    <s v="22 FT"/>
    <s v="NOT RECEIVED"/>
    <s v="Dispatched"/>
    <s v="-"/>
    <m/>
  </r>
  <r>
    <n v="977"/>
    <n v="115"/>
    <s v="BIBO"/>
    <s v="WSO 434"/>
    <d v="2025-05-12T00:00:00"/>
    <x v="6"/>
    <s v="2526/5/TI-209"/>
    <x v="685"/>
    <d v="2025-05-16T00:00:00"/>
    <x v="2"/>
    <n v="8"/>
    <n v="192"/>
    <n v="8"/>
    <d v="2025-05-16T00:00:00"/>
    <s v="Delhi"/>
    <s v="VIJAY LAXMI TRANSPORT"/>
    <s v="DL01MA9359"/>
    <s v="22 FT"/>
    <s v="NOT RECEIVED"/>
    <s v="Dispatched"/>
    <s v="-"/>
    <m/>
  </r>
  <r>
    <n v="978"/>
    <n v="115"/>
    <s v="BIBO"/>
    <s v="WSO 435"/>
    <d v="2025-05-14T00:00:00"/>
    <x v="42"/>
    <s v="2526/5/TI-210"/>
    <x v="686"/>
    <d v="2025-05-16T00:00:00"/>
    <x v="2"/>
    <n v="32"/>
    <n v="714"/>
    <n v="32"/>
    <d v="2025-05-16T00:00:00"/>
    <s v="Delhi"/>
    <s v="VIJAY LAXMI TRANSPORT"/>
    <s v="DL01MA9359"/>
    <s v="22 FT"/>
    <s v="NOT RECEIVED"/>
    <s v="Dispatched"/>
    <s v="-"/>
    <m/>
  </r>
  <r>
    <n v="979"/>
    <n v="115"/>
    <s v="BIBO"/>
    <s v="WSO 436, WSO 438"/>
    <d v="2025-05-15T00:00:00"/>
    <x v="4"/>
    <s v="2526/5/TI-211"/>
    <x v="687"/>
    <d v="2025-05-16T00:00:00"/>
    <x v="2"/>
    <n v="11"/>
    <n v="264"/>
    <n v="11"/>
    <d v="2025-05-16T00:00:00"/>
    <s v="Delhi"/>
    <s v="VIJAY LAXMI TRANSPORT"/>
    <s v="DL01MA9359"/>
    <s v="22 FT"/>
    <s v="NOT RECEIVED"/>
    <s v="Dispatched"/>
    <s v="-"/>
    <m/>
  </r>
  <r>
    <n v="980"/>
    <n v="115"/>
    <s v="PIPO"/>
    <s v="PSO 528"/>
    <d v="2025-05-15T00:00:00"/>
    <x v="11"/>
    <s v="2526/5/TI-208"/>
    <x v="688"/>
    <d v="2025-05-16T00:00:00"/>
    <x v="2"/>
    <n v="170"/>
    <n v="170"/>
    <n v="17"/>
    <d v="2025-05-16T00:00:00"/>
    <s v="Delhi"/>
    <s v="VIJAY LAXMI TRANSPORT"/>
    <s v="DL01MA9359"/>
    <s v="22 FT"/>
    <s v="NOT RECEIVED"/>
    <s v="Dispatched"/>
    <s v="-"/>
    <m/>
  </r>
  <r>
    <n v="981"/>
    <n v="115"/>
    <s v="PIPO"/>
    <s v="PSO 525"/>
    <d v="2025-05-14T00:00:00"/>
    <x v="13"/>
    <s v="2526/5/TI-206"/>
    <x v="689"/>
    <d v="2025-05-16T00:00:00"/>
    <x v="2"/>
    <n v="400"/>
    <n v="400"/>
    <n v="40"/>
    <d v="2025-05-16T00:00:00"/>
    <s v="Delhi"/>
    <s v="VIJAY LAXMI TRANSPORT"/>
    <s v="DL01MA9359"/>
    <s v="22 FT"/>
    <s v="NOT RECEIVED"/>
    <s v="Dispatched"/>
    <s v="-"/>
    <m/>
  </r>
  <r>
    <n v="982"/>
    <n v="116"/>
    <s v="BIBO"/>
    <s v="WSO 440"/>
    <d v="2025-05-20T00:00:00"/>
    <x v="12"/>
    <s v="2526/5/TI-215"/>
    <x v="690"/>
    <d v="2025-05-21T00:00:00"/>
    <x v="2"/>
    <n v="11"/>
    <n v="264"/>
    <n v="11"/>
    <d v="2025-05-21T00:00:00"/>
    <s v="Delhi"/>
    <s v="VIJAY LAXMI TRANSPORT"/>
    <s v="DL01MA6900"/>
    <s v="22 FT"/>
    <s v="NOT RECEIVED"/>
    <s v="Dispatched"/>
    <s v="-"/>
    <m/>
  </r>
  <r>
    <n v="983"/>
    <n v="116"/>
    <s v="BIBO"/>
    <s v="WSO 439"/>
    <d v="2025-05-20T00:00:00"/>
    <x v="6"/>
    <s v="2526/5/TI-213"/>
    <x v="691"/>
    <d v="2025-05-21T00:00:00"/>
    <x v="2"/>
    <n v="45"/>
    <n v="1044"/>
    <n v="45"/>
    <d v="2025-05-21T00:00:00"/>
    <s v="Delhi"/>
    <s v="VIJAY LAXMI TRANSPORT"/>
    <s v="DL01MA6900"/>
    <s v="22 FT"/>
    <s v="NOT RECEIVED"/>
    <s v="Dispatched"/>
    <s v="-"/>
    <m/>
  </r>
  <r>
    <n v="984"/>
    <n v="116"/>
    <s v="BIBO"/>
    <s v="WSO 439"/>
    <d v="2025-05-20T00:00:00"/>
    <x v="6"/>
    <s v="2526/5/TI-214"/>
    <x v="692"/>
    <d v="2025-05-21T00:00:00"/>
    <x v="2"/>
    <n v="47"/>
    <n v="996"/>
    <n v="47"/>
    <d v="2025-05-21T00:00:00"/>
    <s v="Delhi"/>
    <s v="VIJAY LAXMI TRANSPORT"/>
    <s v="DL01MA6900"/>
    <s v="22 FT"/>
    <s v="NOT RECEIVED"/>
    <s v="Dispatched"/>
    <s v="-"/>
    <m/>
  </r>
  <r>
    <n v="985"/>
    <n v="116"/>
    <s v="PIPO"/>
    <s v="PSO 534"/>
    <d v="2025-05-20T00:00:00"/>
    <x v="45"/>
    <s v="2526/5/TI-218"/>
    <x v="693"/>
    <d v="2025-05-21T00:00:00"/>
    <x v="2"/>
    <n v="111"/>
    <n v="111"/>
    <n v="11"/>
    <d v="2025-05-21T00:00:00"/>
    <s v="Delhi"/>
    <s v="VIJAY LAXMI TRANSPORT"/>
    <s v="DL01MA6900"/>
    <s v="22 FT"/>
    <s v="NOT RECEIVED"/>
    <s v="Dispatched"/>
    <s v="-"/>
    <m/>
  </r>
  <r>
    <n v="986"/>
    <n v="116"/>
    <s v="PIPO"/>
    <s v="PSO 531, PSO 533"/>
    <d v="2025-05-20T00:00:00"/>
    <x v="4"/>
    <s v="2526/5/TI-216"/>
    <x v="694"/>
    <d v="2025-05-21T00:00:00"/>
    <x v="2"/>
    <n v="144"/>
    <n v="144"/>
    <n v="14"/>
    <d v="2025-05-21T00:00:00"/>
    <s v="Delhi"/>
    <s v="VIJAY LAXMI TRANSPORT"/>
    <s v="DL01MA6900"/>
    <s v="22 FT"/>
    <s v="NOT RECEIVED"/>
    <s v="Dispatched"/>
    <s v="-"/>
    <m/>
  </r>
  <r>
    <n v="987"/>
    <n v="116"/>
    <s v="PIPO"/>
    <s v="PSO 532"/>
    <d v="2025-05-20T00:00:00"/>
    <x v="22"/>
    <s v="2526/5/TI-217"/>
    <x v="695"/>
    <d v="2025-05-21T00:00:00"/>
    <x v="2"/>
    <n v="64"/>
    <n v="64"/>
    <n v="6"/>
    <d v="2025-05-21T00:00:00"/>
    <s v="Delhi"/>
    <s v="VIJAY LAXMI TRANSPORT"/>
    <s v="DL01MA6900"/>
    <s v="22 FT"/>
    <s v="NOT RECEIVED"/>
    <s v="Dispatched"/>
    <s v="-"/>
    <m/>
  </r>
  <r>
    <n v="988"/>
    <n v="117"/>
    <s v="BIBO"/>
    <s v="WSO  SSO 13"/>
    <d v="2025-05-22T00:00:00"/>
    <x v="0"/>
    <s v="2526/5/STO-8"/>
    <x v="696"/>
    <d v="2025-05-22T00:00:00"/>
    <x v="2"/>
    <n v="52"/>
    <n v="1332"/>
    <n v="52"/>
    <d v="2025-05-22T00:00:00"/>
    <s v="Delhi"/>
    <s v="VIJAY LAXMI TRANSPORT"/>
    <s v="DL01MA3659"/>
    <s v="22 FT"/>
    <s v="NOT RECEIVED"/>
    <s v="Dispatched"/>
    <s v="-"/>
    <m/>
  </r>
  <r>
    <n v="989"/>
    <n v="117"/>
    <s v="PIPO"/>
    <s v="PSO 535"/>
    <d v="2025-05-22T00:00:00"/>
    <x v="31"/>
    <s v="2526/5/TI-222"/>
    <x v="697"/>
    <d v="2025-05-22T00:00:00"/>
    <x v="2"/>
    <n v="150"/>
    <n v="150"/>
    <n v="13"/>
    <d v="2025-05-22T00:00:00"/>
    <s v="Delhi"/>
    <s v="VIJAY LAXMI TRANSPORT"/>
    <s v="DL01MA6900"/>
    <s v="22 FT"/>
    <s v="NOT RECEIVED"/>
    <s v="Dispatched"/>
    <s v="-"/>
    <m/>
  </r>
  <r>
    <n v="990"/>
    <n v="117"/>
    <s v="BIBO"/>
    <s v="WSO 443"/>
    <d v="2025-05-22T00:00:00"/>
    <x v="31"/>
    <s v="2526/5/TI-221"/>
    <x v="698"/>
    <d v="2025-05-22T00:00:00"/>
    <x v="2"/>
    <n v="11"/>
    <n v="264"/>
    <n v="11"/>
    <d v="2025-05-22T00:00:00"/>
    <s v="Delhi"/>
    <s v="VIJAY LAXMI TRANSPORT"/>
    <s v="DL01MA6900"/>
    <s v="22 FT"/>
    <s v="NOT RECEIVED"/>
    <s v="Dispatched"/>
    <s v="-"/>
    <m/>
  </r>
  <r>
    <n v="991"/>
    <n v="117"/>
    <s v="BIBO"/>
    <s v="WSO 442"/>
    <d v="2025-05-22T00:00:00"/>
    <x v="39"/>
    <s v="2526/5/TI-220"/>
    <x v="699"/>
    <d v="2025-05-22T00:00:00"/>
    <x v="2"/>
    <n v="31"/>
    <n v="744"/>
    <n v="31"/>
    <d v="2025-05-22T00:00:00"/>
    <s v="Delhi"/>
    <s v="VIJAY LAXMI TRANSPORT"/>
    <s v="DL01MA6900"/>
    <s v="22 FT"/>
    <s v="NOT RECEIVED"/>
    <s v="Dispatched"/>
    <s v="-"/>
    <m/>
  </r>
  <r>
    <n v="992"/>
    <n v="117"/>
    <s v="BIBO"/>
    <s v="WSO 441"/>
    <d v="2025-05-22T00:00:00"/>
    <x v="6"/>
    <s v="2526/5/TI-219"/>
    <x v="700"/>
    <d v="2025-05-22T00:00:00"/>
    <x v="2"/>
    <n v="28"/>
    <n v="672"/>
    <n v="28"/>
    <d v="2025-05-22T00:00:00"/>
    <s v="Delhi"/>
    <s v="VIJAY LAXMI TRANSPORT"/>
    <s v="DL01MA6900"/>
    <s v="22 FT"/>
    <s v="NOT RECEIVED"/>
    <s v="Dispatched"/>
    <s v="-"/>
    <m/>
  </r>
  <r>
    <n v="993"/>
    <n v="118"/>
    <s v="PIPO"/>
    <s v="PSO 536"/>
    <d v="2025-05-23T00:00:00"/>
    <x v="33"/>
    <s v="2526/5/TI-223"/>
    <x v="701"/>
    <d v="2025-05-28T00:00:00"/>
    <x v="2"/>
    <n v="79"/>
    <n v="79"/>
    <n v="8"/>
    <d v="2025-05-28T00:00:00"/>
    <s v="Delhi"/>
    <s v="VIJAY LAXMI TRANSPORT"/>
    <s v="DL01MA6900"/>
    <s v="22 FT"/>
    <s v="NOT RECEIVED"/>
    <s v="Dispatched"/>
    <s v="-"/>
    <m/>
  </r>
  <r>
    <n v="994"/>
    <n v="118"/>
    <s v="PIPO"/>
    <s v="PSO 537"/>
    <d v="2025-05-23T00:00:00"/>
    <x v="13"/>
    <s v="2526/5/TI-224"/>
    <x v="702"/>
    <d v="2025-05-28T00:00:00"/>
    <x v="2"/>
    <n v="50"/>
    <n v="50"/>
    <n v="5"/>
    <d v="2025-05-28T00:00:00"/>
    <s v="Delhi"/>
    <s v="VIJAY LAXMI TRANSPORT"/>
    <s v="DL01MA6900"/>
    <s v="22 FT"/>
    <s v="NOT RECEIVED"/>
    <s v="Dispatched"/>
    <s v="-"/>
    <m/>
  </r>
  <r>
    <n v="995"/>
    <n v="118"/>
    <s v="PIPO"/>
    <s v="PSO 538"/>
    <d v="2025-05-23T00:00:00"/>
    <x v="3"/>
    <s v="2526/5/TI-225"/>
    <x v="241"/>
    <d v="2025-05-28T00:00:00"/>
    <x v="2"/>
    <n v="36"/>
    <n v="36"/>
    <n v="3"/>
    <d v="2025-05-28T00:00:00"/>
    <s v="Delhi"/>
    <s v="VIJAY LAXMI TRANSPORT"/>
    <s v="DL01MA6900"/>
    <s v="22 FT"/>
    <s v="NOT RECEIVED"/>
    <s v="Dispatched"/>
    <s v="-"/>
    <m/>
  </r>
  <r>
    <n v="996"/>
    <n v="118"/>
    <s v="PIPO"/>
    <s v="PSO 539"/>
    <d v="2025-05-23T00:00:00"/>
    <x v="29"/>
    <s v="2526/5/TI-226"/>
    <x v="703"/>
    <d v="2025-05-28T00:00:00"/>
    <x v="2"/>
    <n v="90"/>
    <n v="90"/>
    <n v="9"/>
    <d v="2025-05-28T00:00:00"/>
    <s v="Delhi"/>
    <s v="VIJAY LAXMI TRANSPORT"/>
    <s v="DL01MA6900"/>
    <s v="22 FT"/>
    <s v="NOT RECEIVED"/>
    <s v="Dispatched"/>
    <s v="-"/>
    <m/>
  </r>
  <r>
    <n v="997"/>
    <n v="118"/>
    <s v="PIPO"/>
    <s v="PSO 540"/>
    <d v="2025-05-24T00:00:00"/>
    <x v="27"/>
    <s v="2526/5/TI-227"/>
    <x v="704"/>
    <d v="2025-05-28T00:00:00"/>
    <x v="2"/>
    <n v="72"/>
    <n v="72"/>
    <n v="6"/>
    <d v="2025-05-28T00:00:00"/>
    <s v="Delhi"/>
    <s v="VIJAY LAXMI TRANSPORT"/>
    <s v="DL01MA6900"/>
    <s v="22 FT"/>
    <s v="NOT RECEIVED"/>
    <s v="Dispatched"/>
    <s v="-"/>
    <m/>
  </r>
  <r>
    <n v="998"/>
    <n v="118"/>
    <s v="PIPO"/>
    <s v="PSO 541"/>
    <d v="2025-05-26T00:00:00"/>
    <x v="4"/>
    <s v="2526/5/TI-228"/>
    <x v="705"/>
    <d v="2025-05-28T00:00:00"/>
    <x v="2"/>
    <n v="100"/>
    <n v="100"/>
    <n v="9"/>
    <d v="2025-05-28T00:00:00"/>
    <s v="Delhi"/>
    <s v="VIJAY LAXMI TRANSPORT"/>
    <s v="DL01MA6900"/>
    <s v="22 FT"/>
    <s v="NOT RECEIVED"/>
    <s v="Dispatched"/>
    <s v="-"/>
    <m/>
  </r>
  <r>
    <n v="999"/>
    <n v="118"/>
    <s v="PIPO"/>
    <s v="PSO 543"/>
    <d v="2025-05-27T00:00:00"/>
    <x v="21"/>
    <s v="2526/5/TI-239"/>
    <x v="241"/>
    <d v="2025-05-28T00:00:00"/>
    <x v="2"/>
    <n v="36"/>
    <n v="36"/>
    <n v="3"/>
    <d v="2025-05-28T00:00:00"/>
    <s v="Delhi"/>
    <s v="VIJAY LAXMI TRANSPORT"/>
    <s v="DL01MA6900"/>
    <s v="22 FT"/>
    <s v="NOT RECEIVED"/>
    <s v="Dispatched"/>
    <s v="-"/>
    <m/>
  </r>
  <r>
    <n v="1000"/>
    <n v="118"/>
    <s v="BIBO"/>
    <s v="WSO 449, WSO 453"/>
    <d v="2025-05-23T00:00:00"/>
    <x v="3"/>
    <s v="2526/5/TI-230"/>
    <x v="706"/>
    <d v="2025-05-28T00:00:00"/>
    <x v="2"/>
    <n v="9"/>
    <n v="216"/>
    <n v="9"/>
    <d v="2025-05-28T00:00:00"/>
    <s v="Delhi"/>
    <s v="VIJAY LAXMI TRANSPORT"/>
    <s v="DL01MA6900"/>
    <s v="22 FT"/>
    <s v="NOT RECEIVED"/>
    <s v="Dispatched"/>
    <s v="-"/>
    <m/>
  </r>
  <r>
    <n v="1001"/>
    <n v="118"/>
    <s v="BIBO"/>
    <s v="WSO 444, WSO 448"/>
    <d v="2025-05-22T00:00:00"/>
    <x v="12"/>
    <s v="2526/5/TI-229"/>
    <x v="707"/>
    <d v="2025-05-28T00:00:00"/>
    <x v="2"/>
    <n v="13"/>
    <n v="312"/>
    <n v="13"/>
    <d v="2025-05-28T00:00:00"/>
    <s v="Delhi"/>
    <s v="VIJAY LAXMI TRANSPORT"/>
    <s v="DL01MA6900"/>
    <s v="22 FT"/>
    <s v="NOT RECEIVED"/>
    <s v="Dispatched"/>
    <s v="-"/>
    <m/>
  </r>
  <r>
    <n v="1002"/>
    <n v="118"/>
    <s v="BIBO"/>
    <s v="WSO 455"/>
    <d v="2025-05-27T00:00:00"/>
    <x v="43"/>
    <s v="2526/5/TI-236"/>
    <x v="708"/>
    <d v="2025-05-28T00:00:00"/>
    <x v="2"/>
    <n v="49"/>
    <n v="936"/>
    <n v="49"/>
    <d v="2025-05-28T00:00:00"/>
    <s v="Delhi"/>
    <s v="VIJAY LAXMI TRANSPORT"/>
    <s v="DL01MA6900"/>
    <s v="22 FT"/>
    <s v="NOT RECEIVED"/>
    <s v="Dispatched"/>
    <s v="-"/>
    <m/>
  </r>
  <r>
    <n v="1003"/>
    <n v="118"/>
    <s v="BIBO"/>
    <s v="WSO 445"/>
    <d v="2025-05-22T00:00:00"/>
    <x v="4"/>
    <s v="2526/5/TI-232"/>
    <x v="411"/>
    <d v="2025-05-28T00:00:00"/>
    <x v="2"/>
    <n v="5"/>
    <n v="120"/>
    <n v="5"/>
    <d v="2025-05-28T00:00:00"/>
    <s v="Delhi"/>
    <s v="VIJAY LAXMI TRANSPORT"/>
    <s v="DL01MA6900"/>
    <s v="22 FT"/>
    <s v="NOT RECEIVED"/>
    <s v="Dispatched"/>
    <s v="-"/>
    <m/>
  </r>
  <r>
    <n v="1004"/>
    <n v="118"/>
    <s v="BIBO"/>
    <s v="WSO 446"/>
    <d v="2025-05-22T00:00:00"/>
    <x v="32"/>
    <s v="2526/5/TI-235"/>
    <x v="709"/>
    <d v="2025-05-28T00:00:00"/>
    <x v="2"/>
    <n v="17"/>
    <n v="348"/>
    <n v="17"/>
    <d v="2025-05-28T00:00:00"/>
    <s v="Delhi"/>
    <s v="VIJAY LAXMI TRANSPORT"/>
    <s v="DL01MA6900"/>
    <s v="22 FT"/>
    <s v="NOT RECEIVED"/>
    <s v="Dispatched"/>
    <s v="-"/>
    <m/>
  </r>
  <r>
    <n v="1005"/>
    <n v="118"/>
    <s v="BIBO"/>
    <s v="WSO 454"/>
    <d v="2025-05-27T00:00:00"/>
    <x v="21"/>
    <s v="2526/5/TI-231"/>
    <x v="710"/>
    <d v="2025-05-28T00:00:00"/>
    <x v="2"/>
    <n v="2"/>
    <n v="48"/>
    <n v="2"/>
    <d v="2025-05-28T00:00:00"/>
    <s v="Delhi"/>
    <s v="VIJAY LAXMI TRANSPORT"/>
    <s v="DL01MA6900"/>
    <s v="22 FT"/>
    <s v="NOT RECEIVED"/>
    <s v="Dispatched"/>
    <s v="-"/>
    <m/>
  </r>
  <r>
    <n v="1006"/>
    <n v="118"/>
    <s v="BIBO"/>
    <s v="WSO 452"/>
    <d v="2025-05-27T00:00:00"/>
    <x v="40"/>
    <s v="2526/5/TI-238"/>
    <x v="711"/>
    <d v="2025-05-28T00:00:00"/>
    <x v="2"/>
    <n v="10"/>
    <n v="240"/>
    <n v="10"/>
    <d v="2025-05-28T00:00:00"/>
    <s v="Delhi"/>
    <s v="VIJAY LAXMI TRANSPORT"/>
    <s v="DL01MA6900"/>
    <s v="22 FT"/>
    <s v="NOT RECEIVED"/>
    <s v="Dispatched"/>
    <s v="-"/>
    <m/>
  </r>
  <r>
    <n v="1007"/>
    <n v="118"/>
    <s v="BIBO"/>
    <s v="WSO 450"/>
    <d v="2025-05-23T00:00:00"/>
    <x v="27"/>
    <s v="2526/5/TI-234"/>
    <x v="712"/>
    <d v="2025-05-28T00:00:00"/>
    <x v="2"/>
    <n v="12"/>
    <n v="168"/>
    <n v="12"/>
    <d v="2025-05-28T00:00:00"/>
    <s v="Delhi"/>
    <s v="VIJAY LAXMI TRANSPORT"/>
    <s v="DL01MA6900"/>
    <s v="22 FT"/>
    <s v="NOT RECEIVED"/>
    <s v="Dispatched"/>
    <s v="-"/>
    <m/>
  </r>
  <r>
    <n v="1008"/>
    <n v="118"/>
    <s v="BIBO"/>
    <s v="WSO 451"/>
    <d v="2025-05-27T00:00:00"/>
    <x v="6"/>
    <s v="2526/5/TI-237"/>
    <x v="713"/>
    <d v="2025-05-28T00:00:00"/>
    <x v="2"/>
    <n v="14"/>
    <n v="336"/>
    <n v="14"/>
    <d v="2025-05-28T00:00:00"/>
    <s v="Delhi"/>
    <s v="VIJAY LAXMI TRANSPORT"/>
    <s v="DL01MA6900"/>
    <s v="22 FT"/>
    <s v="NOT RECEIVED"/>
    <s v="Dispatched"/>
    <s v="-"/>
    <m/>
  </r>
  <r>
    <n v="1009"/>
    <n v="118"/>
    <s v="BIBO"/>
    <s v="WSO 542"/>
    <d v="2025-05-27T00:00:00"/>
    <x v="11"/>
    <s v="2526/5/TI-240"/>
    <x v="485"/>
    <d v="2025-05-28T00:00:00"/>
    <x v="2"/>
    <n v="7"/>
    <n v="84"/>
    <n v="7"/>
    <d v="2025-05-28T00:00:00"/>
    <s v="Delhi"/>
    <s v="VIJAY LAXMI TRANSPORT"/>
    <s v="DL01MA6900"/>
    <s v="22 FT"/>
    <s v="NOT RECEIVED"/>
    <s v="Dispatched"/>
    <s v="-"/>
    <m/>
  </r>
  <r>
    <n v="1010"/>
    <n v="119"/>
    <s v="PIPO"/>
    <s v="PSO 544"/>
    <d v="2025-05-28T00:00:00"/>
    <x v="8"/>
    <s v="2526/5/TI-246"/>
    <x v="714"/>
    <d v="2025-05-31T00:00:00"/>
    <x v="2"/>
    <n v="58"/>
    <n v="58"/>
    <n v="5"/>
    <d v="2025-06-02T00:00:00"/>
    <s v="Delhi"/>
    <s v="VIJAY LAXMI TRANSPORT"/>
    <s v="DL01MA3659"/>
    <s v="22 FT"/>
    <s v="NOT RECEIVED"/>
    <s v="Dispatched"/>
    <s v="-"/>
    <m/>
  </r>
  <r>
    <n v="1011"/>
    <n v="119"/>
    <s v="PIPO"/>
    <s v="PSO 545 PSO 547"/>
    <d v="2025-05-28T00:00:00"/>
    <x v="4"/>
    <s v="2526/5/TI-247"/>
    <x v="715"/>
    <d v="2025-05-31T00:00:00"/>
    <x v="2"/>
    <n v="240"/>
    <n v="240"/>
    <n v="23"/>
    <d v="2025-06-02T00:00:00"/>
    <s v="Delhi"/>
    <s v="VIJAY LAXMI TRANSPORT"/>
    <s v="DL01MA3659"/>
    <s v="22 FT"/>
    <s v="NOT RECEIVED"/>
    <s v="Dispatched"/>
    <s v="-"/>
    <m/>
  </r>
  <r>
    <n v="1012"/>
    <n v="119"/>
    <s v="PIPO"/>
    <s v="PSO 546"/>
    <d v="2025-05-29T00:00:00"/>
    <x v="11"/>
    <s v="2526/5/TI-248"/>
    <x v="716"/>
    <d v="2025-05-31T00:00:00"/>
    <x v="2"/>
    <n v="70"/>
    <n v="70"/>
    <n v="7"/>
    <d v="2025-06-02T00:00:00"/>
    <s v="Delhi"/>
    <s v="VIJAY LAXMI TRANSPORT"/>
    <s v="DL01MA3659"/>
    <s v="22 FT"/>
    <s v="NOT RECEIVED"/>
    <s v="Dispatched"/>
    <s v="-"/>
    <m/>
  </r>
  <r>
    <n v="1013"/>
    <n v="119"/>
    <s v="PIPO"/>
    <s v="PSO 548"/>
    <d v="2025-05-30T00:00:00"/>
    <x v="31"/>
    <s v="2526/5/TI-249"/>
    <x v="717"/>
    <d v="2025-05-31T00:00:00"/>
    <x v="2"/>
    <n v="110"/>
    <n v="110"/>
    <n v="11"/>
    <d v="2025-06-02T00:00:00"/>
    <s v="Delhi"/>
    <s v="VIJAY LAXMI TRANSPORT"/>
    <s v="DL01MA3659"/>
    <s v="22 FT"/>
    <s v="NOT RECEIVED"/>
    <s v="Dispatched"/>
    <s v="-"/>
    <m/>
  </r>
  <r>
    <n v="1014"/>
    <n v="119"/>
    <s v="PIPO"/>
    <s v="PSO 549"/>
    <d v="2025-05-30T00:00:00"/>
    <x v="27"/>
    <s v="2526/5/TI-250"/>
    <x v="717"/>
    <d v="2025-05-31T00:00:00"/>
    <x v="2"/>
    <n v="380"/>
    <n v="380"/>
    <n v="38"/>
    <d v="2025-06-02T00:00:00"/>
    <s v="Delhi"/>
    <s v="VIJAY LAXMI TRANSPORT"/>
    <s v="DL01MA3659"/>
    <s v="22 FT"/>
    <s v="NOT RECEIVED"/>
    <s v="Dispatched"/>
    <s v="-"/>
    <m/>
  </r>
  <r>
    <n v="1015"/>
    <n v="119"/>
    <s v="PIPO"/>
    <s v="PSO 550"/>
    <d v="2025-05-30T00:00:00"/>
    <x v="12"/>
    <s v="2526/5/TI-251"/>
    <x v="718"/>
    <d v="2025-05-31T00:00:00"/>
    <x v="2"/>
    <n v="70"/>
    <n v="70"/>
    <n v="7"/>
    <d v="2025-06-02T00:00:00"/>
    <s v="Delhi"/>
    <s v="VIJAY LAXMI TRANSPORT"/>
    <s v="DL01MA3659"/>
    <s v="22 FT"/>
    <s v="NOT RECEIVED"/>
    <s v="Dispatched"/>
    <s v="-"/>
    <m/>
  </r>
  <r>
    <n v="1016"/>
    <n v="119"/>
    <s v="PIPO"/>
    <s v="PSO 551"/>
    <d v="2025-05-30T00:00:00"/>
    <x v="19"/>
    <s v="2526/5/TI-252"/>
    <x v="719"/>
    <d v="2025-05-31T00:00:00"/>
    <x v="2"/>
    <n v="120"/>
    <n v="120"/>
    <n v="12"/>
    <d v="2025-06-02T00:00:00"/>
    <s v="Delhi"/>
    <s v="VIJAY LAXMI TRANSPORT"/>
    <s v="DL01MA3659"/>
    <s v="22 FT"/>
    <s v="NOT RECEIVED"/>
    <s v="Dispatched"/>
    <s v="-"/>
    <m/>
  </r>
  <r>
    <n v="1017"/>
    <n v="119"/>
    <s v="PIPO"/>
    <s v="PSO 552"/>
    <d v="2025-05-30T00:00:00"/>
    <x v="36"/>
    <s v="2526/5/TI-253"/>
    <x v="720"/>
    <d v="2025-05-31T00:00:00"/>
    <x v="2"/>
    <n v="80"/>
    <n v="80"/>
    <n v="8"/>
    <d v="2025-06-02T00:00:00"/>
    <s v="Delhi"/>
    <s v="VIJAY LAXMI TRANSPORT"/>
    <s v="DL01MA3659"/>
    <s v="22 FT"/>
    <s v="NOT RECEIVED"/>
    <s v="Dispatched"/>
    <s v="-"/>
    <m/>
  </r>
  <r>
    <n v="1018"/>
    <n v="119"/>
    <s v="PIPO"/>
    <s v="PSO 553"/>
    <d v="2025-05-30T00:00:00"/>
    <x v="2"/>
    <s v="2526/5/TI-254"/>
    <x v="721"/>
    <d v="2025-05-31T00:00:00"/>
    <x v="2"/>
    <n v="502"/>
    <n v="502"/>
    <n v="50"/>
    <d v="2025-06-02T00:00:00"/>
    <s v="Delhi"/>
    <s v="VIJAY LAXMI TRANSPORT"/>
    <s v="DL01MA3659"/>
    <s v="22 FT"/>
    <s v="NOT RECEIVED"/>
    <s v="Dispatched"/>
    <s v="-"/>
    <m/>
  </r>
  <r>
    <n v="1019"/>
    <n v="120"/>
    <s v="PIPO"/>
    <s v="PSO 554"/>
    <d v="2025-05-30T00:00:00"/>
    <x v="32"/>
    <s v="2526/5/TI-255"/>
    <x v="722"/>
    <d v="2025-05-31T00:00:00"/>
    <x v="2"/>
    <n v="160"/>
    <n v="160"/>
    <n v="16"/>
    <d v="2025-06-03T00:00:00"/>
    <s v="Delhi"/>
    <s v="VIJAY LAXMI TRANSPORT"/>
    <s v="DL01GC9359"/>
    <s v="22 FT"/>
    <s v="NOT RECEIVED"/>
    <s v="Dispatched"/>
    <s v="-"/>
    <m/>
  </r>
  <r>
    <n v="1020"/>
    <n v="120"/>
    <s v="PIPO"/>
    <s v="PSO 555"/>
    <d v="2025-05-30T00:00:00"/>
    <x v="13"/>
    <s v="2526/5/TI-256"/>
    <x v="723"/>
    <d v="2025-05-31T00:00:00"/>
    <x v="2"/>
    <n v="580"/>
    <n v="580"/>
    <n v="58"/>
    <d v="2025-06-03T00:00:00"/>
    <s v="Delhi"/>
    <s v="VIJAY LAXMI TRANSPORT"/>
    <s v="DL01GC9359"/>
    <s v="22 FT"/>
    <s v="NOT RECEIVED"/>
    <s v="Dispatched"/>
    <s v="-"/>
    <m/>
  </r>
  <r>
    <n v="1021"/>
    <n v="120"/>
    <s v="PIPO"/>
    <s v="PSO 556"/>
    <d v="2025-05-30T00:00:00"/>
    <x v="33"/>
    <s v="2526/5/TI-257"/>
    <x v="724"/>
    <d v="2025-05-31T00:00:00"/>
    <x v="2"/>
    <n v="100"/>
    <n v="100"/>
    <n v="10"/>
    <d v="2025-06-03T00:00:00"/>
    <s v="Delhi"/>
    <s v="VIJAY LAXMI TRANSPORT"/>
    <s v="DL01GC9359"/>
    <s v="22 FT"/>
    <s v="NOT RECEIVED"/>
    <s v="Dispatched"/>
    <s v="-"/>
    <m/>
  </r>
  <r>
    <n v="1022"/>
    <n v="120"/>
    <s v="PIPO"/>
    <s v="PSO 557"/>
    <d v="2025-05-30T00:00:00"/>
    <x v="21"/>
    <s v="2526/5/TI-258"/>
    <x v="725"/>
    <d v="2025-05-31T00:00:00"/>
    <x v="2"/>
    <n v="110"/>
    <n v="110"/>
    <n v="11"/>
    <d v="2025-06-03T00:00:00"/>
    <s v="Delhi"/>
    <s v="VIJAY LAXMI TRANSPORT"/>
    <s v="DL01GC9359"/>
    <s v="22 FT"/>
    <s v="NOT RECEIVED"/>
    <s v="Dispatched"/>
    <s v="-"/>
    <m/>
  </r>
  <r>
    <n v="1023"/>
    <n v="120"/>
    <s v="PIPO"/>
    <s v="PSO 558"/>
    <d v="2025-05-30T00:00:00"/>
    <x v="44"/>
    <s v="2526/5/TI-259"/>
    <x v="726"/>
    <d v="2025-05-31T00:00:00"/>
    <x v="2"/>
    <n v="90"/>
    <n v="90"/>
    <n v="9"/>
    <d v="2025-06-03T00:00:00"/>
    <s v="Delhi"/>
    <s v="VIJAY LAXMI TRANSPORT"/>
    <s v="DL01GC9359"/>
    <s v="22 FT"/>
    <s v="NOT RECEIVED"/>
    <s v="Dispatched"/>
    <s v="-"/>
    <m/>
  </r>
  <r>
    <n v="1024"/>
    <n v="120"/>
    <s v="PIPO"/>
    <s v="PSO 559"/>
    <d v="2025-05-30T00:00:00"/>
    <x v="8"/>
    <s v="2526/5/TI-260"/>
    <x v="727"/>
    <d v="2025-05-31T00:00:00"/>
    <x v="2"/>
    <n v="10"/>
    <n v="10"/>
    <n v="1"/>
    <d v="2025-06-03T00:00:00"/>
    <s v="Delhi"/>
    <s v="VIJAY LAXMI TRANSPORT"/>
    <s v="DL01GC9359"/>
    <s v="22 FT"/>
    <s v="NOT RECEIVED"/>
    <s v="Dispatched"/>
    <s v="-"/>
    <m/>
  </r>
  <r>
    <n v="1025"/>
    <n v="120"/>
    <s v="PIPO"/>
    <s v="PSO 560"/>
    <d v="2025-05-30T00:00:00"/>
    <x v="7"/>
    <s v="2526/5/TI-261"/>
    <x v="564"/>
    <d v="2025-05-31T00:00:00"/>
    <x v="2"/>
    <n v="24"/>
    <n v="24"/>
    <n v="2"/>
    <d v="2025-06-03T00:00:00"/>
    <s v="Delhi"/>
    <s v="VIJAY LAXMI TRANSPORT"/>
    <s v="DL01GC9359"/>
    <s v="22 FT"/>
    <s v="NOT RECEIVED"/>
    <s v="Dispatched"/>
    <s v="-"/>
    <m/>
  </r>
  <r>
    <n v="1026"/>
    <n v="119"/>
    <s v="BIBO"/>
    <s v="WSO 447"/>
    <d v="2025-05-23T00:00:00"/>
    <x v="42"/>
    <s v="2526/5/TI-233"/>
    <x v="728"/>
    <d v="2025-05-31T00:00:00"/>
    <x v="2"/>
    <n v="12"/>
    <n v="192"/>
    <n v="12"/>
    <d v="2025-06-02T00:00:00"/>
    <s v="Delhi"/>
    <s v="VIJAY LAXMI TRANSPORT"/>
    <s v="DL01MA3659"/>
    <s v="22 FT"/>
    <s v="NOT RECEIVED"/>
    <s v="Dispatched"/>
    <s v="-"/>
    <m/>
  </r>
  <r>
    <n v="1027"/>
    <n v="119"/>
    <s v="BIBO"/>
    <s v="WSO 456"/>
    <d v="2025-05-28T00:00:00"/>
    <x v="38"/>
    <s v="2526/5/TI-241"/>
    <x v="729"/>
    <d v="2025-05-31T00:00:00"/>
    <x v="2"/>
    <n v="6"/>
    <n v="108"/>
    <n v="6"/>
    <d v="2025-06-02T00:00:00"/>
    <s v="Delhi"/>
    <s v="VIJAY LAXMI TRANSPORT"/>
    <s v="DL01MA3659"/>
    <s v="22 FT"/>
    <s v="NOT RECEIVED"/>
    <s v="Dispatched"/>
    <s v="-"/>
    <m/>
  </r>
  <r>
    <n v="1028"/>
    <n v="119"/>
    <s v="BIBO"/>
    <s v="WSO 457"/>
    <d v="2025-05-29T00:00:00"/>
    <x v="13"/>
    <s v="2526/5/TI-242"/>
    <x v="730"/>
    <d v="2025-05-31T00:00:00"/>
    <x v="2"/>
    <n v="17"/>
    <n v="408"/>
    <n v="17"/>
    <d v="2025-06-02T00:00:00"/>
    <s v="Delhi"/>
    <s v="VIJAY LAXMI TRANSPORT"/>
    <s v="DL01MA3659"/>
    <s v="22 FT"/>
    <s v="NOT RECEIVED"/>
    <s v="Dispatched"/>
    <s v="-"/>
    <m/>
  </r>
  <r>
    <n v="1029"/>
    <n v="119"/>
    <s v="BIBO"/>
    <s v="WSO 458"/>
    <d v="2025-05-30T00:00:00"/>
    <x v="2"/>
    <s v="2526/5/TI-245"/>
    <x v="731"/>
    <d v="2025-05-31T00:00:00"/>
    <x v="2"/>
    <n v="29"/>
    <n v="684"/>
    <n v="29"/>
    <d v="2025-06-02T00:00:00"/>
    <s v="Delhi"/>
    <s v="VIJAY LAXMI TRANSPORT"/>
    <s v="DL01MA3659"/>
    <s v="22 FT"/>
    <s v="NOT RECEIVED"/>
    <s v="Dispatched"/>
    <s v="-"/>
    <m/>
  </r>
  <r>
    <n v="1030"/>
    <n v="119"/>
    <s v="BIBO"/>
    <s v="WSO 459"/>
    <d v="2025-05-31T00:00:00"/>
    <x v="33"/>
    <s v="2526/5/TI-243"/>
    <x v="732"/>
    <d v="2025-05-31T00:00:00"/>
    <x v="2"/>
    <n v="6"/>
    <n v="144"/>
    <n v="6"/>
    <d v="2025-06-02T00:00:00"/>
    <s v="Delhi"/>
    <s v="VIJAY LAXMI TRANSPORT"/>
    <s v="DL01MA3659"/>
    <s v="22 FT"/>
    <s v="NOT RECEIVED"/>
    <s v="Dispatched"/>
    <s v="-"/>
    <m/>
  </r>
  <r>
    <n v="1031"/>
    <n v="120"/>
    <s v="BIBO"/>
    <s v="WSO 460"/>
    <d v="2025-05-31T00:00:00"/>
    <x v="7"/>
    <s v="2526/5/TI-244"/>
    <x v="733"/>
    <d v="2025-05-31T00:00:00"/>
    <x v="2"/>
    <n v="5"/>
    <n v="120"/>
    <n v="5"/>
    <d v="2025-06-03T00:00:00"/>
    <s v="Delhi"/>
    <s v="VIJAY LAXMI TRANSPORT"/>
    <s v="DL01GC9359"/>
    <s v="22 FT"/>
    <s v="NOT RECEIVED"/>
    <s v="Dispatched"/>
    <s v="-"/>
    <m/>
  </r>
  <r>
    <n v="1032"/>
    <n v="120"/>
    <s v="PIPO"/>
    <s v="PSO 561"/>
    <d v="2025-06-02T00:00:00"/>
    <x v="41"/>
    <s v="2526/5/TI-262"/>
    <x v="734"/>
    <d v="2025-06-03T00:00:00"/>
    <x v="3"/>
    <n v="102"/>
    <n v="102"/>
    <n v="10"/>
    <d v="2025-06-03T00:00:00"/>
    <s v="Delhi"/>
    <s v="VIJAY LAXMI TRANSPORT"/>
    <s v="DL01GC9359"/>
    <s v="22 FT"/>
    <s v="NOT RECEIVED"/>
    <s v="Dispatched"/>
    <s v="-"/>
    <m/>
  </r>
  <r>
    <n v="1033"/>
    <n v="120"/>
    <s v="BIBO"/>
    <s v="WSO 461"/>
    <d v="2025-06-02T00:00:00"/>
    <x v="4"/>
    <s v="2526/5/TI-268"/>
    <x v="735"/>
    <d v="2025-06-03T00:00:00"/>
    <x v="3"/>
    <n v="96"/>
    <n v="96"/>
    <n v="4"/>
    <d v="2025-06-03T00:00:00"/>
    <s v="Delhi"/>
    <s v="VIJAY LAXMI TRANSPORT"/>
    <s v="DL01GC9359"/>
    <s v="22 FT"/>
    <s v="NOT RECEIVED"/>
    <s v="Dispatched"/>
    <s v="-"/>
    <m/>
  </r>
  <r>
    <n v="1034"/>
    <n v="120"/>
    <s v="BIBO"/>
    <s v="WSO 462"/>
    <d v="2025-06-02T00:00:00"/>
    <x v="43"/>
    <s v="2526/5/TI-265"/>
    <x v="736"/>
    <d v="2025-06-03T00:00:00"/>
    <x v="3"/>
    <n v="1164"/>
    <n v="1164"/>
    <n v="39"/>
    <d v="2025-06-03T00:00:00"/>
    <s v="Delhi"/>
    <s v="VIJAY LAXMI TRANSPORT"/>
    <s v="DL01GC9359"/>
    <s v="22 FT"/>
    <s v="NOT RECEIVED"/>
    <s v="Dispatched"/>
    <s v="-"/>
    <m/>
  </r>
  <r>
    <n v="1035"/>
    <n v="120"/>
    <s v="BIBO"/>
    <s v="WSO 462"/>
    <d v="2025-06-02T00:00:00"/>
    <x v="43"/>
    <s v="2526/5/TI-263"/>
    <x v="737"/>
    <d v="2025-06-03T00:00:00"/>
    <x v="3"/>
    <n v="960"/>
    <n v="960"/>
    <n v="30"/>
    <d v="2025-06-03T00:00:00"/>
    <s v="Delhi"/>
    <s v="VIJAY LAXMI TRANSPORT"/>
    <s v="DL01GC9359"/>
    <s v="22 FT"/>
    <s v="NOT RECEIVED"/>
    <s v="Dispatched"/>
    <s v="-"/>
    <m/>
  </r>
  <r>
    <n v="1036"/>
    <n v="120"/>
    <s v="BIBO"/>
    <s v="WSO 462"/>
    <d v="2025-06-02T00:00:00"/>
    <x v="43"/>
    <s v="2526/5/TI-264"/>
    <x v="738"/>
    <d v="2025-06-03T00:00:00"/>
    <x v="3"/>
    <n v="690"/>
    <n v="690"/>
    <n v="30"/>
    <d v="2025-06-03T00:00:00"/>
    <s v="Delhi"/>
    <s v="VIJAY LAXMI TRANSPORT"/>
    <s v="DL01GC9359"/>
    <s v="22 FT"/>
    <s v="NOT RECEIVED"/>
    <s v="Dispatched"/>
    <s v="-"/>
    <m/>
  </r>
  <r>
    <n v="1037"/>
    <n v="121"/>
    <s v="BIBO"/>
    <s v="WSO 463"/>
    <d v="2025-06-02T00:00:00"/>
    <x v="43"/>
    <s v="2526/5/TI-273"/>
    <x v="739"/>
    <d v="2025-06-04T00:00:00"/>
    <x v="3"/>
    <n v="20"/>
    <n v="600"/>
    <n v="20"/>
    <d v="2025-06-04T00:00:00"/>
    <s v="Delhi"/>
    <s v="VIJAY LAXMI TRANSPORT"/>
    <s v="DL01GC9359"/>
    <s v="22 FT"/>
    <s v="NOT RECEIVED"/>
    <s v="Dispatched"/>
    <s v="-"/>
    <m/>
  </r>
  <r>
    <n v="1038"/>
    <n v="121"/>
    <s v="BIBO"/>
    <s v="WSO 464"/>
    <d v="2025-06-03T00:00:00"/>
    <x v="6"/>
    <s v="2526/5/TI-272"/>
    <x v="740"/>
    <d v="2025-06-04T00:00:00"/>
    <x v="3"/>
    <n v="33"/>
    <n v="792"/>
    <n v="33"/>
    <d v="2025-06-04T00:00:00"/>
    <s v="Delhi"/>
    <s v="VIJAY LAXMI TRANSPORT"/>
    <s v="DL01GC9359"/>
    <s v="22 FT"/>
    <s v="NOT RECEIVED"/>
    <s v="Dispatched"/>
    <s v="-"/>
    <m/>
  </r>
  <r>
    <n v="1039"/>
    <n v="121"/>
    <s v="BIBO"/>
    <s v="WSO 465"/>
    <d v="2025-06-03T00:00:00"/>
    <x v="6"/>
    <s v="2526/5/TI-271"/>
    <x v="741"/>
    <d v="2025-06-04T00:00:00"/>
    <x v="3"/>
    <n v="28"/>
    <n v="624"/>
    <n v="28"/>
    <d v="2025-06-04T00:00:00"/>
    <s v="Delhi"/>
    <s v="VIJAY LAXMI TRANSPORT"/>
    <s v="DL01GC9359"/>
    <s v="22 FT"/>
    <s v="NOT RECEIVED"/>
    <s v="Dispatched"/>
    <s v="-"/>
    <m/>
  </r>
  <r>
    <n v="1040"/>
    <n v="121"/>
    <s v="BIBO"/>
    <s v="WSO 466"/>
    <d v="2025-06-03T00:00:00"/>
    <x v="6"/>
    <s v="2526/5/TI-275"/>
    <x v="742"/>
    <d v="2025-06-04T00:00:00"/>
    <x v="3"/>
    <n v="35"/>
    <n v="720"/>
    <n v="35"/>
    <d v="2025-06-04T00:00:00"/>
    <s v="Delhi"/>
    <s v="VIJAY LAXMI TRANSPORT"/>
    <s v="DL01GC9359"/>
    <s v="22 FT"/>
    <s v="NOT RECEIVED"/>
    <s v="Dispatched"/>
    <s v="-"/>
    <m/>
  </r>
  <r>
    <n v="1041"/>
    <n v="121"/>
    <s v="BIBO"/>
    <s v="WSO 467"/>
    <d v="2025-06-03T00:00:00"/>
    <x v="6"/>
    <s v="2526/5/TI-274"/>
    <x v="743"/>
    <d v="2025-06-04T00:00:00"/>
    <x v="3"/>
    <n v="22"/>
    <n v="528"/>
    <n v="22"/>
    <d v="2025-06-04T00:00:00"/>
    <s v="Delhi"/>
    <s v="VIJAY LAXMI TRANSPORT"/>
    <s v="DL01GC9359"/>
    <s v="22 FT"/>
    <s v="NOT RECEIVED"/>
    <s v="Dispatched"/>
    <s v="-"/>
    <m/>
  </r>
  <r>
    <n v="1042"/>
    <n v="121"/>
    <s v="BIBO"/>
    <s v="WSO 468"/>
    <d v="2025-06-03T00:00:00"/>
    <x v="6"/>
    <s v="2526/5/TI-270"/>
    <x v="383"/>
    <d v="2025-06-04T00:00:00"/>
    <x v="3"/>
    <n v="6"/>
    <n v="72"/>
    <n v="6"/>
    <d v="2025-06-04T00:00:00"/>
    <s v="Delhi"/>
    <s v="VIJAY LAXMI TRANSPORT"/>
    <s v="DL01GC9359"/>
    <s v="22 FT"/>
    <s v="NOT RECEIVED"/>
    <s v="Dispatched"/>
    <s v="-"/>
    <m/>
  </r>
  <r>
    <n v="1043"/>
    <n v="121"/>
    <s v="PIPO"/>
    <s v="SSO 14"/>
    <d v="2025-05-30T00:00:00"/>
    <x v="0"/>
    <s v="2526/5/STO-9"/>
    <x v="744"/>
    <d v="2025-06-04T00:00:00"/>
    <x v="3"/>
    <n v="38"/>
    <n v="38"/>
    <n v="4"/>
    <d v="2025-06-04T00:00:00"/>
    <s v="Delhi"/>
    <s v="VIJAY LAXMI TRANSPORT"/>
    <s v="DL01GC9359"/>
    <s v="22 FT"/>
    <s v="NOT RECEIVED"/>
    <s v="Dispatched"/>
    <s v="-"/>
    <m/>
  </r>
  <r>
    <n v="1044"/>
    <n v="121"/>
    <s v="PIPO"/>
    <s v="PSO 562"/>
    <d v="2025-06-03T00:00:00"/>
    <x v="4"/>
    <s v="2526/5/TI-267"/>
    <x v="745"/>
    <d v="2025-06-04T00:00:00"/>
    <x v="3"/>
    <n v="50"/>
    <n v="50"/>
    <m/>
    <s v="Credit note"/>
    <s v="Credit not from client side due to MRP Issue"/>
    <s v="Credit not from client side due to MRP Issue"/>
    <s v="Credit not from client side due to MRP Issue"/>
    <s v="Credit not from client side due to MRP Issue"/>
    <s v="Credit not from client side due to MRP Issue"/>
    <s v="Credit not from client side due to MRP Issue"/>
    <s v="-"/>
    <m/>
  </r>
  <r>
    <n v="1045"/>
    <n v="121"/>
    <s v="PIPO"/>
    <s v="PSO 563"/>
    <d v="2025-06-03T00:00:00"/>
    <x v="29"/>
    <s v=": 2526/5/TI-269"/>
    <x v="746"/>
    <d v="2025-06-04T00:00:00"/>
    <x v="3"/>
    <n v="90"/>
    <n v="90"/>
    <m/>
    <s v="Credit note"/>
    <s v="Credit not from client side due to MRP Issue"/>
    <s v="Credit not from client side due to MRP Issue"/>
    <s v="Credit not from client side due to MRP Issue"/>
    <s v="Credit not from client side due to MRP Issue"/>
    <s v="Credit not from client side due to MRP Issue"/>
    <s v="Credit not from client side due to MRP Issue"/>
    <s v="-"/>
    <m/>
  </r>
  <r>
    <n v="1046"/>
    <n v="121"/>
    <s v="PIPO"/>
    <s v="PSO 564"/>
    <d v="2025-06-03T00:00:00"/>
    <x v="22"/>
    <s v="2526/5/TI-266"/>
    <x v="564"/>
    <d v="2025-06-04T00:00:00"/>
    <x v="3"/>
    <n v="24"/>
    <n v="24"/>
    <m/>
    <s v="Credit note"/>
    <s v="Credit not from client side due to MRP Issue"/>
    <s v="Credit not from client side due to MRP Issue"/>
    <s v="Credit not from client side due to MRP Issue"/>
    <s v="Credit not from client side due to MRP Issue"/>
    <s v="Credit not from client side due to MRP Issue"/>
    <s v="Credit not from client side due to MRP Issue"/>
    <s v="-"/>
    <m/>
  </r>
  <r>
    <n v="1047"/>
    <n v="122"/>
    <s v="PIPO"/>
    <s v="PSO 565 PSO 568"/>
    <d v="2025-06-04T00:00:00"/>
    <x v="8"/>
    <s v="2526/5/TI-276"/>
    <x v="747"/>
    <d v="2025-06-09T00:00:00"/>
    <x v="3"/>
    <n v="138"/>
    <n v="138"/>
    <n v="13"/>
    <d v="2025-06-09T00:00:00"/>
    <s v="Delhi"/>
    <s v="VIJAY LAXMI TRANSPORT"/>
    <s v="DL01MB0112"/>
    <s v="22 FT"/>
    <s v="NOT RECEIVED"/>
    <s v="Dispatched"/>
    <s v="-"/>
    <m/>
  </r>
  <r>
    <n v="1048"/>
    <n v="122"/>
    <s v="PIPO"/>
    <s v="PSO 566"/>
    <d v="2025-06-04T00:00:00"/>
    <x v="2"/>
    <s v="2526/5/TI-277"/>
    <x v="748"/>
    <d v="2025-06-09T00:00:00"/>
    <x v="3"/>
    <n v="200"/>
    <n v="200"/>
    <n v="20"/>
    <d v="2025-06-09T00:00:00"/>
    <s v="Delhi"/>
    <s v="VIJAY LAXMI TRANSPORT"/>
    <s v="DL01MB0112"/>
    <s v="22 FT"/>
    <s v="NOT RECEIVED"/>
    <s v="Dispatched"/>
    <s v="-"/>
    <m/>
  </r>
  <r>
    <n v="1049"/>
    <n v="122"/>
    <s v="PIPO"/>
    <s v="PSO 567"/>
    <d v="2025-06-06T00:00:00"/>
    <x v="4"/>
    <s v="2526/5/TI-278"/>
    <x v="749"/>
    <d v="2025-06-09T00:00:00"/>
    <x v="3"/>
    <n v="50"/>
    <n v="50"/>
    <n v="5"/>
    <d v="2025-06-09T00:00:00"/>
    <s v="Delhi"/>
    <s v="VIJAY LAXMI TRANSPORT"/>
    <s v="DL01MB0112"/>
    <s v="22 FT"/>
    <s v="NOT RECEIVED"/>
    <s v="Dispatched"/>
    <s v="-"/>
    <m/>
  </r>
  <r>
    <n v="1050"/>
    <n v="122"/>
    <s v="BIBO"/>
    <s v="WSO 469"/>
    <d v="2025-06-05T00:00:00"/>
    <x v="40"/>
    <s v="2526/5/TI-281"/>
    <x v="750"/>
    <d v="2025-06-09T00:00:00"/>
    <x v="3"/>
    <n v="13"/>
    <n v="312"/>
    <n v="13"/>
    <d v="2025-06-09T00:00:00"/>
    <s v="Delhi"/>
    <s v="VIJAY LAXMI TRANSPORT"/>
    <s v="DL01MB0112"/>
    <s v="22 FT"/>
    <s v="NOT RECEIVED"/>
    <s v="Dispatched"/>
    <s v="-"/>
    <m/>
  </r>
  <r>
    <n v="1051"/>
    <n v="122"/>
    <s v="BIBO"/>
    <s v="WSO 470"/>
    <d v="2025-06-05T00:00:00"/>
    <x v="12"/>
    <s v="2526/5/TI-280"/>
    <x v="751"/>
    <d v="2025-06-09T00:00:00"/>
    <x v="3"/>
    <n v="60"/>
    <n v="1392"/>
    <n v="60"/>
    <d v="2025-06-09T00:00:00"/>
    <s v="Delhi"/>
    <s v="VIJAY LAXMI TRANSPORT"/>
    <s v="DL01MB0112"/>
    <s v="22 FT"/>
    <s v="NOT RECEIVED"/>
    <s v="Dispatched"/>
    <s v="-"/>
    <m/>
  </r>
  <r>
    <n v="1052"/>
    <n v="122"/>
    <s v="BIBO"/>
    <s v="WSO 471"/>
    <d v="2025-06-06T00:00:00"/>
    <x v="43"/>
    <s v="2526/5/TI-279"/>
    <x v="752"/>
    <d v="2025-06-09T00:00:00"/>
    <x v="3"/>
    <n v="15"/>
    <n v="270"/>
    <n v="15"/>
    <d v="2025-06-09T00:00:00"/>
    <s v="Delhi"/>
    <s v="VIJAY LAXMI TRANSPORT"/>
    <s v="DL01MB0112"/>
    <s v="22 FT"/>
    <s v="NOT RECEIVED"/>
    <s v="Dispatched"/>
    <s v="-"/>
    <m/>
  </r>
  <r>
    <n v="1053"/>
    <n v="123"/>
    <s v="BIBO"/>
    <s v="WSO 473 WSO 498"/>
    <d v="2025-06-19T00:00:00"/>
    <x v="12"/>
    <s v="2526/5/TI-283"/>
    <x v="753"/>
    <d v="2025-06-25T00:00:00"/>
    <x v="3"/>
    <n v="11"/>
    <n v="264"/>
    <n v="11"/>
    <d v="2025-06-27T00:00:00"/>
    <s v="Delhi"/>
    <s v="VIJAY LAXMI TRANSPORT"/>
    <s v="DL01GC9359"/>
    <s v="22 FT"/>
    <n v="10232225"/>
    <s v="Dispatched"/>
    <s v="-"/>
    <m/>
  </r>
  <r>
    <n v="1054"/>
    <n v="123"/>
    <s v="BIBO"/>
    <s v="WSO 477 WSO 487"/>
    <d v="2025-06-17T00:00:00"/>
    <x v="10"/>
    <s v="2526/5/TI-296"/>
    <x v="753"/>
    <d v="2025-06-26T00:00:00"/>
    <x v="3"/>
    <n v="9"/>
    <n v="216"/>
    <n v="9"/>
    <d v="2025-06-27T00:00:00"/>
    <s v="Delhi"/>
    <s v="VIJAY LAXMI TRANSPORT"/>
    <s v="DL01GC9359"/>
    <s v="22 FT"/>
    <n v="10232157"/>
    <s v="Dispatched"/>
    <s v="-"/>
    <m/>
  </r>
  <r>
    <n v="1055"/>
    <n v="123"/>
    <s v="BIBO"/>
    <s v="WSO 487 WSO 497"/>
    <d v="2025-06-19T00:00:00"/>
    <x v="13"/>
    <s v="2526/5/TI-316"/>
    <x v="754"/>
    <d v="2025-06-27T00:00:00"/>
    <x v="3"/>
    <n v="11"/>
    <n v="264"/>
    <n v="11"/>
    <d v="2025-06-27T00:00:00"/>
    <s v="Delhi"/>
    <s v="VIJAY LAXMI TRANSPORT"/>
    <s v="DL01GC9359"/>
    <s v="22 FT"/>
    <n v="10232191"/>
    <s v="Dispatched"/>
    <s v="-"/>
    <m/>
  </r>
  <r>
    <n v="1056"/>
    <n v="123"/>
    <s v="BIBO"/>
    <s v="WSO 493 WSO 503"/>
    <d v="2025-06-19T00:00:00"/>
    <x v="11"/>
    <s v="2526/5/TI-307"/>
    <x v="755"/>
    <d v="2025-06-26T00:00:00"/>
    <x v="3"/>
    <n v="13"/>
    <n v="312"/>
    <n v="13"/>
    <d v="2025-06-27T00:00:00"/>
    <s v="Delhi"/>
    <s v="VIJAY LAXMI TRANSPORT"/>
    <s v="DL01GC9359"/>
    <s v="22 FT"/>
    <n v="10232227"/>
    <s v="Dispatched"/>
    <s v="-"/>
    <m/>
  </r>
  <r>
    <n v="1057"/>
    <n v="123"/>
    <s v="PIPO"/>
    <s v="PSO 570 PSO 580"/>
    <d v="2025-06-19T00:00:00"/>
    <x v="4"/>
    <s v="2526/5/TI-285"/>
    <x v="756"/>
    <d v="2025-06-26T00:00:00"/>
    <x v="3"/>
    <n v="366"/>
    <n v="366"/>
    <n v="34"/>
    <d v="2025-06-27T00:00:00"/>
    <s v="Delhi"/>
    <s v="VIJAY LAXMI TRANSPORT"/>
    <s v="DL01GC9359"/>
    <s v="22 FT"/>
    <n v="10232156"/>
    <s v="Dispatched"/>
    <s v="-"/>
    <m/>
  </r>
  <r>
    <n v="1058"/>
    <n v="123"/>
    <s v="PIPO"/>
    <s v="PSO 571 PSO 576"/>
    <d v="2025-06-17T00:00:00"/>
    <x v="4"/>
    <s v="2526/5/TI-286"/>
    <x v="757"/>
    <d v="2025-06-26T00:00:00"/>
    <x v="3"/>
    <n v="93"/>
    <n v="93"/>
    <n v="10"/>
    <d v="2025-06-27T00:00:00"/>
    <s v="Delhi"/>
    <s v="VIJAY LAXMI TRANSPORT"/>
    <s v="DL01GC9359"/>
    <s v="22 FT"/>
    <n v="10232152"/>
    <s v="Dispatched"/>
    <s v="-"/>
    <m/>
  </r>
  <r>
    <n v="1059"/>
    <n v="123"/>
    <s v="PIPO"/>
    <s v="PSO 578 PSO 582"/>
    <d v="2025-06-20T00:00:00"/>
    <x v="33"/>
    <s v="2526/5/TI-293"/>
    <x v="758"/>
    <d v="2025-06-26T00:00:00"/>
    <x v="3"/>
    <n v="174"/>
    <n v="174"/>
    <n v="17"/>
    <d v="2025-06-27T00:00:00"/>
    <s v="Delhi"/>
    <s v="VIJAY LAXMI TRANSPORT"/>
    <s v="DL01GC9359"/>
    <s v="22 FT"/>
    <n v="10232212"/>
    <s v="Dispatched"/>
    <s v="-"/>
    <m/>
  </r>
  <r>
    <n v="1060"/>
    <n v="123"/>
    <s v="BIBO"/>
    <s v="WSO 474"/>
    <d v="2025-06-12T00:00:00"/>
    <x v="17"/>
    <s v="2526/5/TI-297"/>
    <x v="759"/>
    <d v="2025-06-26T00:00:00"/>
    <x v="3"/>
    <n v="30"/>
    <n v="714"/>
    <n v="30"/>
    <d v="2025-06-27T00:00:00"/>
    <s v="Delhi"/>
    <s v="VIJAY LAXMI TRANSPORT"/>
    <s v="DL01GC9359"/>
    <s v="22 FT"/>
    <n v="10232211"/>
    <s v="Dispatched"/>
    <s v="-"/>
    <m/>
  </r>
  <r>
    <n v="1061"/>
    <n v="123"/>
    <s v="BIBO"/>
    <s v="WSO 485"/>
    <d v="2025-06-17T00:00:00"/>
    <x v="7"/>
    <s v="2526/5/TI-303"/>
    <x v="644"/>
    <d v="2025-06-26T00:00:00"/>
    <x v="3"/>
    <n v="4"/>
    <n v="96"/>
    <n v="4"/>
    <d v="2025-06-27T00:00:00"/>
    <s v="Delhi"/>
    <s v="VIJAY LAXMI TRANSPORT"/>
    <s v="DL01GC9359"/>
    <s v="22 FT"/>
    <n v="10232220"/>
    <s v="Dispatched"/>
    <s v="-"/>
    <m/>
  </r>
  <r>
    <n v="1062"/>
    <n v="123"/>
    <s v="BIBO"/>
    <s v="WSO 488"/>
    <d v="2025-06-17T00:00:00"/>
    <x v="2"/>
    <s v="2526/5/TI-305"/>
    <x v="760"/>
    <d v="2025-06-26T00:00:00"/>
    <x v="3"/>
    <n v="4"/>
    <n v="96"/>
    <n v="4"/>
    <d v="2025-06-27T00:00:00"/>
    <s v="Delhi"/>
    <s v="VIJAY LAXMI TRANSPORT"/>
    <s v="DL01GC9359"/>
    <s v="22 FT"/>
    <n v="10232153"/>
    <s v="Dispatched"/>
    <s v="-"/>
    <m/>
  </r>
  <r>
    <n v="1063"/>
    <n v="123"/>
    <s v="PIPO"/>
    <s v="PSO 569"/>
    <d v="2025-06-10T00:00:00"/>
    <x v="23"/>
    <s v="2526/5/TI-284"/>
    <x v="761"/>
    <d v="2025-06-26T00:00:00"/>
    <x v="3"/>
    <n v="126"/>
    <n v="126"/>
    <n v="12"/>
    <d v="2025-06-27T00:00:00"/>
    <s v="Delhi"/>
    <s v="VIJAY LAXMI TRANSPORT"/>
    <s v="DL01GC9359"/>
    <s v="22 FT"/>
    <n v="10232215"/>
    <s v="Dispatched"/>
    <s v="-"/>
    <m/>
  </r>
  <r>
    <n v="1064"/>
    <n v="123"/>
    <s v="PIPO"/>
    <s v="PSO 572"/>
    <d v="2025-06-13T00:00:00"/>
    <x v="19"/>
    <s v="2526/5/TI-287"/>
    <x v="762"/>
    <d v="2025-06-26T00:00:00"/>
    <x v="3"/>
    <n v="44"/>
    <n v="44"/>
    <n v="4"/>
    <d v="2025-06-27T00:00:00"/>
    <s v="Delhi"/>
    <s v="VIJAY LAXMI TRANSPORT"/>
    <s v="DL01GC9359"/>
    <s v="22 FT"/>
    <n v="10232189"/>
    <s v="Dispatched"/>
    <s v="-"/>
    <m/>
  </r>
  <r>
    <n v="1065"/>
    <n v="123"/>
    <s v="PIPO"/>
    <s v="PSO 573"/>
    <d v="2025-06-13T00:00:00"/>
    <x v="29"/>
    <s v="2526/5/TI-288"/>
    <x v="763"/>
    <d v="2025-06-26T00:00:00"/>
    <x v="3"/>
    <n v="74"/>
    <n v="74"/>
    <n v="7"/>
    <d v="2025-06-27T00:00:00"/>
    <s v="Delhi"/>
    <s v="VIJAY LAXMI TRANSPORT"/>
    <s v="DL01GC9359"/>
    <s v="22 FT"/>
    <n v="10232154"/>
    <s v="Dispatched"/>
    <s v="-"/>
    <m/>
  </r>
  <r>
    <n v="1066"/>
    <n v="123"/>
    <s v="PIPO"/>
    <s v="PSO 574"/>
    <d v="2025-06-13T00:00:00"/>
    <x v="10"/>
    <s v="2526/5/TI-289"/>
    <x v="493"/>
    <d v="2025-06-26T00:00:00"/>
    <x v="3"/>
    <n v="48"/>
    <n v="48"/>
    <n v="4"/>
    <d v="2025-06-27T00:00:00"/>
    <s v="Delhi"/>
    <s v="VIJAY LAXMI TRANSPORT"/>
    <s v="DL01GC9359"/>
    <s v="22 FT"/>
    <n v="10232149"/>
    <s v="Dispatched"/>
    <s v="-"/>
    <m/>
  </r>
  <r>
    <n v="1067"/>
    <n v="123"/>
    <s v="PIPO"/>
    <s v="PSO 575"/>
    <d v="2025-06-17T00:00:00"/>
    <x v="13"/>
    <s v="2526/5/TI-290"/>
    <x v="764"/>
    <d v="2025-06-26T00:00:00"/>
    <x v="3"/>
    <n v="40"/>
    <n v="40"/>
    <n v="4"/>
    <d v="2025-06-27T00:00:00"/>
    <s v="Delhi"/>
    <s v="VIJAY LAXMI TRANSPORT"/>
    <s v="DL01GC9359"/>
    <s v="22 FT"/>
    <n v="10232192"/>
    <s v="Dispatched"/>
    <s v="-"/>
    <m/>
  </r>
  <r>
    <n v="1068"/>
    <n v="123"/>
    <s v="PIPO"/>
    <s v="PSO 577"/>
    <d v="2025-06-19T00:00:00"/>
    <x v="11"/>
    <s v="2526/5/TI-294"/>
    <x v="765"/>
    <d v="2025-06-26T00:00:00"/>
    <x v="3"/>
    <n v="146"/>
    <n v="146"/>
    <n v="13"/>
    <d v="2025-06-27T00:00:00"/>
    <s v="Delhi"/>
    <s v="VIJAY LAXMI TRANSPORT"/>
    <s v="DL01GC9359"/>
    <s v="22 FT"/>
    <n v="10232229"/>
    <s v="Dispatched"/>
    <s v="-"/>
    <m/>
  </r>
  <r>
    <n v="1069"/>
    <n v="123"/>
    <s v="PIPO"/>
    <s v="PSO 579"/>
    <d v="2025-06-19T00:00:00"/>
    <x v="13"/>
    <s v="2526/5/TI-292"/>
    <x v="766"/>
    <d v="2025-06-26T00:00:00"/>
    <x v="3"/>
    <n v="160"/>
    <n v="160"/>
    <n v="15"/>
    <d v="2025-06-27T00:00:00"/>
    <s v="Delhi"/>
    <s v="VIJAY LAXMI TRANSPORT"/>
    <s v="DL01GC9359"/>
    <s v="22 FT"/>
    <n v="10232190"/>
    <s v="Dispatched"/>
    <s v="-"/>
    <m/>
  </r>
  <r>
    <n v="1070"/>
    <n v="123"/>
    <s v="PIPO"/>
    <s v="PSO 581"/>
    <d v="2025-06-20T00:00:00"/>
    <x v="31"/>
    <s v="2526/5/TI-291"/>
    <x v="767"/>
    <d v="2025-06-26T00:00:00"/>
    <x v="3"/>
    <n v="280"/>
    <n v="280"/>
    <n v="26"/>
    <d v="2025-06-27T00:00:00"/>
    <s v="Delhi"/>
    <s v="VIJAY LAXMI TRANSPORT"/>
    <s v="DL01GC9359"/>
    <s v="22 FT"/>
    <n v="10232155"/>
    <s v="Dispatched"/>
    <s v="-"/>
    <m/>
  </r>
  <r>
    <n v="1071"/>
    <n v="123"/>
    <s v="STO"/>
    <s v="SSO 16"/>
    <d v="2025-06-20T00:00:00"/>
    <x v="0"/>
    <s v="2526/5/STO-11"/>
    <x v="768"/>
    <d v="2025-06-26T00:00:00"/>
    <x v="3"/>
    <n v="10"/>
    <n v="10"/>
    <n v="1"/>
    <d v="2025-06-27T00:00:00"/>
    <s v="Delhi"/>
    <s v="VIJAY LAXMI TRANSPORT"/>
    <s v="DL01GC9359"/>
    <s v="22 FT"/>
    <n v="10232232"/>
    <s v="Dispatched"/>
    <s v="-"/>
    <m/>
  </r>
  <r>
    <n v="1072"/>
    <n v="123"/>
    <s v="STO"/>
    <s v="SSO 17"/>
    <d v="2025-06-20T00:00:00"/>
    <x v="0"/>
    <s v="2526/5/STO-10"/>
    <x v="769"/>
    <d v="2025-06-26T00:00:00"/>
    <x v="3"/>
    <n v="4"/>
    <n v="4"/>
    <n v="1"/>
    <d v="2025-06-27T00:00:00"/>
    <s v="Delhi"/>
    <s v="VIJAY LAXMI TRANSPORT"/>
    <s v="DL01GC9359"/>
    <s v="22 FT"/>
    <n v="10232164"/>
    <s v="Dispatched"/>
    <s v="-"/>
    <m/>
  </r>
  <r>
    <n v="1073"/>
    <n v="124"/>
    <s v="BIBO"/>
    <s v="WSO 478"/>
    <d v="2025-06-13T00:00:00"/>
    <x v="43"/>
    <s v="2526/5/TI-318"/>
    <x v="770"/>
    <d v="2025-06-27T00:00:00"/>
    <x v="3"/>
    <n v="30"/>
    <n v="720"/>
    <n v="30"/>
    <d v="2025-06-27T00:00:00"/>
    <s v="Delhi"/>
    <s v="VIJAY LAXMI TRANSPORT"/>
    <s v="DL01MA3659"/>
    <s v="22 FT"/>
    <n v="10232142"/>
    <s v="Dispatched"/>
    <s v="-"/>
    <m/>
  </r>
  <r>
    <n v="1074"/>
    <n v="124"/>
    <s v="BIBO"/>
    <s v="WSO 478"/>
    <d v="2025-06-13T00:00:00"/>
    <x v="43"/>
    <s v="2526/5/TI-319"/>
    <x v="771"/>
    <d v="2025-06-27T00:00:00"/>
    <x v="3"/>
    <n v="25"/>
    <n v="600"/>
    <n v="25"/>
    <d v="2025-06-27T00:00:00"/>
    <s v="Delhi"/>
    <s v="VIJAY LAXMI TRANSPORT"/>
    <s v="DL01MA3659"/>
    <s v="22 FT"/>
    <n v="10232140"/>
    <s v="Dispatched"/>
    <s v="-"/>
    <m/>
  </r>
  <r>
    <n v="1074"/>
    <n v="124"/>
    <s v="BIBO"/>
    <s v="WSO 479"/>
    <d v="2025-06-13T00:00:00"/>
    <x v="43"/>
    <s v="2526/5/TI-320"/>
    <x v="772"/>
    <d v="2025-06-27T00:00:00"/>
    <x v="3"/>
    <n v="30"/>
    <n v="600"/>
    <n v="30"/>
    <d v="2025-06-27T00:00:00"/>
    <s v="Delhi"/>
    <s v="VIJAY LAXMI TRANSPORT"/>
    <s v="DL01MA3659"/>
    <s v="22 FT"/>
    <n v="10232143"/>
    <s v="Dispatched"/>
    <s v="-"/>
    <m/>
  </r>
  <r>
    <n v="1075"/>
    <n v="124"/>
    <s v="BIBO"/>
    <s v="WSO 479"/>
    <d v="2025-06-13T00:00:00"/>
    <x v="43"/>
    <s v="2526/5/TI-321"/>
    <x v="773"/>
    <d v="2025-06-27T00:00:00"/>
    <x v="3"/>
    <n v="29"/>
    <n v="696"/>
    <n v="29"/>
    <d v="2025-06-27T00:00:00"/>
    <s v="Delhi"/>
    <s v="VIJAY LAXMI TRANSPORT"/>
    <s v="DL01MA3659"/>
    <s v="22 FT"/>
    <n v="10232141"/>
    <s v="Dispatched"/>
    <s v="-"/>
    <m/>
  </r>
  <r>
    <n v="1075"/>
    <n v="124"/>
    <s v="BIBO"/>
    <s v="WSO 487 WSO 499"/>
    <d v="2025-06-17T00:00:00"/>
    <x v="5"/>
    <s v="2526/5/TI-304"/>
    <x v="774"/>
    <d v="2025-06-26T00:00:00"/>
    <x v="3"/>
    <n v="20"/>
    <n v="480"/>
    <n v="20"/>
    <d v="2025-06-27T00:00:00"/>
    <s v="Delhi"/>
    <s v="VIJAY LAXMI TRANSPORT"/>
    <s v="DL01MA3659"/>
    <s v="22 FT"/>
    <n v="10232151"/>
    <s v="Dispatched"/>
    <s v="-"/>
    <m/>
  </r>
  <r>
    <n v="1076"/>
    <n v="125"/>
    <s v="BIBO"/>
    <s v="WSO 475 WSO 489 WSO 494 WSO 505"/>
    <d v="2025-06-17T00:00:00"/>
    <x v="4"/>
    <s v="2526/5/TI-298"/>
    <x v="775"/>
    <d v="2025-06-26T00:00:00"/>
    <x v="3"/>
    <n v="39"/>
    <n v="936"/>
    <n v="39"/>
    <d v="2025-06-28T00:00:00"/>
    <s v="Delhi"/>
    <s v="VIJAY LAXMI TRANSPORT"/>
    <s v="DL01GC9359"/>
    <s v="22 FT"/>
    <s v="NOT RECEIVED"/>
    <s v="Dispatched"/>
    <s v="-"/>
    <m/>
  </r>
  <r>
    <n v="1076"/>
    <n v="125"/>
    <s v="BIBO"/>
    <s v="WSO 491"/>
    <d v="2025-06-18T00:00:00"/>
    <x v="23"/>
    <s v="2526/5/TI-306"/>
    <x v="776"/>
    <d v="2025-06-26T00:00:00"/>
    <x v="3"/>
    <n v="7"/>
    <n v="168"/>
    <n v="7"/>
    <d v="2025-06-28T00:00:00"/>
    <s v="Delhi"/>
    <s v="VIJAY LAXMI TRANSPORT"/>
    <s v="DL01GC9359"/>
    <s v="22 FT"/>
    <n v="10232214"/>
    <s v="Dispatched"/>
    <s v="-"/>
    <m/>
  </r>
  <r>
    <n v="1077"/>
    <n v="125"/>
    <s v="BIBO"/>
    <s v="WSO 495"/>
    <d v="2025-06-19T00:00:00"/>
    <x v="39"/>
    <s v="2526/5/TI-308"/>
    <x v="777"/>
    <d v="2025-06-26T00:00:00"/>
    <x v="3"/>
    <n v="36"/>
    <n v="864"/>
    <n v="36"/>
    <d v="2025-06-28T00:00:00"/>
    <s v="Delhi"/>
    <s v="VIJAY LAXMI TRANSPORT"/>
    <s v="DL01GC9359"/>
    <s v="22 FT"/>
    <n v="10232195"/>
    <s v="Dispatched"/>
    <s v="-"/>
    <m/>
  </r>
  <r>
    <n v="1077"/>
    <n v="125"/>
    <s v="BIBO"/>
    <s v="WSO 496"/>
    <d v="2025-06-19T00:00:00"/>
    <x v="39"/>
    <s v="2526/5/TI-309"/>
    <x v="778"/>
    <d v="2025-06-26T00:00:00"/>
    <x v="3"/>
    <n v="37"/>
    <n v="1020"/>
    <n v="37"/>
    <d v="2025-06-28T00:00:00"/>
    <s v="Delhi"/>
    <s v="VIJAY LAXMI TRANSPORT"/>
    <s v="DL01GC9359"/>
    <s v="22 FT"/>
    <s v="NOT RECEIVED"/>
    <s v="Dispatched"/>
    <s v="-"/>
    <m/>
  </r>
  <r>
    <n v="1078"/>
    <n v="125"/>
    <s v="BIBO"/>
    <s v="WSO 508"/>
    <d v="2025-06-24T00:00:00"/>
    <x v="6"/>
    <s v="2526/5/TI-314"/>
    <x v="779"/>
    <d v="2025-06-26T00:00:00"/>
    <x v="3"/>
    <n v="38"/>
    <n v="912"/>
    <n v="38"/>
    <d v="2025-06-28T00:00:00"/>
    <s v="Delhi"/>
    <s v="VIJAY LAXMI TRANSPORT"/>
    <s v="DL01GC9359"/>
    <s v="22 FT"/>
    <n v="10232194"/>
    <s v="Dispatched"/>
    <s v="-"/>
    <m/>
  </r>
  <r>
    <n v="1078"/>
    <n v="125"/>
    <s v="BIBO"/>
    <s v="WSO 510"/>
    <d v="2025-06-24T00:00:00"/>
    <x v="6"/>
    <s v="2526/5/TI-315"/>
    <x v="780"/>
    <d v="2025-06-26T00:00:00"/>
    <x v="3"/>
    <n v="27"/>
    <n v="792"/>
    <n v="27"/>
    <d v="2025-06-28T00:00:00"/>
    <s v="Delhi"/>
    <s v="VIJAY LAXMI TRANSPORT"/>
    <s v="DL01GC9359"/>
    <s v="22 FT"/>
    <n v="10232197"/>
    <s v="Dispatched"/>
    <s v="-"/>
    <m/>
  </r>
  <r>
    <n v="1079"/>
    <n v="126"/>
    <s v="BIBO"/>
    <s v="WSO 476 WSO 490"/>
    <d v="2025-06-17T00:00:00"/>
    <x v="19"/>
    <s v="2526/5/TI-295"/>
    <x v="781"/>
    <d v="2025-06-26T00:00:00"/>
    <x v="3"/>
    <n v="13"/>
    <n v="312"/>
    <n v="13"/>
    <d v="2025-06-29T00:00:00"/>
    <s v="Delhi"/>
    <s v="VIJAY LAXMI TRANSPORT"/>
    <s v="DL01GC9359"/>
    <s v="22 FT"/>
    <n v="10232223"/>
    <s v="Dispatched"/>
    <s v="-"/>
    <m/>
  </r>
  <r>
    <n v="1079"/>
    <n v="126"/>
    <s v="STO"/>
    <s v="SSO 15"/>
    <d v="2025-06-19T00:00:00"/>
    <x v="0"/>
    <s v="2526/5/STO-12"/>
    <x v="782"/>
    <d v="2025-06-26T00:00:00"/>
    <x v="3"/>
    <n v="17"/>
    <n v="408"/>
    <n v="17"/>
    <d v="2025-06-29T00:00:00"/>
    <s v="Delhi"/>
    <s v="VIJAY LAXMI TRANSPORT"/>
    <s v="DL01GC9359"/>
    <s v="22 FT"/>
    <n v="10232231"/>
    <s v="Dispatched"/>
    <s v="-"/>
    <m/>
  </r>
  <r>
    <n v="1080"/>
    <n v="126"/>
    <s v="BIBO"/>
    <s v="WSO 480 WSO 509"/>
    <d v="2025-06-24T00:00:00"/>
    <x v="6"/>
    <s v="2526/5/TI-300"/>
    <x v="783"/>
    <d v="2025-06-26T00:00:00"/>
    <x v="3"/>
    <n v="25"/>
    <n v="600"/>
    <n v="25"/>
    <d v="2025-06-29T00:00:00"/>
    <s v="Delhi"/>
    <s v="VIJAY LAXMI TRANSPORT"/>
    <s v="DL01GC9359"/>
    <s v="22 FT"/>
    <n v="10232217"/>
    <s v="Dispatched"/>
    <s v="-"/>
    <m/>
  </r>
  <r>
    <n v="1080"/>
    <n v="126"/>
    <s v="BIBO"/>
    <s v="WSO 484 WSO 492"/>
    <d v="2025-06-18T00:00:00"/>
    <x v="31"/>
    <s v="2526/5/TI-302"/>
    <x v="784"/>
    <d v="2025-06-26T00:00:00"/>
    <x v="3"/>
    <n v="31"/>
    <n v="744"/>
    <n v="31"/>
    <d v="2025-06-29T00:00:00"/>
    <s v="Delhi"/>
    <s v="VIJAY LAXMI TRANSPORT"/>
    <s v="DL01GC9359"/>
    <s v="22 FT"/>
    <s v="NOT RECEIVED"/>
    <s v="Dispatched"/>
    <s v="-"/>
    <m/>
  </r>
  <r>
    <n v="1081"/>
    <n v="126"/>
    <s v="BIBO"/>
    <s v="WSO 501 WSO 507"/>
    <d v="2025-06-24T00:00:00"/>
    <x v="44"/>
    <s v="2526/5/TI-311"/>
    <x v="785"/>
    <d v="2025-06-26T00:00:00"/>
    <x v="3"/>
    <n v="25"/>
    <n v="468"/>
    <n v="25"/>
    <d v="2025-06-29T00:00:00"/>
    <s v="Delhi"/>
    <s v="VIJAY LAXMI TRANSPORT"/>
    <s v="DL01GC9359"/>
    <s v="22 FT"/>
    <n v="10232213"/>
    <s v="Dispatched"/>
    <s v="-"/>
    <m/>
  </r>
  <r>
    <n v="1081"/>
    <n v="126"/>
    <s v="BIBO"/>
    <s v="WSO 481"/>
    <d v="2025-06-14T00:00:00"/>
    <x v="43"/>
    <s v="2526/5/TI-299"/>
    <x v="786"/>
    <d v="2025-06-26T00:00:00"/>
    <x v="3"/>
    <n v="30"/>
    <n v="360"/>
    <n v="30"/>
    <d v="2025-06-29T00:00:00"/>
    <s v="Delhi"/>
    <s v="VIJAY LAXMI TRANSPORT"/>
    <s v="DL01GC9359"/>
    <s v="22 FT"/>
    <n v="10232219"/>
    <s v="Dispatched"/>
    <s v="-"/>
    <m/>
  </r>
  <r>
    <n v="1082"/>
    <n v="126"/>
    <s v="BIBO"/>
    <s v="WSO 482"/>
    <d v="2025-06-16T00:00:00"/>
    <x v="21"/>
    <s v="2526/5/TI-301"/>
    <x v="787"/>
    <d v="2025-06-26T00:00:00"/>
    <x v="3"/>
    <n v="7"/>
    <n v="168"/>
    <n v="7"/>
    <d v="2025-06-29T00:00:00"/>
    <s v="Delhi"/>
    <s v="VIJAY LAXMI TRANSPORT"/>
    <s v="DL01GC9359"/>
    <s v="22 FT"/>
    <s v="NOT RECEIVED"/>
    <s v="Dispatched"/>
    <s v="-"/>
    <m/>
  </r>
  <r>
    <n v="1082"/>
    <n v="126"/>
    <s v="BIBO"/>
    <s v="WSO 500"/>
    <d v="2025-06-20T00:00:00"/>
    <x v="22"/>
    <s v="2526/5/TI-310"/>
    <x v="124"/>
    <d v="2025-06-26T00:00:00"/>
    <x v="3"/>
    <n v="6"/>
    <n v="144"/>
    <n v="6"/>
    <d v="2025-06-29T00:00:00"/>
    <s v="Delhi"/>
    <s v="VIJAY LAXMI TRANSPORT"/>
    <s v="DL01GC9359"/>
    <s v="22 FT"/>
    <s v="NOT RECEIVED"/>
    <s v="Dispatched"/>
    <s v="-"/>
    <m/>
  </r>
  <r>
    <n v="1083"/>
    <n v="126"/>
    <s v="BIBO"/>
    <s v="WSO 502"/>
    <d v="2025-06-21T00:00:00"/>
    <x v="3"/>
    <s v="2526/5/TI-312"/>
    <x v="788"/>
    <d v="2025-06-26T00:00:00"/>
    <x v="3"/>
    <n v="11"/>
    <n v="264"/>
    <n v="11"/>
    <d v="2025-06-29T00:00:00"/>
    <s v="Delhi"/>
    <s v="VIJAY LAXMI TRANSPORT"/>
    <s v="DL01GC9359"/>
    <s v="22 FT"/>
    <s v="NOT RECEIVED"/>
    <s v="Dispatched"/>
    <s v="-"/>
    <m/>
  </r>
  <r>
    <n v="1083"/>
    <n v="126"/>
    <s v="BIBO"/>
    <s v="WSO 506"/>
    <d v="2025-06-24T00:00:00"/>
    <x v="16"/>
    <s v="2526/5/TI-313"/>
    <x v="789"/>
    <d v="2025-06-26T00:00:00"/>
    <x v="3"/>
    <n v="17"/>
    <n v="408"/>
    <n v="17"/>
    <d v="2025-06-29T00:00:00"/>
    <s v="Delhi"/>
    <s v="VIJAY LAXMI TRANSPORT"/>
    <s v="DL01GC9359"/>
    <s v="22 FT"/>
    <s v="NOT RECEIVED"/>
    <s v="Dispatched"/>
    <s v="-"/>
    <m/>
  </r>
  <r>
    <n v="1084"/>
    <n v="127"/>
    <s v="BIBO"/>
    <s v="WSO 504"/>
    <d v="2025-06-23T00:00:00"/>
    <x v="33"/>
    <s v="2526/5/TI-317"/>
    <x v="790"/>
    <d v="2025-06-26T00:00:00"/>
    <x v="3"/>
    <n v="15"/>
    <n v="360"/>
    <n v="15"/>
    <d v="2025-07-01T00:00:00"/>
    <s v="Delhi"/>
    <s v="VIJAY LAXMI TRANSPORT"/>
    <s v="DL01GC9359"/>
    <s v="22 FT"/>
    <s v="NOT RECEIVED"/>
    <s v="Dispatched"/>
    <s v="-"/>
    <m/>
  </r>
  <r>
    <n v="1084"/>
    <n v="127"/>
    <s v="BIBO"/>
    <s v="WSO 511"/>
    <d v="2025-06-25T00:00:00"/>
    <x v="43"/>
    <s v="2526/5/TI-322"/>
    <x v="791"/>
    <d v="2025-06-30T00:00:00"/>
    <x v="3"/>
    <n v="39"/>
    <n v="828"/>
    <n v="39"/>
    <d v="2025-07-01T00:00:00"/>
    <s v="Delhi"/>
    <s v="VIJAY LAXMI TRANSPORT"/>
    <s v="DL01GC9359"/>
    <s v="22 FT"/>
    <s v="NOT RECEIVED"/>
    <s v="Dispatched"/>
    <s v="-"/>
    <m/>
  </r>
  <r>
    <n v="1085"/>
    <n v="127"/>
    <s v="BIBO"/>
    <s v="WSO 512"/>
    <d v="2025-06-25T00:00:00"/>
    <x v="43"/>
    <s v="2526/5/TI-323"/>
    <x v="792"/>
    <d v="2025-06-30T00:00:00"/>
    <x v="3"/>
    <n v="42"/>
    <n v="1008"/>
    <n v="42"/>
    <d v="2025-07-01T00:00:00"/>
    <s v="Delhi"/>
    <s v="VIJAY LAXMI TRANSPORT"/>
    <s v="DL01GC9359"/>
    <s v="22 FT"/>
    <s v="NOT RECEIVED"/>
    <s v="Dispatched"/>
    <s v="-"/>
    <m/>
  </r>
  <r>
    <n v="1085"/>
    <n v="127"/>
    <s v="BIBO"/>
    <s v="WSO 513"/>
    <d v="2025-06-25T00:00:00"/>
    <x v="43"/>
    <s v="2526/5/TI-324"/>
    <x v="793"/>
    <d v="2025-06-30T00:00:00"/>
    <x v="3"/>
    <n v="18"/>
    <n v="312"/>
    <n v="18"/>
    <d v="2025-07-01T00:00:00"/>
    <s v="Delhi"/>
    <s v="VIJAY LAXMI TRANSPORT"/>
    <s v="DL01GC9359"/>
    <s v="22 FT"/>
    <s v="NOT RECEIVED"/>
    <s v="Dispatched"/>
    <s v="-"/>
    <m/>
  </r>
  <r>
    <n v="1086"/>
    <n v="127"/>
    <s v="BIBO"/>
    <s v="WSO 514"/>
    <d v="2025-06-26T00:00:00"/>
    <x v="43"/>
    <s v="2526/5/TI-328"/>
    <x v="794"/>
    <d v="2025-06-30T00:00:00"/>
    <x v="3"/>
    <n v="12"/>
    <n v="288"/>
    <n v="12"/>
    <d v="2025-07-01T00:00:00"/>
    <s v="Delhi"/>
    <s v="VIJAY LAXMI TRANSPORT"/>
    <s v="DL01GC9359"/>
    <s v="22 FT"/>
    <s v="NOT RECEIVED"/>
    <s v="Dispatched"/>
    <s v="-"/>
    <m/>
  </r>
  <r>
    <n v="1086"/>
    <n v="127"/>
    <s v="BIBO"/>
    <s v="WSO 515"/>
    <d v="2025-06-26T00:00:00"/>
    <x v="19"/>
    <s v="2526/5/TI-333"/>
    <x v="418"/>
    <d v="2025-06-30T00:00:00"/>
    <x v="3"/>
    <n v="2"/>
    <n v="48"/>
    <n v="2"/>
    <d v="2025-07-01T00:00:00"/>
    <s v="Delhi"/>
    <s v="VIJAY LAXMI TRANSPORT"/>
    <s v="DL01GC9359"/>
    <s v="22 FT"/>
    <s v="NOT RECEIVED"/>
    <s v="Dispatched"/>
    <s v="-"/>
    <m/>
  </r>
  <r>
    <n v="1087"/>
    <n v="127"/>
    <s v="BIBO"/>
    <s v="WSO 516"/>
    <d v="2025-06-26T00:00:00"/>
    <x v="7"/>
    <s v="2526/5/TI-327"/>
    <x v="795"/>
    <d v="2025-06-30T00:00:00"/>
    <x v="3"/>
    <n v="7"/>
    <n v="168"/>
    <n v="7"/>
    <d v="2025-07-01T00:00:00"/>
    <s v="Delhi"/>
    <s v="VIJAY LAXMI TRANSPORT"/>
    <s v="DL01GC9359"/>
    <s v="22 FT"/>
    <s v="NOT RECEIVED"/>
    <s v="Dispatched"/>
    <s v="-"/>
    <m/>
  </r>
  <r>
    <n v="1087"/>
    <n v="127"/>
    <s v="BIBO"/>
    <s v="WSO 517 WSO 519"/>
    <d v="2025-06-28T00:00:00"/>
    <x v="16"/>
    <s v="2526/5/TI-332"/>
    <x v="796"/>
    <d v="2025-06-30T00:00:00"/>
    <x v="3"/>
    <n v="34"/>
    <n v="816"/>
    <n v="34"/>
    <d v="2025-07-01T00:00:00"/>
    <s v="Delhi"/>
    <s v="VIJAY LAXMI TRANSPORT"/>
    <s v="DL01GC9359"/>
    <s v="22 FT"/>
    <s v="NOT RECEIVED"/>
    <s v="Dispatched"/>
    <s v="-"/>
    <m/>
  </r>
  <r>
    <n v="1088"/>
    <n v="128"/>
    <s v="BIBO"/>
    <s v="WSO 518"/>
    <d v="2025-06-28T00:00:00"/>
    <x v="21"/>
    <s v="2526/5/TI-325"/>
    <x v="797"/>
    <d v="2025-06-30T00:00:00"/>
    <x v="3"/>
    <n v="13"/>
    <n v="312"/>
    <n v="13"/>
    <d v="2025-07-03T00:00:00"/>
    <s v="Delhi"/>
    <s v="VIJAY LAXMI TRANSPORT"/>
    <s v="DL01GC9359"/>
    <s v="22 FT"/>
    <s v="NOT RECEIVED"/>
    <s v="Dispatched"/>
    <s v="-"/>
    <m/>
  </r>
  <r>
    <n v="1088"/>
    <n v="128"/>
    <s v="BIBO"/>
    <s v="WSO 520"/>
    <d v="2025-06-28T00:00:00"/>
    <x v="23"/>
    <s v="2526/5/TI-326"/>
    <x v="798"/>
    <d v="2025-06-30T00:00:00"/>
    <x v="3"/>
    <n v="18"/>
    <n v="432"/>
    <n v="18"/>
    <d v="2025-07-03T00:00:00"/>
    <s v="Delhi"/>
    <s v="VIJAY LAXMI TRANSPORT"/>
    <s v="DL01GC9359"/>
    <s v="22 FT"/>
    <s v="NOT RECEIVED"/>
    <s v="Dispatched"/>
    <s v="-"/>
    <m/>
  </r>
  <r>
    <n v="1089"/>
    <n v="128"/>
    <s v="BIBO"/>
    <s v="WSO 521"/>
    <d v="2025-06-28T00:00:00"/>
    <x v="3"/>
    <s v="2526/5/TI-329"/>
    <x v="799"/>
    <d v="2025-06-30T00:00:00"/>
    <x v="3"/>
    <n v="15"/>
    <n v="360"/>
    <n v="15"/>
    <d v="2025-07-03T00:00:00"/>
    <s v="Delhi"/>
    <s v="VIJAY LAXMI TRANSPORT"/>
    <s v="DL01GC9359"/>
    <s v="22 FT"/>
    <s v="NOT RECEIVED"/>
    <s v="Dispatched"/>
    <s v="-"/>
    <m/>
  </r>
  <r>
    <n v="1089"/>
    <n v="128"/>
    <s v="BIBO"/>
    <s v="WSO 522"/>
    <d v="2025-06-30T00:00:00"/>
    <x v="42"/>
    <s v="2526/5/TI-330"/>
    <x v="800"/>
    <d v="2025-06-30T00:00:00"/>
    <x v="3"/>
    <n v="8"/>
    <n v="192"/>
    <n v="8"/>
    <d v="2025-07-03T00:00:00"/>
    <s v="Delhi"/>
    <s v="VIJAY LAXMI TRANSPORT"/>
    <s v="DL01GC9359"/>
    <s v="22 FT"/>
    <s v="NOT RECEIVED"/>
    <s v="Dispatched"/>
    <s v="-"/>
    <m/>
  </r>
  <r>
    <n v="1090"/>
    <n v="128"/>
    <s v="BIBO"/>
    <s v="WSO 523"/>
    <d v="2025-06-30T00:00:00"/>
    <x v="5"/>
    <s v="2526/5/TI-331"/>
    <x v="801"/>
    <d v="2025-06-30T00:00:00"/>
    <x v="3"/>
    <n v="12"/>
    <n v="288"/>
    <n v="12"/>
    <d v="2025-07-03T00:00:00"/>
    <s v="Delhi"/>
    <s v="VIJAY LAXMI TRANSPORT"/>
    <s v="DL01GC9359"/>
    <s v="22 FT"/>
    <s v="NOT RECEIVED"/>
    <s v="Dispatched"/>
    <s v="-"/>
    <m/>
  </r>
  <r>
    <n v="1090"/>
    <n v="128"/>
    <s v="BIBO"/>
    <s v="WSO 524"/>
    <d v="2025-06-30T00:00:00"/>
    <x v="32"/>
    <s v="2526/5/TI-334"/>
    <x v="802"/>
    <d v="2025-06-30T00:00:00"/>
    <x v="3"/>
    <n v="9"/>
    <n v="162"/>
    <n v="9"/>
    <d v="2025-07-03T00:00:00"/>
    <s v="Delhi"/>
    <s v="VIJAY LAXMI TRANSPORT"/>
    <s v="DL01GC9359"/>
    <s v="22 FT"/>
    <s v="NOT RECEIVED"/>
    <s v="Dispatched"/>
    <s v="-"/>
    <m/>
  </r>
  <r>
    <n v="1091"/>
    <n v="128"/>
    <s v="BIBO"/>
    <s v="WSO 525"/>
    <d v="2025-06-30T00:00:00"/>
    <x v="18"/>
    <s v="2526/5/TI-335"/>
    <x v="803"/>
    <d v="2025-07-01T00:00:00"/>
    <x v="4"/>
    <n v="20"/>
    <n v="480"/>
    <n v="20"/>
    <d v="2025-07-03T00:00:00"/>
    <s v="Delhi"/>
    <s v="VIJAY LAXMI TRANSPORT"/>
    <s v="DL01GC9359"/>
    <s v="22 FT"/>
    <s v="NOT RECEIVED"/>
    <s v="Dispatched"/>
    <s v="-"/>
    <m/>
  </r>
  <r>
    <n v="1091"/>
    <n v="129"/>
    <s v="BIBO"/>
    <s v="WSO 541"/>
    <d v="2025-07-08T00:00:00"/>
    <x v="2"/>
    <s v="2526/5/TI-346"/>
    <x v="118"/>
    <d v="2025-07-10T00:00:00"/>
    <x v="4"/>
    <n v="12"/>
    <n v="288"/>
    <n v="12"/>
    <d v="2025-07-11T00:00:00"/>
    <s v="Delhi"/>
    <s v="VIJAY LAXMI TRANSPORT"/>
    <s v="HR61E0283"/>
    <s v="22 FT"/>
    <s v="NOT RECEIVED"/>
    <s v="Dispatched"/>
    <s v="-"/>
    <m/>
  </r>
  <r>
    <n v="1092"/>
    <n v="129"/>
    <s v="BIBO"/>
    <s v="WSO 540"/>
    <d v="2025-07-08T00:00:00"/>
    <x v="44"/>
    <s v="2526/5/TI-345"/>
    <x v="526"/>
    <d v="2025-07-10T00:00:00"/>
    <x v="4"/>
    <n v="6"/>
    <n v="144"/>
    <n v="6"/>
    <d v="2025-07-11T00:00:00"/>
    <s v="Delhi"/>
    <s v="VIJAY LAXMI TRANSPORT"/>
    <s v="HR61E0283"/>
    <s v="22 FT"/>
    <s v="NOT RECEIVED"/>
    <s v="Dispatched"/>
    <s v="-"/>
    <m/>
  </r>
  <r>
    <n v="1092"/>
    <n v="129"/>
    <s v="BIBO"/>
    <s v="WSO 539"/>
    <d v="2025-07-08T00:00:00"/>
    <x v="16"/>
    <s v="2526/5/TI-344"/>
    <x v="526"/>
    <d v="2025-07-10T00:00:00"/>
    <x v="4"/>
    <n v="6"/>
    <n v="144"/>
    <n v="6"/>
    <d v="2025-07-11T00:00:00"/>
    <s v="Delhi"/>
    <s v="VIJAY LAXMI TRANSPORT"/>
    <s v="HR61E0283"/>
    <s v="22 FT"/>
    <s v="NOT RECEIVED"/>
    <s v="Dispatched"/>
    <s v="-"/>
    <m/>
  </r>
  <r>
    <n v="1093"/>
    <n v="129"/>
    <s v="BIBO"/>
    <s v="WSO 534"/>
    <d v="2025-07-08T00:00:00"/>
    <x v="5"/>
    <s v="2526/5/TI-342"/>
    <x v="804"/>
    <d v="2025-07-10T00:00:00"/>
    <x v="4"/>
    <n v="6"/>
    <n v="144"/>
    <n v="6"/>
    <d v="2025-07-11T00:00:00"/>
    <s v="Delhi"/>
    <s v="VIJAY LAXMI TRANSPORT"/>
    <s v="HR61E0283"/>
    <s v="22 FT"/>
    <s v="NOT RECEIVED"/>
    <s v="Dispatched"/>
    <s v="-"/>
    <m/>
  </r>
  <r>
    <n v="1093"/>
    <n v="129"/>
    <s v="BIBO"/>
    <s v="WSO 529"/>
    <d v="2025-07-08T00:00:00"/>
    <x v="29"/>
    <s v="2526/5/TI-338"/>
    <x v="805"/>
    <d v="2025-07-10T00:00:00"/>
    <x v="4"/>
    <n v="14"/>
    <n v="330"/>
    <n v="14"/>
    <d v="2025-07-11T00:00:00"/>
    <s v="Delhi"/>
    <s v="VIJAY LAXMI TRANSPORT"/>
    <s v="HR61E0283"/>
    <s v="22 FT"/>
    <s v="NOT RECEIVED"/>
    <s v="Dispatched"/>
    <s v="-"/>
    <m/>
  </r>
  <r>
    <n v="1094"/>
    <n v="129"/>
    <s v="BIBO"/>
    <s v="WSO 533"/>
    <d v="2025-07-08T00:00:00"/>
    <x v="3"/>
    <s v="2526/5/TI-341"/>
    <x v="806"/>
    <d v="2025-07-10T00:00:00"/>
    <x v="4"/>
    <n v="12"/>
    <n v="288"/>
    <n v="12"/>
    <d v="2025-07-11T00:00:00"/>
    <s v="Delhi"/>
    <s v="VIJAY LAXMI TRANSPORT"/>
    <s v="HR61E0283"/>
    <s v="22 FT"/>
    <s v="NOT RECEIVED"/>
    <s v="Dispatched"/>
    <s v="-"/>
    <m/>
  </r>
  <r>
    <n v="1094"/>
    <n v="129"/>
    <s v="BIBO"/>
    <s v="WSO 532"/>
    <d v="2025-07-08T00:00:00"/>
    <x v="4"/>
    <s v="2526/5/TI-340"/>
    <x v="807"/>
    <d v="2025-07-10T00:00:00"/>
    <x v="4"/>
    <n v="19"/>
    <n v="456"/>
    <n v="19"/>
    <d v="2025-07-11T00:00:00"/>
    <s v="Delhi"/>
    <s v="VIJAY LAXMI TRANSPORT"/>
    <s v="HR61E0283"/>
    <s v="22 FT"/>
    <s v="NOT RECEIVED"/>
    <s v="Dispatched"/>
    <s v="-"/>
    <m/>
  </r>
  <r>
    <n v="1095"/>
    <n v="129"/>
    <s v="BIBO"/>
    <s v="WSO 542"/>
    <d v="2025-07-08T00:00:00"/>
    <x v="31"/>
    <s v="2526/5/TI-347"/>
    <x v="808"/>
    <d v="2025-07-10T00:00:00"/>
    <x v="4"/>
    <n v="22"/>
    <n v="588"/>
    <n v="22"/>
    <d v="2025-07-11T00:00:00"/>
    <s v="Delhi"/>
    <s v="VIJAY LAXMI TRANSPORT"/>
    <s v="HR61E0283"/>
    <s v="22 FT"/>
    <s v="NOT RECEIVED"/>
    <s v="Dispatched"/>
    <s v="-"/>
    <m/>
  </r>
  <r>
    <n v="1095"/>
    <n v="129"/>
    <s v="BIBO"/>
    <s v="WSO 538"/>
    <d v="2025-07-08T00:00:00"/>
    <x v="39"/>
    <s v="2526/5/TI-343"/>
    <x v="809"/>
    <d v="2025-07-10T00:00:00"/>
    <x v="4"/>
    <n v="18"/>
    <n v="432"/>
    <n v="18"/>
    <d v="2025-07-11T00:00:00"/>
    <s v="Delhi"/>
    <s v="VIJAY LAXMI TRANSPORT"/>
    <s v="HR61E0283"/>
    <s v="22 FT"/>
    <s v="NOT RECEIVED"/>
    <s v="Dispatched"/>
    <s v="-"/>
    <m/>
  </r>
  <r>
    <n v="1096"/>
    <n v="129"/>
    <s v="BIBO"/>
    <s v="WSO 527 WSO 536"/>
    <d v="2025-07-08T00:00:00"/>
    <x v="12"/>
    <s v="2526/5/TI-337"/>
    <x v="810"/>
    <d v="2025-07-10T00:00:00"/>
    <x v="4"/>
    <n v="18"/>
    <n v="432"/>
    <n v="18"/>
    <d v="2025-07-11T00:00:00"/>
    <s v="Delhi"/>
    <s v="VIJAY LAXMI TRANSPORT"/>
    <s v="HR61E0283"/>
    <s v="22 FT"/>
    <s v="NOT RECEIVED"/>
    <s v="Dispatched"/>
    <s v="-"/>
    <m/>
  </r>
  <r>
    <n v="1096"/>
    <n v="129"/>
    <s v="BIBO"/>
    <s v="WSO 526 WSO 535"/>
    <d v="2025-07-08T00:00:00"/>
    <x v="9"/>
    <s v="2526/5/TI-336"/>
    <x v="811"/>
    <d v="2025-07-10T00:00:00"/>
    <x v="4"/>
    <n v="13"/>
    <n v="312"/>
    <n v="13"/>
    <d v="2025-07-11T00:00:00"/>
    <s v="Delhi"/>
    <s v="VIJAY LAXMI TRANSPORT"/>
    <s v="HR61E0283"/>
    <s v="22 FT"/>
    <s v="NOT RECEIVED"/>
    <s v="Dispatched"/>
    <s v="-"/>
    <m/>
  </r>
  <r>
    <n v="1097"/>
    <n v="129"/>
    <s v="STO-BIBO"/>
    <s v="STO-13"/>
    <d v="2025-07-08T00:00:00"/>
    <x v="0"/>
    <s v="2526/5/STO-13"/>
    <x v="812"/>
    <d v="2025-07-10T00:00:00"/>
    <x v="4"/>
    <n v="21"/>
    <n v="618"/>
    <n v="21"/>
    <d v="2025-07-11T00:00:00"/>
    <s v="Delhi"/>
    <s v="VIJAY LAXMI TRANSPORT"/>
    <s v="HR61E0283"/>
    <s v="22 FT"/>
    <s v="NOT RECEIVED"/>
    <s v="Dispatched"/>
    <s v="-"/>
    <m/>
  </r>
  <r>
    <n v="1097"/>
    <n v="129"/>
    <s v="BIBO"/>
    <s v="WSO 531"/>
    <d v="2025-07-08T00:00:00"/>
    <x v="13"/>
    <s v="2526/5/TI-339"/>
    <x v="813"/>
    <d v="2025-07-10T00:00:00"/>
    <x v="4"/>
    <n v="10"/>
    <n v="240"/>
    <n v="10"/>
    <d v="2025-07-11T00:00:00"/>
    <s v="Delhi"/>
    <s v="VIJAY LAXMI TRANSPORT"/>
    <s v="HR61E0283"/>
    <s v="22 FT"/>
    <s v="NOT RECEIVED"/>
    <s v="Dispatched"/>
    <s v="-"/>
    <m/>
  </r>
  <r>
    <n v="1098"/>
    <n v="130"/>
    <s v="PIPO"/>
    <s v="PSO 583"/>
    <d v="2025-06-30T00:00:00"/>
    <x v="4"/>
    <s v="Billing pending"/>
    <x v="814"/>
    <s v="Billing pending"/>
    <x v="0"/>
    <n v="30"/>
    <m/>
    <m/>
    <m/>
    <m/>
    <m/>
    <m/>
    <m/>
    <m/>
    <m/>
    <s v="-"/>
    <m/>
  </r>
  <r>
    <n v="1098"/>
    <n v="130"/>
    <s v="PIPO"/>
    <s v="PSO 584"/>
    <d v="2025-06-30T00:00:00"/>
    <x v="11"/>
    <s v="Billing pending"/>
    <x v="814"/>
    <s v="Billing pending"/>
    <x v="0"/>
    <n v="80"/>
    <m/>
    <m/>
    <m/>
    <m/>
    <m/>
    <m/>
    <m/>
    <m/>
    <m/>
    <s v="-"/>
    <m/>
  </r>
  <r>
    <n v="1099"/>
    <n v="130"/>
    <s v="PIPO"/>
    <s v="PSO 585"/>
    <d v="2025-07-14T00:00:00"/>
    <x v="8"/>
    <s v="2526/5/TI-356"/>
    <x v="815"/>
    <d v="2025-07-14T00:00:00"/>
    <x v="4"/>
    <n v="70"/>
    <n v="70"/>
    <n v="7"/>
    <d v="2025-07-15T00:00:00"/>
    <s v="Delhi"/>
    <s v="VIJAY LAXMI TRANSPORT"/>
    <s v="DL01GC9359"/>
    <s v="22 FT"/>
    <s v="NOT RECEIVED"/>
    <s v="Dispatched"/>
    <s v="-"/>
    <m/>
  </r>
  <r>
    <n v="1099"/>
    <n v="130"/>
    <s v="PIPO"/>
    <s v="PSO 586"/>
    <d v="2025-07-14T00:00:00"/>
    <x v="32"/>
    <s v="2526/5/TI-357"/>
    <x v="816"/>
    <d v="2025-07-14T00:00:00"/>
    <x v="4"/>
    <n v="110"/>
    <n v="110"/>
    <n v="11"/>
    <d v="2025-07-15T00:00:00"/>
    <s v="Delhi"/>
    <s v="VIJAY LAXMI TRANSPORT"/>
    <s v="DL01GC9359"/>
    <s v="22 FT"/>
    <s v="NOT RECEIVED"/>
    <s v="Dispatched"/>
    <s v="-"/>
    <m/>
  </r>
  <r>
    <n v="1100"/>
    <n v="130"/>
    <s v="PIPO"/>
    <s v="PSO 587"/>
    <d v="2025-07-14T00:00:00"/>
    <x v="4"/>
    <s v="2526/5/TI-358"/>
    <x v="817"/>
    <d v="2025-07-14T00:00:00"/>
    <x v="4"/>
    <n v="100"/>
    <n v="100"/>
    <n v="10"/>
    <d v="2025-07-15T00:00:00"/>
    <s v="Delhi"/>
    <s v="VIJAY LAXMI TRANSPORT"/>
    <s v="DL01GC9359"/>
    <s v="22 FT"/>
    <s v="NOT RECEIVED"/>
    <s v="Dispatched"/>
    <s v="-"/>
    <m/>
  </r>
  <r>
    <n v="1100"/>
    <n v="130"/>
    <s v="PIPO"/>
    <s v="PSO 588"/>
    <d v="2025-07-14T00:00:00"/>
    <x v="13"/>
    <s v="2526/5/TI-359"/>
    <x v="818"/>
    <d v="2025-07-14T00:00:00"/>
    <x v="4"/>
    <n v="179"/>
    <n v="179"/>
    <n v="18"/>
    <d v="2025-07-15T00:00:00"/>
    <s v="Delhi"/>
    <s v="VIJAY LAXMI TRANSPORT"/>
    <s v="DL01GC9359"/>
    <s v="22 FT"/>
    <s v="NOT RECEIVED"/>
    <s v="Dispatched"/>
    <s v="-"/>
    <m/>
  </r>
  <r>
    <n v="1101"/>
    <n v="130"/>
    <s v="PIPO"/>
    <s v="PSO 589"/>
    <d v="2025-07-14T00:00:00"/>
    <x v="23"/>
    <s v="2526/5/TI-360"/>
    <x v="817"/>
    <d v="2025-07-14T00:00:00"/>
    <x v="4"/>
    <n v="100"/>
    <n v="100"/>
    <n v="10"/>
    <d v="2025-07-15T00:00:00"/>
    <s v="Delhi"/>
    <s v="VIJAY LAXMI TRANSPORT"/>
    <s v="DL01GC9359"/>
    <s v="22 FT"/>
    <s v="NOT RECEIVED"/>
    <s v="Dispatched"/>
    <s v="-"/>
    <m/>
  </r>
  <r>
    <n v="1101"/>
    <n v="130"/>
    <s v="PIPO"/>
    <s v="PSO 590"/>
    <d v="2025-07-14T00:00:00"/>
    <x v="11"/>
    <s v="2526/5/TI-361"/>
    <x v="819"/>
    <d v="2025-07-14T00:00:00"/>
    <x v="4"/>
    <n v="130"/>
    <n v="130"/>
    <n v="13"/>
    <d v="2025-07-15T00:00:00"/>
    <s v="Delhi"/>
    <s v="VIJAY LAXMI TRANSPORT"/>
    <s v="DL01GC9359"/>
    <s v="22 FT"/>
    <s v="NOT RECEIVED"/>
    <s v="Dispatched"/>
    <s v="-"/>
    <m/>
  </r>
  <r>
    <n v="1102"/>
    <n v="130"/>
    <s v="PIPO"/>
    <s v="PSO 591"/>
    <d v="2025-07-14T00:00:00"/>
    <x v="42"/>
    <s v="2526/5/TI-364"/>
    <x v="820"/>
    <d v="2025-07-15T00:00:00"/>
    <x v="4"/>
    <n v="40"/>
    <n v="40"/>
    <n v="4"/>
    <d v="2025-07-15T00:00:00"/>
    <s v="Delhi"/>
    <s v="VIJAY LAXMI TRANSPORT"/>
    <s v="DL01GC9359"/>
    <s v="22 FT"/>
    <s v="NOT RECEIVED"/>
    <s v="Dispatched"/>
    <s v="-"/>
    <m/>
  </r>
  <r>
    <n v="1102"/>
    <n v="130"/>
    <s v="BIBO"/>
    <s v="WSO 528 WSO 530"/>
    <d v="2025-07-08T00:00:00"/>
    <x v="40"/>
    <s v="2526/5/TI-348"/>
    <x v="821"/>
    <d v="2025-07-11T00:00:00"/>
    <x v="4"/>
    <n v="20"/>
    <n v="480"/>
    <n v="20"/>
    <d v="2025-07-15T00:00:00"/>
    <s v="Delhi"/>
    <s v="VIJAY LAXMI TRANSPORT"/>
    <s v="DL01GC9359"/>
    <s v="22 FT"/>
    <s v="NOT RECEIVED"/>
    <s v="Dispatched"/>
    <s v="-"/>
    <m/>
  </r>
  <r>
    <n v="1103"/>
    <n v="130"/>
    <s v="BIBO"/>
    <s v="WSO 543"/>
    <d v="2025-07-09T00:00:00"/>
    <x v="12"/>
    <s v="2526/5/TI-350"/>
    <x v="822"/>
    <d v="2025-07-14T00:00:00"/>
    <x v="4"/>
    <n v="32"/>
    <n v="750"/>
    <n v="32"/>
    <d v="2025-07-15T00:00:00"/>
    <s v="Delhi"/>
    <s v="VIJAY LAXMI TRANSPORT"/>
    <s v="DL01GC9359"/>
    <s v="22 FT"/>
    <s v="NOT RECEIVED"/>
    <s v="Dispatched"/>
    <s v="-"/>
    <m/>
  </r>
  <r>
    <n v="1103"/>
    <n v="130"/>
    <s v="BIBO"/>
    <s v="WSO 544 WSO 547"/>
    <d v="2025-07-11T00:00:00"/>
    <x v="40"/>
    <s v="2526/5/TI-362"/>
    <x v="823"/>
    <d v="2025-07-14T00:00:00"/>
    <x v="4"/>
    <n v="10"/>
    <n v="240"/>
    <n v="10"/>
    <d v="2025-07-15T00:00:00"/>
    <s v="Delhi"/>
    <s v="VIJAY LAXMI TRANSPORT"/>
    <s v="DL01GC9359"/>
    <s v="22 FT"/>
    <s v="NOT RECEIVED"/>
    <s v="Dispatched"/>
    <s v="-"/>
    <m/>
  </r>
  <r>
    <n v="1104"/>
    <n v="130"/>
    <s v="BIBO"/>
    <s v="WSO 537"/>
    <d v="2025-07-11T00:00:00"/>
    <x v="6"/>
    <s v="2526/5/TI-351"/>
    <x v="824"/>
    <d v="2025-07-14T00:00:00"/>
    <x v="4"/>
    <n v="9"/>
    <n v="216"/>
    <n v="9"/>
    <d v="2025-07-15T00:00:00"/>
    <s v="Delhi"/>
    <s v="VIJAY LAXMI TRANSPORT"/>
    <s v="DL01GC9359"/>
    <s v="22 FT"/>
    <s v="NOT RECEIVED"/>
    <s v="Dispatched"/>
    <s v="-"/>
    <m/>
  </r>
  <r>
    <n v="1104"/>
    <n v="130"/>
    <s v="BIBO"/>
    <s v="WSO 545 wso 546"/>
    <d v="2025-07-11T00:00:00"/>
    <x v="4"/>
    <s v="2526/5/TI-352"/>
    <x v="825"/>
    <d v="2025-07-14T00:00:00"/>
    <x v="4"/>
    <n v="11"/>
    <n v="264"/>
    <n v="11"/>
    <d v="2025-07-15T00:00:00"/>
    <s v="Delhi"/>
    <s v="VIJAY LAXMI TRANSPORT"/>
    <s v="DL01GC9359"/>
    <s v="22 FT"/>
    <s v="NOT RECEIVED"/>
    <s v="Dispatched"/>
    <s v="-"/>
    <m/>
  </r>
  <r>
    <n v="1105"/>
    <n v="130"/>
    <s v="BIBO"/>
    <s v="WSO 548"/>
    <d v="2025-07-11T00:00:00"/>
    <x v="6"/>
    <s v="2526/5/TI-353"/>
    <x v="826"/>
    <d v="2025-07-14T00:00:00"/>
    <x v="4"/>
    <n v="8"/>
    <n v="192"/>
    <n v="8"/>
    <d v="2025-07-15T00:00:00"/>
    <s v="Delhi"/>
    <s v="VIJAY LAXMI TRANSPORT"/>
    <s v="DL01GC9359"/>
    <s v="22 FT"/>
    <s v="NOT RECEIVED"/>
    <s v="Dispatched"/>
    <s v="-"/>
    <m/>
  </r>
  <r>
    <n v="1105"/>
    <n v="130"/>
    <s v="BIBO"/>
    <s v="WSO 549"/>
    <d v="2025-07-11T00:00:00"/>
    <x v="39"/>
    <s v="2526/5/TI-363"/>
    <x v="827"/>
    <d v="2025-07-14T00:00:00"/>
    <x v="4"/>
    <n v="4"/>
    <n v="96"/>
    <n v="4"/>
    <d v="2025-07-15T00:00:00"/>
    <s v="Delhi"/>
    <s v="VIJAY LAXMI TRANSPORT"/>
    <s v="DL01GC9359"/>
    <s v="22 FT"/>
    <s v="NOT RECEIVED"/>
    <s v="Dispatched"/>
    <s v="-"/>
    <m/>
  </r>
  <r>
    <n v="1106"/>
    <n v="130"/>
    <s v="BIBO"/>
    <s v="WSO 550"/>
    <d v="2025-07-11T00:00:00"/>
    <x v="2"/>
    <s v="2526/5/TI-354"/>
    <x v="828"/>
    <d v="2025-07-14T00:00:00"/>
    <x v="4"/>
    <n v="5"/>
    <n v="120"/>
    <n v="5"/>
    <d v="2025-07-15T00:00:00"/>
    <s v="Delhi"/>
    <s v="VIJAY LAXMI TRANSPORT"/>
    <s v="DL01GC9359"/>
    <s v="22 FT"/>
    <s v="NOT RECEIVED"/>
    <s v="Dispatched"/>
    <s v="-"/>
    <m/>
  </r>
  <r>
    <n v="1106"/>
    <n v="130"/>
    <s v="BIBO"/>
    <s v="WSO 551"/>
    <d v="2025-07-11T00:00:00"/>
    <x v="23"/>
    <s v="2526/5/TI-355"/>
    <x v="829"/>
    <d v="2025-07-14T00:00:00"/>
    <x v="4"/>
    <n v="3"/>
    <n v="72"/>
    <n v="3"/>
    <d v="2025-07-15T00:00:00"/>
    <s v="Delhi"/>
    <s v="VIJAY LAXMI TRANSPORT"/>
    <s v="DL01GC9359"/>
    <s v="22 FT"/>
    <s v="NOT RECEIVED"/>
    <s v="Dispatched"/>
    <s v="-"/>
    <m/>
  </r>
  <r>
    <n v="1107"/>
    <n v="131"/>
    <s v="BIBO"/>
    <s v="WSO 1"/>
    <d v="2025-07-21T00:00:00"/>
    <x v="6"/>
    <s v="2526/7/TI-1"/>
    <x v="830"/>
    <d v="2025-07-25T00:00:00"/>
    <x v="4"/>
    <n v="14"/>
    <n v="14"/>
    <n v="14"/>
    <d v="2025-07-25T00:00:00"/>
    <s v="Delhi"/>
    <s v="VIJAY LAXMI TRANSPORT"/>
    <s v="DL01GC9359"/>
    <s v="22 FT"/>
    <s v="NOT RECEIVED"/>
    <s v="Dispatched"/>
    <s v="-"/>
    <m/>
  </r>
  <r>
    <n v="1107"/>
    <n v="131"/>
    <s v="BIBO"/>
    <s v="WSO 2"/>
    <d v="2025-07-21T00:00:00"/>
    <x v="12"/>
    <s v="2526/7/TI-2"/>
    <x v="830"/>
    <d v="2025-07-25T00:00:00"/>
    <x v="4"/>
    <n v="19"/>
    <n v="19"/>
    <n v="19"/>
    <d v="2025-07-25T00:00:00"/>
    <s v="Delhi"/>
    <s v="VIJAY LAXMI TRANSPORT"/>
    <s v="DL01GC9359"/>
    <s v="22 FT"/>
    <s v="NOT RECEIVED"/>
    <s v="Dispatched"/>
    <s v="-"/>
    <m/>
  </r>
  <r>
    <n v="1108"/>
    <n v="131"/>
    <s v="BIBO"/>
    <s v="WSO 3"/>
    <d v="2025-07-21T00:00:00"/>
    <x v="4"/>
    <s v="2526/7/TI-3"/>
    <x v="760"/>
    <d v="2025-07-25T00:00:00"/>
    <x v="4"/>
    <n v="4"/>
    <n v="4"/>
    <n v="4"/>
    <d v="2025-07-25T00:00:00"/>
    <s v="Delhi"/>
    <s v="VIJAY LAXMI TRANSPORT"/>
    <s v="DL01GC9359"/>
    <s v="22 FT"/>
    <s v="NOT RECEIVED"/>
    <s v="Dispatched"/>
    <s v="-"/>
    <m/>
  </r>
  <r>
    <n v="1108"/>
    <n v="131"/>
    <s v="BIBO"/>
    <s v="WSO 4"/>
    <d v="2025-07-21T00:00:00"/>
    <x v="13"/>
    <s v="2526/7/TI-4"/>
    <x v="831"/>
    <d v="2025-07-25T00:00:00"/>
    <x v="4"/>
    <n v="11"/>
    <n v="11"/>
    <n v="11"/>
    <d v="2025-07-25T00:00:00"/>
    <s v="Delhi"/>
    <s v="VIJAY LAXMI TRANSPORT"/>
    <s v="DL01GC9359"/>
    <s v="22 FT"/>
    <s v="NOT RECEIVED"/>
    <s v="Dispatched"/>
    <s v="-"/>
    <m/>
  </r>
  <r>
    <n v="1109"/>
    <n v="131"/>
    <s v="BIBO"/>
    <s v="WSO 5"/>
    <d v="2025-07-21T00:00:00"/>
    <x v="39"/>
    <s v="2526/7/TI-5"/>
    <x v="830"/>
    <d v="2025-07-25T00:00:00"/>
    <x v="4"/>
    <n v="19"/>
    <n v="19"/>
    <n v="19"/>
    <d v="2025-07-25T00:00:00"/>
    <s v="Delhi"/>
    <s v="VIJAY LAXMI TRANSPORT"/>
    <s v="DL01GC9359"/>
    <s v="22 FT"/>
    <s v="NOT RECEIVED"/>
    <s v="Dispatched"/>
    <s v="-"/>
    <m/>
  </r>
  <r>
    <n v="1109"/>
    <n v="131"/>
    <s v="BIBO"/>
    <s v="WSO 6"/>
    <d v="2025-07-21T00:00:00"/>
    <x v="27"/>
    <s v="2526/7/TI-6"/>
    <x v="124"/>
    <d v="2025-07-25T00:00:00"/>
    <x v="4"/>
    <n v="6"/>
    <n v="6"/>
    <n v="6"/>
    <d v="2025-07-25T00:00:00"/>
    <s v="Delhi"/>
    <s v="VIJAY LAXMI TRANSPORT"/>
    <s v="DL01GC9359"/>
    <s v="22 FT"/>
    <s v="NOT RECEIVED"/>
    <s v="Dispatched"/>
    <s v="-"/>
    <m/>
  </r>
  <r>
    <n v="1110"/>
    <n v="131"/>
    <s v="BIBO"/>
    <s v="WSO 7"/>
    <d v="2025-07-21T00:00:00"/>
    <x v="16"/>
    <s v="2526/7/TI-8"/>
    <x v="832"/>
    <d v="2025-07-25T00:00:00"/>
    <x v="4"/>
    <n v="7"/>
    <n v="7"/>
    <n v="7"/>
    <d v="2025-07-25T00:00:00"/>
    <s v="Delhi"/>
    <s v="VIJAY LAXMI TRANSPORT"/>
    <s v="DL01GC9359"/>
    <s v="22 FT"/>
    <s v="NOT RECEIVED"/>
    <s v="Dispatched"/>
    <s v="-"/>
    <m/>
  </r>
  <r>
    <n v="1110"/>
    <n v="131"/>
    <s v="BIBO"/>
    <s v="WSO 8"/>
    <d v="2025-07-21T00:00:00"/>
    <x v="2"/>
    <s v="2526/7/TI-7"/>
    <x v="760"/>
    <d v="2025-07-25T00:00:00"/>
    <x v="4"/>
    <n v="4"/>
    <n v="4"/>
    <n v="4"/>
    <d v="2025-07-25T00:00:00"/>
    <s v="Delhi"/>
    <s v="VIJAY LAXMI TRANSPORT"/>
    <s v="DL01GC9359"/>
    <s v="22 FT"/>
    <s v="NOT RECEIVED"/>
    <s v="Dispatched"/>
    <s v="-"/>
    <m/>
  </r>
  <r>
    <n v="1111"/>
    <n v="132"/>
    <s v="BIBO"/>
    <s v="WOS 10"/>
    <d v="2025-08-06T00:00:00"/>
    <x v="12"/>
    <s v="2526/7/TI-10"/>
    <x v="833"/>
    <d v="2025-08-06T00:00:00"/>
    <x v="5"/>
    <n v="25"/>
    <n v="25"/>
    <n v="25"/>
    <d v="2025-08-07T00:00:00"/>
    <s v="Delhi"/>
    <s v="VIJAY LAXMI TRANSPORT"/>
    <s v="DL01GC9359"/>
    <s v="22 FT"/>
    <s v="NOT RECEIVED"/>
    <s v="Dispatched"/>
    <s v="-"/>
    <m/>
  </r>
  <r>
    <n v="1111"/>
    <n v="132"/>
    <s v="BIBO"/>
    <s v="WOS 11"/>
    <d v="2025-08-06T00:00:00"/>
    <x v="43"/>
    <s v="2526/7/TI-11"/>
    <x v="834"/>
    <d v="2025-08-06T00:00:00"/>
    <x v="5"/>
    <n v="53"/>
    <n v="53"/>
    <n v="53"/>
    <d v="2025-08-07T00:00:00"/>
    <s v="Delhi"/>
    <s v="VIJAY LAXMI TRANSPORT"/>
    <s v="DL01GC9359"/>
    <s v="22 FT"/>
    <s v="NOT RECEIVED"/>
    <s v="Dispatched"/>
    <s v="-"/>
    <m/>
  </r>
  <r>
    <n v="1112"/>
    <n v="132"/>
    <s v="BIBO"/>
    <s v="WOS 12"/>
    <d v="2025-08-06T00:00:00"/>
    <x v="6"/>
    <s v="2526/7/TI-12"/>
    <x v="835"/>
    <d v="2025-08-06T00:00:00"/>
    <x v="5"/>
    <n v="25"/>
    <n v="25"/>
    <n v="25"/>
    <d v="2025-08-07T00:00:00"/>
    <s v="Delhi"/>
    <s v="VIJAY LAXMI TRANSPORT"/>
    <s v="DL01GC9359"/>
    <s v="22 FT"/>
    <s v="NOT RECEIVED"/>
    <s v="Dispatched"/>
    <s v="-"/>
    <m/>
  </r>
  <r>
    <n v="1112"/>
    <n v="132"/>
    <s v="BIBO"/>
    <s v="WOS 13"/>
    <d v="2025-08-06T00:00:00"/>
    <x v="40"/>
    <s v="2526/7/TI-13"/>
    <x v="836"/>
    <d v="2025-08-06T00:00:00"/>
    <x v="5"/>
    <n v="9"/>
    <n v="9"/>
    <n v="9"/>
    <d v="2025-08-07T00:00:00"/>
    <s v="Delhi"/>
    <s v="VIJAY LAXMI TRANSPORT"/>
    <s v="DL01GC9359"/>
    <s v="22 FT"/>
    <s v="NOT RECEIVED"/>
    <s v="Dispatched"/>
    <s v="-"/>
    <m/>
  </r>
  <r>
    <n v="1113"/>
    <n v="132"/>
    <s v="BIBO"/>
    <s v="WOS 9"/>
    <d v="2025-08-06T00:00:00"/>
    <x v="12"/>
    <s v="2526/7/TI-9"/>
    <x v="837"/>
    <d v="2025-08-06T00:00:00"/>
    <x v="5"/>
    <n v="30"/>
    <n v="30"/>
    <n v="30"/>
    <d v="2025-08-07T00:00:00"/>
    <s v="Delhi"/>
    <s v="VIJAY LAXMI TRANSPORT"/>
    <s v="DL01GC9359"/>
    <s v="22 FT"/>
    <s v="NOT RECEIVED"/>
    <s v="Dispatched"/>
    <s v="-"/>
    <m/>
  </r>
  <r>
    <n v="1113"/>
    <n v="133"/>
    <s v="BIBO"/>
    <s v="WOS 14"/>
    <d v="2025-08-14T00:00:00"/>
    <x v="8"/>
    <s v="2526/7/TI-14"/>
    <x v="387"/>
    <d v="2025-08-18T00:00:00"/>
    <x v="5"/>
    <n v="4"/>
    <n v="4"/>
    <n v="4"/>
    <d v="2025-08-18T00:00:00"/>
    <s v="Delhi"/>
    <s v="VIJAY LAXMI TRANSPORT"/>
    <s v="DL01GC3659"/>
    <s v="22 FT"/>
    <s v="NOT RECEIVED"/>
    <s v="Dispatched"/>
    <s v="Delay dispatch due to transporter "/>
    <m/>
  </r>
  <r>
    <n v="1114"/>
    <n v="133"/>
    <s v="BIBO"/>
    <s v="WOS 15"/>
    <d v="2025-08-14T00:00:00"/>
    <x v="4"/>
    <s v="2526/7/TI-15"/>
    <x v="603"/>
    <d v="2025-08-18T00:00:00"/>
    <x v="5"/>
    <n v="6"/>
    <n v="6"/>
    <n v="6"/>
    <d v="2025-08-18T00:00:00"/>
    <s v="Delhi"/>
    <s v="VIJAY LAXMI TRANSPORT"/>
    <s v="DL01GC3659"/>
    <s v="22 FT"/>
    <s v="NOT RECEIVED"/>
    <s v="Dispatched"/>
    <s v="Delay dispatch due to transporter "/>
    <m/>
  </r>
  <r>
    <n v="1114"/>
    <n v="133"/>
    <s v="BIBO"/>
    <s v="WOS 16"/>
    <d v="2025-08-14T00:00:00"/>
    <x v="43"/>
    <s v="2526/7/TI-16"/>
    <x v="838"/>
    <d v="2025-08-18T00:00:00"/>
    <x v="5"/>
    <n v="15"/>
    <n v="15"/>
    <n v="15"/>
    <d v="2025-08-18T00:00:00"/>
    <s v="Delhi"/>
    <s v="VIJAY LAXMI TRANSPORT"/>
    <s v="DL01GC3659"/>
    <s v="22 FT"/>
    <s v="NOT RECEIVED"/>
    <s v="Dispatched"/>
    <s v="Delay dispatch due to transporter "/>
    <m/>
  </r>
  <r>
    <n v="1115"/>
    <n v="133"/>
    <s v="BIBO"/>
    <s v="WOS 17"/>
    <d v="2025-08-14T00:00:00"/>
    <x v="31"/>
    <s v="2526/7/TI-17"/>
    <x v="839"/>
    <d v="2025-08-18T00:00:00"/>
    <x v="5"/>
    <n v="18"/>
    <n v="18"/>
    <n v="18"/>
    <d v="2025-08-18T00:00:00"/>
    <s v="Delhi"/>
    <s v="VIJAY LAXMI TRANSPORT"/>
    <s v="DL01GC3659"/>
    <s v="22 FT"/>
    <s v="NOT RECEIVED"/>
    <s v="Dispatched"/>
    <s v="Delay dispatch due to transporter "/>
    <m/>
  </r>
  <r>
    <n v="1115"/>
    <n v="133"/>
    <s v="BIBO"/>
    <s v="WOS 18"/>
    <d v="2025-08-14T00:00:00"/>
    <x v="12"/>
    <s v="2526/7/TI-18"/>
    <x v="840"/>
    <d v="2025-08-18T00:00:00"/>
    <x v="5"/>
    <n v="64"/>
    <n v="64"/>
    <n v="64"/>
    <d v="2025-08-18T00:00:00"/>
    <s v="Delhi"/>
    <s v="VIJAY LAXMI TRANSPORT"/>
    <s v="DL01GC3659"/>
    <s v="22 FT"/>
    <s v="NOT RECEIVED"/>
    <s v="Dispatched"/>
    <s v="Delay dispatch due to transporter "/>
    <m/>
  </r>
  <r>
    <n v="1116"/>
    <n v="133"/>
    <s v="BIBO"/>
    <s v="WOS 19"/>
    <d v="2025-08-18T00:00:00"/>
    <x v="36"/>
    <s v="2526/7/TI-19"/>
    <x v="841"/>
    <d v="2025-08-18T00:00:00"/>
    <x v="5"/>
    <n v="13"/>
    <n v="13"/>
    <n v="13"/>
    <d v="2025-08-18T00:00:00"/>
    <s v="Delhi"/>
    <s v="VIJAY LAXMI TRANSPORT"/>
    <s v="DL01GC3659"/>
    <s v="22 FT"/>
    <s v="NOT RECEIVED"/>
    <s v="Dispatched"/>
    <s v="Dispatched on same day"/>
    <m/>
  </r>
  <r>
    <n v="1116"/>
    <n v="133"/>
    <s v="BIBO"/>
    <s v="WOS 20"/>
    <d v="2025-08-18T00:00:00"/>
    <x v="44"/>
    <s v="2526/7/TI-20"/>
    <x v="842"/>
    <d v="2025-08-18T00:00:00"/>
    <x v="5"/>
    <n v="13"/>
    <n v="13"/>
    <n v="13"/>
    <d v="2025-08-18T00:00:00"/>
    <s v="Delhi"/>
    <s v="VIJAY LAXMI TRANSPORT"/>
    <s v="DL01GC3659"/>
    <s v="22 FT"/>
    <s v="NOT RECEIVED"/>
    <s v="Dispatched"/>
    <s v="Dispatched on same day"/>
    <m/>
  </r>
  <r>
    <n v="1117"/>
    <n v="133"/>
    <s v="BIBO"/>
    <s v="WOS 21"/>
    <d v="2025-08-18T00:00:00"/>
    <x v="6"/>
    <s v="2526/7/TI-21"/>
    <x v="843"/>
    <d v="2025-08-18T00:00:00"/>
    <x v="5"/>
    <n v="13"/>
    <n v="13"/>
    <n v="13"/>
    <d v="2025-08-18T00:00:00"/>
    <s v="Delhi"/>
    <s v="VIJAY LAXMI TRANSPORT"/>
    <s v="DL01GC3659"/>
    <s v="22 FT"/>
    <s v="NOT RECEIVED"/>
    <s v="Dispatched"/>
    <s v="Dispatched on same day"/>
    <m/>
  </r>
  <r>
    <n v="1117"/>
    <n v="133"/>
    <s v="BIBO"/>
    <s v="SSO 1"/>
    <d v="2025-08-18T00:00:00"/>
    <x v="0"/>
    <s v="SSO 1"/>
    <x v="844"/>
    <d v="2025-08-18T00:00:00"/>
    <x v="5"/>
    <n v="41"/>
    <n v="41"/>
    <n v="41"/>
    <d v="2025-08-18T00:00:00"/>
    <s v="Delhi"/>
    <s v="VIJAY LAXMI TRANSPORT"/>
    <s v="DL01GC3659"/>
    <s v="22 FT"/>
    <s v="NOT RECEIVED"/>
    <s v="Dispatched"/>
    <s v="Dispatched on same day"/>
    <m/>
  </r>
  <r>
    <n v="1118"/>
    <n v="134"/>
    <s v="BIBO"/>
    <s v="WSO 22"/>
    <d v="2025-08-22T00:00:00"/>
    <x v="6"/>
    <s v="2526/7/TI-22"/>
    <x v="845"/>
    <d v="2025-08-22T00:00:00"/>
    <x v="5"/>
    <n v="15"/>
    <n v="360"/>
    <n v="15"/>
    <d v="2025-08-22T00:00:00"/>
    <s v="Delhi"/>
    <s v="VIJAY LAXMI TRANSPORT"/>
    <s v="DL01GC3659"/>
    <s v="22 FT"/>
    <n v="10234468"/>
    <s v="Dispatched"/>
    <m/>
    <m/>
  </r>
  <r>
    <n v="1118"/>
    <n v="134"/>
    <s v="BIBO"/>
    <s v="WSO 22"/>
    <d v="2025-08-22T00:00:00"/>
    <x v="39"/>
    <s v="2526/7/TI-23"/>
    <x v="846"/>
    <d v="2025-08-22T00:00:00"/>
    <x v="5"/>
    <n v="18"/>
    <n v="426"/>
    <n v="18"/>
    <d v="2025-08-22T00:00:00"/>
    <s v="Delhi"/>
    <s v="VIJAY LAXMI TRANSPORT"/>
    <s v="DL01GC3659"/>
    <s v="22 FT"/>
    <n v="10234469"/>
    <s v="Dispatched"/>
    <m/>
    <m/>
  </r>
  <r>
    <n v="1119"/>
    <n v="134"/>
    <s v="BIBO"/>
    <s v="WSO 22"/>
    <d v="2025-08-22T00:00:00"/>
    <x v="43"/>
    <s v="2526/7/TI-24"/>
    <x v="847"/>
    <d v="2025-08-22T00:00:00"/>
    <x v="5"/>
    <n v="33"/>
    <n v="792"/>
    <n v="33"/>
    <d v="2025-08-22T00:00:00"/>
    <s v="Delhi"/>
    <s v="VIJAY LAXMI TRANSPORT"/>
    <s v="DL01GC3659"/>
    <s v="22 FT"/>
    <n v="10234474"/>
    <s v="Dispatched"/>
    <m/>
    <m/>
  </r>
  <r>
    <n v="1119"/>
    <n v="134"/>
    <s v="BIBO"/>
    <s v="WSO 22"/>
    <d v="2025-08-22T00:00:00"/>
    <x v="17"/>
    <s v="2526/7/TI-25"/>
    <x v="848"/>
    <d v="2025-08-22T00:00:00"/>
    <x v="5"/>
    <n v="16"/>
    <n v="384"/>
    <n v="16"/>
    <d v="2025-08-22T00:00:00"/>
    <s v="Delhi"/>
    <s v="VIJAY LAXMI TRANSPORT"/>
    <s v="DL01GC3659"/>
    <s v="22 FT"/>
    <n v="10234470"/>
    <s v="Dispatched"/>
    <m/>
    <m/>
  </r>
  <r>
    <n v="1120"/>
    <n v="134"/>
    <s v="BIBO"/>
    <s v="WSO 22"/>
    <d v="2025-08-22T00:00:00"/>
    <x v="12"/>
    <s v="2526/7/TI-26"/>
    <x v="849"/>
    <d v="2025-08-22T00:00:00"/>
    <x v="5"/>
    <n v="47"/>
    <n v="1128"/>
    <n v="47"/>
    <d v="2025-08-22T00:00:00"/>
    <s v="Delhi"/>
    <s v="VIJAY LAXMI TRANSPORT"/>
    <s v="DL01GC3659"/>
    <s v="22 FT"/>
    <n v="10234471"/>
    <s v="Dispatched"/>
    <m/>
    <m/>
  </r>
  <r>
    <n v="1120"/>
    <n v="134"/>
    <s v="BIBO"/>
    <s v="WSO 22"/>
    <d v="2025-08-22T00:00:00"/>
    <x v="16"/>
    <s v="2526/7/TI-27"/>
    <x v="850"/>
    <d v="2025-08-22T00:00:00"/>
    <x v="5"/>
    <n v="8"/>
    <n v="192"/>
    <n v="8"/>
    <d v="2025-08-22T00:00:00"/>
    <s v="Delhi"/>
    <s v="VIJAY LAXMI TRANSPORT"/>
    <s v="DL01GC3659"/>
    <s v="22 FT"/>
    <n v="10234478"/>
    <s v="Dispatched"/>
    <m/>
    <m/>
  </r>
  <r>
    <n v="1121"/>
    <n v="134"/>
    <s v="BIBO"/>
    <s v="WSO 22"/>
    <d v="2025-08-22T00:00:00"/>
    <x v="43"/>
    <s v="2526/7/TI-28"/>
    <x v="851"/>
    <d v="2025-08-22T00:00:00"/>
    <x v="5"/>
    <n v="11"/>
    <n v="264"/>
    <n v="11"/>
    <d v="2025-08-22T00:00:00"/>
    <s v="Delhi"/>
    <s v="VIJAY LAXMI TRANSPORT"/>
    <s v="DL01GC3659"/>
    <s v="22 FT"/>
    <n v="10234476"/>
    <s v="Dispatched"/>
    <m/>
    <m/>
  </r>
  <r>
    <n v="1121"/>
    <n v="134"/>
    <s v="BIBO"/>
    <s v="WSO 22"/>
    <d v="2025-08-22T00:00:00"/>
    <x v="6"/>
    <s v="2526/7/TI-29"/>
    <x v="852"/>
    <d v="2025-08-22T00:00:00"/>
    <x v="5"/>
    <n v="10"/>
    <n v="240"/>
    <n v="10"/>
    <d v="2025-08-22T00:00:00"/>
    <s v="Delhi"/>
    <s v="VIJAY LAXMI TRANSPORT"/>
    <s v="DL01GC3659"/>
    <s v="22 FT"/>
    <n v="10234473"/>
    <s v="Dispatched"/>
    <m/>
    <m/>
  </r>
  <r>
    <n v="1122"/>
    <n v="134"/>
    <s v="BIBO"/>
    <s v="WSO 22"/>
    <d v="2025-08-22T00:00:00"/>
    <x v="12"/>
    <s v="2526/7/TI-30"/>
    <x v="598"/>
    <d v="2025-08-22T00:00:00"/>
    <x v="5"/>
    <n v="5"/>
    <n v="120"/>
    <n v="5"/>
    <d v="2025-08-22T00:00:00"/>
    <s v="Delhi"/>
    <s v="VIJAY LAXMI TRANSPORT"/>
    <s v="DL01GC3659"/>
    <s v="22 FT"/>
    <n v="10234472"/>
    <s v="Dispatched"/>
    <m/>
    <m/>
  </r>
  <r>
    <n v="1122"/>
    <n v="135"/>
    <s v="PIPO"/>
    <s v="PSO 1"/>
    <d v="2025-08-31T00:00:00"/>
    <x v="13"/>
    <s v="2526/7/TI-31"/>
    <x v="853"/>
    <d v="2025-08-31T00:00:00"/>
    <x v="5"/>
    <n v="1140"/>
    <n v="1140"/>
    <n v="95"/>
    <d v="2025-08-31T00:00:00"/>
    <s v="Delhi"/>
    <s v="VIJAY LAXMI TRANSPORT"/>
    <s v="DL01GE4741"/>
    <s v="22 FT"/>
    <n v="10234919"/>
    <s v="Dispatched"/>
    <m/>
    <m/>
  </r>
  <r>
    <n v="1123"/>
    <n v="135"/>
    <s v="PIPO"/>
    <s v="PSO 6"/>
    <d v="2025-08-31T00:00:00"/>
    <x v="44"/>
    <s v="2526/7/TI-32"/>
    <x v="854"/>
    <d v="2025-08-31T00:00:00"/>
    <x v="5"/>
    <n v="624"/>
    <n v="624"/>
    <n v="52"/>
    <d v="2025-08-31T00:00:00"/>
    <s v="Delhi"/>
    <s v="VIJAY LAXMI TRANSPORT"/>
    <s v="DL01GE4741"/>
    <s v="22 FT"/>
    <n v="10234914"/>
    <s v="Dispatched"/>
    <m/>
    <m/>
  </r>
  <r>
    <n v="1123"/>
    <n v="135"/>
    <s v="PIPO"/>
    <s v="PSO 9"/>
    <d v="2025-08-31T00:00:00"/>
    <x v="13"/>
    <s v="2526/7/TI-33"/>
    <x v="855"/>
    <d v="2025-08-31T00:00:00"/>
    <x v="5"/>
    <n v="120"/>
    <n v="120"/>
    <n v="10"/>
    <d v="2025-08-31T00:00:00"/>
    <s v="Delhi"/>
    <s v="VIJAY LAXMI TRANSPORT"/>
    <s v="DL01GE4741"/>
    <s v="22 FT"/>
    <n v="10234920"/>
    <s v="Dispatched"/>
    <m/>
    <m/>
  </r>
  <r>
    <n v="1124"/>
    <n v="135"/>
    <s v="PIPO"/>
    <s v="PSO 4"/>
    <d v="2025-08-31T00:00:00"/>
    <x v="33"/>
    <s v="2526/7/TI-34"/>
    <x v="856"/>
    <d v="2025-08-31T00:00:00"/>
    <x v="5"/>
    <n v="336"/>
    <n v="336"/>
    <n v="28"/>
    <d v="2025-08-31T00:00:00"/>
    <s v="Delhi"/>
    <s v="VIJAY LAXMI TRANSPORT"/>
    <s v="DL01GE4741"/>
    <s v="22 FT"/>
    <n v="10234918"/>
    <s v="Dispatched"/>
    <m/>
    <m/>
  </r>
  <r>
    <n v="1124"/>
    <n v="135"/>
    <s v="PIPO"/>
    <s v="PSO 5"/>
    <d v="2025-08-31T00:00:00"/>
    <x v="4"/>
    <s v="2526/7/TI-36"/>
    <x v="857"/>
    <d v="2025-08-31T00:00:00"/>
    <x v="5"/>
    <n v="240"/>
    <n v="240"/>
    <n v="20"/>
    <d v="2025-08-31T00:00:00"/>
    <s v="Delhi"/>
    <s v="VIJAY LAXMI TRANSPORT"/>
    <s v="DL01GE4741"/>
    <s v="22 FT"/>
    <n v="10234915"/>
    <s v="Dispatched"/>
    <m/>
    <m/>
  </r>
  <r>
    <n v="1125"/>
    <n v="135"/>
    <s v="PIPO"/>
    <s v="PSO 7"/>
    <d v="2025-08-31T00:00:00"/>
    <x v="35"/>
    <s v="2526/7/TI-37"/>
    <x v="858"/>
    <d v="2025-08-31T00:00:00"/>
    <x v="5"/>
    <n v="108"/>
    <n v="108"/>
    <n v="9"/>
    <d v="2025-08-31T00:00:00"/>
    <s v="Delhi"/>
    <s v="VIJAY LAXMI TRANSPORT"/>
    <s v="DL01GE4741"/>
    <s v="22 FT"/>
    <n v="10234917"/>
    <s v="Dispatched"/>
    <m/>
    <m/>
  </r>
  <r>
    <n v="1125"/>
    <n v="135"/>
    <s v="PIPO"/>
    <s v="PSO 3"/>
    <d v="2025-08-31T00:00:00"/>
    <x v="11"/>
    <s v="2526/7/TI-38"/>
    <x v="853"/>
    <d v="2025-08-31T00:00:00"/>
    <x v="5"/>
    <n v="1140"/>
    <n v="1140"/>
    <n v="95"/>
    <d v="2025-08-31T00:00:00"/>
    <s v="Delhi"/>
    <s v="VIJAY LAXMI TRANSPORT"/>
    <s v="DL01GE4741"/>
    <s v="22 FT"/>
    <n v="10234916"/>
    <s v="Dispatched"/>
    <m/>
    <m/>
  </r>
  <r>
    <n v="1126"/>
    <n v="136"/>
    <s v="BIBO"/>
    <s v="SSO 2"/>
    <d v="2025-08-30T00:00:00"/>
    <x v="0"/>
    <s v="2526/7/STO-2"/>
    <x v="859"/>
    <d v="2025-08-30T00:00:00"/>
    <x v="5"/>
    <n v="1392"/>
    <n v="1392"/>
    <n v="58"/>
    <d v="2025-09-02T00:00:00"/>
    <s v="Delhi"/>
    <s v="VIJAY LAXMI TRANSPORT"/>
    <s v="DL01GC9359"/>
    <s v="22FT"/>
    <s v="NOT RECEIVED"/>
    <s v="Dispatched"/>
    <m/>
    <m/>
  </r>
  <r>
    <n v="1126"/>
    <n v="136"/>
    <s v="BIBO"/>
    <s v="WOS 32"/>
    <d v="2025-08-30T00:00:00"/>
    <x v="6"/>
    <s v="2526/7/TI-44"/>
    <x v="860"/>
    <d v="2025-09-01T00:00:00"/>
    <x v="6"/>
    <n v="1848"/>
    <n v="1848"/>
    <n v="77"/>
    <d v="2025-09-02T00:00:00"/>
    <s v="Delhi"/>
    <s v="VIJAY LAXMI TRANSPORT"/>
    <s v="DL01GC9359"/>
    <s v="22FT"/>
    <s v="NOT RECEIVED"/>
    <s v="Dispatched"/>
    <m/>
    <m/>
  </r>
  <r>
    <n v="1127"/>
    <n v="136"/>
    <s v="BIBO"/>
    <s v="WOS 32"/>
    <d v="2025-08-30T00:00:00"/>
    <x v="6"/>
    <s v="2526/7/TI-44"/>
    <x v="860"/>
    <d v="2025-09-01T00:00:00"/>
    <x v="6"/>
    <n v="1848"/>
    <n v="1848"/>
    <n v="77"/>
    <d v="2025-09-02T00:00:00"/>
    <s v="Delhi"/>
    <s v="VIJAY LAXMI TRANSPORT"/>
    <s v="DL01GC9359"/>
    <s v="22FT"/>
    <s v="NOT RECEIVED"/>
    <s v="Dispatched"/>
    <m/>
    <m/>
  </r>
  <r>
    <n v="1127"/>
    <n v="136"/>
    <s v="PIPO"/>
    <s v="PSO 10 PSO 2"/>
    <d v="2025-08-31T00:00:00"/>
    <x v="2"/>
    <s v="2526/7/TI-39"/>
    <x v="861"/>
    <d v="2025-08-31T00:00:00"/>
    <x v="5"/>
    <n v="1152"/>
    <n v="1152"/>
    <n v="96"/>
    <d v="2025-09-02T00:00:00"/>
    <s v="Delhi"/>
    <s v="VIJAY LAXMI TRANSPORT"/>
    <s v="DL01GE4741"/>
    <s v="22 FT"/>
    <s v="NOT RECEIVED"/>
    <s v="Dispatched"/>
    <m/>
    <m/>
  </r>
  <r>
    <n v="1128"/>
    <n v="136"/>
    <s v="BIBO"/>
    <s v="WOS 36"/>
    <d v="2025-08-31T00:00:00"/>
    <x v="29"/>
    <s v="2526/7/TI-41"/>
    <x v="862"/>
    <d v="2025-08-31T00:00:00"/>
    <x v="5"/>
    <n v="168"/>
    <n v="168"/>
    <n v="7"/>
    <d v="2025-09-02T00:00:00"/>
    <s v="Delhi"/>
    <s v="VIJAY LAXMI TRANSPORT"/>
    <s v="DL01GC9359"/>
    <s v="22FT"/>
    <s v="NOT RECEIVED"/>
    <s v="Dispatched"/>
    <m/>
    <m/>
  </r>
  <r>
    <n v="1128"/>
    <n v="136"/>
    <s v="BIBO"/>
    <s v="WOS 38"/>
    <d v="2025-08-31T00:00:00"/>
    <x v="11"/>
    <s v="2526/7/TI-43"/>
    <x v="863"/>
    <d v="2025-08-31T00:00:00"/>
    <x v="5"/>
    <n v="240"/>
    <n v="240"/>
    <n v="10"/>
    <d v="2025-09-02T00:00:00"/>
    <s v="Delhi"/>
    <s v="VIJAY LAXMI TRANSPORT"/>
    <s v="DL01GC9359"/>
    <s v="22FT"/>
    <s v="NOT RECEIVED"/>
    <s v="Dispatched"/>
    <m/>
    <m/>
  </r>
  <r>
    <n v="1129"/>
    <n v="137"/>
    <s v="PIPO"/>
    <s v="PSO-8"/>
    <d v="2025-08-31T00:00:00"/>
    <x v="8"/>
    <s v="2526/7/TI-35"/>
    <x v="864"/>
    <d v="2025-08-31T00:00:00"/>
    <x v="5"/>
    <n v="372"/>
    <n v="372"/>
    <n v="31"/>
    <d v="2025-09-03T00:00:00"/>
    <s v="Delhi"/>
    <s v="VIJAY LAXMI TRANSPORT"/>
    <s v="DL1MA5977"/>
    <s v="22FT"/>
    <s v="NOT RECEIVED"/>
    <s v="Dispatched"/>
    <m/>
    <m/>
  </r>
  <r>
    <n v="1129"/>
    <n v="137"/>
    <s v="BIBO"/>
    <s v="WOS-35"/>
    <d v="2025-08-31T00:00:00"/>
    <x v="27"/>
    <s v="2526/7/TI-40"/>
    <x v="865"/>
    <d v="2025-08-31T00:00:00"/>
    <x v="5"/>
    <n v="312"/>
    <n v="312"/>
    <n v="13"/>
    <d v="2025-09-03T00:00:00"/>
    <s v="Delhi"/>
    <s v="VIJAY LAXMI TRANSPORT"/>
    <s v="DL1MA5977"/>
    <s v="22FT"/>
    <s v="NOT RECEIVED"/>
    <s v="Dispatched"/>
    <m/>
    <m/>
  </r>
  <r>
    <n v="1130"/>
    <n v="137"/>
    <s v="BIBO"/>
    <s v="WOS-33"/>
    <d v="2025-08-31T00:00:00"/>
    <x v="23"/>
    <s v="2526/7/TI-42"/>
    <x v="866"/>
    <d v="2025-08-31T00:00:00"/>
    <x v="5"/>
    <n v="264"/>
    <n v="264"/>
    <n v="11"/>
    <d v="2025-09-03T00:00:00"/>
    <s v="Delhi"/>
    <s v="VIJAY LAXMI TRANSPORT"/>
    <s v="DL1MA5977"/>
    <s v="22FT"/>
    <s v="NOT RECEIVED"/>
    <s v="Dispatched"/>
    <m/>
    <m/>
  </r>
  <r>
    <n v="1130"/>
    <n v="137"/>
    <s v="BIBO"/>
    <s v="WOS-37"/>
    <d v="2025-08-31T00:00:00"/>
    <x v="22"/>
    <s v="2526/7/TI-45"/>
    <x v="867"/>
    <d v="2025-09-01T00:00:00"/>
    <x v="6"/>
    <n v="120"/>
    <n v="120"/>
    <n v="5"/>
    <d v="2025-09-03T00:00:00"/>
    <s v="Delhi"/>
    <s v="VIJAY LAXMI TRANSPORT"/>
    <s v="DL1MA5977"/>
    <s v="22FT"/>
    <s v="NOT RECEIVED"/>
    <s v="Dispatched"/>
    <m/>
    <m/>
  </r>
  <r>
    <n v="1131"/>
    <n v="137"/>
    <s v="BIBO"/>
    <s v="WOS-34"/>
    <d v="2025-08-31T00:00:00"/>
    <x v="21"/>
    <s v="2526/7/TI-46"/>
    <x v="863"/>
    <d v="2025-09-01T00:00:00"/>
    <x v="6"/>
    <n v="240"/>
    <n v="240"/>
    <n v="10"/>
    <d v="2025-09-03T00:00:00"/>
    <s v="Delhi"/>
    <s v="VIJAY LAXMI TRANSPORT"/>
    <s v="DL1MA5977"/>
    <s v="22FT"/>
    <s v="NOT RECEIVED"/>
    <s v="Dispatched"/>
    <m/>
    <m/>
  </r>
  <r>
    <n v="1131"/>
    <n v="137"/>
    <s v="BIBO"/>
    <s v="WOS-39"/>
    <d v="2025-09-02T00:00:00"/>
    <x v="12"/>
    <s v="2526/7/TI-47"/>
    <x v="868"/>
    <d v="2025-09-03T00:00:00"/>
    <x v="6"/>
    <n v="864"/>
    <n v="864"/>
    <n v="36"/>
    <d v="2025-09-03T00:00:00"/>
    <s v="Delhi"/>
    <s v="VIJAY LAXMI TRANSPORT"/>
    <s v="DL1MA5977"/>
    <s v="22FT"/>
    <s v="NOT RECEIVED"/>
    <s v="Dispatched"/>
    <m/>
    <m/>
  </r>
  <r>
    <n v="1132"/>
    <n v="137"/>
    <s v="BIBO"/>
    <s v="WOS-40"/>
    <d v="2025-09-02T00:00:00"/>
    <x v="47"/>
    <s v="2526/7/TI-48"/>
    <x v="869"/>
    <d v="2025-09-03T00:00:00"/>
    <x v="6"/>
    <n v="576"/>
    <n v="576"/>
    <n v="24"/>
    <d v="2025-09-03T00:00:00"/>
    <s v="Delhi"/>
    <s v="VIJAY LAXMI TRANSPORT"/>
    <s v="DL1MA5977"/>
    <s v="22FT"/>
    <s v="NOT RECEIVED"/>
    <s v="Dispatched"/>
    <m/>
    <m/>
  </r>
  <r>
    <n v="1132"/>
    <n v="137"/>
    <s v="PIPO"/>
    <s v="PSO-13"/>
    <d v="2025-09-02T00:00:00"/>
    <x v="11"/>
    <s v="2526/7/TI-51"/>
    <x v="870"/>
    <d v="2025-09-03T00:00:00"/>
    <x v="6"/>
    <n v="852"/>
    <n v="852"/>
    <n v="71"/>
    <d v="2025-09-03T00:00:00"/>
    <s v="Delhi"/>
    <s v="VIJAY LAXMI TRANSPORT"/>
    <s v="DL1MA5977"/>
    <s v="22FT"/>
    <s v="NOT RECEIVED"/>
    <s v="Dispatched"/>
    <m/>
    <m/>
  </r>
  <r>
    <n v="1133"/>
    <n v="138"/>
    <s v="PIPO"/>
    <s v="PSO-11"/>
    <d v="2025-09-02T00:00:00"/>
    <x v="13"/>
    <s v="2526/7/TI-49"/>
    <x v="871"/>
    <d v="2025-09-03T00:00:00"/>
    <x v="6"/>
    <n v="1440"/>
    <n v="1440"/>
    <n v="120"/>
    <d v="2025-09-04T00:00:00"/>
    <s v="Delhi"/>
    <s v="VIJAY LAXMI TRANSPORT"/>
    <s v="DL1GC9359"/>
    <s v="22FT"/>
    <s v="NOT RECEIVED"/>
    <s v="Dispatched"/>
    <m/>
    <m/>
  </r>
  <r>
    <n v="1133"/>
    <n v="138"/>
    <s v="PIPO"/>
    <s v="PSO-12"/>
    <d v="2025-09-02T00:00:00"/>
    <x v="2"/>
    <s v="2526/7/TI-50"/>
    <x v="872"/>
    <d v="2025-09-03T00:00:00"/>
    <x v="6"/>
    <n v="1524"/>
    <n v="1524"/>
    <n v="127"/>
    <d v="2025-09-04T00:00:00"/>
    <s v="Delhi"/>
    <s v="VIJAY LAXMI TRANSPORT"/>
    <s v="DL1GC9359"/>
    <s v="22FT"/>
    <s v="NOT RECEIVED"/>
    <s v="Dispatched"/>
    <m/>
    <m/>
  </r>
  <r>
    <n v="1134"/>
    <n v="139"/>
    <s v="PIPO"/>
    <s v="PSO 14"/>
    <d v="2025-09-02T00:00:00"/>
    <x v="12"/>
    <s v="2526/7/TI-52"/>
    <x v="873"/>
    <d v="2025-09-03T00:00:00"/>
    <x v="6"/>
    <n v="972"/>
    <n v="972"/>
    <n v="81"/>
    <d v="2025-09-05T00:00:00"/>
    <s v="Delhi"/>
    <s v="VIJAY LAXMI TRANSPORT"/>
    <s v="DL01MA2968"/>
    <s v="22FT"/>
    <s v="NOT RECEIVED"/>
    <s v="Dispatched"/>
    <m/>
    <m/>
  </r>
  <r>
    <n v="1134"/>
    <n v="139"/>
    <s v="PIPO"/>
    <s v="PSO 15"/>
    <d v="2025-09-02T00:00:00"/>
    <x v="8"/>
    <s v="2526/7/TI-53"/>
    <x v="874"/>
    <d v="2025-09-03T00:00:00"/>
    <x v="6"/>
    <n v="276"/>
    <n v="276"/>
    <n v="23"/>
    <d v="2025-09-05T00:00:00"/>
    <s v="Delhi"/>
    <s v="VIJAY LAXMI TRANSPORT"/>
    <s v="DL01MA2968"/>
    <s v="22FT"/>
    <s v="NOT RECEIVED"/>
    <s v="Dispatched"/>
    <m/>
    <m/>
  </r>
  <r>
    <n v="1135"/>
    <n v="139"/>
    <s v="PIPO"/>
    <s v="PSO 16"/>
    <d v="2025-09-02T00:00:00"/>
    <x v="29"/>
    <s v="2526/7/TI-54"/>
    <x v="875"/>
    <d v="2025-09-03T00:00:00"/>
    <x v="6"/>
    <n v="648"/>
    <n v="648"/>
    <n v="54"/>
    <d v="2025-09-05T00:00:00"/>
    <s v="Delhi"/>
    <s v="VIJAY LAXMI TRANSPORT"/>
    <s v="DL01MA2968"/>
    <s v="22FT"/>
    <s v="NOT RECEIVED"/>
    <s v="Dispatched"/>
    <m/>
    <m/>
  </r>
  <r>
    <n v="1135"/>
    <n v="139"/>
    <s v="PIPO"/>
    <s v="PSO 17"/>
    <d v="2025-09-02T00:00:00"/>
    <x v="35"/>
    <s v="2526/7/TI-55"/>
    <x v="876"/>
    <d v="2025-09-03T00:00:00"/>
    <x v="6"/>
    <n v="264"/>
    <n v="264"/>
    <n v="22"/>
    <d v="2025-09-05T00:00:00"/>
    <s v="Delhi"/>
    <s v="VIJAY LAXMI TRANSPORT"/>
    <s v="DL01MA2968"/>
    <s v="22FT"/>
    <s v="NOT RECEIVED"/>
    <s v="Dispatched"/>
    <m/>
    <m/>
  </r>
  <r>
    <n v="1136"/>
    <n v="139"/>
    <s v="PIPO"/>
    <s v="PSO 18"/>
    <d v="2025-09-03T00:00:00"/>
    <x v="33"/>
    <s v="2526/7/TI-56"/>
    <x v="877"/>
    <d v="2025-09-03T00:00:00"/>
    <x v="6"/>
    <n v="312"/>
    <n v="312"/>
    <n v="26"/>
    <d v="2025-09-05T00:00:00"/>
    <s v="Delhi"/>
    <s v="VIJAY LAXMI TRANSPORT"/>
    <s v="DL01MA2968"/>
    <s v="22FT"/>
    <s v="NOT RECEIVED"/>
    <s v="Dispatched"/>
    <m/>
    <m/>
  </r>
  <r>
    <n v="1136"/>
    <n v="140"/>
    <s v="PIPO"/>
    <s v="WOS 43"/>
    <d v="2025-09-06T00:00:00"/>
    <x v="13"/>
    <s v="2526/7/TI-59"/>
    <x v="878"/>
    <d v="2025-09-06T00:00:00"/>
    <x v="6"/>
    <n v="1980"/>
    <n v="1980"/>
    <n v="165"/>
    <d v="2025-09-07T00:00:00"/>
    <s v="Delhi"/>
    <s v="VIJAY LAXMI TRANSPORT"/>
    <s v="DL1GC9359"/>
    <s v="22FT"/>
    <s v="NOT RECEIVED"/>
    <s v="Dispatched"/>
    <m/>
    <m/>
  </r>
  <r>
    <n v="1137"/>
    <n v="140"/>
    <s v="PIPO"/>
    <s v="WOS 44"/>
    <d v="2025-09-06T00:00:00"/>
    <x v="31"/>
    <s v="2526/7/TI-61"/>
    <x v="879"/>
    <d v="2025-09-06T00:00:00"/>
    <x v="6"/>
    <n v="480"/>
    <n v="480"/>
    <n v="40"/>
    <d v="2025-09-07T00:00:00"/>
    <s v="Delhi"/>
    <s v="VIJAY LAXMI TRANSPORT"/>
    <s v="DL1GC9359"/>
    <s v="22FT"/>
    <s v="NOT RECEIVED"/>
    <s v="Dispatched"/>
    <m/>
    <m/>
  </r>
  <r>
    <n v="1137"/>
    <n v="140"/>
    <s v="BIBO"/>
    <s v="WOS 42"/>
    <d v="2025-09-06T00:00:00"/>
    <x v="39"/>
    <s v="2526/7/TI-62"/>
    <x v="880"/>
    <d v="2025-09-06T00:00:00"/>
    <x v="6"/>
    <n v="336"/>
    <n v="336"/>
    <n v="14"/>
    <d v="2025-09-07T00:00:00"/>
    <s v="Delhi"/>
    <s v="VIJAY LAXMI TRANSPORT"/>
    <s v="DL1GC9359"/>
    <s v="22FT"/>
    <s v="NOT RECEIVED"/>
    <s v="Dispatched"/>
    <m/>
    <m/>
  </r>
  <r>
    <n v="1138"/>
    <n v="141"/>
    <s v="BIBO"/>
    <s v="WOS 53"/>
    <d v="2025-09-08T00:00:00"/>
    <x v="4"/>
    <s v="2526/7/TI-64"/>
    <x v="881"/>
    <d v="2025-09-09T00:00:00"/>
    <x v="6"/>
    <n v="168"/>
    <n v="168"/>
    <n v="7"/>
    <d v="2025-09-09T00:00:00"/>
    <s v="Delhi"/>
    <s v="VIJAY LAXMI TRANSPORT"/>
    <s v="DL1GC9359"/>
    <s v="22FT"/>
    <s v="NOT RECEIVED"/>
    <s v="Dispatched"/>
    <m/>
    <m/>
  </r>
  <r>
    <n v="1138"/>
    <n v="141"/>
    <s v="PIPO"/>
    <s v="WOS 45"/>
    <d v="2025-09-07T00:00:00"/>
    <x v="29"/>
    <s v="2526/7/TI-66"/>
    <x v="882"/>
    <d v="2025-09-09T00:00:00"/>
    <x v="6"/>
    <n v="132"/>
    <n v="132"/>
    <n v="11"/>
    <d v="2025-09-09T00:00:00"/>
    <s v="Delhi"/>
    <s v="VIJAY LAXMI TRANSPORT"/>
    <s v="DL1GC9359"/>
    <s v="22FT"/>
    <s v="NOT RECEIVED"/>
    <s v="Dispatched"/>
    <m/>
    <m/>
  </r>
  <r>
    <n v="1139"/>
    <n v="141"/>
    <s v="PIPO"/>
    <s v="WOS 51"/>
    <d v="2025-09-07T00:00:00"/>
    <x v="47"/>
    <s v="2526/7/TI-68"/>
    <x v="883"/>
    <d v="2025-09-09T00:00:00"/>
    <x v="6"/>
    <n v="168"/>
    <n v="168"/>
    <n v="14"/>
    <d v="2025-09-09T00:00:00"/>
    <s v="Delhi"/>
    <s v="VIJAY LAXMI TRANSPORT"/>
    <s v="DL1GC9359"/>
    <s v="22FT"/>
    <s v="NOT RECEIVED"/>
    <s v="Dispatched"/>
    <m/>
    <m/>
  </r>
  <r>
    <n v="1139"/>
    <n v="141"/>
    <s v="PIPO"/>
    <s v="WOS 50"/>
    <d v="2025-09-07T00:00:00"/>
    <x v="8"/>
    <s v="2526/7/TI-70"/>
    <x v="884"/>
    <d v="2025-09-09T00:00:00"/>
    <x v="6"/>
    <n v="108"/>
    <n v="108"/>
    <n v="9"/>
    <d v="2025-09-09T00:00:00"/>
    <s v="Delhi"/>
    <s v="VIJAY LAXMI TRANSPORT"/>
    <s v="DL1GC9359"/>
    <s v="22FT"/>
    <s v="NOT RECEIVED"/>
    <s v="Dispatched"/>
    <m/>
    <m/>
  </r>
  <r>
    <n v="1140"/>
    <n v="141"/>
    <s v="PIPO"/>
    <s v="WOS 41"/>
    <d v="2025-09-05T00:00:00"/>
    <x v="4"/>
    <s v="2526/7/TI-60"/>
    <x v="885"/>
    <d v="2025-09-06T00:00:00"/>
    <x v="6"/>
    <n v="528"/>
    <n v="528"/>
    <n v="44"/>
    <d v="2025-09-09T00:00:00"/>
    <s v="Delhi"/>
    <s v="VIJAY LAXMI TRANSPORT"/>
    <s v="DL1GC9359"/>
    <s v="22FT"/>
    <s v="NOT RECEIVED"/>
    <s v="Dispatched"/>
    <m/>
    <m/>
  </r>
  <r>
    <n v="1140"/>
    <n v="141"/>
    <s v="PIPO"/>
    <s v="WOS 46"/>
    <d v="2025-09-07T00:00:00"/>
    <x v="12"/>
    <s v="2526/7/TI-63"/>
    <x v="886"/>
    <d v="2025-09-08T00:00:00"/>
    <x v="6"/>
    <n v="180"/>
    <n v="180"/>
    <n v="15"/>
    <d v="2025-09-09T00:00:00"/>
    <s v="Delhi"/>
    <s v="VIJAY LAXMI TRANSPORT"/>
    <s v="DL1GC9359"/>
    <s v="22FT"/>
    <s v="NOT RECEIVED"/>
    <s v="Dispatched"/>
    <m/>
    <m/>
  </r>
  <r>
    <n v="1141"/>
    <n v="141"/>
    <s v="PIPO"/>
    <s v="WOS 48"/>
    <d v="2025-09-07T00:00:00"/>
    <x v="13"/>
    <s v="2526/7/TI-65"/>
    <x v="887"/>
    <d v="2025-09-09T00:00:00"/>
    <x v="6"/>
    <n v="840"/>
    <n v="840"/>
    <n v="70"/>
    <d v="2025-09-09T00:00:00"/>
    <s v="Delhi"/>
    <s v="VIJAY LAXMI TRANSPORT"/>
    <s v="DL1GC9359"/>
    <s v="22FT"/>
    <s v="NOT RECEIVED"/>
    <s v="Dispatched"/>
    <m/>
    <m/>
  </r>
  <r>
    <n v="1141"/>
    <n v="141"/>
    <s v="PIPO"/>
    <s v="WOS 47"/>
    <d v="2025-09-07T00:00:00"/>
    <x v="4"/>
    <s v="2526/7/TI-67"/>
    <x v="888"/>
    <d v="2025-09-09T00:00:00"/>
    <x v="6"/>
    <n v="312"/>
    <n v="312"/>
    <n v="26"/>
    <d v="2025-09-09T00:00:00"/>
    <s v="Delhi"/>
    <s v="VIJAY LAXMI TRANSPORT"/>
    <s v="DL1GC9359"/>
    <s v="22FT"/>
    <s v="NOT RECEIVED"/>
    <s v="Dispatched"/>
    <m/>
    <m/>
  </r>
  <r>
    <n v="1142"/>
    <n v="141"/>
    <s v="PIPO"/>
    <s v="WOS 52"/>
    <d v="2025-09-07T00:00:00"/>
    <x v="21"/>
    <s v="2526/7/TI-69"/>
    <x v="889"/>
    <d v="2025-09-09T00:00:00"/>
    <x v="6"/>
    <n v="420"/>
    <n v="420"/>
    <n v="35"/>
    <d v="2025-09-09T00:00:00"/>
    <s v="Delhi"/>
    <s v="VIJAY LAXMI TRANSPORT"/>
    <s v="DL1GC9359"/>
    <s v="22FT"/>
    <s v="NOT RECEIVED"/>
    <s v="Dispatched"/>
    <m/>
    <m/>
  </r>
  <r>
    <n v="1142"/>
    <n v="141"/>
    <s v="PIPO"/>
    <s v="WOS 49"/>
    <d v="2025-09-07T00:00:00"/>
    <x v="31"/>
    <s v="2526/7/TI-71"/>
    <x v="890"/>
    <d v="2025-09-09T00:00:00"/>
    <x v="6"/>
    <n v="48"/>
    <n v="48"/>
    <n v="4"/>
    <d v="2025-09-09T00:00:00"/>
    <s v="Delhi"/>
    <s v="VIJAY LAXMI TRANSPORT"/>
    <s v="DL1GC9359"/>
    <s v="22FT"/>
    <s v="NOT RECEIVED"/>
    <s v="Dispatched"/>
    <m/>
    <m/>
  </r>
  <r>
    <n v="1143"/>
    <n v="142"/>
    <s v="PIPO"/>
    <s v="WOS 54"/>
    <d v="2025-09-09T00:00:00"/>
    <x v="27"/>
    <s v="2526/7/TI-72"/>
    <x v="891"/>
    <d v="2025-09-09T00:00:00"/>
    <x v="6"/>
    <n v="768"/>
    <n v="768"/>
    <n v="64"/>
    <d v="2025-09-10T00:00:00"/>
    <s v="Delhi"/>
    <s v="VIJAY LAXMI TRANSPORT"/>
    <s v="DL1GC9359"/>
    <s v="22FT"/>
    <s v="NOT RECEIVED"/>
    <s v="Dispatched"/>
    <m/>
    <m/>
  </r>
  <r>
    <n v="1143"/>
    <n v="142"/>
    <s v="PIPO"/>
    <s v="WOS 56"/>
    <d v="2025-09-09T00:00:00"/>
    <x v="22"/>
    <s v="2526/7/TI-74"/>
    <x v="892"/>
    <d v="2025-09-09T00:00:00"/>
    <x v="6"/>
    <n v="432"/>
    <n v="432"/>
    <n v="36"/>
    <d v="2025-09-10T00:00:00"/>
    <s v="Delhi"/>
    <s v="VIJAY LAXMI TRANSPORT"/>
    <s v="DL1GC9359"/>
    <s v="22FT"/>
    <s v="NOT RECEIVED"/>
    <s v="Dispatched"/>
    <m/>
    <m/>
  </r>
  <r>
    <n v="1144"/>
    <n v="142"/>
    <s v="PIPO"/>
    <s v="WOS 58"/>
    <d v="2025-09-09T00:00:00"/>
    <x v="17"/>
    <s v="2526/7/TI-76"/>
    <x v="893"/>
    <d v="2025-09-09T00:00:00"/>
    <x v="6"/>
    <n v="360"/>
    <n v="360"/>
    <n v="30"/>
    <d v="2025-09-10T00:00:00"/>
    <s v="Delhi"/>
    <s v="VIJAY LAXMI TRANSPORT"/>
    <s v="DL1GC9359"/>
    <s v="22FT"/>
    <s v="NOT RECEIVED"/>
    <s v="Dispatched"/>
    <m/>
    <m/>
  </r>
  <r>
    <n v="1144"/>
    <n v="142"/>
    <s v="PIPO"/>
    <s v="WOS 60"/>
    <d v="2025-09-09T00:00:00"/>
    <x v="11"/>
    <s v="2526/7/TI-78"/>
    <x v="894"/>
    <d v="2025-09-09T00:00:00"/>
    <x v="6"/>
    <n v="240"/>
    <n v="240"/>
    <n v="20"/>
    <d v="2025-09-10T00:00:00"/>
    <s v="Delhi"/>
    <s v="VIJAY LAXMI TRANSPORT"/>
    <s v="DL1GC9359"/>
    <s v="22FT"/>
    <s v="NOT RECEIVED"/>
    <s v="Dispatched"/>
    <m/>
    <m/>
  </r>
  <r>
    <n v="1145"/>
    <n v="142"/>
    <s v="PIPO"/>
    <s v="WOS 57"/>
    <d v="2025-09-09T00:00:00"/>
    <x v="16"/>
    <s v="2526/7/TI-75"/>
    <x v="895"/>
    <d v="2025-09-09T00:00:00"/>
    <x v="6"/>
    <n v="720"/>
    <n v="720"/>
    <n v="60"/>
    <d v="2025-09-10T00:00:00"/>
    <s v="Delhi"/>
    <s v="VIJAY LAXMI TRANSPORT"/>
    <s v="DL1GC9359"/>
    <s v="22FT"/>
    <s v="NOT RECEIVED"/>
    <s v="Dispatched"/>
    <m/>
    <m/>
  </r>
  <r>
    <n v="1145"/>
    <n v="142"/>
    <s v="PIPO"/>
    <s v="WOS 59"/>
    <d v="2025-09-09T00:00:00"/>
    <x v="8"/>
    <s v="2526/7/TI-77"/>
    <x v="896"/>
    <d v="2025-09-09T00:00:00"/>
    <x v="6"/>
    <n v="348"/>
    <n v="348"/>
    <n v="29"/>
    <d v="2025-09-10T00:00:00"/>
    <s v="Delhi"/>
    <s v="VIJAY LAXMI TRANSPORT"/>
    <s v="DL1GC9359"/>
    <s v="22FT"/>
    <s v="NOT RECEIVED"/>
    <s v="Dispatched"/>
    <m/>
    <m/>
  </r>
  <r>
    <n v="1146"/>
    <n v="142"/>
    <s v="PIPO"/>
    <s v="WOS 61"/>
    <d v="2025-09-09T00:00:00"/>
    <x v="19"/>
    <s v="2526/7/TI-79"/>
    <x v="897"/>
    <d v="2025-09-09T00:00:00"/>
    <x v="6"/>
    <n v="132"/>
    <n v="132"/>
    <n v="11"/>
    <d v="2025-09-10T00:00:00"/>
    <s v="Delhi"/>
    <s v="VIJAY LAXMI TRANSPORT"/>
    <s v="DL1GC9359"/>
    <s v="22FT"/>
    <s v="NOT RECEIVED"/>
    <s v="Dispatched"/>
    <m/>
    <m/>
  </r>
  <r>
    <n v="1146"/>
    <n v="143"/>
    <s v="PIPO"/>
    <s v="WOS 55"/>
    <d v="2025-09-09T00:00:00"/>
    <x v="44"/>
    <s v="2526/7/TI-73"/>
    <x v="898"/>
    <d v="2025-09-09T00:00:00"/>
    <x v="6"/>
    <n v="696"/>
    <n v="696"/>
    <n v="58"/>
    <d v="2025-09-10T00:00:00"/>
    <s v="Delhi"/>
    <s v="VIJAY LAXMI TRANSPORT"/>
    <s v="DL1LAM1143"/>
    <s v="22FT"/>
    <s v="NOT RECEIVED"/>
    <s v="Dispatched"/>
    <m/>
    <m/>
  </r>
  <r>
    <n v="1147"/>
    <n v="144"/>
    <s v="PIPO"/>
    <s v="WOS 62"/>
    <d v="2025-09-10T00:00:00"/>
    <x v="23"/>
    <s v="2526/7/TI-80"/>
    <x v="899"/>
    <d v="2025-09-09T00:00:00"/>
    <x v="6"/>
    <n v="456"/>
    <n v="456"/>
    <n v="38"/>
    <d v="2025-09-10T00:00:00"/>
    <s v="Delhi"/>
    <s v="VIJAY LAXMI TRANSPORT"/>
    <s v="DL1LAM1143"/>
    <s v="22FT"/>
    <s v="NOT RECEIVED"/>
    <s v="Dispatched"/>
    <m/>
    <m/>
  </r>
  <r>
    <n v="1147"/>
    <n v="144"/>
    <s v="PIPO"/>
    <s v="WOS 65"/>
    <d v="2025-09-10T00:00:00"/>
    <x v="22"/>
    <s v="2526/7/TI-82"/>
    <x v="900"/>
    <d v="2025-09-09T00:00:00"/>
    <x v="6"/>
    <n v="60"/>
    <n v="60"/>
    <n v="5"/>
    <d v="2025-09-10T00:00:00"/>
    <s v="Delhi"/>
    <s v="VIJAY LAXMI TRANSPORT"/>
    <s v="DL1LAM1143"/>
    <s v="22FT"/>
    <s v="NOT RECEIVED"/>
    <s v="Dispatched"/>
    <m/>
    <m/>
  </r>
  <r>
    <n v="1148"/>
    <n v="144"/>
    <s v="BIBO"/>
    <s v="WOS 64"/>
    <d v="2025-09-10T00:00:00"/>
    <x v="16"/>
    <s v="2526/7/TI-84"/>
    <x v="901"/>
    <d v="2025-09-09T00:00:00"/>
    <x v="6"/>
    <n v="144"/>
    <n v="144"/>
    <n v="6"/>
    <d v="2025-09-10T00:00:00"/>
    <s v="Delhi"/>
    <s v="VIJAY LAXMI TRANSPORT"/>
    <s v="DL1LAM1143"/>
    <s v="22FT"/>
    <s v="NOT RECEIVED"/>
    <s v="Dispatched"/>
    <m/>
    <m/>
  </r>
  <r>
    <n v="1148"/>
    <n v="144"/>
    <s v="PIPO"/>
    <s v="WOS 63"/>
    <d v="2025-09-10T00:00:00"/>
    <x v="33"/>
    <s v="2526/7/TI-81"/>
    <x v="902"/>
    <d v="2025-09-09T00:00:00"/>
    <x v="6"/>
    <n v="72"/>
    <n v="72"/>
    <n v="6"/>
    <d v="2025-09-10T00:00:00"/>
    <s v="Delhi"/>
    <s v="VIJAY LAXMI TRANSPORT"/>
    <s v="DL1LAM1143"/>
    <s v="22FT"/>
    <s v="NOT RECEIVED"/>
    <s v="Dispatched"/>
    <m/>
    <m/>
  </r>
  <r>
    <n v="1149"/>
    <n v="144"/>
    <s v="BIBO"/>
    <s v="WOS 66"/>
    <d v="2025-09-10T00:00:00"/>
    <x v="29"/>
    <s v="2526/7/TI-83"/>
    <x v="903"/>
    <d v="2025-09-09T00:00:00"/>
    <x v="6"/>
    <n v="240"/>
    <n v="240"/>
    <n v="10"/>
    <d v="2025-09-10T00:00:00"/>
    <s v="Delhi"/>
    <s v="VIJAY LAXMI TRANSPORT"/>
    <s v="DL1LAM1143"/>
    <s v="22FT"/>
    <s v="NOT RECEIVED"/>
    <s v="Dispatched"/>
    <m/>
    <m/>
  </r>
  <r>
    <n v="1149"/>
    <n v="145"/>
    <s v="PIPO"/>
    <s v="SSO 3"/>
    <d v="2025-09-15T00:00:00"/>
    <x v="0"/>
    <s v="2526/7/STO-3"/>
    <x v="904"/>
    <d v="2025-09-16T00:00:00"/>
    <x v="6"/>
    <n v="828"/>
    <n v="828"/>
    <n v="69"/>
    <d v="2025-09-21T00:00:00"/>
    <s v="Delhi"/>
    <s v="VIJAY LAXMI TRANSPORT"/>
    <s v="DL01MA6900"/>
    <s v="22FT"/>
    <s v="NOT RECEIVED"/>
    <s v="Dispatched"/>
    <m/>
    <m/>
  </r>
  <r>
    <n v="1150"/>
    <n v="145"/>
    <s v="BIBO"/>
    <s v="WOS 70"/>
    <d v="2025-09-18T00:00:00"/>
    <x v="29"/>
    <s v="2526/7/TI-94"/>
    <x v="905"/>
    <d v="2025-09-19T00:00:00"/>
    <x v="6"/>
    <n v="240"/>
    <n v="240"/>
    <n v="10"/>
    <d v="2025-09-21T00:00:00"/>
    <s v="Delhi"/>
    <s v="VIJAY LAXMI TRANSPORT"/>
    <s v="DL01MA6900"/>
    <s v="22FT"/>
    <s v="NOT RECEIVED"/>
    <s v="Dispatched"/>
    <m/>
    <m/>
  </r>
  <r>
    <n v="1150"/>
    <n v="145"/>
    <s v="PIPO"/>
    <s v="WOS 68"/>
    <d v="2025-09-17T00:00:00"/>
    <x v="44"/>
    <s v="2526/7/TI-96"/>
    <x v="906"/>
    <d v="2025-09-19T00:00:00"/>
    <x v="6"/>
    <n v="216"/>
    <n v="216"/>
    <n v="18"/>
    <d v="2025-09-21T00:00:00"/>
    <s v="Delhi"/>
    <s v="VIJAY LAXMI TRANSPORT"/>
    <s v="DL01MA6900"/>
    <s v="22FT"/>
    <s v="NOT RECEIVED"/>
    <s v="Dispatched"/>
    <m/>
    <m/>
  </r>
  <r>
    <n v="1151"/>
    <n v="145"/>
    <s v="BIBO"/>
    <s v="WOS 71"/>
    <d v="2025-09-18T00:00:00"/>
    <x v="3"/>
    <s v="2526/7/TI-93"/>
    <x v="907"/>
    <d v="2025-09-19T00:00:00"/>
    <x v="6"/>
    <n v="312"/>
    <n v="312"/>
    <n v="13"/>
    <d v="2025-09-21T00:00:00"/>
    <s v="Delhi"/>
    <s v="VIJAY LAXMI TRANSPORT"/>
    <s v="DL01MA6900"/>
    <s v="22FT"/>
    <s v="NOT RECEIVED"/>
    <s v="Dispatched"/>
    <m/>
    <m/>
  </r>
  <r>
    <n v="1151"/>
    <n v="145"/>
    <s v="BIBO"/>
    <s v="WOS 69"/>
    <d v="2025-09-18T00:00:00"/>
    <x v="27"/>
    <s v="2526/7/TI-95"/>
    <x v="908"/>
    <d v="2025-09-19T00:00:00"/>
    <x v="6"/>
    <n v="312"/>
    <n v="312"/>
    <n v="13"/>
    <d v="2025-09-21T00:00:00"/>
    <s v="Delhi"/>
    <s v="VIJAY LAXMI TRANSPORT"/>
    <s v="DL01MA6900"/>
    <s v="22FT"/>
    <s v="NOT RECEIVED"/>
    <s v="Dispatched"/>
    <m/>
    <m/>
  </r>
  <r>
    <n v="1152"/>
    <n v="145"/>
    <s v="PIPO"/>
    <s v="WOS 67"/>
    <d v="2025-09-16T00:00:00"/>
    <x v="3"/>
    <s v="2526/7/TI-97"/>
    <x v="909"/>
    <d v="2025-09-20T00:00:00"/>
    <x v="6"/>
    <n v="300"/>
    <n v="300"/>
    <n v="25"/>
    <d v="2025-09-21T00:00:00"/>
    <s v="Delhi"/>
    <s v="VIJAY LAXMI TRANSPORT"/>
    <s v="DL01MA6900"/>
    <s v="22FT"/>
    <s v="NOT RECEIVED"/>
    <s v="Dispatched"/>
    <m/>
    <m/>
  </r>
  <r>
    <n v="1152"/>
    <n v="146"/>
    <s v="PIPO"/>
    <s v="WOS 84"/>
    <d v="2025-09-25T00:00:00"/>
    <x v="4"/>
    <s v="2526/7/TI-102"/>
    <x v="910"/>
    <d v="2025-09-26T00:00:00"/>
    <x v="6"/>
    <n v="432"/>
    <n v="432"/>
    <n v="22"/>
    <d v="2025-09-26T00:00:00"/>
    <s v="Delhi"/>
    <s v="VIJAY LAXMI TRANSPORT"/>
    <s v="DL01GC9359"/>
    <s v="22FT"/>
    <s v="NOT RECEIVED"/>
    <s v="Dispatched"/>
    <m/>
    <m/>
  </r>
  <r>
    <n v="1153"/>
    <n v="146"/>
    <s v="PIPO"/>
    <s v="WOS 92"/>
    <d v="2025-09-26T00:00:00"/>
    <x v="8"/>
    <s v="2526/7/TI-105"/>
    <x v="911"/>
    <d v="2025-09-26T00:00:00"/>
    <x v="6"/>
    <n v="84"/>
    <n v="84"/>
    <n v="7"/>
    <d v="2025-09-26T00:00:00"/>
    <s v="Delhi"/>
    <s v="VIJAY LAXMI TRANSPORT"/>
    <s v="DL01GC9359"/>
    <s v="22FT"/>
    <s v="NOT RECEIVED"/>
    <s v="Dispatched"/>
    <m/>
    <m/>
  </r>
  <r>
    <n v="1153"/>
    <n v="146"/>
    <s v="PIPO"/>
    <s v="WOS 98"/>
    <d v="2025-09-26T00:00:00"/>
    <x v="31"/>
    <s v="2526/7/TI-107"/>
    <x v="912"/>
    <d v="2025-09-26T00:00:00"/>
    <x v="6"/>
    <n v="84"/>
    <n v="84"/>
    <n v="7"/>
    <d v="2025-09-26T00:00:00"/>
    <s v="Delhi"/>
    <s v="VIJAY LAXMI TRANSPORT"/>
    <s v="DL01GC9359"/>
    <s v="22FT"/>
    <s v="NOT RECEIVED"/>
    <s v="Dispatched"/>
    <m/>
    <m/>
  </r>
  <r>
    <n v="1154"/>
    <n v="146"/>
    <s v="PIPO"/>
    <s v="WOS 75"/>
    <d v="2025-09-25T00:00:00"/>
    <x v="12"/>
    <s v="2526/7/TI-99"/>
    <x v="913"/>
    <d v="2025-09-26T00:00:00"/>
    <x v="6"/>
    <n v="1116"/>
    <n v="1116"/>
    <n v="93"/>
    <d v="2025-09-26T00:00:00"/>
    <s v="Delhi"/>
    <s v="VIJAY LAXMI TRANSPORT"/>
    <s v="DL01GC9359"/>
    <s v="22FT"/>
    <s v="NOT RECEIVED"/>
    <s v="Dispatched"/>
    <m/>
    <m/>
  </r>
  <r>
    <n v="1154"/>
    <n v="146"/>
    <s v="PIPO"/>
    <s v="WOS 87"/>
    <d v="2025-09-25T00:00:00"/>
    <x v="32"/>
    <s v="2526/7/TI-103"/>
    <x v="910"/>
    <d v="2025-09-26T00:00:00"/>
    <x v="6"/>
    <n v="432"/>
    <n v="432"/>
    <n v="36"/>
    <d v="2025-09-26T00:00:00"/>
    <s v="Delhi"/>
    <s v="VIJAY LAXMI TRANSPORT"/>
    <s v="DL01GC9359"/>
    <s v="22FT"/>
    <s v="NOT RECEIVED"/>
    <s v="Dispatched"/>
    <m/>
    <m/>
  </r>
  <r>
    <n v="1155"/>
    <n v="146"/>
    <s v="PIPO"/>
    <s v="WOS 96"/>
    <d v="2025-09-26T00:00:00"/>
    <x v="12"/>
    <s v="2526/7/TI-106"/>
    <x v="914"/>
    <d v="2025-09-26T00:00:00"/>
    <x v="6"/>
    <n v="360"/>
    <n v="360"/>
    <n v="30"/>
    <d v="2025-09-26T00:00:00"/>
    <s v="Delhi"/>
    <s v="VIJAY LAXMI TRANSPORT"/>
    <s v="DL01GC9359"/>
    <s v="22FT"/>
    <s v="NOT RECEIVED"/>
    <s v="Dispatched"/>
    <m/>
    <m/>
  </r>
  <r>
    <n v="1156"/>
    <n v="146"/>
    <s v="PIPO"/>
    <s v="WOS 78"/>
    <d v="2025-09-25T00:00:00"/>
    <x v="17"/>
    <s v="2526/7/TI-108"/>
    <x v="912"/>
    <d v="2025-09-26T00:00:00"/>
    <x v="6"/>
    <n v="108"/>
    <n v="108"/>
    <n v="9"/>
    <d v="2025-09-26T00:00:00"/>
    <s v="Delhi"/>
    <s v="VIJAY LAXMI TRANSPORT"/>
    <s v="DL01GC9359"/>
    <s v="22FT"/>
    <s v="NOT RECEIVED"/>
    <s v="Dispatched"/>
    <m/>
    <m/>
  </r>
  <r>
    <n v="1156"/>
    <n v="147"/>
    <s v="PIPO"/>
    <s v="WOS76"/>
    <d v="2025-09-27T00:00:00"/>
    <x v="2"/>
    <s v="2526/7/TI-109"/>
    <x v="915"/>
    <d v="2025-09-26T00:00:00"/>
    <x v="6"/>
    <n v="468"/>
    <n v="468"/>
    <n v="39"/>
    <d v="2025-09-27T00:00:00"/>
    <s v="Delhi"/>
    <s v="VIJAY LAXMI TRANSPORT"/>
    <s v="DL01MA9763"/>
    <s v="22FT"/>
    <s v="NOT RECEIVED"/>
    <s v="Dispatched"/>
    <m/>
    <m/>
  </r>
  <r>
    <n v="1156"/>
    <n v="147"/>
    <s v="PIPO"/>
    <s v="WOS79"/>
    <d v="2025-09-27T00:00:00"/>
    <x v="11"/>
    <s v="2526/7/TI-111"/>
    <x v="916"/>
    <d v="2025-09-27T00:00:00"/>
    <x v="6"/>
    <n v="444"/>
    <n v="444"/>
    <n v="37"/>
    <d v="2025-09-27T00:00:00"/>
    <s v="Delhi"/>
    <s v="VIJAY LAXMI TRANSPORT"/>
    <s v="DL01MA9763"/>
    <s v="22FT"/>
    <s v="NOT RECEIVED"/>
    <s v="Dispatched"/>
    <m/>
    <m/>
  </r>
  <r>
    <n v="1156"/>
    <n v="147"/>
    <s v="PIPO"/>
    <s v="WOS80"/>
    <d v="2025-09-27T00:00:00"/>
    <x v="27"/>
    <s v="2526/7/TI-112"/>
    <x v="917"/>
    <d v="2025-09-27T00:00:00"/>
    <x v="6"/>
    <n v="312"/>
    <n v="312"/>
    <n v="26"/>
    <d v="2025-09-27T00:00:00"/>
    <s v="Delhi"/>
    <s v="VIJAY LAXMI TRANSPORT"/>
    <s v="DL01MA9763"/>
    <s v="22FT"/>
    <s v="NOT RECEIVED"/>
    <s v="Dispatched"/>
    <m/>
    <m/>
  </r>
  <r>
    <n v="1156"/>
    <n v="147"/>
    <s v="PIPO"/>
    <s v="WOS81"/>
    <d v="2025-09-27T00:00:00"/>
    <x v="31"/>
    <s v="2526/7/TI-113"/>
    <x v="918"/>
    <d v="2025-09-27T00:00:00"/>
    <x v="6"/>
    <n v="372"/>
    <n v="372"/>
    <n v="31"/>
    <d v="2025-09-27T00:00:00"/>
    <s v="Delhi"/>
    <s v="VIJAY LAXMI TRANSPORT"/>
    <s v="DL01MA9763"/>
    <s v="22FT"/>
    <s v="NOT RECEIVED"/>
    <s v="Dispatched"/>
    <m/>
    <m/>
  </r>
  <r>
    <n v="1156"/>
    <n v="147"/>
    <s v="PIPO"/>
    <s v="WOS82"/>
    <d v="2025-09-27T00:00:00"/>
    <x v="29"/>
    <s v="2526/7/TI-114"/>
    <x v="919"/>
    <d v="2025-09-27T00:00:00"/>
    <x v="6"/>
    <n v="300"/>
    <n v="300"/>
    <n v="25"/>
    <d v="2025-09-27T00:00:00"/>
    <s v="Delhi"/>
    <s v="VIJAY LAXMI TRANSPORT"/>
    <s v="DL01MA9763"/>
    <s v="22FT"/>
    <s v="NOT RECEIVED"/>
    <s v="Dispatched"/>
    <m/>
    <m/>
  </r>
  <r>
    <n v="1156"/>
    <n v="147"/>
    <s v="PIPO"/>
    <s v="WOS83"/>
    <d v="2025-09-27T00:00:00"/>
    <x v="23"/>
    <s v="2526/7/TI-115"/>
    <x v="920"/>
    <d v="2025-09-27T00:00:00"/>
    <x v="6"/>
    <n v="156"/>
    <n v="156"/>
    <n v="13"/>
    <d v="2025-09-27T00:00:00"/>
    <s v="Delhi"/>
    <s v="VIJAY LAXMI TRANSPORT"/>
    <s v="DL01MA9763"/>
    <s v="22FT"/>
    <s v="NOT RECEIVED"/>
    <s v="Dispatched"/>
    <m/>
    <m/>
  </r>
  <r>
    <n v="1157"/>
    <n v="147"/>
    <s v="PIPO"/>
    <s v="WOS86"/>
    <d v="2025-09-27T00:00:00"/>
    <x v="4"/>
    <s v="2526/7/TI-117"/>
    <x v="921"/>
    <d v="2025-09-27T00:00:00"/>
    <x v="6"/>
    <n v="240"/>
    <n v="240"/>
    <n v="20"/>
    <d v="2025-09-27T00:00:00"/>
    <s v="Delhi"/>
    <s v="VIJAY LAXMI TRANSPORT"/>
    <s v="DL01MA9763"/>
    <s v="22FT"/>
    <s v="NOT RECEIVED"/>
    <s v="Dispatched"/>
    <m/>
    <m/>
  </r>
  <r>
    <n v="1157"/>
    <n v="147"/>
    <s v="PIPO"/>
    <s v="WOS74"/>
    <d v="2025-09-28T00:00:00"/>
    <x v="8"/>
    <s v="2526/7/TI-100"/>
    <x v="922"/>
    <d v="2025-09-26T00:00:00"/>
    <x v="6"/>
    <n v="192"/>
    <n v="192"/>
    <n v="16"/>
    <d v="2025-09-28T00:00:00"/>
    <s v="Delhi"/>
    <s v="VIJAY LAXMI TRANSPORT"/>
    <s v="DL01MA9417"/>
    <s v="22FT"/>
    <s v="NOT RECEIVED"/>
    <s v="Dispatched"/>
    <m/>
    <m/>
  </r>
  <r>
    <n v="1157"/>
    <n v="147"/>
    <s v="PIPO"/>
    <s v="WOS91"/>
    <d v="2025-09-28T00:00:00"/>
    <x v="8"/>
    <s v="2526/7/TI-119"/>
    <x v="923"/>
    <d v="2025-09-27T00:00:00"/>
    <x v="6"/>
    <n v="336"/>
    <n v="336"/>
    <n v="28"/>
    <d v="2025-09-28T00:00:00"/>
    <s v="Delhi"/>
    <s v="VIJAY LAXMI TRANSPORT"/>
    <s v="DL01MA9417"/>
    <s v="22FT"/>
    <s v="NOT RECEIVED"/>
    <s v="Dispatched"/>
    <m/>
    <m/>
  </r>
  <r>
    <n v="1157"/>
    <n v="147"/>
    <s v="PIPO"/>
    <s v="WOS106"/>
    <d v="2025-09-28T00:00:00"/>
    <x v="48"/>
    <s v="2526/7/TI-121"/>
    <x v="924"/>
    <d v="2025-09-28T00:00:00"/>
    <x v="6"/>
    <n v="120"/>
    <n v="120"/>
    <n v="10"/>
    <d v="2025-09-28T00:00:00"/>
    <s v="Delhi"/>
    <s v="VIJAY LAXMI TRANSPORT"/>
    <s v="DL01MA2968"/>
    <s v="22FT"/>
    <s v="NOT RECEIVED"/>
    <s v="Dispatched"/>
    <m/>
    <m/>
  </r>
  <r>
    <n v="1157"/>
    <n v="147"/>
    <s v="BIBO"/>
    <s v="WOS108"/>
    <d v="2025-09-28T00:00:00"/>
    <x v="12"/>
    <s v="2526/7/TI-122"/>
    <x v="925"/>
    <d v="2025-09-28T00:00:00"/>
    <x v="6"/>
    <n v="2400"/>
    <n v="2400"/>
    <n v="100"/>
    <d v="2025-09-28T00:00:00"/>
    <s v="Delhi"/>
    <s v="VIJAY LAXMI TRANSPORT"/>
    <s v="DL01MA2968"/>
    <s v="22FT"/>
    <s v="NOT RECEIVED"/>
    <s v="Dispatched"/>
    <m/>
    <m/>
  </r>
  <r>
    <n v="1157"/>
    <n v="147"/>
    <s v="BIBO"/>
    <s v="WOS112"/>
    <d v="2025-09-28T00:00:00"/>
    <x v="40"/>
    <s v="2526/7/TI-124"/>
    <x v="926"/>
    <d v="2025-09-28T00:00:00"/>
    <x v="6"/>
    <n v="504"/>
    <n v="504"/>
    <n v="21"/>
    <d v="2025-09-28T00:00:00"/>
    <s v="Delhi"/>
    <s v="VIJAY LAXMI TRANSPORT"/>
    <s v="DL01MA2968"/>
    <s v="22FT"/>
    <s v="NOT RECEIVED"/>
    <s v="Dispatched"/>
    <m/>
    <m/>
  </r>
  <r>
    <n v="1157"/>
    <n v="147"/>
    <s v="PIPO"/>
    <s v="WOS113"/>
    <d v="2025-09-28T00:00:00"/>
    <x v="33"/>
    <s v="2526/7/TI-125"/>
    <x v="927"/>
    <d v="2025-09-28T00:00:00"/>
    <x v="6"/>
    <n v="192"/>
    <n v="192"/>
    <n v="16"/>
    <d v="2025-09-28T00:00:00"/>
    <s v="Delhi"/>
    <s v="VIJAY LAXMI TRANSPORT"/>
    <s v="DL01MA2968"/>
    <s v="22FT"/>
    <s v="NOT RECEIVED"/>
    <s v="Dispatched"/>
    <m/>
    <m/>
  </r>
  <r>
    <n v="1157"/>
    <n v="147"/>
    <s v="PIPO"/>
    <s v="WOS93"/>
    <d v="2025-09-28T00:00:00"/>
    <x v="2"/>
    <s v="2526/7/TI-126"/>
    <x v="928"/>
    <d v="2025-09-28T00:00:00"/>
    <x v="6"/>
    <n v="552"/>
    <n v="552"/>
    <n v="46"/>
    <d v="2025-09-28T00:00:00"/>
    <s v="Delhi"/>
    <s v="VIJAY LAXMI TRANSPORT"/>
    <s v="DL01MA9417"/>
    <s v="22FT"/>
    <s v="NOT RECEIVED"/>
    <s v="Dispatched"/>
    <m/>
    <m/>
  </r>
  <r>
    <n v="1157"/>
    <n v="147"/>
    <s v="PIPO"/>
    <s v="WOS97"/>
    <d v="2025-09-28T00:00:00"/>
    <x v="31"/>
    <s v="2526/7/TI-130"/>
    <x v="929"/>
    <d v="2025-09-28T00:00:00"/>
    <x v="6"/>
    <n v="372"/>
    <n v="372"/>
    <n v="31"/>
    <d v="2025-09-28T00:00:00"/>
    <s v="Delhi"/>
    <s v="VIJAY LAXMI TRANSPORT"/>
    <s v="DL01MA9417"/>
    <s v="22FT"/>
    <s v="NOT RECEIVED"/>
    <s v="Dispatched"/>
    <m/>
    <m/>
  </r>
  <r>
    <n v="1157"/>
    <n v="147"/>
    <s v="PIPO"/>
    <s v="WOS101"/>
    <d v="2025-09-28T00:00:00"/>
    <x v="21"/>
    <s v="2526/7/TI-132"/>
    <x v="930"/>
    <d v="2025-09-28T00:00:00"/>
    <x v="6"/>
    <n v="156"/>
    <n v="156"/>
    <n v="13"/>
    <d v="2025-09-28T00:00:00"/>
    <s v="Delhi"/>
    <s v="VIJAY LAXMI TRANSPORT"/>
    <s v="DL01MA9417"/>
    <s v="22FT"/>
    <s v="NOT RECEIVED"/>
    <s v="Dispatched"/>
    <m/>
    <m/>
  </r>
  <r>
    <n v="1157"/>
    <n v="147"/>
    <s v="PIPO"/>
    <s v="WOS102"/>
    <d v="2025-09-28T00:00:00"/>
    <x v="19"/>
    <s v="2526/7/TI-133"/>
    <x v="931"/>
    <d v="2025-09-28T00:00:00"/>
    <x v="6"/>
    <n v="192"/>
    <n v="192"/>
    <n v="16"/>
    <d v="2025-09-28T00:00:00"/>
    <s v="Delhi"/>
    <s v="VIJAY LAXMI TRANSPORT"/>
    <s v="DL01MA9417"/>
    <s v="22FT"/>
    <s v="NOT RECEIVED"/>
    <s v="Dispatched"/>
    <m/>
    <m/>
  </r>
  <r>
    <n v="1157"/>
    <n v="147"/>
    <s v="PIPO"/>
    <s v="WOS115"/>
    <d v="2025-09-28T00:00:00"/>
    <x v="13"/>
    <s v="2526/7/TI-134"/>
    <x v="932"/>
    <d v="2025-09-28T00:00:00"/>
    <x v="6"/>
    <n v="348"/>
    <n v="348"/>
    <n v="29"/>
    <d v="2025-09-28T00:00:00"/>
    <s v="Delhi"/>
    <s v="VIJAY LAXMI TRANSPORT"/>
    <s v="DL01MA2968"/>
    <s v="22FT"/>
    <s v="NOT RECEIVED"/>
    <s v="Dispatched"/>
    <m/>
    <m/>
  </r>
  <r>
    <n v="1157"/>
    <n v="147"/>
    <s v="PIPO"/>
    <s v="WOS105"/>
    <d v="2025-09-28T00:00:00"/>
    <x v="22"/>
    <s v="2526/7/TI-136"/>
    <x v="933"/>
    <d v="2025-09-28T00:00:00"/>
    <x v="6"/>
    <n v="72"/>
    <n v="72"/>
    <n v="6"/>
    <d v="2025-09-28T00:00:00"/>
    <s v="Delhi"/>
    <s v="VIJAY LAXMI TRANSPORT"/>
    <s v="DL01MA2968"/>
    <s v="22FT"/>
    <s v="NOT RECEIVED"/>
    <s v="Dispatched"/>
    <m/>
    <m/>
  </r>
  <r>
    <n v="1157"/>
    <n v="147"/>
    <s v="PIPO"/>
    <s v="WOS111"/>
    <d v="2025-09-28T00:00:00"/>
    <x v="3"/>
    <s v="2526/7/TI-138"/>
    <x v="934"/>
    <d v="2025-09-28T00:00:00"/>
    <x v="6"/>
    <n v="276"/>
    <n v="276"/>
    <n v="23"/>
    <d v="2025-09-28T00:00:00"/>
    <s v="Delhi"/>
    <s v="VIJAY LAXMI TRANSPORT"/>
    <s v="DL01MA9417"/>
    <s v="22FT"/>
    <s v="NOT RECEIVED"/>
    <s v="Dispatched"/>
    <m/>
    <m/>
  </r>
  <r>
    <n v="1157"/>
    <n v="147"/>
    <s v="PIPO"/>
    <s v="WOS109"/>
    <d v="2025-09-28T00:00:00"/>
    <x v="4"/>
    <s v="2526/7/TI-139"/>
    <x v="935"/>
    <d v="2025-09-28T00:00:00"/>
    <x v="6"/>
    <n v="264"/>
    <n v="264"/>
    <n v="22"/>
    <d v="2025-09-28T00:00:00"/>
    <s v="Delhi"/>
    <s v="VIJAY LAXMI TRANSPORT"/>
    <s v="DL01MA2968"/>
    <s v="22FT"/>
    <s v="NOT RECEIVED"/>
    <s v="Dispatched"/>
    <m/>
    <m/>
  </r>
  <r>
    <n v="1158"/>
    <n v="148"/>
    <s v="PIPO"/>
    <s v="WSO 88"/>
    <d v="2025-09-26T00:00:00"/>
    <x v="49"/>
    <s v="2526/07/TI-104"/>
    <x v="936"/>
    <d v="2025-09-26T00:00:00"/>
    <x v="6"/>
    <n v="1320"/>
    <n v="1320"/>
    <n v="110"/>
    <d v="2025-09-28T00:00:00"/>
    <s v="Delhi"/>
    <s v="VIJAY LAXMI TRANSPORT"/>
    <s v="RJ14GT4589"/>
    <s v="22 FT"/>
    <s v="NOT RECEIVED"/>
    <s v="Dispatched"/>
    <m/>
    <m/>
  </r>
  <r>
    <n v="1158"/>
    <n v="148"/>
    <s v="PIPO"/>
    <s v="WOS 104"/>
    <d v="2025-09-27T00:00:00"/>
    <x v="48"/>
    <s v="2526/07/TI-120"/>
    <x v="937"/>
    <d v="2025-09-27T00:00:00"/>
    <x v="6"/>
    <n v="240"/>
    <n v="240"/>
    <n v="20"/>
    <d v="2025-09-28T00:00:00"/>
    <s v="Delhi"/>
    <s v="VIJAY LAXMI TRANSPORT"/>
    <s v="RJ14GT4589"/>
    <s v="22 FT"/>
    <s v="NOT RECEIVED"/>
    <s v="Dispatched"/>
    <m/>
    <m/>
  </r>
  <r>
    <n v="1158"/>
    <n v="148"/>
    <s v="PIPO"/>
    <s v="WOS 99"/>
    <d v="2025-09-28T00:00:00"/>
    <x v="25"/>
    <s v="2526/07/TI-123"/>
    <x v="938"/>
    <d v="2025-09-28T00:00:00"/>
    <x v="6"/>
    <n v="576"/>
    <n v="576"/>
    <n v="48"/>
    <d v="2025-09-28T00:00:00"/>
    <s v="Delhi"/>
    <s v="VIJAY LAXMI TRANSPORT"/>
    <s v="RJ14GT4589"/>
    <s v="22 FT"/>
    <s v="NOT RECEIVED"/>
    <s v="Dispatched"/>
    <m/>
    <m/>
  </r>
  <r>
    <n v="1158"/>
    <n v="148"/>
    <s v="PIPO"/>
    <s v="WOS 114"/>
    <d v="2025-09-28T00:00:00"/>
    <x v="47"/>
    <s v="2526/07/TI-127"/>
    <x v="939"/>
    <d v="2025-09-28T00:00:00"/>
    <x v="6"/>
    <n v="264"/>
    <n v="264"/>
    <n v="11"/>
    <d v="2025-09-28T00:00:00"/>
    <s v="Delhi"/>
    <s v="VIJAY LAXMI TRANSPORT"/>
    <s v="RJ14GT4589"/>
    <s v="22 FT"/>
    <s v="NOT RECEIVED"/>
    <s v="Dispatched"/>
    <m/>
    <m/>
  </r>
  <r>
    <n v="1158"/>
    <n v="148"/>
    <s v="BIBO"/>
    <s v="WOS 107"/>
    <d v="2025-09-28T00:00:00"/>
    <x v="49"/>
    <s v="2526/07/TI-128"/>
    <x v="940"/>
    <d v="2025-09-28T00:00:00"/>
    <x v="6"/>
    <n v="1056"/>
    <n v="1056"/>
    <n v="44"/>
    <d v="2025-09-28T00:00:00"/>
    <s v="Delhi"/>
    <s v="VIJAY LAXMI TRANSPORT"/>
    <s v="RJ14GT4589"/>
    <s v="22 FT"/>
    <s v="NOT RECEIVED"/>
    <s v="Dispatched"/>
    <m/>
    <m/>
  </r>
  <r>
    <n v="1158"/>
    <n v="148"/>
    <s v="BIBO"/>
    <s v="WOS 103"/>
    <d v="2025-09-28T00:00:00"/>
    <x v="4"/>
    <s v="2526/07/TI-129"/>
    <x v="941"/>
    <d v="2025-09-28T00:00:00"/>
    <x v="6"/>
    <n v="432"/>
    <n v="432"/>
    <n v="18"/>
    <d v="2025-09-28T00:00:00"/>
    <s v="Delhi"/>
    <s v="VIJAY LAXMI TRANSPORT"/>
    <s v="RJ14GT4589"/>
    <s v="22 FT"/>
    <s v="NOT RECEIVED"/>
    <s v="Dispatched"/>
    <m/>
    <m/>
  </r>
  <r>
    <n v="1158"/>
    <n v="148"/>
    <s v="PIPO"/>
    <s v="WOS 96"/>
    <d v="2025-09-26T00:00:00"/>
    <x v="12"/>
    <s v="2526/07/TI-106"/>
    <x v="914"/>
    <d v="2025-09-26T00:00:00"/>
    <x v="6"/>
    <n v="360"/>
    <n v="360"/>
    <n v="30"/>
    <d v="2025-09-26T00:00:00"/>
    <s v="Delhi"/>
    <s v="VIJAY LAXMI TRANSPORT"/>
    <s v="RJ14GT4589"/>
    <s v="22 FT"/>
    <s v="NOT RECEIVED"/>
    <s v="Dispatched"/>
    <m/>
    <m/>
  </r>
  <r>
    <n v="1160"/>
    <n v="149"/>
    <s v="PIPO"/>
    <s v="WOS 73"/>
    <d v="2025-09-26T00:00:00"/>
    <x v="12"/>
    <s v="2526/07/TI-101"/>
    <x v="942"/>
    <d v="2025-09-26T00:00:00"/>
    <x v="6"/>
    <n v="1824"/>
    <n v="1824"/>
    <n v="152"/>
    <d v="2025-09-27T00:00:00"/>
    <s v="Delhi"/>
    <s v="VIJAY LAXMI TRANSPORT"/>
    <s v="DL01GC9359"/>
    <s v="22 FT"/>
    <s v="NOT RECEIVED"/>
    <s v="Dispatched"/>
    <m/>
    <m/>
  </r>
  <r>
    <n v="1161"/>
    <n v="150"/>
    <s v="PIPO"/>
    <s v="WOS 72"/>
    <d v="2025-09-26T00:00:00"/>
    <x v="13"/>
    <s v="2526/07/TI-98"/>
    <x v="943"/>
    <d v="2025-09-26T00:00:00"/>
    <x v="6"/>
    <n v="720"/>
    <n v="720"/>
    <n v="60"/>
    <d v="2025-09-27T00:00:00"/>
    <s v="Delhi"/>
    <s v="VIJAY LAXMI TRANSPORT"/>
    <s v="DL01GC9359"/>
    <s v="22 FT"/>
    <s v="NOT RECEIVED"/>
    <s v="Dispatched"/>
    <m/>
    <m/>
  </r>
  <r>
    <n v="1161"/>
    <n v="150"/>
    <s v="PIPO"/>
    <s v="WOS 85"/>
    <d v="2025-09-27T00:00:00"/>
    <x v="47"/>
    <s v="2526/07/TI-116"/>
    <x v="931"/>
    <d v="2025-09-27T00:00:00"/>
    <x v="6"/>
    <n v="192"/>
    <n v="192"/>
    <n v="16"/>
    <d v="2025-09-27T00:00:00"/>
    <s v="Delhi"/>
    <s v="VIJAY LAXMI TRANSPORT"/>
    <s v="DL01GC9359"/>
    <s v="22 FT"/>
    <s v="NOT RECEIVED"/>
    <s v="Dispatched"/>
    <m/>
    <m/>
  </r>
  <r>
    <n v="1161"/>
    <n v="150"/>
    <s v="PIPO"/>
    <s v="WOS 77"/>
    <d v="2025-09-26T00:00:00"/>
    <x v="17"/>
    <s v="2526/07/TI-110"/>
    <x v="944"/>
    <d v="2025-09-26T00:00:00"/>
    <x v="6"/>
    <n v="420"/>
    <n v="420"/>
    <n v="35"/>
    <d v="2025-09-27T00:00:00"/>
    <s v="Delhi"/>
    <s v="VIJAY LAXMI TRANSPORT"/>
    <s v="DL01GC9359"/>
    <s v="22 FT"/>
    <s v="NOT RECEIVED"/>
    <s v="Dispatched"/>
    <m/>
    <m/>
  </r>
  <r>
    <n v="1161"/>
    <n v="151"/>
    <s v="BIBO"/>
    <s v="Back to vendor"/>
    <s v="-"/>
    <x v="50"/>
    <s v="CN-2/2025-26"/>
    <x v="945"/>
    <d v="2025-09-25T00:00:00"/>
    <x v="6"/>
    <n v="1944"/>
    <n v="1944"/>
    <n v="81"/>
    <d v="2025-09-25T00:00:00"/>
    <s v="BAHADURGARH"/>
    <s v="ROTHAJ Transport"/>
    <s v="DL01MA6728"/>
    <s v="22 FT"/>
    <s v="NOT RECEIVED"/>
    <s v="Dispatched"/>
    <s v="Back to supplier vendor (SPARIO)"/>
    <m/>
  </r>
  <r>
    <n v="1161"/>
    <n v="152"/>
    <s v="BIBO"/>
    <s v="SSO5"/>
    <d v="2025-09-30T00:00:00"/>
    <x v="0"/>
    <s v="STO-4"/>
    <x v="946"/>
    <d v="2025-09-30T00:00:00"/>
    <x v="6"/>
    <n v="480"/>
    <n v="480"/>
    <n v="20"/>
    <d v="2025-10-01T00:00:00"/>
    <s v="Delhi"/>
    <s v="VIJAY LAXMI TRANSPORT"/>
    <s v="DL1GC9359"/>
    <s v="22 FT"/>
    <s v="NOT RECEIVED"/>
    <s v="Dispatched"/>
    <m/>
    <m/>
  </r>
  <r>
    <n v="1161"/>
    <n v="152"/>
    <s v="PIPO"/>
    <s v="SSO4"/>
    <d v="2025-09-30T00:00:00"/>
    <x v="0"/>
    <s v="STO-5"/>
    <x v="947"/>
    <d v="2025-09-30T00:00:00"/>
    <x v="6"/>
    <n v="396"/>
    <n v="396"/>
    <n v="33"/>
    <d v="2025-10-01T00:00:00"/>
    <s v="Delhi"/>
    <s v="VIJAY LAXMI TRANSPORT"/>
    <s v="DL1GC9359"/>
    <s v="22 FT"/>
    <s v="NOT RECEIVED"/>
    <s v="Dispatched"/>
    <m/>
    <m/>
  </r>
  <r>
    <n v="1161"/>
    <n v="152"/>
    <s v="PIPO"/>
    <s v="WSO 89"/>
    <d v="2025-09-27T00:00:00"/>
    <x v="49"/>
    <s v="2526/07/TI-118"/>
    <x v="948"/>
    <d v="2025-09-27T00:00:00"/>
    <x v="6"/>
    <n v="564"/>
    <n v="564"/>
    <n v="47"/>
    <d v="2025-10-01T00:00:00"/>
    <s v="Delhi"/>
    <s v="VIJAY LAXMI TRANSPORT"/>
    <s v="DL1GC9359"/>
    <s v="22 FT"/>
    <s v="NOT RECEIVED"/>
    <s v="Dispatched"/>
    <m/>
    <m/>
  </r>
  <r>
    <n v="1161"/>
    <n v="152"/>
    <s v="PIPO"/>
    <s v="WOS 100"/>
    <d v="2025-09-28T00:00:00"/>
    <x v="25"/>
    <s v="2526/07/TI-131"/>
    <x v="949"/>
    <d v="2025-09-28T00:00:00"/>
    <x v="6"/>
    <n v="144"/>
    <n v="144"/>
    <n v="12"/>
    <d v="2025-10-01T00:00:00"/>
    <s v="Delhi"/>
    <s v="VIJAY LAXMI TRANSPORT"/>
    <s v="DL1GC9359"/>
    <s v="22 FT"/>
    <s v="NOT RECEIVED"/>
    <s v="Dispatched"/>
    <m/>
    <m/>
  </r>
  <r>
    <n v="1161"/>
    <n v="152"/>
    <s v="PIPO"/>
    <s v="WOS95"/>
    <d v="2025-09-28T00:00:00"/>
    <x v="27"/>
    <s v="2526/07/TI-135"/>
    <x v="950"/>
    <d v="2025-09-28T00:00:00"/>
    <x v="6"/>
    <n v="108"/>
    <n v="108"/>
    <n v="9"/>
    <d v="2025-10-01T00:00:00"/>
    <s v="Delhi"/>
    <s v="VIJAY LAXMI TRANSPORT"/>
    <s v="DL1GC9359"/>
    <s v="22 FT"/>
    <s v="NOT RECEIVED"/>
    <s v="Dispatched"/>
    <m/>
    <m/>
  </r>
  <r>
    <n v="1161"/>
    <n v="152"/>
    <s v="PIPO"/>
    <s v="WOS94"/>
    <d v="2025-09-28T00:00:00"/>
    <x v="11"/>
    <s v="2526/07/TI-137"/>
    <x v="951"/>
    <d v="2025-09-28T00:00:00"/>
    <x v="6"/>
    <n v="72"/>
    <n v="72"/>
    <n v="6"/>
    <d v="2025-10-01T00:00:00"/>
    <s v="Delhi"/>
    <s v="VIJAY LAXMI TRANSPORT"/>
    <s v="DL1GC9359"/>
    <s v="22 FT"/>
    <s v="NOT RECEIVED"/>
    <s v="Dispatched"/>
    <m/>
    <m/>
  </r>
  <r>
    <n v="1161"/>
    <n v="152"/>
    <s v="BIBO"/>
    <s v="WOS118"/>
    <d v="2025-09-30T00:00:00"/>
    <x v="4"/>
    <s v="2526/07/TI-140"/>
    <x v="952"/>
    <d v="2025-09-30T00:00:00"/>
    <x v="6"/>
    <n v="84"/>
    <n v="84"/>
    <n v="7"/>
    <d v="2025-10-01T00:00:00"/>
    <s v="Delhi"/>
    <s v="VIJAY LAXMI TRANSPORT"/>
    <s v="DL1GC9359"/>
    <s v="22 FT"/>
    <s v="NOT RECEIVED"/>
    <s v="Dispatched"/>
    <m/>
    <m/>
  </r>
  <r>
    <n v="1161"/>
    <n v="152"/>
    <s v="PIPO"/>
    <s v="WOS119"/>
    <d v="2025-09-30T00:00:00"/>
    <x v="4"/>
    <s v="2526/07/TI-141"/>
    <x v="953"/>
    <d v="2025-09-30T00:00:00"/>
    <x v="6"/>
    <n v="264"/>
    <n v="264"/>
    <n v="22"/>
    <d v="2025-10-01T00:00:00"/>
    <s v="Delhi"/>
    <s v="VIJAY LAXMI TRANSPORT"/>
    <s v="DL1GC9359"/>
    <s v="22 FT"/>
    <s v="NOT RECEIVED"/>
    <s v="Dispatched"/>
    <m/>
    <m/>
  </r>
  <r>
    <n v="1161"/>
    <n v="152"/>
    <s v="PIPO"/>
    <s v="WOS120"/>
    <d v="2025-09-30T00:00:00"/>
    <x v="49"/>
    <s v="2526/07/TI-142"/>
    <x v="954"/>
    <d v="2025-09-30T00:00:00"/>
    <x v="6"/>
    <n v="564"/>
    <n v="564"/>
    <n v="47"/>
    <d v="2025-10-01T00:00:00"/>
    <s v="Delhi"/>
    <s v="VIJAY LAXMI TRANSPORT"/>
    <s v="DL1GC9359"/>
    <s v="22 FT"/>
    <s v="NOT RECEIVED"/>
    <s v="Dispatched"/>
    <m/>
    <m/>
  </r>
  <r>
    <n v="1161"/>
    <n v="152"/>
    <s v="PIPO"/>
    <s v="WOS117"/>
    <d v="2025-09-30T00:00:00"/>
    <x v="35"/>
    <s v="2526/07/TI-144"/>
    <x v="955"/>
    <d v="2025-09-30T00:00:00"/>
    <x v="6"/>
    <n v="180"/>
    <n v="180"/>
    <n v="15"/>
    <d v="2025-10-01T00:00:00"/>
    <s v="Delhi"/>
    <s v="VIJAY LAXMI TRANSPORT"/>
    <s v="DL1GC9359"/>
    <s v="22 FT"/>
    <s v="NOT RECEIVED"/>
    <s v="Dispatched"/>
    <m/>
    <m/>
  </r>
  <r>
    <n v="1161"/>
    <n v="152"/>
    <s v="PIPO"/>
    <s v="WOS123"/>
    <d v="2025-10-01T00:00:00"/>
    <x v="33"/>
    <s v="2526/07/TI-146"/>
    <x v="956"/>
    <d v="2025-10-01T00:00:00"/>
    <x v="7"/>
    <n v="108"/>
    <n v="108"/>
    <n v="12"/>
    <d v="2025-10-01T00:00:00"/>
    <s v="Delhi"/>
    <s v="VIJAY LAXMI TRANSPORT"/>
    <s v="DL1GC9359"/>
    <s v="22 FT"/>
    <s v="NOT RECEIVED"/>
    <s v="Dispatched"/>
    <m/>
    <m/>
  </r>
  <r>
    <n v="1161"/>
    <n v="152"/>
    <s v="PIPO"/>
    <s v="SAMPLE"/>
    <d v="2025-10-01T00:00:00"/>
    <x v="0"/>
    <s v="DC-001"/>
    <x v="957"/>
    <d v="2025-09-30T00:00:00"/>
    <x v="6"/>
    <s v="-"/>
    <s v="-"/>
    <n v="6"/>
    <d v="2025-10-01T00:00:00"/>
    <s v="Delhi"/>
    <s v="VIJAY LAXMI TRANSPORT"/>
    <s v="DL1GC9359"/>
    <s v="22 FT"/>
    <s v="NOT RECEIVED"/>
    <s v="Dispatched"/>
    <s v="SAMPLE BOX "/>
    <m/>
  </r>
  <r>
    <n v="1162"/>
    <n v="153"/>
    <s v="PIPO"/>
    <s v="WOS122"/>
    <d v="2025-09-30T00:00:00"/>
    <x v="13"/>
    <s v="2526/07/TI-143"/>
    <x v="958"/>
    <d v="2025-09-30T00:00:00"/>
    <x v="6"/>
    <n v="180"/>
    <n v="180"/>
    <n v="15"/>
    <d v="2025-10-01T00:00:00"/>
    <s v="Delhi"/>
    <s v="VIJAY LAXMI TRANSPORT"/>
    <s v="RJ14GT4589"/>
    <s v="22 FT"/>
    <s v="NOT RECEIVED"/>
    <s v="Dispatched"/>
    <m/>
    <m/>
  </r>
  <r>
    <n v="1162"/>
    <n v="153"/>
    <s v="PIPO"/>
    <s v="WOS121"/>
    <d v="2025-09-30T00:00:00"/>
    <x v="13"/>
    <s v="2526/07/TI-145"/>
    <x v="959"/>
    <d v="2025-09-30T00:00:00"/>
    <x v="6"/>
    <n v="1872"/>
    <n v="1872"/>
    <n v="156"/>
    <d v="2025-10-01T00:00:00"/>
    <s v="Delhi"/>
    <s v="VIJAY LAXMI TRANSPORT"/>
    <s v="RJ14GT4589"/>
    <s v="22 FT"/>
    <s v="NOT RECEIVED"/>
    <s v="Dispatched"/>
    <m/>
    <m/>
  </r>
  <r>
    <n v="1162"/>
    <n v="153"/>
    <s v="PIPO"/>
    <s v="WOS124"/>
    <d v="2025-10-01T00:00:00"/>
    <x v="13"/>
    <s v="2526/07/TI-147"/>
    <x v="960"/>
    <d v="2025-10-01T00:00:00"/>
    <x v="7"/>
    <n v="300"/>
    <n v="300"/>
    <n v="25"/>
    <d v="2025-10-01T00:00:00"/>
    <s v="Delhi"/>
    <s v="VIJAY LAXMI TRANSPORT"/>
    <s v="RJ14GT4589"/>
    <s v="22 FT"/>
    <s v="NOT RECEIVED"/>
    <s v="Dispatched"/>
    <m/>
    <m/>
  </r>
  <r>
    <n v="1163"/>
    <n v="154"/>
    <s v="PIPO"/>
    <s v="WOS 116"/>
    <s v="27/09/2025"/>
    <x v="44"/>
    <s v="2526/07/TI-148"/>
    <x v="961"/>
    <d v="2025-10-03T00:00:00"/>
    <x v="7"/>
    <n v="660"/>
    <n v="660"/>
    <n v="55"/>
    <d v="2025-10-03T00:00:00"/>
    <s v="Delhi"/>
    <s v="VIJAY LAXMI TRANSPORT"/>
    <s v="DL1GC9359"/>
    <s v="22 FT"/>
    <s v="NOT RECEIVED"/>
    <s v="Dispatched"/>
    <m/>
    <m/>
  </r>
  <r>
    <n v="1163"/>
    <n v="154"/>
    <s v="PIPO"/>
    <s v="WOS 129"/>
    <d v="2025-10-03T00:00:00"/>
    <x v="4"/>
    <s v="2526/07/TI-155"/>
    <x v="962"/>
    <d v="2025-10-03T00:00:00"/>
    <x v="7"/>
    <n v="168"/>
    <n v="168"/>
    <n v="16"/>
    <d v="2025-10-03T00:00:00"/>
    <s v="Delhi"/>
    <s v="VIJAY LAXMI TRANSPORT"/>
    <s v="DL1GC9359"/>
    <s v="22 FT"/>
    <s v="NOT RECEIVED"/>
    <s v="Dispatched"/>
    <m/>
    <m/>
  </r>
  <r>
    <n v="1163"/>
    <n v="154"/>
    <s v="BIBO"/>
    <s v="WOS 125"/>
    <d v="2025-10-01T00:00:00"/>
    <x v="43"/>
    <s v="2526/07/TI-149"/>
    <x v="963"/>
    <d v="2025-10-03T00:00:00"/>
    <x v="7"/>
    <n v="648"/>
    <n v="648"/>
    <n v="36"/>
    <d v="2025-10-03T00:00:00"/>
    <s v="Delhi"/>
    <s v="VIJAY LAXMI TRANSPORT"/>
    <s v="DL1GC9359"/>
    <s v="22 FT"/>
    <s v="NOT RECEIVED"/>
    <s v="Dispatched"/>
    <m/>
    <m/>
  </r>
  <r>
    <n v="1163"/>
    <n v="154"/>
    <s v="PIPO"/>
    <s v="WOS 132"/>
    <d v="2025-10-03T00:00:00"/>
    <x v="17"/>
    <s v="2526/07/TI-156"/>
    <x v="964"/>
    <d v="2025-10-03T00:00:00"/>
    <x v="7"/>
    <n v="60"/>
    <n v="60"/>
    <n v="5"/>
    <d v="2025-10-03T00:00:00"/>
    <s v="Delhi"/>
    <s v="VIJAY LAXMI TRANSPORT"/>
    <s v="DL1GC9359"/>
    <s v="22 FT"/>
    <s v="NOT RECEIVED"/>
    <s v="Dispatched"/>
    <m/>
    <m/>
  </r>
  <r>
    <n v="1163"/>
    <n v="154"/>
    <s v="PIPO"/>
    <s v="WOS 126"/>
    <d v="2025-10-03T00:00:00"/>
    <x v="13"/>
    <s v="2526/07/TI-150"/>
    <x v="965"/>
    <d v="2025-10-03T00:00:00"/>
    <x v="7"/>
    <n v="480"/>
    <n v="480"/>
    <n v="42"/>
    <d v="2025-10-03T00:00:00"/>
    <s v="Delhi"/>
    <s v="VIJAY LAXMI TRANSPORT"/>
    <s v="DL1GC9359"/>
    <s v="22 FT"/>
    <s v="NOT RECEIVED"/>
    <s v="Dispatched"/>
    <m/>
    <m/>
  </r>
  <r>
    <n v="1163"/>
    <n v="154"/>
    <s v="PIPO"/>
    <s v="WOS 131"/>
    <d v="2025-10-03T00:00:00"/>
    <x v="11"/>
    <s v="2526/07/TI-154"/>
    <x v="964"/>
    <d v="2025-10-03T00:00:00"/>
    <x v="7"/>
    <n v="60"/>
    <n v="60"/>
    <n v="5"/>
    <d v="2025-10-03T00:00:00"/>
    <s v="Delhi"/>
    <s v="VIJAY LAXMI TRANSPORT"/>
    <s v="DL1GC9359"/>
    <s v="22 FT"/>
    <s v="NOT RECEIVED"/>
    <s v="Dispatched"/>
    <m/>
    <m/>
  </r>
  <r>
    <n v="1163"/>
    <n v="154"/>
    <s v="PIPO"/>
    <s v="WOS 128"/>
    <d v="2025-10-03T00:00:00"/>
    <x v="29"/>
    <s v="2526/07/TI-152"/>
    <x v="966"/>
    <d v="2025-10-03T00:00:00"/>
    <x v="7"/>
    <n v="72"/>
    <n v="72"/>
    <n v="6"/>
    <d v="2025-10-03T00:00:00"/>
    <s v="Delhi"/>
    <s v="VIJAY LAXMI TRANSPORT"/>
    <s v="DL1GC9359"/>
    <s v="22 FT"/>
    <s v="NOT RECEIVED"/>
    <s v="Dispatched"/>
    <m/>
    <m/>
  </r>
  <r>
    <n v="1163"/>
    <n v="154"/>
    <s v="PIPO"/>
    <s v="WOS 130"/>
    <d v="2025-10-03T00:00:00"/>
    <x v="19"/>
    <s v="2526/07/TI-153"/>
    <x v="967"/>
    <d v="2025-10-03T00:00:00"/>
    <x v="7"/>
    <n v="120"/>
    <n v="120"/>
    <n v="10"/>
    <d v="2025-10-03T00:00:00"/>
    <s v="Delhi"/>
    <s v="VIJAY LAXMI TRANSPORT"/>
    <s v="DL1GC9359"/>
    <s v="22 FT"/>
    <s v="NOT RECEIVED"/>
    <s v="Dispatched"/>
    <m/>
    <m/>
  </r>
  <r>
    <n v="1163"/>
    <n v="154"/>
    <s v="PIPO"/>
    <s v="WOS 127"/>
    <d v="2025-10-03T00:00:00"/>
    <x v="12"/>
    <s v="2526/07/TI-151"/>
    <x v="968"/>
    <d v="2025-10-03T00:00:00"/>
    <x v="7"/>
    <n v="960"/>
    <n v="960"/>
    <n v="89"/>
    <d v="2025-10-03T00:00:00"/>
    <s v="Delhi"/>
    <s v="VIJAY LAXMI TRANSPORT"/>
    <s v="DL1GC9359"/>
    <s v="22 FT"/>
    <s v="NOT RECEIVED"/>
    <s v="Dispatched"/>
    <m/>
    <m/>
  </r>
  <r>
    <n v="1164"/>
    <n v="155"/>
    <s v="PIPO"/>
    <s v="WOS 146"/>
    <d v="2025-10-05T00:00:00"/>
    <x v="31"/>
    <s v="2526/07/TI-169"/>
    <x v="969"/>
    <d v="2025-10-05T00:00:00"/>
    <x v="7"/>
    <n v="60"/>
    <n v="60"/>
    <n v="5"/>
    <d v="2025-10-05T00:00:00"/>
    <s v="SRINAGAR"/>
    <s v="VIJAY LAXMI TRANSPORT"/>
    <s v="DL01MA9417"/>
    <s v="22 FT"/>
    <s v="NOT RECEIVED"/>
    <s v="Dispatched"/>
    <m/>
    <m/>
  </r>
  <r>
    <n v="1164"/>
    <n v="155"/>
    <s v="PIPO"/>
    <s v="WOS 138"/>
    <d v="2025-10-05T00:00:00"/>
    <x v="4"/>
    <s v="2526/07/TI-158"/>
    <x v="970"/>
    <d v="2025-10-05T00:00:00"/>
    <x v="7"/>
    <n v="156"/>
    <n v="156"/>
    <n v="13"/>
    <d v="2025-10-05T00:00:00"/>
    <s v="LUDIYANA"/>
    <s v="VIJAY LAXMI TRANSPORT"/>
    <s v="DL01MA9417"/>
    <s v="22 FT"/>
    <s v="NOT RECEIVED"/>
    <s v="Dispatched"/>
    <m/>
    <m/>
  </r>
  <r>
    <n v="1164"/>
    <n v="155"/>
    <s v="PIPO"/>
    <s v="WOS 140"/>
    <d v="2025-10-05T00:00:00"/>
    <x v="27"/>
    <s v="2526/07/TI-172"/>
    <x v="971"/>
    <d v="2025-10-05T00:00:00"/>
    <x v="7"/>
    <n v="288"/>
    <n v="288"/>
    <n v="24"/>
    <d v="2025-10-05T00:00:00"/>
    <s v="BHOPAL"/>
    <s v="VIJAY LAXMI TRANSPORT"/>
    <s v="DL01MA9417"/>
    <s v="22 FT"/>
    <s v="NOT RECEIVED"/>
    <s v="Dispatched"/>
    <m/>
    <m/>
  </r>
  <r>
    <n v="1164"/>
    <n v="155"/>
    <s v="PIPO"/>
    <s v="WOS 150"/>
    <d v="2025-10-05T00:00:00"/>
    <x v="48"/>
    <s v="2526/07/TI-163"/>
    <x v="970"/>
    <d v="2025-10-05T00:00:00"/>
    <x v="7"/>
    <n v="156"/>
    <n v="156"/>
    <n v="13"/>
    <d v="2025-10-05T00:00:00"/>
    <s v="Delhi"/>
    <s v="VIJAY LAXMI TRANSPORT"/>
    <s v="DL01MA9417"/>
    <s v="22 FT"/>
    <s v="NOT RECEIVED"/>
    <s v="Dispatched"/>
    <m/>
    <m/>
  </r>
  <r>
    <n v="1164"/>
    <n v="155"/>
    <s v="PIPO"/>
    <s v="WOS 136"/>
    <d v="2025-10-05T00:00:00"/>
    <x v="13"/>
    <s v="2526/07/TI-170"/>
    <x v="972"/>
    <d v="2025-10-05T00:00:00"/>
    <x v="7"/>
    <n v="864"/>
    <n v="864"/>
    <n v="72"/>
    <d v="2025-10-05T00:00:00"/>
    <s v="Jaipur"/>
    <s v="VIJAY LAXMI TRANSPORT"/>
    <s v="DL01MA9417"/>
    <s v="22 FT"/>
    <s v="NOT RECEIVED"/>
    <s v="Dispatched"/>
    <m/>
    <m/>
  </r>
  <r>
    <n v="1164"/>
    <n v="155"/>
    <s v="PIPO"/>
    <s v="WOS 139"/>
    <d v="2025-10-05T00:00:00"/>
    <x v="2"/>
    <s v="2526/07/TI-157"/>
    <x v="973"/>
    <d v="2025-10-05T00:00:00"/>
    <x v="7"/>
    <n v="132"/>
    <n v="132"/>
    <n v="11"/>
    <d v="2025-10-05T00:00:00"/>
    <s v="GAZIABAD"/>
    <s v="VIJAY LAXMI TRANSPORT"/>
    <s v="DL01MA9417"/>
    <s v="22 FT"/>
    <s v="NOT RECEIVED"/>
    <s v="Dispatched"/>
    <m/>
    <m/>
  </r>
  <r>
    <n v="1164"/>
    <n v="155"/>
    <s v="PIPO"/>
    <s v="WOS148"/>
    <d v="2025-10-05T00:00:00"/>
    <x v="11"/>
    <s v="2526/07/TI-165"/>
    <x v="974"/>
    <d v="2025-10-05T00:00:00"/>
    <x v="7"/>
    <n v="144"/>
    <n v="144"/>
    <n v="12"/>
    <d v="2025-10-05T00:00:00"/>
    <s v="NEW DELHI"/>
    <s v="VIJAY LAXMI TRANSPORT"/>
    <s v="DL01MA9417"/>
    <s v="22 FT"/>
    <s v="NOT RECEIVED"/>
    <s v="Dispatched"/>
    <m/>
    <m/>
  </r>
  <r>
    <n v="1164"/>
    <n v="155"/>
    <s v="PIPO"/>
    <s v="WOS147"/>
    <d v="2025-10-05T00:00:00"/>
    <x v="17"/>
    <s v="2526/07/TI-166"/>
    <x v="974"/>
    <d v="2025-10-05T00:00:00"/>
    <x v="7"/>
    <n v="144"/>
    <n v="144"/>
    <n v="12"/>
    <d v="2025-10-05T00:00:00"/>
    <s v="GUJARAT"/>
    <s v="VIJAY LAXMI TRANSPORT"/>
    <s v="DL01MA9417"/>
    <s v="22 FT"/>
    <s v="NOT RECEIVED"/>
    <s v="Dispatched"/>
    <m/>
    <m/>
  </r>
  <r>
    <n v="1164"/>
    <n v="155"/>
    <s v="PIPO"/>
    <s v="WOS 137"/>
    <d v="2025-10-05T00:00:00"/>
    <x v="12"/>
    <s v="2526/07/TI-171"/>
    <x v="975"/>
    <d v="2025-10-05T00:00:00"/>
    <x v="7"/>
    <n v="780"/>
    <n v="780"/>
    <n v="65"/>
    <d v="2025-10-05T00:00:00"/>
    <s v="GUJARAT"/>
    <s v="VIJAY LAXMI TRANSPORT"/>
    <s v="DL01MA9417"/>
    <s v="22 FT"/>
    <s v="NOT RECEIVED"/>
    <s v="Dispatched"/>
    <m/>
    <m/>
  </r>
  <r>
    <n v="1164"/>
    <n v="155"/>
    <s v="PIPO"/>
    <s v="WOS 149"/>
    <d v="2025-10-05T00:00:00"/>
    <x v="8"/>
    <s v="2526/07/TI-167"/>
    <x v="969"/>
    <d v="2025-10-05T00:00:00"/>
    <x v="7"/>
    <n v="60"/>
    <n v="60"/>
    <n v="5"/>
    <d v="2025-10-05T00:00:00"/>
    <s v="SOLAN"/>
    <s v="VIJAY LAXMI TRANSPORT"/>
    <s v="DL01MA9417"/>
    <s v="22 FT"/>
    <s v="NOT RECEIVED"/>
    <s v="Dispatched"/>
    <m/>
    <m/>
  </r>
  <r>
    <n v="1165"/>
    <n v="156"/>
    <s v="PIPO"/>
    <s v="WOS 162"/>
    <d v="2025-10-06T00:00:00"/>
    <x v="13"/>
    <s v="2526/7/ TI-186"/>
    <x v="976"/>
    <d v="2025-10-07T00:00:00"/>
    <x v="7"/>
    <n v="1644"/>
    <n v="1644"/>
    <n v="137"/>
    <d v="2025-10-07T00:00:00"/>
    <s v="Jaipur"/>
    <s v="VIJAY LAXMI TRANSPORT"/>
    <s v="DL01GE4741"/>
    <s v="22 FT"/>
    <s v="NOT RECEIVED"/>
    <s v="Dispatched"/>
    <m/>
    <m/>
  </r>
  <r>
    <n v="1165"/>
    <n v="156"/>
    <s v="PIPO"/>
    <s v="WOS 163"/>
    <d v="2025-10-06T00:00:00"/>
    <x v="12"/>
    <s v="2526/7/TI-187"/>
    <x v="977"/>
    <d v="2025-10-07T00:00:00"/>
    <x v="7"/>
    <n v="1812"/>
    <n v="1812"/>
    <n v="151"/>
    <d v="2025-10-07T00:00:00"/>
    <s v="GUJARAT"/>
    <s v="VIJAY LAXMI TRANSPORT"/>
    <s v="DL01GE4741"/>
    <s v="22 FT"/>
    <s v="NOT RECEIVED"/>
    <s v="Dispatched"/>
    <m/>
    <m/>
  </r>
  <r>
    <n v="1165"/>
    <n v="156"/>
    <s v="PIPO"/>
    <s v="WOS 166"/>
    <d v="2025-10-06T00:00:00"/>
    <x v="27"/>
    <s v="2526/7/TI-189"/>
    <x v="978"/>
    <d v="2025-10-07T00:00:00"/>
    <x v="7"/>
    <n v="240"/>
    <n v="240"/>
    <n v="20"/>
    <d v="2025-10-07T00:00:00"/>
    <s v="Madhya Pradesh"/>
    <s v="VIJAY LAXMI TRANSPORT"/>
    <s v="DL01GE4741"/>
    <s v="22 FT"/>
    <s v="NOT RECEIVED"/>
    <s v="Dispatched"/>
    <m/>
    <m/>
  </r>
  <r>
    <n v="1165"/>
    <n v="156"/>
    <s v="PIPO"/>
    <s v="WOS 182"/>
    <d v="2025-10-06T00:00:00"/>
    <x v="35"/>
    <s v="2526/7/TI-190"/>
    <x v="979"/>
    <d v="2025-10-06T00:00:00"/>
    <x v="7"/>
    <n v="120"/>
    <n v="120"/>
    <n v="8"/>
    <d v="2025-10-07T00:00:00"/>
    <s v="Rajasthan"/>
    <s v="VIJAY LAXMI TRANSPORT"/>
    <s v="DL01GE4741"/>
    <s v="22 FT"/>
    <s v="NOT RECEIVED"/>
    <s v="Dispatched"/>
    <m/>
    <m/>
  </r>
  <r>
    <n v="1165"/>
    <n v="156"/>
    <s v="PIPO"/>
    <s v="WOS 145"/>
    <d v="2025-10-05T00:00:00"/>
    <x v="29"/>
    <s v="2526/7/TI-168"/>
    <x v="980"/>
    <d v="2025-10-05T00:00:00"/>
    <x v="7"/>
    <n v="96"/>
    <n v="96"/>
    <n v="8"/>
    <d v="2025-10-07T00:00:00"/>
    <s v="Madhya Pradesh"/>
    <s v="VIJAY LAXMI TRANSPORT"/>
    <s v="DL01MA9877"/>
    <s v="22 FT"/>
    <s v="NOT RECEIVED"/>
    <s v="Dispatched"/>
    <m/>
    <m/>
  </r>
  <r>
    <n v="1165"/>
    <n v="156"/>
    <s v="PIPO"/>
    <s v="WOS 141"/>
    <d v="2025-10-05T00:00:00"/>
    <x v="49"/>
    <s v="2526/7/ TI-174"/>
    <x v="981"/>
    <d v="2025-10-06T00:00:00"/>
    <x v="7"/>
    <n v="108"/>
    <n v="108"/>
    <n v="9"/>
    <d v="2025-10-07T00:00:00"/>
    <s v="Uttar Pradesh"/>
    <s v="VIJAY LAXMI TRANSPORT"/>
    <s v="DL01MA9877"/>
    <s v="22 FT"/>
    <s v="NOT RECEIVED"/>
    <s v="Dispatched"/>
    <m/>
    <m/>
  </r>
  <r>
    <n v="1165"/>
    <n v="156"/>
    <s v="PIPO"/>
    <s v="WOS 151"/>
    <d v="2025-10-05T00:00:00"/>
    <x v="3"/>
    <s v="2526/7/ TI-176"/>
    <x v="982"/>
    <d v="2025-10-06T00:00:00"/>
    <x v="7"/>
    <n v="120"/>
    <n v="120"/>
    <n v="10"/>
    <d v="2025-10-07T00:00:00"/>
    <s v="Chandigarh"/>
    <s v="VIJAY LAXMI TRANSPORT"/>
    <s v="DL01MA9877"/>
    <s v="22 FT"/>
    <s v="NOT RECEIVED"/>
    <s v="Dispatched"/>
    <m/>
    <m/>
  </r>
  <r>
    <n v="1165"/>
    <n v="156"/>
    <s v="PIPO"/>
    <s v="WOS 153"/>
    <d v="2025-10-05T00:00:00"/>
    <x v="23"/>
    <s v=" 2526/7/TI-177"/>
    <x v="983"/>
    <d v="2025-10-06T00:00:00"/>
    <x v="7"/>
    <n v="72"/>
    <n v="72"/>
    <n v="6"/>
    <d v="2025-10-07T00:00:00"/>
    <s v="Jammu &amp; Kashmir"/>
    <s v="VIJAY LAXMI TRANSPORT"/>
    <s v="DL01MA9877"/>
    <s v="22 FT"/>
    <s v="NOT RECEIVED"/>
    <s v="Dispatched"/>
    <m/>
    <m/>
  </r>
  <r>
    <n v="1165"/>
    <n v="156"/>
    <s v="PIPO"/>
    <s v="WOS 155"/>
    <d v="2025-10-05T00:00:00"/>
    <x v="35"/>
    <s v="2526/7/TI-159"/>
    <x v="983"/>
    <d v="2025-10-05T00:00:00"/>
    <x v="7"/>
    <n v="72"/>
    <n v="72"/>
    <n v="6"/>
    <d v="2025-10-07T00:00:00"/>
    <s v="Delhi"/>
    <s v="VIJAY LAXMI TRANSPORT"/>
    <s v="DL01MA9877"/>
    <s v="22 FT"/>
    <s v="NOT RECEIVED"/>
    <s v="Dispatched"/>
    <m/>
    <m/>
  </r>
  <r>
    <n v="1165"/>
    <n v="156"/>
    <s v="PIPO"/>
    <s v="WOS 156"/>
    <d v="2025-10-05T00:00:00"/>
    <x v="47"/>
    <s v="2526/7/TI-160"/>
    <x v="983"/>
    <d v="2025-10-05T00:00:00"/>
    <x v="7"/>
    <n v="72"/>
    <n v="72"/>
    <n v="6"/>
    <d v="2025-10-07T00:00:00"/>
    <s v="Maharashtra"/>
    <s v="VIJAY LAXMI TRANSPORT"/>
    <s v="DL01MA9877"/>
    <s v="22 FT"/>
    <s v="NOT RECEIVED"/>
    <s v="Dispatched"/>
    <m/>
    <m/>
  </r>
  <r>
    <n v="1165"/>
    <n v="156"/>
    <s v="PIPO"/>
    <s v="WOS 154"/>
    <d v="2025-10-05T00:00:00"/>
    <x v="21"/>
    <s v="2526/7/TI-161"/>
    <x v="984"/>
    <d v="2025-10-05T00:00:00"/>
    <x v="7"/>
    <n v="84"/>
    <n v="84"/>
    <n v="7"/>
    <d v="2025-10-07T00:00:00"/>
    <s v="Haryana"/>
    <s v="VIJAY LAXMI TRANSPORT"/>
    <s v="DL01MA9877"/>
    <s v="22 FT"/>
    <s v="NOT RECEIVED"/>
    <s v="Dispatched"/>
    <m/>
    <m/>
  </r>
  <r>
    <n v="1165"/>
    <n v="156"/>
    <s v="PIPO"/>
    <s v="WOS 152"/>
    <d v="2025-10-05T00:00:00"/>
    <x v="33"/>
    <s v="2526/7/TI-162"/>
    <x v="983"/>
    <d v="2025-10-05T00:00:00"/>
    <x v="7"/>
    <n v="72"/>
    <n v="72"/>
    <n v="6"/>
    <d v="2025-10-07T00:00:00"/>
    <s v="Maharashtra"/>
    <s v="VIJAY LAXMI TRANSPORT"/>
    <s v="DL01MA9877"/>
    <s v="22 FT"/>
    <s v="NOT RECEIVED"/>
    <s v="Dispatched"/>
    <m/>
    <m/>
  </r>
  <r>
    <n v="1165"/>
    <n v="156"/>
    <s v="PIPO"/>
    <s v="WOS 144"/>
    <d v="2025-10-05T00:00:00"/>
    <x v="19"/>
    <s v="2526/7/TI-164"/>
    <x v="981"/>
    <d v="2025-10-05T00:00:00"/>
    <x v="7"/>
    <n v="108"/>
    <n v="108"/>
    <n v="9"/>
    <d v="2025-10-07T00:00:00"/>
    <s v="Rajasthan"/>
    <s v="VIJAY LAXMI TRANSPORT"/>
    <s v="DL01MA9877"/>
    <s v="22 FT"/>
    <s v="NOT RECEIVED"/>
    <s v="Dispatched"/>
    <m/>
    <m/>
  </r>
  <r>
    <n v="1165"/>
    <n v="156"/>
    <s v="PIPO"/>
    <s v="WOS 134"/>
    <d v="2025-10-05T00:00:00"/>
    <x v="51"/>
    <s v="2526/7/TI-173"/>
    <x v="985"/>
    <d v="2025-10-06T00:00:00"/>
    <x v="7"/>
    <n v="240"/>
    <n v="240"/>
    <n v="20"/>
    <d v="2025-10-07T00:00:00"/>
    <s v="Rajasthan"/>
    <s v="VIJAY LAXMI TRANSPORT"/>
    <s v="DL01MA9877"/>
    <s v="22 FT"/>
    <s v="NOT RECEIVED"/>
    <s v="Dispatched"/>
    <m/>
    <m/>
  </r>
  <r>
    <n v="1165"/>
    <n v="156"/>
    <s v="PIPO"/>
    <s v="WOS 142"/>
    <d v="2025-10-05T00:00:00"/>
    <x v="44"/>
    <s v="2526/7/TI-175"/>
    <x v="981"/>
    <d v="2025-10-06T00:00:00"/>
    <x v="7"/>
    <n v="108"/>
    <n v="108"/>
    <n v="9"/>
    <d v="2025-10-07T00:00:00"/>
    <s v="Uttar Pradesh"/>
    <s v="VIJAY LAXMI TRANSPORT"/>
    <s v="DL01MA9877"/>
    <s v="22 FT"/>
    <s v="NOT RECEIVED"/>
    <s v="Dispatched"/>
    <m/>
    <m/>
  </r>
  <r>
    <n v="1165"/>
    <n v="156"/>
    <s v="PIPO"/>
    <s v="WOS 157"/>
    <d v="2025-10-05T00:00:00"/>
    <x v="36"/>
    <s v="2526/7/TI-178"/>
    <x v="986"/>
    <d v="2025-10-06T00:00:00"/>
    <x v="7"/>
    <n v="120"/>
    <n v="120"/>
    <n v="10"/>
    <d v="2025-10-07T00:00:00"/>
    <s v="Jharkhand"/>
    <s v="VIJAY LAXMI TRANSPORT"/>
    <s v="DL01MA9877"/>
    <s v="22 FT"/>
    <s v="NOT RECEIVED"/>
    <s v="Dispatched"/>
    <m/>
    <m/>
  </r>
  <r>
    <n v="1165"/>
    <n v="156"/>
    <s v="PIPO"/>
    <s v="WOS 161"/>
    <d v="2025-10-06T00:00:00"/>
    <x v="19"/>
    <s v="2526/7/TI-182"/>
    <x v="979"/>
    <d v="2025-10-06T00:00:00"/>
    <x v="7"/>
    <n v="120"/>
    <n v="120"/>
    <n v="5"/>
    <d v="2025-10-07T00:00:00"/>
    <s v="Rajasthan"/>
    <s v="VIJAY LAXMI TRANSPORT"/>
    <s v="DL01MA9877"/>
    <s v="22 FT"/>
    <s v="NOT RECEIVED"/>
    <s v="Dispatched"/>
    <m/>
    <m/>
  </r>
  <r>
    <n v="1165"/>
    <n v="156"/>
    <s v="PIPO"/>
    <s v="WOS 159"/>
    <d v="2025-10-06T00:00:00"/>
    <x v="4"/>
    <s v="2526/7/TI-183"/>
    <x v="987"/>
    <d v="2025-10-06T00:00:00"/>
    <x v="7"/>
    <n v="156"/>
    <n v="156"/>
    <n v="13"/>
    <d v="2025-10-07T00:00:00"/>
    <s v="LUDIYANA"/>
    <s v="VIJAY LAXMI TRANSPORT"/>
    <s v="DL01MA9877"/>
    <s v="22 FT"/>
    <s v="NOT RECEIVED"/>
    <s v="Dispatched"/>
    <m/>
    <m/>
  </r>
  <r>
    <n v="1165"/>
    <n v="156"/>
    <s v="PIPO"/>
    <s v="WOS 165"/>
    <d v="2025-10-07T00:00:00"/>
    <x v="2"/>
    <s v="2526/7/TI-184"/>
    <x v="988"/>
    <d v="2025-10-07T00:00:00"/>
    <x v="7"/>
    <n v="348"/>
    <n v="348"/>
    <n v="29"/>
    <d v="2025-10-07T00:00:00"/>
    <s v="Uttar Pradesh"/>
    <s v="VIJAY LAXMI TRANSPORT"/>
    <s v="DL01MA9877"/>
    <s v="22 FT"/>
    <s v="NOT RECEIVED"/>
    <s v="Dispatched"/>
    <m/>
    <m/>
  </r>
  <r>
    <n v="1165"/>
    <n v="156"/>
    <s v="PIPO"/>
    <s v="WOS 169"/>
    <d v="2025-10-07T00:00:00"/>
    <x v="19"/>
    <s v="2526/7/TI-185"/>
    <x v="989"/>
    <d v="2025-10-07T00:00:00"/>
    <x v="7"/>
    <n v="168"/>
    <n v="168"/>
    <n v="14"/>
    <d v="2025-10-07T00:00:00"/>
    <s v="Rajasthan"/>
    <s v="VIJAY LAXMI TRANSPORT"/>
    <s v="DL01MA9877"/>
    <s v="22 FT"/>
    <s v="NOT RECEIVED"/>
    <s v="Dispatched"/>
    <m/>
    <m/>
  </r>
  <r>
    <n v="1166"/>
    <n v="157"/>
    <s v="PIPO"/>
    <s v="WOS 135"/>
    <d v="2025-10-06T00:00:00"/>
    <x v="51"/>
    <s v="2526/7/TI-179"/>
    <x v="990"/>
    <d v="2025-10-06T00:00:00"/>
    <x v="7"/>
    <n v="120"/>
    <n v="120"/>
    <n v="10"/>
    <d v="2025-10-08T00:00:00"/>
    <s v="Rajasthan"/>
    <s v="VIJAY LAXMI TRANSPORT"/>
    <s v="DL1GC9359"/>
    <s v="22 FT"/>
    <s v="NOT RECEIVED"/>
    <s v="Dispatched"/>
    <m/>
    <m/>
  </r>
  <r>
    <n v="1166"/>
    <n v="157"/>
    <s v="PIPO"/>
    <s v="WOS 143"/>
    <d v="2025-10-06T00:00:00"/>
    <x v="2"/>
    <s v="2526/7/TI-180"/>
    <x v="991"/>
    <d v="2025-10-06T00:00:00"/>
    <x v="7"/>
    <n v="360"/>
    <n v="360"/>
    <n v="30"/>
    <d v="2025-10-08T00:00:00"/>
    <s v="Uttar Pradesh"/>
    <s v="VIJAY LAXMI TRANSPORT"/>
    <s v="DL1GC9359"/>
    <s v="22 FT"/>
    <s v="NOT RECEIVED"/>
    <s v="Dispatched"/>
    <m/>
    <m/>
  </r>
  <r>
    <n v="1166"/>
    <n v="157"/>
    <s v="PIPO"/>
    <s v="WOS 158"/>
    <d v="2025-10-06T00:00:00"/>
    <x v="36"/>
    <s v="2526/7/TI-181"/>
    <x v="992"/>
    <d v="2025-10-06T00:00:00"/>
    <x v="7"/>
    <n v="72"/>
    <n v="72"/>
    <n v="6"/>
    <d v="2025-10-08T00:00:00"/>
    <s v="Jharkhand"/>
    <s v="VIJAY LAXMI TRANSPORT"/>
    <s v="DL1GC9359"/>
    <s v="22 FT"/>
    <s v="NOT RECEIVED"/>
    <s v="Dispatched"/>
    <m/>
    <m/>
  </r>
  <r>
    <n v="1166"/>
    <n v="157"/>
    <s v="PIPO"/>
    <s v="WOS 160"/>
    <d v="2025-10-06T00:00:00"/>
    <x v="4"/>
    <s v="2526/7/TI-191"/>
    <x v="993"/>
    <d v="2025-10-06T00:00:00"/>
    <x v="7"/>
    <n v="72"/>
    <n v="72"/>
    <n v="6"/>
    <d v="2025-10-08T00:00:00"/>
    <s v="PUNJAB"/>
    <s v="VIJAY LAXMI TRANSPORT"/>
    <s v="DL1GC9359"/>
    <s v="22 FT"/>
    <s v="NOT RECEIVED"/>
    <s v="Dispatched"/>
    <m/>
    <m/>
  </r>
  <r>
    <n v="1166"/>
    <n v="157"/>
    <s v="PIPO"/>
    <s v="WOS 177"/>
    <d v="2025-10-08T00:00:00"/>
    <x v="3"/>
    <s v="2526/7/TI-192"/>
    <x v="994"/>
    <d v="2025-10-08T00:00:00"/>
    <x v="7"/>
    <n v="36"/>
    <n v="36"/>
    <n v="3"/>
    <d v="2025-10-08T00:00:00"/>
    <s v="Chandigarh"/>
    <s v="VIJAY LAXMI TRANSPORT"/>
    <s v="DL1GC9359"/>
    <s v="22 FT"/>
    <s v="NOT RECEIVED"/>
    <s v="Dispatched"/>
    <m/>
    <m/>
  </r>
  <r>
    <n v="1166"/>
    <n v="157"/>
    <s v="PIPO"/>
    <s v="WOS 176"/>
    <d v="2025-10-08T00:00:00"/>
    <x v="11"/>
    <s v="2526/7/TI-193"/>
    <x v="995"/>
    <d v="2025-10-06T00:00:00"/>
    <x v="7"/>
    <n v="84"/>
    <n v="84"/>
    <n v="7"/>
    <d v="2025-10-08T00:00:00"/>
    <s v="Delhi"/>
    <s v="VIJAY LAXMI TRANSPORT"/>
    <s v="DL1GC9359"/>
    <s v="22 FT"/>
    <s v="NOT RECEIVED"/>
    <s v="Dispatched"/>
    <m/>
    <m/>
  </r>
  <r>
    <n v="1166"/>
    <n v="157"/>
    <s v="PIPO"/>
    <s v="WOS 167"/>
    <d v="2025-10-07T00:00:00"/>
    <x v="49"/>
    <s v="2526/7/TI-188"/>
    <x v="996"/>
    <d v="2025-10-07T00:00:00"/>
    <x v="7"/>
    <n v="420"/>
    <n v="420"/>
    <n v="35"/>
    <d v="2025-10-08T00:00:00"/>
    <s v="Uttar Pradesh"/>
    <s v="VIJAY LAXMI TRANSPORT"/>
    <s v="DL1GC9359"/>
    <s v="22 FT"/>
    <s v="NOT RECEIVED"/>
    <s v="Dispatched"/>
    <m/>
    <m/>
  </r>
  <r>
    <n v="1166"/>
    <n v="157"/>
    <s v="PIPO"/>
    <s v="WOS 168"/>
    <d v="2025-10-08T00:00:00"/>
    <x v="44"/>
    <s v="2526/7/TI-194"/>
    <x v="997"/>
    <d v="2025-10-08T00:00:00"/>
    <x v="7"/>
    <n v="564"/>
    <n v="564"/>
    <n v="47"/>
    <d v="2025-10-08T00:00:00"/>
    <s v="Uttar Pradesh"/>
    <s v="VIJAY LAXMI TRANSPORT"/>
    <s v="DL1GC9359"/>
    <s v="22 FT"/>
    <s v="NOT RECEIVED"/>
    <s v="Dispatched"/>
    <m/>
    <m/>
  </r>
  <r>
    <n v="1166"/>
    <n v="157"/>
    <s v="PIPO"/>
    <s v="WOS 172"/>
    <d v="2025-10-08T00:00:00"/>
    <x v="17"/>
    <s v="2526/7/TI-195"/>
    <x v="998"/>
    <d v="2025-10-08T00:00:00"/>
    <x v="7"/>
    <n v="288"/>
    <n v="288"/>
    <n v="24"/>
    <d v="2025-10-08T00:00:00"/>
    <s v="GUJARAT"/>
    <s v="VIJAY LAXMI TRANSPORT"/>
    <s v="DL1GC9359"/>
    <s v="22 FT"/>
    <s v="NOT RECEIVED"/>
    <s v="Dispatched"/>
    <m/>
    <m/>
  </r>
  <r>
    <n v="1166"/>
    <n v="157"/>
    <s v="PIPO"/>
    <s v="WOS 173"/>
    <d v="2025-10-08T00:00:00"/>
    <x v="11"/>
    <s v="2526/7/TI-196"/>
    <x v="999"/>
    <d v="2025-10-08T00:00:00"/>
    <x v="7"/>
    <n v="348"/>
    <n v="348"/>
    <n v="29"/>
    <d v="2025-10-08T00:00:00"/>
    <s v="Delhi"/>
    <s v="VIJAY LAXMI TRANSPORT"/>
    <s v="DL1GC9359"/>
    <s v="22 FT"/>
    <s v="NOT RECEIVED"/>
    <s v="Dispatched"/>
    <m/>
    <m/>
  </r>
  <r>
    <n v="1166"/>
    <n v="157"/>
    <s v="PIPO"/>
    <s v="WOS 181"/>
    <d v="2025-10-08T00:00:00"/>
    <x v="21"/>
    <s v="2526/7/TI-197"/>
    <x v="1000"/>
    <d v="2025-10-08T00:00:00"/>
    <x v="7"/>
    <n v="252"/>
    <n v="252"/>
    <n v="21"/>
    <d v="2025-10-08T00:00:00"/>
    <s v="Haryana"/>
    <s v="VIJAY LAXMI TRANSPORT"/>
    <s v="DL1GC9359"/>
    <s v="22 FT"/>
    <s v="NOT RECEIVED"/>
    <s v="Dispatched"/>
    <m/>
    <m/>
  </r>
  <r>
    <n v="1166"/>
    <n v="157"/>
    <s v="PIPO"/>
    <s v="WOS 185"/>
    <d v="2025-10-08T00:00:00"/>
    <x v="47"/>
    <s v="2526/7/TI-198"/>
    <x v="1001"/>
    <d v="2025-10-08T00:00:00"/>
    <x v="7"/>
    <n v="96"/>
    <n v="96"/>
    <n v="8"/>
    <d v="2025-10-08T00:00:00"/>
    <s v="Maharashtra"/>
    <s v="VIJAY LAXMI TRANSPORT"/>
    <s v="DL1GC9359"/>
    <s v="22 FT"/>
    <s v="NOT RECEIVED"/>
    <s v="Dispatched"/>
    <m/>
    <m/>
  </r>
  <r>
    <n v="1166"/>
    <n v="157"/>
    <s v="PIPO"/>
    <s v="WOS 184"/>
    <d v="2025-10-08T00:00:00"/>
    <x v="22"/>
    <s v="2526/7/TI-199"/>
    <x v="1002"/>
    <d v="2025-10-08T00:00:00"/>
    <x v="7"/>
    <n v="132"/>
    <n v="132"/>
    <n v="11"/>
    <d v="2025-10-08T00:00:00"/>
    <s v="Haryana"/>
    <s v="VIJAY LAXMI TRANSPORT"/>
    <s v="DL1GC9359"/>
    <s v="22 FT"/>
    <s v="NOT RECEIVED"/>
    <s v="Dispatched"/>
    <m/>
    <m/>
  </r>
  <r>
    <n v="1166"/>
    <n v="157"/>
    <s v="PIPO"/>
    <s v="WOS 179"/>
    <d v="2025-10-08T00:00:00"/>
    <x v="33"/>
    <s v="2526/7/TI-200"/>
    <x v="1003"/>
    <d v="2025-10-08T00:00:00"/>
    <x v="7"/>
    <n v="120"/>
    <n v="120"/>
    <n v="10"/>
    <d v="2025-10-08T00:00:00"/>
    <s v="Maharashtra"/>
    <s v="VIJAY LAXMI TRANSPORT"/>
    <s v="DL1GC9359"/>
    <s v="22 FT"/>
    <s v="NOT RECEIVED"/>
    <s v="Dispatched"/>
    <m/>
    <m/>
  </r>
  <r>
    <n v="1166"/>
    <n v="157"/>
    <s v="PIPO"/>
    <s v="WOS 175"/>
    <d v="2025-10-08T00:00:00"/>
    <x v="48"/>
    <s v="2526/7/TI-201"/>
    <x v="1004"/>
    <d v="2025-10-08T00:00:00"/>
    <x v="7"/>
    <n v="264"/>
    <n v="264"/>
    <n v="22"/>
    <d v="2025-10-08T00:00:00"/>
    <s v="Delhi"/>
    <s v="VIJAY LAXMI TRANSPORT"/>
    <s v="DL1GC9359"/>
    <s v="22 FT"/>
    <s v="NOT RECEIVED"/>
    <s v="Dispatched"/>
    <m/>
    <m/>
  </r>
  <r>
    <n v="1167"/>
    <n v="158"/>
    <s v="PIPO"/>
    <s v="WOS 164"/>
    <d v="2025-10-09T00:00:00"/>
    <x v="4"/>
    <s v="2526/7/TI-202"/>
    <x v="999"/>
    <d v="2025-10-09T00:00:00"/>
    <x v="7"/>
    <n v="348"/>
    <n v="348"/>
    <n v="29"/>
    <d v="2025-10-09T00:00:00"/>
    <s v="PUNJAB"/>
    <s v="VIJAY LAXMI TRANSPORT"/>
    <s v="DL1GC9359"/>
    <s v="22 FT"/>
    <s v="NOT RECEIVED"/>
    <s v="Dispatched"/>
    <m/>
    <m/>
  </r>
  <r>
    <n v="1167"/>
    <n v="159"/>
    <s v="PIPO"/>
    <s v="WOS 170"/>
    <d v="2025-10-09T00:00:00"/>
    <x v="51"/>
    <s v="2526/7/TI-203"/>
    <x v="1005"/>
    <d v="2025-10-09T00:00:00"/>
    <x v="7"/>
    <n v="144"/>
    <n v="144"/>
    <n v="12"/>
    <d v="2025-10-09T00:00:00"/>
    <s v="Rajasthan"/>
    <s v="VIJAY LAXMI TRANSPORT"/>
    <s v="DL1GC9359"/>
    <s v="22 FT"/>
    <s v="NOT RECEIVED"/>
    <s v="Dispatched"/>
    <m/>
    <m/>
  </r>
  <r>
    <n v="1167"/>
    <n v="159"/>
    <s v="PIPO"/>
    <s v="WOS 171"/>
    <d v="2025-10-09T00:00:00"/>
    <x v="29"/>
    <s v="2526/7/TI-204"/>
    <x v="1005"/>
    <d v="2025-10-09T00:00:00"/>
    <x v="7"/>
    <n v="144"/>
    <n v="144"/>
    <n v="12"/>
    <d v="2025-10-09T00:00:00"/>
    <s v="Madhya Pradesh"/>
    <s v="VIJAY LAXMI TRANSPORT"/>
    <s v="DL1GC9359"/>
    <s v="22 FT"/>
    <s v="NOT RECEIVED"/>
    <s v="Dispatched"/>
    <m/>
    <m/>
  </r>
  <r>
    <n v="1167"/>
    <n v="159"/>
    <s v="PIPO"/>
    <s v="WOS 174"/>
    <d v="2025-10-09T00:00:00"/>
    <x v="8"/>
    <s v="2526/7/TI-205"/>
    <x v="1006"/>
    <d v="2025-10-09T00:00:00"/>
    <x v="7"/>
    <n v="192"/>
    <n v="192"/>
    <n v="16"/>
    <d v="2025-10-09T00:00:00"/>
    <s v="HIMALCHAL PRADESH"/>
    <s v="VIJAY LAXMI TRANSPORT"/>
    <s v="DL1GC9359"/>
    <s v="22 FT"/>
    <s v="NOT RECEIVED"/>
    <s v="Dispatched"/>
    <m/>
    <m/>
  </r>
  <r>
    <n v="1167"/>
    <n v="159"/>
    <s v="PIPO"/>
    <s v="WOS 178"/>
    <d v="2025-10-09T00:00:00"/>
    <x v="3"/>
    <s v="2526/7/TI-206"/>
    <x v="1007"/>
    <d v="2025-10-09T00:00:00"/>
    <x v="7"/>
    <n v="348"/>
    <n v="348"/>
    <n v="29"/>
    <d v="2025-10-09T00:00:00"/>
    <s v="Chandigarh"/>
    <s v="VIJAY LAXMI TRANSPORT"/>
    <s v="DL1GC9359"/>
    <s v="22 FT"/>
    <s v="NOT RECEIVED"/>
    <s v="Dispatched"/>
    <m/>
    <m/>
  </r>
  <r>
    <n v="1167"/>
    <n v="159"/>
    <s v="PIPO"/>
    <s v="WOS 187"/>
    <d v="2025-10-09T00:00:00"/>
    <x v="13"/>
    <s v="2526/7/TI-207"/>
    <x v="1008"/>
    <d v="2025-10-09T00:00:00"/>
    <x v="7"/>
    <n v="780"/>
    <n v="780"/>
    <n v="65"/>
    <d v="2025-10-09T00:00:00"/>
    <s v="Rajasthan"/>
    <s v="VIJAY LAXMI TRANSPORT"/>
    <s v="DL1GC9359"/>
    <s v="22 FT"/>
    <s v="NOT RECEIVED"/>
    <s v="Dispatched"/>
    <m/>
    <m/>
  </r>
  <r>
    <n v="1167"/>
    <n v="159"/>
    <s v="PIPO"/>
    <s v="WOS 188"/>
    <d v="2025-10-09T00:00:00"/>
    <x v="12"/>
    <s v="2526/7/TI-208"/>
    <x v="1009"/>
    <d v="2025-10-09T00:00:00"/>
    <x v="7"/>
    <n v="648"/>
    <n v="648"/>
    <n v="54"/>
    <d v="2025-10-09T00:00:00"/>
    <s v="GUJARAT"/>
    <s v="VIJAY LAXMI TRANSPORT"/>
    <s v="DL1GC9359"/>
    <s v="22 FT"/>
    <s v="NOT RECEIVED"/>
    <s v="Dispatched"/>
    <m/>
    <m/>
  </r>
  <r>
    <n v="1167"/>
    <n v="159"/>
    <s v="PIPO"/>
    <s v="WOS 198"/>
    <d v="2025-10-09T00:00:00"/>
    <x v="11"/>
    <s v="2526/7/TI-209"/>
    <x v="1010"/>
    <d v="2025-10-09T00:00:00"/>
    <x v="7"/>
    <n v="276"/>
    <n v="276"/>
    <n v="23"/>
    <d v="2025-10-09T00:00:00"/>
    <s v="Delhi"/>
    <s v="VIJAY LAXMI TRANSPORT"/>
    <s v="DL1GC9359"/>
    <s v="22 FT"/>
    <s v="NOT RECEIVED"/>
    <s v="Dispatched"/>
    <m/>
    <m/>
  </r>
  <r>
    <n v="1167"/>
    <n v="159"/>
    <s v="PIPO"/>
    <s v="WOS 180"/>
    <d v="2025-10-09T00:00:00"/>
    <x v="23"/>
    <s v="2526/7/TI-210"/>
    <x v="1011"/>
    <d v="2025-10-09T00:00:00"/>
    <x v="7"/>
    <n v="168"/>
    <n v="168"/>
    <n v="14"/>
    <d v="2025-10-09T00:00:00"/>
    <s v="Jammu &amp; Kashmir"/>
    <s v="VIJAY LAXMI TRANSPORT"/>
    <s v="DL1GC9359"/>
    <s v="22 FT"/>
    <s v="NOT RECEIVED"/>
    <s v="Dispatched"/>
    <m/>
    <m/>
  </r>
  <r>
    <n v="1168"/>
    <n v="160"/>
    <s v="PIPO"/>
    <s v="WOS 190"/>
    <d v="2025-10-09T00:00:00"/>
    <x v="2"/>
    <s v="2526/7/TI-211"/>
    <x v="1012"/>
    <d v="2025-10-09T00:00:00"/>
    <x v="7"/>
    <n v="648"/>
    <n v="648"/>
    <n v="54"/>
    <d v="2025-10-09T00:00:00"/>
    <s v="Uttar Pradesh"/>
    <s v="VIJAY LAXMI TRANSPORT"/>
    <s v="DL1MB0112"/>
    <s v="22 FT"/>
    <s v="NOT RECEIVED"/>
    <s v="Dispatched"/>
    <m/>
    <m/>
  </r>
  <r>
    <n v="1168"/>
    <n v="160"/>
    <s v="PIPO"/>
    <s v="WOS 191"/>
    <d v="2025-10-09T00:00:00"/>
    <x v="27"/>
    <s v="2526/7/TI-212"/>
    <x v="1013"/>
    <d v="2025-10-09T00:00:00"/>
    <x v="7"/>
    <n v="288"/>
    <n v="288"/>
    <n v="24"/>
    <d v="2025-10-09T00:00:00"/>
    <s v="Madhya Pradesh"/>
    <s v="VIJAY LAXMI TRANSPORT"/>
    <s v="DL1MB0112"/>
    <s v="22 FT"/>
    <s v="NOT RECEIVED"/>
    <s v="Dispatched"/>
    <m/>
    <m/>
  </r>
  <r>
    <n v="1168"/>
    <n v="160"/>
    <s v="PIPO"/>
    <s v="WOS 193"/>
    <d v="2025-10-09T00:00:00"/>
    <x v="44"/>
    <s v="2526/7/TI-213"/>
    <x v="1014"/>
    <d v="2025-10-09T00:00:00"/>
    <x v="7"/>
    <n v="780"/>
    <n v="780"/>
    <n v="65"/>
    <d v="2025-10-09T00:00:00"/>
    <s v="Uttar Pradesh"/>
    <s v="VIJAY LAXMI TRANSPORT"/>
    <s v="DL1MB0112"/>
    <s v="22 FT"/>
    <s v="NOT RECEIVED"/>
    <s v="Dispatched"/>
    <m/>
    <m/>
  </r>
  <r>
    <n v="1168"/>
    <n v="160"/>
    <s v="PIPO"/>
    <s v="WOS 192"/>
    <d v="2025-10-09T00:00:00"/>
    <x v="49"/>
    <s v="2526/7/TI-214"/>
    <x v="1015"/>
    <d v="2025-10-09T00:00:00"/>
    <x v="7"/>
    <n v="240"/>
    <n v="240"/>
    <n v="20"/>
    <d v="2025-10-09T00:00:00"/>
    <s v="Uttar Pradesh"/>
    <s v="VIJAY LAXMI TRANSPORT"/>
    <s v="DL1MB0112"/>
    <s v="22 FT"/>
    <s v="NOT RECEIVED"/>
    <s v="Dispatched"/>
    <m/>
    <m/>
  </r>
  <r>
    <n v="1168"/>
    <n v="160"/>
    <s v="PIPO"/>
    <s v="WOS 200"/>
    <d v="2025-10-09T00:00:00"/>
    <x v="3"/>
    <s v="2526/7/TI-215"/>
    <x v="1016"/>
    <d v="2025-10-09T00:00:00"/>
    <x v="7"/>
    <n v="96"/>
    <n v="96"/>
    <n v="8"/>
    <d v="2025-10-09T00:00:00"/>
    <s v="Chandigarh"/>
    <s v="VIJAY LAXMI TRANSPORT"/>
    <s v="DL1MB0112"/>
    <s v="22 FT"/>
    <s v="NOT RECEIVED"/>
    <s v="Dispatched"/>
    <m/>
    <m/>
  </r>
  <r>
    <n v="1168"/>
    <n v="160"/>
    <s v="PIPO"/>
    <s v="WOS 197"/>
    <d v="2025-10-09T00:00:00"/>
    <x v="17"/>
    <s v="2526/7/TI-216"/>
    <x v="1017"/>
    <d v="2025-10-09T00:00:00"/>
    <x v="7"/>
    <n v="96"/>
    <n v="96"/>
    <n v="8"/>
    <d v="2025-10-09T00:00:00"/>
    <s v="GUJARAT"/>
    <s v="VIJAY LAXMI TRANSPORT"/>
    <s v="DL1MB0112"/>
    <s v="22 FT"/>
    <s v="NOT RECEIVED"/>
    <s v="Dispatched"/>
    <m/>
    <m/>
  </r>
  <r>
    <n v="1169"/>
    <n v="161"/>
    <s v="PIPO"/>
    <s v="WOS 194,214"/>
    <d v="2025-10-10T00:00:00"/>
    <x v="29"/>
    <s v="2526/7/TI-220"/>
    <x v="1018"/>
    <d v="2025-10-10T00:00:00"/>
    <x v="7"/>
    <n v="396"/>
    <n v="396"/>
    <n v="33"/>
    <d v="2025-10-10T00:00:00"/>
    <s v="Madhya Pradesh"/>
    <s v="VIJAY LAXMI TRANSPORT"/>
    <s v="DL01GC9359"/>
    <s v="22 FT"/>
    <s v="NOT RECEIVED"/>
    <s v="Dispatched"/>
    <m/>
    <m/>
  </r>
  <r>
    <n v="1169"/>
    <n v="161"/>
    <s v="PIPO"/>
    <s v="WOS 204, 228"/>
    <d v="2025-10-10T00:00:00"/>
    <x v="22"/>
    <s v="2526/7/TI-221"/>
    <x v="1019"/>
    <d v="2025-10-10T00:00:00"/>
    <x v="7"/>
    <n v="192"/>
    <n v="192"/>
    <n v="16"/>
    <d v="2025-10-10T00:00:00"/>
    <s v="Haryana"/>
    <s v="VIJAY LAXMI TRANSPORT"/>
    <s v="DL01GC9359"/>
    <s v="22 FT"/>
    <s v="NOT RECEIVED"/>
    <s v="Dispatched"/>
    <m/>
    <m/>
  </r>
  <r>
    <n v="1169"/>
    <n v="161"/>
    <s v="PIPO"/>
    <s v="WOS 239"/>
    <d v="2025-10-10T00:00:00"/>
    <x v="12"/>
    <s v="2526/7/TI-222"/>
    <x v="1020"/>
    <d v="2025-10-10T00:00:00"/>
    <x v="7"/>
    <n v="140"/>
    <n v="140"/>
    <n v="14"/>
    <d v="2025-10-10T00:00:00"/>
    <s v="GUJARAT"/>
    <s v="VIJAY LAXMI TRANSPORT"/>
    <s v="DL01GC9359"/>
    <s v="22 FT"/>
    <s v="NOT RECEIVED"/>
    <s v="Dispatched"/>
    <m/>
    <m/>
  </r>
  <r>
    <n v="1169"/>
    <n v="161"/>
    <s v="PIPO"/>
    <s v="WOS 209"/>
    <d v="2025-10-10T00:00:00"/>
    <x v="2"/>
    <s v="2526/7/TI-223"/>
    <x v="1021"/>
    <d v="2025-10-10T00:00:00"/>
    <x v="7"/>
    <n v="576"/>
    <n v="576"/>
    <n v="48"/>
    <d v="2025-10-10T00:00:00"/>
    <s v="Uttar Pradesh"/>
    <s v="VIJAY LAXMI TRANSPORT"/>
    <s v="DL01GC9359"/>
    <s v="22 FT"/>
    <s v="NOT RECEIVED"/>
    <s v="Dispatched"/>
    <m/>
    <m/>
  </r>
  <r>
    <n v="1169"/>
    <n v="161"/>
    <s v="PIPO"/>
    <s v="WOS 199, 219"/>
    <d v="2025-10-10T00:00:00"/>
    <x v="8"/>
    <s v="2526/7/TI-224"/>
    <x v="1022"/>
    <d v="2025-10-10T00:00:00"/>
    <x v="7"/>
    <n v="612"/>
    <n v="612"/>
    <n v="51"/>
    <d v="2025-10-10T00:00:00"/>
    <s v="HIMALCHAL PRADESH"/>
    <s v="VIJAY LAXMI TRANSPORT"/>
    <s v="DL01GC9359"/>
    <s v="22 FT"/>
    <s v="NOT RECEIVED"/>
    <s v="Dispatched"/>
    <m/>
    <m/>
  </r>
  <r>
    <n v="1169"/>
    <n v="161"/>
    <s v="PIPO"/>
    <s v="WOS 220"/>
    <d v="2025-10-10T00:00:00"/>
    <x v="48"/>
    <s v="2526/7/TI-225"/>
    <x v="1023"/>
    <d v="2025-10-10T00:00:00"/>
    <x v="7"/>
    <n v="324"/>
    <n v="324"/>
    <n v="27"/>
    <d v="2025-10-10T00:00:00"/>
    <s v="Delhi"/>
    <s v="VIJAY LAXMI TRANSPORT"/>
    <s v="DL01GC9359"/>
    <s v="22 FT"/>
    <s v="NOT RECEIVED"/>
    <s v="Dispatched"/>
    <m/>
    <m/>
  </r>
  <r>
    <n v="1169"/>
    <n v="161"/>
    <s v="PIPO"/>
    <s v="WOS 212"/>
    <d v="2025-10-10T00:00:00"/>
    <x v="44"/>
    <s v="2526/7/TI-226"/>
    <x v="1024"/>
    <d v="2025-10-10T00:00:00"/>
    <x v="7"/>
    <n v="480"/>
    <n v="480"/>
    <n v="40"/>
    <d v="2025-10-10T00:00:00"/>
    <s v="Uttar Pradesh"/>
    <s v="VIJAY LAXMI TRANSPORT"/>
    <s v="DL01GC9359"/>
    <s v="22 FT"/>
    <s v="NOT RECEIVED"/>
    <s v="Dispatched"/>
    <m/>
    <m/>
  </r>
  <r>
    <n v="1169"/>
    <n v="161"/>
    <s v="PIPO"/>
    <s v="WOS 213"/>
    <d v="2025-10-11T00:00:00"/>
    <x v="19"/>
    <s v="2526/7/TI-227"/>
    <x v="1025"/>
    <d v="2025-10-11T00:00:00"/>
    <x v="7"/>
    <n v="180"/>
    <n v="180"/>
    <n v="15"/>
    <d v="2025-10-11T00:00:00"/>
    <s v="Rajasthan"/>
    <s v="VIJAY LAXMI TRANSPORT"/>
    <s v="DL01GC9359"/>
    <s v="22 FT"/>
    <s v="NOT RECEIVED"/>
    <s v="Dispatched"/>
    <m/>
    <m/>
  </r>
  <r>
    <n v="1170"/>
    <n v="162"/>
    <s v="PIPO"/>
    <s v="WOS 238"/>
    <d v="2025-10-10T00:00:00"/>
    <x v="12"/>
    <s v="2526/7/TI-219"/>
    <x v="1026"/>
    <d v="2025-10-10T00:00:00"/>
    <x v="7"/>
    <n v="80"/>
    <n v="80"/>
    <n v="8"/>
    <d v="2025-10-10T00:00:00"/>
    <s v="GUJARAT"/>
    <s v="VIJAY LAXMI TRANSPORT"/>
    <s v="RJ40GA5469"/>
    <s v="22 FT"/>
    <s v="NOT RECEIVED"/>
    <s v="Dispatched"/>
    <m/>
    <m/>
  </r>
  <r>
    <n v="1170"/>
    <n v="162"/>
    <s v="PIPO"/>
    <s v="WOS 207"/>
    <d v="2025-10-10T00:00:00"/>
    <x v="12"/>
    <s v="2526/7/TI-217"/>
    <x v="1027"/>
    <d v="2025-10-10T00:00:00"/>
    <x v="7"/>
    <n v="2016"/>
    <n v="2016"/>
    <n v="168"/>
    <d v="2025-10-10T00:00:00"/>
    <s v="GUJARAT"/>
    <s v="VIJAY LAXMI TRANSPORT"/>
    <s v="RJ40GA5469"/>
    <s v="32 FT"/>
    <s v="NOT RECEIVED"/>
    <s v="Dispatched"/>
    <m/>
    <m/>
  </r>
  <r>
    <n v="1170"/>
    <n v="162"/>
    <s v="PIPO"/>
    <s v="WOS 206, 235"/>
    <d v="2025-10-10T00:00:00"/>
    <x v="13"/>
    <s v="2526/7/TI-218"/>
    <x v="1028"/>
    <d v="2025-10-10T00:00:00"/>
    <x v="7"/>
    <n v="3360"/>
    <n v="3360"/>
    <n v="280"/>
    <d v="2025-10-10T00:00:00"/>
    <s v="Rajasthan"/>
    <s v="VIJAY LAXMI TRANSPORT"/>
    <s v="RJ40GA5469"/>
    <s v="32 FT"/>
    <s v="NOT RECEIVED"/>
    <s v="Dispatched"/>
    <m/>
    <m/>
  </r>
  <r>
    <n v="1171"/>
    <n v="163"/>
    <s v="PIPO"/>
    <s v="WOS 189"/>
    <d v="2025-10-11T00:00:00"/>
    <x v="4"/>
    <s v="2526/7/TI-228"/>
    <x v="1029"/>
    <d v="2025-10-11T00:00:00"/>
    <x v="7"/>
    <n v="300"/>
    <n v="300"/>
    <n v="25"/>
    <d v="2025-10-11T00:00:00"/>
    <s v="PUNJAB"/>
    <s v="VIJAY LAXMI TRANSPORT"/>
    <s v="DL1MA9877"/>
    <s v="22 FT"/>
    <s v="NOT RECEIVED"/>
    <s v="Dispatched"/>
    <m/>
    <m/>
  </r>
  <r>
    <n v="1171"/>
    <n v="163"/>
    <s v="PIPO"/>
    <s v="WOS 208"/>
    <d v="2025-10-11T00:00:00"/>
    <x v="4"/>
    <s v="2526/7/TI-229"/>
    <x v="1030"/>
    <d v="2025-10-11T00:00:00"/>
    <x v="7"/>
    <n v="300"/>
    <n v="300"/>
    <n v="25"/>
    <d v="2025-10-11T00:00:00"/>
    <s v="PUNJAB"/>
    <s v="VIJAY LAXMI TRANSPORT"/>
    <s v="DL1MA9877"/>
    <s v="22 FT"/>
    <s v="NOT RECEIVED"/>
    <s v="Dispatched"/>
    <m/>
    <m/>
  </r>
  <r>
    <n v="1171"/>
    <n v="163"/>
    <s v="PIPO"/>
    <s v="WOS 133, 211"/>
    <d v="2025-10-11T00:00:00"/>
    <x v="49"/>
    <s v="2526/7/TI-230"/>
    <x v="1031"/>
    <d v="2025-10-11T00:00:00"/>
    <x v="7"/>
    <n v="276"/>
    <n v="276"/>
    <n v="23"/>
    <d v="2025-10-11T00:00:00"/>
    <s v="Uttar Pradesh"/>
    <s v="VIJAY LAXMI TRANSPORT"/>
    <s v="DL1MA9877"/>
    <s v="22 FT"/>
    <s v="NOT RECEIVED"/>
    <s v="Dispatched"/>
    <m/>
    <m/>
  </r>
  <r>
    <n v="1171"/>
    <n v="163"/>
    <s v="PIPO"/>
    <s v="WOS 195, 215, 227"/>
    <d v="2025-10-11T00:00:00"/>
    <x v="31"/>
    <s v="2526/7/TI-235"/>
    <x v="1032"/>
    <d v="2025-10-11T00:00:00"/>
    <x v="7"/>
    <n v="1032"/>
    <n v="1032"/>
    <n v="86"/>
    <d v="2025-10-11T00:00:00"/>
    <s v="Jammu &amp; Kashmir"/>
    <s v="VIJAY LAXMI TRANSPORT"/>
    <s v="DL1MA9877"/>
    <s v="22 FT"/>
    <s v="NOT RECEIVED"/>
    <s v="Dispatched"/>
    <m/>
    <m/>
  </r>
  <r>
    <n v="1171"/>
    <n v="163"/>
    <s v="PIPO"/>
    <s v="WOS 210"/>
    <d v="2025-10-11T00:00:00"/>
    <x v="27"/>
    <s v="2526/7/TI-238"/>
    <x v="1033"/>
    <d v="2025-10-11T00:00:00"/>
    <x v="7"/>
    <n v="312"/>
    <n v="312"/>
    <n v="26"/>
    <d v="2025-10-11T00:00:00"/>
    <s v="Madhya Pradesh"/>
    <s v="VIJAY LAXMI TRANSPORT"/>
    <s v="DL1MA9877"/>
    <s v="22 FT"/>
    <s v="NOT RECEIVED"/>
    <s v="Dispatched"/>
    <m/>
    <m/>
  </r>
  <r>
    <n v="1171"/>
    <n v="163"/>
    <s v="PIPO"/>
    <s v="WOS 230"/>
    <d v="2025-10-11T00:00:00"/>
    <x v="47"/>
    <s v="2526/7/TI-239"/>
    <x v="1034"/>
    <d v="2025-10-11T00:00:00"/>
    <x v="7"/>
    <n v="120"/>
    <n v="120"/>
    <n v="10"/>
    <d v="2025-10-11T00:00:00"/>
    <s v="Maharashtra"/>
    <s v="VIJAY LAXMI TRANSPORT"/>
    <s v="DL1MA9877"/>
    <s v="22 FT"/>
    <s v="NOT RECEIVED"/>
    <s v="Dispatched"/>
    <m/>
    <m/>
  </r>
  <r>
    <n v="1171"/>
    <n v="163"/>
    <s v="PIPO"/>
    <s v="WOS 221, 240"/>
    <d v="2025-10-11T00:00:00"/>
    <x v="3"/>
    <s v="2526/7/TI-236"/>
    <x v="1035"/>
    <d v="2025-10-11T00:00:00"/>
    <x v="7"/>
    <n v="204"/>
    <n v="204"/>
    <n v="17"/>
    <d v="2025-10-11T00:00:00"/>
    <s v="Chandigarh"/>
    <s v="VIJAY LAXMI TRANSPORT"/>
    <s v="DL1MA9877"/>
    <s v="22 FT"/>
    <s v="NOT RECEIVED"/>
    <s v="Dispatched"/>
    <m/>
    <m/>
  </r>
  <r>
    <n v="1171"/>
    <n v="163"/>
    <s v="PIPO"/>
    <s v="WOS 232"/>
    <d v="2025-10-11T00:00:00"/>
    <x v="17"/>
    <s v="2526/7/TI-231"/>
    <x v="1036"/>
    <d v="2025-10-11T00:00:00"/>
    <x v="7"/>
    <n v="60"/>
    <n v="60"/>
    <n v="5"/>
    <d v="2025-10-11T00:00:00"/>
    <s v="HEYDRABAD"/>
    <s v="VIJAY LAXMI TRANSPORT"/>
    <s v="DL1GC9359"/>
    <s v="22 FT"/>
    <s v="NOT RECEIVED"/>
    <s v="Dispatched"/>
    <m/>
    <m/>
  </r>
  <r>
    <n v="1172"/>
    <n v="164"/>
    <s v="PIPO"/>
    <s v="WOS 233"/>
    <d v="2025-10-11T00:00:00"/>
    <x v="3"/>
    <s v="2526/7/TI-232"/>
    <x v="1037"/>
    <d v="2025-10-11T00:00:00"/>
    <x v="7"/>
    <n v="60"/>
    <n v="60"/>
    <n v="5"/>
    <d v="2025-10-11T00:00:00"/>
    <s v="Chandigarh"/>
    <s v="VIJAY LAXMI TRANSPORT"/>
    <s v="DL1GC9359"/>
    <s v="22 FT"/>
    <s v="NOT RECEIVED"/>
    <s v="Dispatched"/>
    <m/>
    <m/>
  </r>
  <r>
    <n v="1172"/>
    <n v="164"/>
    <s v="PIPO"/>
    <s v="WOS 234"/>
    <d v="2025-10-11T00:00:00"/>
    <x v="31"/>
    <s v="2526/7/TI-233"/>
    <x v="1038"/>
    <d v="2025-10-11T00:00:00"/>
    <x v="7"/>
    <n v="480"/>
    <n v="480"/>
    <n v="40"/>
    <d v="2025-10-11T00:00:00"/>
    <s v="Jammu &amp; Kashmir"/>
    <s v="VIJAY LAXMI TRANSPORT"/>
    <s v="DL1GC9359"/>
    <s v="22 FT"/>
    <s v="NOT RECEIVED"/>
    <s v="Dispatched"/>
    <m/>
    <m/>
  </r>
  <r>
    <n v="1172"/>
    <n v="164"/>
    <s v="PIPO"/>
    <s v="WOS 237"/>
    <d v="2025-10-11T00:00:00"/>
    <x v="9"/>
    <s v="2526/7/TI-234"/>
    <x v="1039"/>
    <d v="2025-10-11T00:00:00"/>
    <x v="7"/>
    <n v="72"/>
    <n v="72"/>
    <n v="6"/>
    <d v="2025-10-11T00:00:00"/>
    <s v="Uttar Pradesh"/>
    <s v="VIJAY LAXMI TRANSPORT"/>
    <s v="DL1GC9359"/>
    <s v="22 FT"/>
    <s v="NOT RECEIVED"/>
    <s v="Dispatched"/>
    <m/>
    <m/>
  </r>
  <r>
    <n v="1172"/>
    <n v="164"/>
    <s v="PIPO"/>
    <s v="WOS 243"/>
    <d v="2025-10-11T00:00:00"/>
    <x v="18"/>
    <s v="2526/7/TI-237"/>
    <x v="1036"/>
    <d v="2025-10-11T00:00:00"/>
    <x v="7"/>
    <n v="60"/>
    <n v="60"/>
    <n v="5"/>
    <d v="2025-10-11T00:00:00"/>
    <s v="Jharkhand"/>
    <s v="VIJAY LAXMI TRANSPORT"/>
    <s v="DL1GC9359"/>
    <s v="22 FT"/>
    <s v="NOT RECEIVED"/>
    <s v="Dispatched"/>
    <m/>
    <m/>
  </r>
  <r>
    <n v="1172"/>
    <n v="164"/>
    <s v="PIPO"/>
    <s v="WOS 205, 229"/>
    <d v="2025-10-11T00:00:00"/>
    <x v="34"/>
    <s v="2526/7/TI-240"/>
    <x v="1040"/>
    <d v="2025-10-11T00:00:00"/>
    <x v="7"/>
    <n v="360"/>
    <n v="360"/>
    <n v="30"/>
    <d v="2025-10-11T00:00:00"/>
    <s v="Rajasthan"/>
    <s v="VIJAY LAXMI TRANSPORT"/>
    <s v="DL1GC9359"/>
    <s v="22 FT"/>
    <s v="NOT RECEIVED"/>
    <s v="Dispatched"/>
    <m/>
    <m/>
  </r>
  <r>
    <n v="1172"/>
    <n v="164"/>
    <s v="PIPO"/>
    <s v="WOS 202, 224"/>
    <d v="2025-10-11T00:00:00"/>
    <x v="21"/>
    <s v="2526/7/TI-241"/>
    <x v="1041"/>
    <d v="2025-10-11T00:00:00"/>
    <x v="7"/>
    <n v="204"/>
    <n v="204"/>
    <n v="17"/>
    <d v="2025-10-11T00:00:00"/>
    <s v="Haryana"/>
    <s v="VIJAY LAXMI TRANSPORT"/>
    <s v="DL1GC9359"/>
    <s v="22 FT"/>
    <s v="NOT RECEIVED"/>
    <s v="Dispatched"/>
    <m/>
    <m/>
  </r>
  <r>
    <n v="1172"/>
    <n v="164"/>
    <s v="PIPO"/>
    <s v="WOS 231"/>
    <d v="2025-10-11T00:00:00"/>
    <x v="17"/>
    <s v="2526/7/TI-242"/>
    <x v="1042"/>
    <d v="2025-10-11T00:00:00"/>
    <x v="7"/>
    <n v="228"/>
    <n v="228"/>
    <n v="19"/>
    <d v="2025-10-11T00:00:00"/>
    <s v="HEYDRABAD"/>
    <s v="VIJAY LAXMI TRANSPORT"/>
    <s v="DL1GC9359"/>
    <s v="22 FT"/>
    <s v="NOT RECEIVED"/>
    <s v="Dispatched"/>
    <m/>
    <m/>
  </r>
  <r>
    <n v="1172"/>
    <n v="164"/>
    <s v="PIPO"/>
    <s v="WOS 226"/>
    <d v="2025-10-11T00:00:00"/>
    <x v="16"/>
    <s v="2526/7/TI-243"/>
    <x v="1043"/>
    <d v="2025-10-11T00:00:00"/>
    <x v="7"/>
    <n v="396"/>
    <n v="396"/>
    <n v="33"/>
    <d v="2025-10-11T00:00:00"/>
    <s v="Haryana"/>
    <s v="VIJAY LAXMI TRANSPORT"/>
    <s v="DL1GC9359"/>
    <s v="22 FT"/>
    <s v="NOT RECEIVED"/>
    <s v="Dispatched"/>
    <m/>
    <m/>
  </r>
  <r>
    <n v="1172"/>
    <n v="164"/>
    <s v="PIPO"/>
    <s v="WOS 218"/>
    <d v="2025-10-11T00:00:00"/>
    <x v="11"/>
    <s v="2526/7/TI-244"/>
    <x v="1044"/>
    <d v="2025-10-11T00:00:00"/>
    <x v="7"/>
    <n v="240"/>
    <n v="240"/>
    <n v="20"/>
    <d v="2025-10-11T00:00:00"/>
    <s v="Delhi"/>
    <s v="VIJAY LAXMI TRANSPORT"/>
    <s v="DL1GC9359"/>
    <s v="22 FT"/>
    <s v="NOT RECEIVED"/>
    <s v="Dispatched"/>
    <m/>
    <m/>
  </r>
  <r>
    <n v="1172"/>
    <n v="164"/>
    <s v="PIPO"/>
    <s v="WOS 217"/>
    <d v="2025-10-11T00:00:00"/>
    <x v="17"/>
    <s v="2526/7/TI-245"/>
    <x v="1045"/>
    <d v="2025-10-11T00:00:00"/>
    <x v="7"/>
    <n v="72"/>
    <n v="72"/>
    <n v="6"/>
    <d v="2025-10-11T00:00:00"/>
    <s v="GUJARAT"/>
    <s v="VIJAY LAXMI TRANSPORT"/>
    <s v="DL1GC9359"/>
    <s v="22 FT"/>
    <s v="NOT RECEIVED"/>
    <s v="Dispatched"/>
    <m/>
    <m/>
  </r>
  <r>
    <n v="1172"/>
    <n v="164"/>
    <s v="PIPO"/>
    <s v="WOS 203, 225"/>
    <d v="2025-10-11T00:00:00"/>
    <x v="35"/>
    <s v="2526/7/TI-246"/>
    <x v="1046"/>
    <d v="2025-10-11T00:00:00"/>
    <x v="7"/>
    <n v="168"/>
    <n v="168"/>
    <n v="14"/>
    <d v="2025-10-11T00:00:00"/>
    <s v="Delhi"/>
    <s v="VIJAY LAXMI TRANSPORT"/>
    <s v="DL1GC9359"/>
    <s v="22 FT"/>
    <s v="NOT RECEIVED"/>
    <s v="Dispatched"/>
    <m/>
    <m/>
  </r>
  <r>
    <n v="1172"/>
    <n v="164"/>
    <s v="PIPO"/>
    <s v="WOS 201, 223"/>
    <d v="2025-10-11T00:00:00"/>
    <x v="23"/>
    <s v="2526/7/TI-247"/>
    <x v="1047"/>
    <d v="2025-10-11T00:00:00"/>
    <x v="7"/>
    <n v="228"/>
    <n v="228"/>
    <n v="19"/>
    <d v="2025-10-11T00:00:00"/>
    <s v="Jammu &amp; Kashmir"/>
    <s v="VIJAY LAXMI TRANSPORT"/>
    <s v="DL1GC9359"/>
    <s v="22 FT"/>
    <s v="NOT RECEIVED"/>
    <s v="Dispatched"/>
    <m/>
    <m/>
  </r>
  <r>
    <n v="1172"/>
    <n v="164"/>
    <s v="PIPO"/>
    <s v="WOS 242"/>
    <d v="2025-10-11T00:00:00"/>
    <x v="12"/>
    <s v="2526/7/TI-248"/>
    <x v="1048"/>
    <d v="2025-10-11T00:00:00"/>
    <x v="7"/>
    <n v="50"/>
    <n v="50"/>
    <n v="5"/>
    <d v="2025-10-11T00:00:00"/>
    <s v="GUJARAT"/>
    <s v="VIJAY LAXMI TRANSPORT"/>
    <s v="DL1GC9359"/>
    <s v="22 FT"/>
    <s v="NOT RECEIVED"/>
    <s v="Dispatched"/>
    <m/>
    <m/>
  </r>
  <r>
    <n v="1173"/>
    <n v="165"/>
    <s v="PIPO"/>
    <s v="WOS 186"/>
    <d v="2025-10-11T00:00:00"/>
    <x v="52"/>
    <s v="2526/7/TI-249"/>
    <x v="1049"/>
    <d v="2025-10-11T00:00:00"/>
    <x v="7"/>
    <n v="468"/>
    <n v="468"/>
    <n v="39"/>
    <d v="2025-10-11T00:00:00"/>
    <s v="Uttar Pradesh"/>
    <s v="VIJAY LAXMI TRANSPORT"/>
    <s v="DL1MA9417"/>
    <s v="22 FT"/>
    <s v="NOT RECEIVED"/>
    <s v="Dispatched"/>
    <m/>
    <m/>
  </r>
  <r>
    <n v="1173"/>
    <n v="165"/>
    <s v="PIPO"/>
    <s v="WOS 196, 216, 248"/>
    <d v="2025-10-11T00:00:00"/>
    <x v="52"/>
    <s v="2526/7/TI-250"/>
    <x v="1050"/>
    <d v="2025-10-11T00:00:00"/>
    <x v="7"/>
    <n v="480"/>
    <n v="480"/>
    <n v="40"/>
    <d v="2025-10-11T00:00:00"/>
    <s v="Uttar Pradesh"/>
    <s v="VIJAY LAXMI TRANSPORT"/>
    <s v="DL1MA9417"/>
    <s v="22 FT"/>
    <s v="NOT RECEIVED"/>
    <s v="Dispatched"/>
    <m/>
    <m/>
  </r>
  <r>
    <n v="1173"/>
    <n v="165"/>
    <s v="PIPO"/>
    <s v="WOS 183"/>
    <d v="2025-10-11T00:00:00"/>
    <x v="36"/>
    <s v="2526/7/TI-251"/>
    <x v="1051"/>
    <d v="2025-10-11T00:00:00"/>
    <x v="7"/>
    <n v="156"/>
    <n v="156"/>
    <n v="13"/>
    <d v="2025-10-11T00:00:00"/>
    <s v="Jharkhand"/>
    <s v="VIJAY LAXMI TRANSPORT"/>
    <s v="DL1MA9417"/>
    <s v="22 FT"/>
    <s v="NOT RECEIVED"/>
    <s v="Dispatched"/>
    <m/>
    <m/>
  </r>
  <r>
    <n v="1173"/>
    <n v="165"/>
    <s v="PIPO"/>
    <s v="WOS 222"/>
    <d v="2025-10-11T00:00:00"/>
    <x v="33"/>
    <s v="2526/7/TI-252"/>
    <x v="1052"/>
    <d v="2025-10-11T00:00:00"/>
    <x v="7"/>
    <n v="168"/>
    <n v="168"/>
    <n v="14"/>
    <d v="2025-10-11T00:00:00"/>
    <s v="Maharashtra"/>
    <s v="VIJAY LAXMI TRANSPORT"/>
    <s v="DL1MA9417"/>
    <s v="22 FT"/>
    <s v="NOT RECEIVED"/>
    <s v="Dispatched"/>
    <m/>
    <m/>
  </r>
  <r>
    <n v="1173"/>
    <n v="165"/>
    <s v="PIPO"/>
    <s v="WOS 236"/>
    <d v="2025-10-11T00:00:00"/>
    <x v="9"/>
    <s v="2526/7/TI-253"/>
    <x v="1053"/>
    <d v="2025-10-11T00:00:00"/>
    <x v="7"/>
    <n v="144"/>
    <n v="144"/>
    <n v="12"/>
    <d v="2025-10-11T00:00:00"/>
    <s v="Uttar Pradesh"/>
    <s v="VIJAY LAXMI TRANSPORT"/>
    <s v="DL1MA9417"/>
    <s v="22 FT"/>
    <s v="NOT RECEIVED"/>
    <s v="Dispatched"/>
    <m/>
    <m/>
  </r>
  <r>
    <n v="1173"/>
    <n v="165"/>
    <s v="PIPO"/>
    <s v="WOS 241"/>
    <d v="2025-10-11T00:00:00"/>
    <x v="18"/>
    <s v="2526/7/TI-254"/>
    <x v="1054"/>
    <d v="2025-10-11T00:00:00"/>
    <x v="7"/>
    <n v="144"/>
    <n v="144"/>
    <n v="12"/>
    <d v="2025-10-11T00:00:00"/>
    <s v="Jharkhand"/>
    <s v="VIJAY LAXMI TRANSPORT"/>
    <s v="DL1MA9417"/>
    <s v="22 FT"/>
    <s v="NOT RECEIVED"/>
    <s v="Dispatched"/>
    <m/>
    <m/>
  </r>
  <r>
    <n v="1173"/>
    <n v="165"/>
    <s v="PIPO"/>
    <s v="WOS 244"/>
    <d v="2025-10-11T00:00:00"/>
    <x v="31"/>
    <s v="2526/7/TI-255"/>
    <x v="1055"/>
    <d v="2025-10-11T00:00:00"/>
    <x v="7"/>
    <n v="240"/>
    <n v="240"/>
    <n v="20"/>
    <d v="2025-10-11T00:00:00"/>
    <s v="Jammu &amp; Kashmir"/>
    <s v="VIJAY LAXMI TRANSPORT"/>
    <s v="DL1MA9417"/>
    <s v="22 FT"/>
    <s v="NOT RECEIVED"/>
    <s v="Dispatched"/>
    <m/>
    <m/>
  </r>
  <r>
    <n v="1173"/>
    <n v="165"/>
    <s v="PIPO"/>
    <s v="WOS 245"/>
    <d v="2025-10-11T00:00:00"/>
    <x v="13"/>
    <s v="2526/7/TI-256"/>
    <x v="1056"/>
    <d v="2025-10-11T00:00:00"/>
    <x v="7"/>
    <n v="180"/>
    <n v="180"/>
    <n v="15"/>
    <d v="2025-10-11T00:00:00"/>
    <s v="Rajasthan"/>
    <s v="VIJAY LAXMI TRANSPORT"/>
    <s v="DL1MA9417"/>
    <s v="22 FT"/>
    <s v="NOT RECEIVED"/>
    <s v="Dispatched"/>
    <m/>
    <m/>
  </r>
  <r>
    <n v="1173"/>
    <n v="165"/>
    <s v="PIPO"/>
    <s v="WOS 246"/>
    <d v="2025-10-11T00:00:00"/>
    <x v="8"/>
    <s v="2526/7/TI-257"/>
    <x v="1057"/>
    <d v="2025-10-11T00:00:00"/>
    <x v="7"/>
    <n v="60"/>
    <n v="60"/>
    <n v="5"/>
    <d v="2025-10-11T00:00:00"/>
    <s v="HIMALCHAL PRADESH"/>
    <s v="VIJAY LAXMI TRANSPORT"/>
    <s v="DL1MA9417"/>
    <s v="22 FT"/>
    <s v="NOT RECEIVED"/>
    <s v="Dispatched"/>
    <m/>
    <m/>
  </r>
  <r>
    <n v="1173"/>
    <n v="165"/>
    <s v="PIPO"/>
    <s v="WOS 247"/>
    <d v="2025-10-11T00:00:00"/>
    <x v="49"/>
    <s v="2526/7/TI-258"/>
    <x v="1058"/>
    <d v="2025-10-11T00:00:00"/>
    <x v="7"/>
    <n v="36"/>
    <n v="36"/>
    <n v="3"/>
    <d v="2025-10-11T00:00:00"/>
    <s v="Uttar Pradesh"/>
    <s v="VIJAY LAXMI TRANSPORT"/>
    <s v="DL1MA9417"/>
    <s v="22 FT"/>
    <s v="NOT RECEIVED"/>
    <s v="Dispatched"/>
    <m/>
    <m/>
  </r>
  <r>
    <n v="1174"/>
    <n v="166"/>
    <s v="PIPO"/>
    <s v="WOS 25, 257"/>
    <d v="2025-10-13T00:00:00"/>
    <x v="12"/>
    <s v="2526/7/TI-262"/>
    <x v="1059"/>
    <d v="2025-10-13T00:00:00"/>
    <x v="7"/>
    <n v="1752"/>
    <n v="1752"/>
    <n v="147"/>
    <d v="2025-10-14T00:00:00"/>
    <s v="GUJARAT"/>
    <s v="VIJAY LAXMI TRANSPORT"/>
    <s v="RJ40GA6569"/>
    <s v="32 FT"/>
    <s v="NOT RECEIVED"/>
    <s v="Dispatched"/>
    <s v="Dispatch delay because of vehicle arrival"/>
    <m/>
  </r>
  <r>
    <n v="1174"/>
    <n v="166"/>
    <s v="PIPO"/>
    <s v="WOS 258"/>
    <d v="2025-10-13T00:00:00"/>
    <x v="13"/>
    <s v="2526/7/TI-263"/>
    <x v="1060"/>
    <d v="2025-10-13T00:00:00"/>
    <x v="7"/>
    <n v="1380"/>
    <n v="1380"/>
    <n v="115"/>
    <d v="2025-10-14T00:00:00"/>
    <s v="Rajasthan"/>
    <s v="VIJAY LAXMI TRANSPORT"/>
    <s v="RJ40GA6569"/>
    <s v="32 FT"/>
    <s v="NOT RECEIVED"/>
    <s v="Dispatched"/>
    <s v="Dispatch delay because of vehicle arrival"/>
    <m/>
  </r>
  <r>
    <n v="1174"/>
    <n v="166"/>
    <s v="PIPO"/>
    <s v="WOS 250"/>
    <d v="2025-10-13T00:00:00"/>
    <x v="13"/>
    <s v="2526/7/TI-267"/>
    <x v="1061"/>
    <d v="2025-10-14T00:00:00"/>
    <x v="7"/>
    <n v="528"/>
    <n v="528"/>
    <n v="44"/>
    <d v="2025-10-14T00:00:00"/>
    <s v="Rajasthan"/>
    <s v="VIJAY LAXMI TRANSPORT"/>
    <s v="RJ40GA6569"/>
    <s v="32 FT"/>
    <s v="NOT RECEIVED"/>
    <s v="Dispatched"/>
    <s v="Dispatch delay because of vehicle arrival"/>
    <m/>
  </r>
  <r>
    <n v="1174"/>
    <n v="166"/>
    <s v="PIPO"/>
    <s v="WOS 266"/>
    <d v="2025-10-14T00:00:00"/>
    <x v="12"/>
    <s v="2526/7/TI-268"/>
    <x v="1062"/>
    <d v="2025-10-14T00:00:00"/>
    <x v="7"/>
    <n v="612"/>
    <n v="612"/>
    <n v="51"/>
    <d v="2025-10-14T00:00:00"/>
    <s v="Rajasthan"/>
    <s v="VIJAY LAXMI TRANSPORT"/>
    <s v="RJ40GA6569"/>
    <s v="32 FT"/>
    <s v="NOT RECEIVED"/>
    <s v="Dispatched"/>
    <s v="Dispatch delay because of vehicle arrival"/>
    <m/>
  </r>
  <r>
    <n v="1174"/>
    <n v="166"/>
    <s v="PIPO"/>
    <s v="WOS 267"/>
    <d v="2025-10-14T00:00:00"/>
    <x v="13"/>
    <s v="2526/7/TI-269"/>
    <x v="1063"/>
    <d v="2025-10-14T00:00:00"/>
    <x v="7"/>
    <n v="240"/>
    <n v="240"/>
    <n v="20"/>
    <d v="2025-10-14T00:00:00"/>
    <s v="Rajasthan"/>
    <s v="VIJAY LAXMI TRANSPORT"/>
    <s v="RJ40GA6569"/>
    <s v="32 FT"/>
    <s v="NOT RECEIVED"/>
    <s v="Dispatched"/>
    <s v="Dispatch delay because of vehicle arrival"/>
    <m/>
  </r>
  <r>
    <n v="1174"/>
    <n v="166"/>
    <s v="PIPO"/>
    <s v="WOS 262"/>
    <d v="2025-10-14T00:00:00"/>
    <x v="12"/>
    <s v="2526/7/TI-270"/>
    <x v="1064"/>
    <d v="2025-10-14T00:00:00"/>
    <x v="7"/>
    <n v="528"/>
    <n v="528"/>
    <n v="22"/>
    <d v="2025-10-14T00:00:00"/>
    <s v="GUJARAT"/>
    <s v="VIJAY LAXMI TRANSPORT"/>
    <s v="RJ40GA6569"/>
    <s v="32 FT"/>
    <s v="NOT RECEIVED"/>
    <s v="Dispatched"/>
    <s v="Dispatch delay because of vehicle arrival"/>
    <m/>
  </r>
  <r>
    <n v="1174"/>
    <n v="166"/>
    <s v="PIPO"/>
    <s v="WOS 256"/>
    <d v="2025-10-13T00:00:00"/>
    <x v="36"/>
    <s v="2526/7/TI-259"/>
    <x v="1065"/>
    <d v="2025-10-13T00:00:00"/>
    <x v="7"/>
    <n v="72"/>
    <n v="72"/>
    <n v="6"/>
    <d v="2025-10-14T00:00:00"/>
    <s v="Jharkhand"/>
    <s v="VIJAY LAXMI TRANSPORT"/>
    <s v="RJ40GA6569"/>
    <s v="32 FT"/>
    <s v="NOT RECEIVED"/>
    <s v="Dispatched"/>
    <s v="Dispatch delay because of vehicle arrival"/>
    <m/>
  </r>
  <r>
    <n v="1174"/>
    <n v="166"/>
    <s v="PIPO"/>
    <s v="WOS 253"/>
    <d v="2025-10-13T00:00:00"/>
    <x v="4"/>
    <s v="2526/7/TI-260"/>
    <x v="1066"/>
    <d v="2025-10-13T00:00:00"/>
    <x v="7"/>
    <n v="204"/>
    <n v="204"/>
    <n v="17"/>
    <d v="2025-10-14T00:00:00"/>
    <s v="PUNJAB"/>
    <s v="VIJAY LAXMI TRANSPORT"/>
    <s v="DL1MB0112"/>
    <s v="22 FT"/>
    <s v="NOT RECEIVED"/>
    <s v="Dispatched"/>
    <s v="Dispatch delay because of vehicle arrival"/>
    <m/>
  </r>
  <r>
    <n v="1174"/>
    <n v="166"/>
    <s v="PIPO"/>
    <s v="WOS 252"/>
    <d v="2025-10-13T00:00:00"/>
    <x v="3"/>
    <s v="2526/7/TI-261"/>
    <x v="1067"/>
    <d v="2025-10-13T00:00:00"/>
    <x v="7"/>
    <n v="48"/>
    <n v="48"/>
    <n v="4"/>
    <d v="2025-10-14T00:00:00"/>
    <s v="Chandigarh"/>
    <s v="VIJAY LAXMI TRANSPORT"/>
    <s v="DL1MB0112"/>
    <s v="22 FT"/>
    <s v="NOT RECEIVED"/>
    <s v="Dispatched"/>
    <s v="Dispatch delay because of vehicle arrival"/>
    <m/>
  </r>
  <r>
    <n v="1174"/>
    <n v="166"/>
    <s v="PIPO"/>
    <s v="WOS 249"/>
    <d v="2025-10-14T00:00:00"/>
    <x v="31"/>
    <s v="2526/7/TI-265"/>
    <x v="1068"/>
    <d v="2025-10-14T00:00:00"/>
    <x v="7"/>
    <n v="600"/>
    <n v="600"/>
    <n v="50"/>
    <d v="2025-10-14T00:00:00"/>
    <s v="Jammu &amp; Kashmir"/>
    <s v="VIJAY LAXMI TRANSPORT"/>
    <s v="DL1MB0112"/>
    <s v="22 FT"/>
    <s v="NOT RECEIVED"/>
    <s v="Dispatched"/>
    <s v="Dispatch delay because of vehicle arrival"/>
    <m/>
  </r>
  <r>
    <n v="1174"/>
    <n v="166"/>
    <s v="PIPO"/>
    <s v="WOS 251"/>
    <d v="2025-10-14T00:00:00"/>
    <x v="3"/>
    <s v="2526/7/TI-266"/>
    <x v="1069"/>
    <d v="2025-10-14T00:00:00"/>
    <x v="7"/>
    <n v="84"/>
    <n v="84"/>
    <n v="7"/>
    <d v="2025-10-14T00:00:00"/>
    <s v="Chandigarh"/>
    <s v="VIJAY LAXMI TRANSPORT"/>
    <s v="DL1MB0112"/>
    <s v="22 FT"/>
    <s v="NOT RECEIVED"/>
    <s v="Dispatched"/>
    <s v="Dispatch delay because of vehicle arrival"/>
    <m/>
  </r>
  <r>
    <n v="1174"/>
    <n v="166"/>
    <s v="PIPO"/>
    <s v="WOS 263"/>
    <d v="2025-10-14T00:00:00"/>
    <x v="2"/>
    <s v="2526/7/TI-271"/>
    <x v="1070"/>
    <d v="2025-10-14T00:00:00"/>
    <x v="7"/>
    <n v="180"/>
    <n v="180"/>
    <n v="15"/>
    <d v="2025-10-14T00:00:00"/>
    <s v="Uttar Pradesh"/>
    <s v="VIJAY LAXMI TRANSPORT"/>
    <s v="DL1MB0112"/>
    <s v="22 FT"/>
    <s v="NOT RECEIVED"/>
    <s v="Dispatched"/>
    <s v="Dispatch delay because of vehicle arrival"/>
    <m/>
  </r>
  <r>
    <n v="1174"/>
    <n v="166"/>
    <s v="PIPO"/>
    <s v="WOS 265"/>
    <d v="2025-10-14T00:00:00"/>
    <x v="2"/>
    <s v="2526/7/TI-272"/>
    <x v="1071"/>
    <d v="2025-10-14T00:00:00"/>
    <x v="7"/>
    <n v="720"/>
    <n v="720"/>
    <n v="60"/>
    <d v="2025-10-14T00:00:00"/>
    <s v="Uttar Pradesh"/>
    <s v="VIJAY LAXMI TRANSPORT"/>
    <s v="DL1MB0112"/>
    <s v="22 FT"/>
    <s v="NOT RECEIVED"/>
    <s v="Dispatched"/>
    <s v="Dispatch delay because of vehicle arrival"/>
    <m/>
  </r>
  <r>
    <n v="1174"/>
    <n v="166"/>
    <s v="PIPO"/>
    <s v="WOS 277"/>
    <d v="2025-10-14T00:00:00"/>
    <x v="44"/>
    <s v="2526/7/TI-273"/>
    <x v="1072"/>
    <d v="2025-10-14T00:00:00"/>
    <x v="7"/>
    <n v="120"/>
    <n v="120"/>
    <n v="10"/>
    <d v="2025-10-14T00:00:00"/>
    <s v="Uttar Pradesh"/>
    <s v="VIJAY LAXMI TRANSPORT"/>
    <s v="DL1MB0112"/>
    <s v="22 FT"/>
    <s v="NOT RECEIVED"/>
    <s v="Dispatched"/>
    <s v="Dispatch delay because of vehicle arrival"/>
    <m/>
  </r>
  <r>
    <n v="1174"/>
    <n v="166"/>
    <s v="PIPO"/>
    <s v="WOS 271"/>
    <d v="2025-10-14T00:00:00"/>
    <x v="49"/>
    <s v="2526/7/TI-274"/>
    <x v="1073"/>
    <d v="2025-10-14T00:00:00"/>
    <x v="7"/>
    <n v="96"/>
    <n v="96"/>
    <n v="8"/>
    <d v="2025-10-14T00:00:00"/>
    <s v="Uttar Pradesh"/>
    <s v="VIJAY LAXMI TRANSPORT"/>
    <s v="DL1MB0112"/>
    <s v="22 FT"/>
    <s v="NOT RECEIVED"/>
    <s v="Dispatched"/>
    <s v="Dispatch delay because of vehicle arrival"/>
    <m/>
  </r>
  <r>
    <n v="1174"/>
    <n v="166"/>
    <s v="PIPO"/>
    <s v="WOS 275"/>
    <d v="2025-10-14T00:00:00"/>
    <x v="11"/>
    <s v="2526/7/TI-275"/>
    <x v="1074"/>
    <d v="2025-10-14T00:00:00"/>
    <x v="7"/>
    <n v="96"/>
    <n v="96"/>
    <n v="8"/>
    <d v="2025-10-14T00:00:00"/>
    <s v="Delhi"/>
    <s v="VIJAY LAXMI TRANSPORT"/>
    <s v="DL1MB0112"/>
    <s v="22 FT"/>
    <s v="NOT RECEIVED"/>
    <s v="Dispatched"/>
    <s v="Dispatch delay because of vehicle arrival"/>
    <m/>
  </r>
  <r>
    <n v="1174"/>
    <n v="166"/>
    <s v="PIPO"/>
    <s v="WOS 276"/>
    <d v="2025-10-14T00:00:00"/>
    <x v="8"/>
    <s v="2526/7/TI-276"/>
    <x v="1075"/>
    <d v="2025-10-14T00:00:00"/>
    <x v="7"/>
    <n v="72"/>
    <n v="72"/>
    <n v="6"/>
    <d v="2025-10-14T00:00:00"/>
    <s v="HIMALCHAL PRADESH"/>
    <s v="VIJAY LAXMI TRANSPORT"/>
    <s v="DL1MB0112"/>
    <s v="22 FT"/>
    <s v="NOT RECEIVED"/>
    <s v="Dispatched"/>
    <s v="Dispatch delay because of vehicle arrival"/>
    <m/>
  </r>
  <r>
    <n v="1175"/>
    <n v="167"/>
    <s v="PIPO"/>
    <s v="WOS 259"/>
    <d v="2025-10-13T00:00:00"/>
    <x v="29"/>
    <s v="2526/7/TI-264"/>
    <x v="1076"/>
    <d v="2025-10-13T00:00:00"/>
    <x v="7"/>
    <n v="144"/>
    <n v="144"/>
    <n v="12"/>
    <d v="2025-10-16T00:00:00"/>
    <s v="Madhya Pradesh"/>
    <s v="VIJAY LAXMI TRANSPORT"/>
    <s v="DL01MA3659"/>
    <s v="22 FT"/>
    <s v="NOT RECEIVED"/>
    <s v="Dispatched"/>
    <s v="Dispatch delay because of vehicle arrival"/>
    <m/>
  </r>
  <r>
    <n v="1175"/>
    <n v="167"/>
    <s v="PIPO"/>
    <s v="WOS 261"/>
    <d v="2025-09-17T00:00:00"/>
    <x v="31"/>
    <s v="2526/7/TI-277"/>
    <x v="1077"/>
    <d v="2025-10-15T00:00:00"/>
    <x v="7"/>
    <n v="24"/>
    <n v="24"/>
    <n v="2"/>
    <d v="2025-09-17T00:00:00"/>
    <s v="Jammu &amp; Kashmir"/>
    <s v="SPARIO"/>
    <s v="PERSNAL CAB"/>
    <s v="CAR"/>
    <s v="-"/>
    <s v="Dispatched"/>
    <s v="PICKUP B AVINASH"/>
    <s v="SAMPLE 2 BOX"/>
  </r>
  <r>
    <n v="1175"/>
    <n v="167"/>
    <s v="PIPO"/>
    <s v="WOS 279"/>
    <d v="2025-10-15T00:00:00"/>
    <x v="44"/>
    <s v="2526/7/TI-278"/>
    <x v="1078"/>
    <d v="2025-10-15T00:00:00"/>
    <x v="7"/>
    <n v="444"/>
    <n v="444"/>
    <n v="37"/>
    <d v="2025-10-16T00:00:00"/>
    <s v="Uttar Pradesh"/>
    <s v="VIJAY LAXMI TRANSPORT"/>
    <s v="DL01MA3659"/>
    <s v="22 FT"/>
    <s v="NOT RECEIVED"/>
    <s v="Dispatched"/>
    <s v="Dispatch delay because of vehicle arrival"/>
    <m/>
  </r>
  <r>
    <n v="1175"/>
    <n v="167"/>
    <s v="PIPO"/>
    <s v="WOS 287"/>
    <d v="2025-10-15T00:00:00"/>
    <x v="2"/>
    <s v="2526/7/TI-279"/>
    <x v="1079"/>
    <d v="2025-10-15T00:00:00"/>
    <x v="7"/>
    <n v="228"/>
    <n v="228"/>
    <n v="19"/>
    <d v="2025-10-16T00:00:00"/>
    <s v="Uttar Pradesh"/>
    <s v="VIJAY LAXMI TRANSPORT"/>
    <s v="DL01MA3659"/>
    <s v="22 FT"/>
    <s v="NOT RECEIVED"/>
    <s v="Dispatched"/>
    <s v="Dispatch delay because of vehicle arrival"/>
    <m/>
  </r>
  <r>
    <n v="1175"/>
    <n v="167"/>
    <s v="PIPO"/>
    <s v="WOS 288"/>
    <d v="2025-10-15T00:00:00"/>
    <x v="52"/>
    <s v="2526/7/TI-280"/>
    <x v="1080"/>
    <d v="2025-10-15T00:00:00"/>
    <x v="7"/>
    <n v="60"/>
    <n v="60"/>
    <n v="5"/>
    <d v="2025-10-16T00:00:00"/>
    <s v="Uttar Pradesh"/>
    <s v="VIJAY LAXMI TRANSPORT"/>
    <s v="DL01MA3659"/>
    <s v="22 FT"/>
    <s v="NOT RECEIVED"/>
    <s v="Dispatched"/>
    <s v="Dispatch delay because of vehicle arrival"/>
    <m/>
  </r>
  <r>
    <n v="1175"/>
    <n v="167"/>
    <s v="PIPO"/>
    <s v="WOS 289"/>
    <d v="2025-10-15T00:00:00"/>
    <x v="3"/>
    <s v="2526/7/TI-281"/>
    <x v="993"/>
    <d v="2025-10-15T00:00:00"/>
    <x v="7"/>
    <n v="72"/>
    <n v="72"/>
    <n v="6"/>
    <d v="2025-10-16T00:00:00"/>
    <s v="Chandigarh"/>
    <s v="VIJAY LAXMI TRANSPORT"/>
    <s v="DL01MA3659"/>
    <s v="22 FT"/>
    <s v="NOT RECEIVED"/>
    <s v="Dispatched"/>
    <s v="Dispatch delay because of vehicle arrival"/>
    <m/>
  </r>
  <r>
    <n v="1175"/>
    <n v="167"/>
    <s v="PIPO"/>
    <s v="WOS 293"/>
    <d v="2025-10-15T00:00:00"/>
    <x v="47"/>
    <s v="2526/7/TI-282"/>
    <x v="1081"/>
    <d v="2025-10-15T00:00:00"/>
    <x v="7"/>
    <n v="60"/>
    <n v="60"/>
    <n v="5"/>
    <d v="2025-10-16T00:00:00"/>
    <s v="Maharashtra"/>
    <s v="VIJAY LAXMI TRANSPORT"/>
    <s v="DL01MA3659"/>
    <s v="22 FT"/>
    <s v="NOT RECEIVED"/>
    <s v="Dispatched"/>
    <s v="Dispatch delay because of vehicle arrival"/>
    <m/>
  </r>
  <r>
    <n v="1175"/>
    <n v="167"/>
    <s v="PIPO"/>
    <s v="WOS 286"/>
    <d v="2025-10-15T00:00:00"/>
    <x v="31"/>
    <s v="2526/7/TI-283"/>
    <x v="1082"/>
    <d v="2025-10-15T00:00:00"/>
    <x v="7"/>
    <n v="48"/>
    <n v="48"/>
    <n v="4"/>
    <d v="2025-10-16T00:00:00"/>
    <s v="Jammu &amp; Kashmir"/>
    <s v="VIJAY LAXMI TRANSPORT"/>
    <s v="DL01MA3659"/>
    <s v="22 FT"/>
    <s v="NOT RECEIVED"/>
    <s v="Dispatched"/>
    <s v="Dispatch delay because of vehicle arrival"/>
    <m/>
  </r>
  <r>
    <n v="1175"/>
    <n v="167"/>
    <s v="PIPO"/>
    <s v="WOS 282"/>
    <d v="2025-10-15T00:00:00"/>
    <x v="4"/>
    <s v="2526/7/TI-284"/>
    <x v="1083"/>
    <d v="2025-10-15T00:00:00"/>
    <x v="7"/>
    <n v="36"/>
    <n v="36"/>
    <n v="3"/>
    <d v="2025-10-16T00:00:00"/>
    <s v="PUNJAB"/>
    <s v="VIJAY LAXMI TRANSPORT"/>
    <s v="DL01MA3659"/>
    <s v="22 FT"/>
    <s v="NOT RECEIVED"/>
    <s v="Dispatched"/>
    <s v="Dispatch delay because of vehicle arrival"/>
    <m/>
  </r>
  <r>
    <n v="1175"/>
    <n v="167"/>
    <s v="PIPO"/>
    <s v="WOS 284"/>
    <d v="2025-10-15T00:00:00"/>
    <x v="49"/>
    <s v="2526/7/TI-285"/>
    <x v="1084"/>
    <d v="2025-10-15T00:00:00"/>
    <x v="7"/>
    <n v="60"/>
    <n v="60"/>
    <n v="5"/>
    <d v="2025-10-16T00:00:00"/>
    <s v="Uttar Pradesh"/>
    <s v="VIJAY LAXMI TRANSPORT"/>
    <s v="DL01MA3659"/>
    <s v="22 FT"/>
    <s v="NOT RECEIVED"/>
    <s v="Dispatched"/>
    <s v="Dispatch delay because of vehicle arrival"/>
    <m/>
  </r>
  <r>
    <n v="1175"/>
    <n v="167"/>
    <s v="PIPO"/>
    <s v="WOS 285"/>
    <d v="2025-10-15T00:00:00"/>
    <x v="29"/>
    <s v="2526/7/TI-286"/>
    <x v="1083"/>
    <d v="2025-10-15T00:00:00"/>
    <x v="7"/>
    <n v="36"/>
    <n v="36"/>
    <n v="3"/>
    <d v="2025-10-16T00:00:00"/>
    <s v="Madhya Pradesh"/>
    <s v="VIJAY LAXMI TRANSPORT"/>
    <s v="DL01MA3659"/>
    <s v="22 FT"/>
    <s v="NOT RECEIVED"/>
    <s v="Dispatched"/>
    <s v="Dispatch delay because of vehicle arrival"/>
    <m/>
  </r>
  <r>
    <n v="1175"/>
    <n v="167"/>
    <s v="PIPO"/>
    <s v="WOS 280"/>
    <d v="2025-10-15T00:00:00"/>
    <x v="13"/>
    <s v="2526/7/TI-287"/>
    <x v="1084"/>
    <d v="2025-10-15T00:00:00"/>
    <x v="7"/>
    <n v="60"/>
    <n v="60"/>
    <n v="5"/>
    <d v="2025-10-16T00:00:00"/>
    <s v="Rajasthan"/>
    <s v="VIJAY LAXMI TRANSPORT"/>
    <s v="DL01MA3659"/>
    <s v="22 FT"/>
    <s v="NOT RECEIVED"/>
    <s v="Dispatched"/>
    <s v="Dispatch delay because of vehicle arrival"/>
    <m/>
  </r>
  <r>
    <n v="1175"/>
    <n v="167"/>
    <s v="PIPO"/>
    <s v="WOS 283"/>
    <d v="2025-10-15T00:00:00"/>
    <x v="27"/>
    <s v="2526/7/TI-288"/>
    <x v="1084"/>
    <d v="2025-10-15T00:00:00"/>
    <x v="7"/>
    <n v="60"/>
    <n v="60"/>
    <n v="5"/>
    <d v="2025-10-16T00:00:00"/>
    <s v="Madhya Pradesh"/>
    <s v="VIJAY LAXMI TRANSPORT"/>
    <s v="DL01MA3659"/>
    <s v="22 FT"/>
    <s v="NOT RECEIVED"/>
    <s v="Dispatched"/>
    <s v="Dispatch delay because of vehicle arrival"/>
    <m/>
  </r>
  <r>
    <n v="1175"/>
    <n v="167"/>
    <s v="PIPO"/>
    <s v="WOS 282"/>
    <d v="2025-10-15T00:00:00"/>
    <x v="12"/>
    <s v="2526/7/TI-289"/>
    <x v="1084"/>
    <d v="2025-10-15T00:00:00"/>
    <x v="7"/>
    <n v="60"/>
    <n v="60"/>
    <n v="5"/>
    <d v="2025-10-16T00:00:00"/>
    <s v="GUJARAT"/>
    <s v="VIJAY LAXMI TRANSPORT"/>
    <s v="DL01MA3659"/>
    <s v="22 FT"/>
    <s v="NOT RECEIVED"/>
    <s v="Dispatched"/>
    <s v="Dispatch delay because of vehicle arrival"/>
    <m/>
  </r>
  <r>
    <n v="1175"/>
    <n v="167"/>
    <s v="PIPO"/>
    <s v="WOS 292"/>
    <d v="2025-10-15T00:00:00"/>
    <x v="23"/>
    <s v="2526/7/TI-290"/>
    <x v="993"/>
    <d v="2025-10-15T00:00:00"/>
    <x v="7"/>
    <n v="72"/>
    <n v="72"/>
    <n v="6"/>
    <d v="2025-10-16T00:00:00"/>
    <s v="Jammu &amp; Kashmir"/>
    <s v="VIJAY LAXMI TRANSPORT"/>
    <s v="DL01MA3659"/>
    <s v="22 FT"/>
    <s v="NOT RECEIVED"/>
    <s v="Dispatched"/>
    <s v="Dispatch delay because of vehicle arrival"/>
    <m/>
  </r>
  <r>
    <n v="1175"/>
    <n v="167"/>
    <s v="PIPO"/>
    <s v="WOS 292"/>
    <d v="2025-10-15T00:00:00"/>
    <x v="33"/>
    <s v="2526/7/TI-291"/>
    <x v="1085"/>
    <d v="2025-10-15T00:00:00"/>
    <x v="7"/>
    <n v="72"/>
    <n v="72"/>
    <n v="6"/>
    <d v="2025-10-16T00:00:00"/>
    <s v="Maharashtra"/>
    <s v="VIJAY LAXMI TRANSPORT"/>
    <s v="DL01MA3659"/>
    <s v="22 FT"/>
    <s v="NOT RECEIVED"/>
    <s v="Dispatched"/>
    <s v="Dispatch delay because of vehicle arrival"/>
    <m/>
  </r>
  <r>
    <n v="1175"/>
    <n v="167"/>
    <s v="PIPO"/>
    <s v="WOS 290"/>
    <d v="2025-10-15T00:00:00"/>
    <x v="11"/>
    <s v="2526/7/TI-292"/>
    <x v="1086"/>
    <d v="2025-10-15T00:00:00"/>
    <x v="7"/>
    <n v="84"/>
    <n v="84"/>
    <n v="7"/>
    <d v="2025-10-16T00:00:00"/>
    <s v="Delhi"/>
    <s v="VIJAY LAXMI TRANSPORT"/>
    <s v="DL01MA3659"/>
    <s v="22 FT"/>
    <s v="NOT RECEIVED"/>
    <s v="Dispatched"/>
    <s v="Dispatch delay because of vehicle arrival"/>
    <m/>
  </r>
  <r>
    <n v="1175"/>
    <n v="167"/>
    <s v="BIBO"/>
    <s v="WOS 254"/>
    <d v="2025-10-14T00:00:00"/>
    <x v="4"/>
    <s v="2526/7/TI-293"/>
    <x v="1087"/>
    <d v="2025-10-16T00:00:00"/>
    <x v="7"/>
    <n v="216"/>
    <n v="216"/>
    <n v="9"/>
    <d v="2025-10-16T00:00:00"/>
    <s v="PUNJAB"/>
    <s v="VIJAY LAXMI TRANSPORT"/>
    <s v="DL01MA3659"/>
    <s v="22 FT"/>
    <s v="NOT RECEIVED"/>
    <s v="Dispatched"/>
    <s v="Dispatch delay because of vehicle arrival"/>
    <m/>
  </r>
  <r>
    <n v="1175"/>
    <n v="167"/>
    <s v="BIBO"/>
    <s v="WOS 260"/>
    <d v="2025-10-14T00:00:00"/>
    <x v="25"/>
    <s v="2526/7/TI-294"/>
    <x v="1088"/>
    <d v="2025-10-16T00:00:00"/>
    <x v="7"/>
    <n v="168"/>
    <n v="168"/>
    <n v="7"/>
    <d v="2025-10-16T00:00:00"/>
    <s v="Haryana"/>
    <s v="VIJAY LAXMI TRANSPORT"/>
    <s v="DL01MA3659"/>
    <s v="22 FT"/>
    <s v="NOT RECEIVED"/>
    <s v="Dispatched"/>
    <s v="Dispatch delay because of vehicle arrival"/>
    <m/>
  </r>
  <r>
    <n v="1175"/>
    <n v="167"/>
    <s v="PIPO"/>
    <s v="WOS 264"/>
    <d v="2025-10-14T00:00:00"/>
    <x v="4"/>
    <s v="2526/7/TI-295"/>
    <x v="1089"/>
    <d v="2025-10-16T00:00:00"/>
    <x v="7"/>
    <n v="96"/>
    <n v="96"/>
    <n v="4"/>
    <d v="2025-10-16T00:00:00"/>
    <s v="PUNJAB"/>
    <s v="VIJAY LAXMI TRANSPORT"/>
    <s v="DL01MA3659"/>
    <s v="22 FT"/>
    <s v="NOT RECEIVED"/>
    <s v="Dispatched"/>
    <s v="Dispatch delay because of vehicle arrival"/>
    <m/>
  </r>
  <r>
    <n v="1175"/>
    <n v="167"/>
    <s v="PIPO"/>
    <s v="WOS 296"/>
    <d v="2025-10-15T00:00:00"/>
    <x v="18"/>
    <s v="2526/7/TI-296"/>
    <x v="1090"/>
    <d v="2025-10-16T00:00:00"/>
    <x v="7"/>
    <n v="156"/>
    <n v="156"/>
    <n v="13"/>
    <d v="2025-10-16T00:00:00"/>
    <s v="Jharkhand"/>
    <s v="VIJAY LAXMI TRANSPORT"/>
    <s v="DL01MA3659"/>
    <s v="22 FT"/>
    <s v="NOT RECEIVED"/>
    <s v="Dispatched"/>
    <s v="Dispatch delay because of vehicle arrival"/>
    <m/>
  </r>
  <r>
    <n v="1175"/>
    <n v="167"/>
    <s v="PIPO"/>
    <s v="WOS 274"/>
    <d v="2025-10-15T00:00:00"/>
    <x v="17"/>
    <s v="2526/7/TI-297"/>
    <x v="1091"/>
    <d v="2025-10-16T00:00:00"/>
    <x v="7"/>
    <n v="48"/>
    <n v="48"/>
    <n v="4"/>
    <d v="2025-10-16T00:00:00"/>
    <s v="GUJARAT"/>
    <s v="VIJAY LAXMI TRANSPORT"/>
    <s v="DL01MA3659"/>
    <s v="22 FT"/>
    <s v="NOT RECEIVED"/>
    <s v="Dispatched"/>
    <s v="Dispatch delay because of vehicle arrival"/>
    <m/>
  </r>
  <r>
    <n v="1175"/>
    <n v="167"/>
    <s v="PIPO"/>
    <s v="WOS 273"/>
    <d v="2025-10-15T00:00:00"/>
    <x v="31"/>
    <s v="2526/7/TI-298"/>
    <x v="1092"/>
    <d v="2025-10-16T00:00:00"/>
    <x v="7"/>
    <n v="60"/>
    <n v="60"/>
    <n v="5"/>
    <d v="2025-10-16T00:00:00"/>
    <s v="Jammu &amp; Kashmir"/>
    <s v="VIJAY LAXMI TRANSPORT"/>
    <s v="DL01MA3659"/>
    <s v="22 FT"/>
    <s v="NOT RECEIVED"/>
    <s v="Dispatched"/>
    <s v="Dispatch delay because of vehicle arrival"/>
    <m/>
  </r>
  <r>
    <n v="1175"/>
    <n v="167"/>
    <s v="PIPO"/>
    <s v="WOS 272"/>
    <d v="2025-10-15T00:00:00"/>
    <x v="29"/>
    <s v="2526/7/TI-299"/>
    <x v="1093"/>
    <d v="2025-10-16T00:00:00"/>
    <x v="7"/>
    <n v="60"/>
    <n v="60"/>
    <n v="5"/>
    <d v="2025-10-16T00:00:00"/>
    <s v="Madhya Pradesh"/>
    <s v="VIJAY LAXMI TRANSPORT"/>
    <s v="DL01MA3659"/>
    <s v="22 FT"/>
    <s v="NOT RECEIVED"/>
    <s v="Dispatched"/>
    <s v="Dispatch delay because of vehicle arrival"/>
    <m/>
  </r>
  <r>
    <n v="1175"/>
    <n v="167"/>
    <s v="PIPO"/>
    <s v="WOS 295"/>
    <d v="2025-10-15T00:00:00"/>
    <x v="18"/>
    <s v="2526/7/TI-300"/>
    <x v="1094"/>
    <d v="2025-10-16T00:00:00"/>
    <x v="7"/>
    <n v="132"/>
    <n v="132"/>
    <n v="11"/>
    <d v="2025-10-16T00:00:00"/>
    <s v="Jharkhand"/>
    <s v="VIJAY LAXMI TRANSPORT"/>
    <s v="DL01MA3659"/>
    <s v="22 FT"/>
    <s v="NOT RECEIVED"/>
    <s v="Dispatched"/>
    <s v="Dispatch delay because of vehicle arrival"/>
    <m/>
  </r>
  <r>
    <n v="1175"/>
    <n v="167"/>
    <s v="PIPO"/>
    <s v="WOS 270"/>
    <d v="2025-10-15T00:00:00"/>
    <x v="27"/>
    <s v="2526/7/TI-301"/>
    <x v="1095"/>
    <d v="2025-10-16T00:00:00"/>
    <x v="7"/>
    <n v="84"/>
    <n v="84"/>
    <n v="7"/>
    <d v="2025-10-16T00:00:00"/>
    <s v="Madhya Pradesh"/>
    <s v="VIJAY LAXMI TRANSPORT"/>
    <s v="DL01MA3659"/>
    <s v="22 FT"/>
    <s v="NOT RECEIVED"/>
    <s v="Dispatched"/>
    <s v="Dispatch delay because of vehicle arrival"/>
    <m/>
  </r>
  <r>
    <n v="1175"/>
    <n v="167"/>
    <s v="PIPO"/>
    <s v="WOS 268"/>
    <d v="2025-10-15T00:00:00"/>
    <x v="2"/>
    <s v="2526/7/TI-302"/>
    <x v="1072"/>
    <d v="2025-10-16T00:00:00"/>
    <x v="7"/>
    <n v="120"/>
    <n v="120"/>
    <n v="10"/>
    <d v="2025-10-16T00:00:00"/>
    <s v="Uttar Pradesh"/>
    <s v="VIJAY LAXMI TRANSPORT"/>
    <s v="DL01MA3659"/>
    <s v="22 FT"/>
    <s v="NOT RECEIVED"/>
    <s v="Dispatched"/>
    <s v="Dispatch delay because of vehicle arrival"/>
    <m/>
  </r>
  <r>
    <n v="1175"/>
    <n v="167"/>
    <s v="PIPO"/>
    <s v="WOS 299"/>
    <d v="2025-10-15T00:00:00"/>
    <x v="49"/>
    <s v="2526/7/TI-305"/>
    <x v="1096"/>
    <d v="2025-10-16T00:00:00"/>
    <x v="7"/>
    <n v="96"/>
    <n v="96"/>
    <n v="8"/>
    <d v="2025-10-16T00:00:00"/>
    <s v="Uttar Pradesh"/>
    <s v="VIJAY LAXMI TRANSPORT"/>
    <s v="DL01MA3659"/>
    <s v="22 FT"/>
    <s v="NOT RECEIVED"/>
    <s v="Dispatched"/>
    <s v="Dispatch delay because of vehicle arrival"/>
    <m/>
  </r>
  <r>
    <n v="1175"/>
    <n v="167"/>
    <s v="PIPO"/>
    <s v="WOS 297"/>
    <d v="2025-10-15T00:00:00"/>
    <x v="3"/>
    <s v="2526/7/TI-303"/>
    <x v="951"/>
    <d v="2025-10-16T00:00:00"/>
    <x v="7"/>
    <n v="72"/>
    <n v="72"/>
    <n v="6"/>
    <d v="2025-10-16T00:00:00"/>
    <s v="Chandigarh"/>
    <s v="VIJAY LAXMI TRANSPORT"/>
    <s v="DL01MA3659"/>
    <s v="22 FT"/>
    <s v="NOT RECEIVED"/>
    <s v="Dispatched"/>
    <s v="Dispatch delay because of vehicle arrival"/>
    <m/>
  </r>
  <r>
    <n v="1175"/>
    <n v="167"/>
    <s v="PIPO"/>
    <s v="WOS 298"/>
    <d v="2025-10-15T00:00:00"/>
    <x v="18"/>
    <s v="2526/7/TI-304"/>
    <x v="1036"/>
    <d v="2025-10-16T00:00:00"/>
    <x v="7"/>
    <n v="60"/>
    <n v="60"/>
    <n v="5"/>
    <d v="2025-10-16T00:00:00"/>
    <s v="Jharkhand"/>
    <s v="VIJAY LAXMI TRANSPORT"/>
    <s v="DL01MA3659"/>
    <s v="22 FT"/>
    <s v="NOT RECEIVED"/>
    <s v="Dispatched"/>
    <s v="Dispatch delay because of vehicle arrival"/>
    <m/>
  </r>
  <r>
    <n v="1176"/>
    <n v="168"/>
    <s v="PIPO"/>
    <s v="WOS 301"/>
    <d v="2025-10-17T00:00:00"/>
    <x v="12"/>
    <s v="2526/7/TI-329"/>
    <x v="1097"/>
    <d v="2025-10-17T00:00:00"/>
    <x v="7"/>
    <n v="1716"/>
    <n v="1716"/>
    <n v="143"/>
    <d v="2025-10-17T00:00:00"/>
    <s v="GUJARAT"/>
    <s v="VIJAY LAXMI TRANSPORT"/>
    <s v="RJ14GT9514"/>
    <s v="32 FT"/>
    <s v="NOT RECEIVED"/>
    <s v="Dispatched"/>
    <m/>
    <m/>
  </r>
  <r>
    <n v="1176"/>
    <n v="168"/>
    <s v="PIPO"/>
    <s v="WOS 333"/>
    <d v="2025-10-17T00:00:00"/>
    <x v="12"/>
    <s v="2526/7/TI-330"/>
    <x v="1098"/>
    <d v="2025-10-17T00:00:00"/>
    <x v="7"/>
    <n v="300"/>
    <n v="300"/>
    <n v="25"/>
    <d v="2025-10-17T00:00:00"/>
    <s v="GUJARAT"/>
    <s v="VIJAY LAXMI TRANSPORT"/>
    <s v="RJ14GT9514"/>
    <s v="32 FT"/>
    <s v="NOT RECEIVED"/>
    <s v="Dispatched"/>
    <m/>
    <m/>
  </r>
  <r>
    <n v="1176"/>
    <n v="168"/>
    <s v="PIPO"/>
    <s v="WOS 300, 325, 332, 336"/>
    <d v="2025-10-17T00:00:00"/>
    <x v="13"/>
    <s v="2526/7/TI-331"/>
    <x v="1099"/>
    <d v="2025-10-17T00:00:00"/>
    <x v="7"/>
    <n v="2220"/>
    <n v="2220"/>
    <n v="185"/>
    <d v="2025-10-17T00:00:00"/>
    <s v="Rajasthan"/>
    <s v="VIJAY LAXMI TRANSPORT"/>
    <s v="RJ14GT9514"/>
    <s v="32 FT"/>
    <s v="NOT RECEIVED"/>
    <s v="Dispatched"/>
    <m/>
    <m/>
  </r>
  <r>
    <n v="1177"/>
    <n v="169"/>
    <s v="PIPO"/>
    <s v="WOS 306"/>
    <d v="2025-10-16T00:00:00"/>
    <x v="44"/>
    <s v="2526/7/TI-317"/>
    <x v="1100"/>
    <d v="2025-10-17T00:00:00"/>
    <x v="7"/>
    <n v="2100"/>
    <n v="2100"/>
    <n v="175"/>
    <d v="2025-10-17T00:00:00"/>
    <s v="Uttar Pradesh"/>
    <s v="VIJAY LAXMI TRANSPORT"/>
    <s v="DL01MA3659"/>
    <s v="22 FT"/>
    <s v="NOT RECEIVED"/>
    <s v="Dispatched"/>
    <m/>
    <m/>
  </r>
  <r>
    <n v="1177"/>
    <n v="169"/>
    <s v="PIPO"/>
    <s v="WOS 311"/>
    <d v="2025-10-16T00:00:00"/>
    <x v="17"/>
    <s v="2526/7/TI-319"/>
    <x v="1101"/>
    <d v="2025-10-17T00:00:00"/>
    <x v="7"/>
    <n v="480"/>
    <n v="480"/>
    <n v="40"/>
    <d v="2025-10-17T00:00:00"/>
    <s v="GUJARAT"/>
    <s v="VIJAY LAXMI TRANSPORT"/>
    <s v="DL01MA3659"/>
    <s v="22 FT"/>
    <s v="NOT RECEIVED"/>
    <s v="Dispatched"/>
    <m/>
    <m/>
  </r>
  <r>
    <n v="1177"/>
    <n v="169"/>
    <s v="PIPO"/>
    <s v="WOS 307"/>
    <d v="2025-10-16T00:00:00"/>
    <x v="19"/>
    <s v="2526/7/TI-308"/>
    <x v="1102"/>
    <d v="2025-10-17T00:00:00"/>
    <x v="7"/>
    <n v="96"/>
    <n v="96"/>
    <n v="8"/>
    <d v="2025-10-17T00:00:00"/>
    <s v="Rajasthan"/>
    <s v="VIJAY LAXMI TRANSPORT"/>
    <s v="DL01MA3659"/>
    <s v="22 FT"/>
    <s v="NOT RECEIVED"/>
    <s v="Dispatched"/>
    <m/>
    <m/>
  </r>
  <r>
    <n v="1178"/>
    <n v="170"/>
    <s v="PIPO"/>
    <s v="WOS 309"/>
    <d v="2025-10-17T00:00:00"/>
    <x v="31"/>
    <s v="2526/7/TI-312"/>
    <x v="1103"/>
    <d v="2025-10-17T00:00:00"/>
    <x v="7"/>
    <n v="216"/>
    <n v="216"/>
    <n v="18"/>
    <d v="2025-10-17T00:00:00"/>
    <s v="Jammu &amp; Kashmir"/>
    <s v="VIJAY LAXMI TRANSPORT"/>
    <s v="KA01AL4021"/>
    <s v="32 FT"/>
    <s v="NOT RECEIVED"/>
    <s v="Dispatched"/>
    <m/>
    <m/>
  </r>
  <r>
    <n v="1178"/>
    <n v="170"/>
    <s v="PIPO"/>
    <s v="WOS 331"/>
    <d v="2025-10-17T00:00:00"/>
    <x v="48"/>
    <s v="2526/7/TI-332"/>
    <x v="1082"/>
    <d v="2025-10-17T00:00:00"/>
    <x v="7"/>
    <n v="48"/>
    <n v="48"/>
    <n v="4"/>
    <d v="2025-10-17T00:00:00"/>
    <s v="Delhi"/>
    <s v="VIJAY LAXMI TRANSPORT"/>
    <s v="KA01AL4021"/>
    <s v="32 FT"/>
    <s v="NOT RECEIVED"/>
    <s v="Dispatched"/>
    <m/>
    <m/>
  </r>
  <r>
    <n v="1178"/>
    <n v="170"/>
    <s v="PIPO"/>
    <s v="WOS 335"/>
    <d v="2025-10-17T00:00:00"/>
    <x v="4"/>
    <s v="2526/7/TI-333"/>
    <x v="1104"/>
    <d v="2025-10-17T00:00:00"/>
    <x v="7"/>
    <n v="82"/>
    <n v="82"/>
    <n v="7"/>
    <d v="2025-10-17T00:00:00"/>
    <s v="PUNJAB"/>
    <s v="VIJAY LAXMI TRANSPORT"/>
    <s v="KA01AL4021"/>
    <s v="32 FT"/>
    <s v="NOT RECEIVED"/>
    <s v="Dispatched"/>
    <m/>
    <m/>
  </r>
  <r>
    <n v="1178"/>
    <n v="170"/>
    <s v="PIPO"/>
    <s v="WOS  321"/>
    <d v="2025-10-17T00:00:00"/>
    <x v="16"/>
    <s v="2526/7/TI-328"/>
    <x v="1105"/>
    <d v="2025-10-17T00:00:00"/>
    <x v="7"/>
    <n v="312"/>
    <n v="312"/>
    <n v="26"/>
    <d v="2025-10-17T00:00:00"/>
    <s v="Haryana"/>
    <s v="VIJAY LAXMI TRANSPORT"/>
    <s v="KA01AL4021"/>
    <s v="32 FT"/>
    <s v="NOT RECEIVED"/>
    <s v="Dispatched"/>
    <m/>
    <m/>
  </r>
  <r>
    <n v="1178"/>
    <n v="170"/>
    <s v="PIPO"/>
    <s v="WOS 312"/>
    <d v="2025-10-17T00:00:00"/>
    <x v="11"/>
    <s v="2526/7/TI-325"/>
    <x v="1101"/>
    <d v="2025-10-17T00:00:00"/>
    <x v="7"/>
    <n v="480"/>
    <n v="480"/>
    <n v="40"/>
    <d v="2025-10-17T00:00:00"/>
    <s v="Delhi"/>
    <s v="VIJAY LAXMI TRANSPORT"/>
    <s v="KA01AL4021"/>
    <s v="32 FT"/>
    <s v="NOT RECEIVED"/>
    <s v="Dispatched"/>
    <m/>
    <m/>
  </r>
  <r>
    <n v="1178"/>
    <n v="170"/>
    <s v="PIPO"/>
    <s v="WOS 315"/>
    <d v="2025-10-17T00:00:00"/>
    <x v="3"/>
    <s v="2526/7/TI-327"/>
    <x v="1106"/>
    <d v="2025-10-17T00:00:00"/>
    <x v="7"/>
    <n v="432"/>
    <n v="432"/>
    <n v="36"/>
    <d v="2025-10-17T00:00:00"/>
    <s v="Chandigarh"/>
    <s v="VIJAY LAXMI TRANSPORT"/>
    <s v="KA01AL4021"/>
    <s v="32 FT"/>
    <s v="NOT RECEIVED"/>
    <s v="Dispatched"/>
    <m/>
    <m/>
  </r>
  <r>
    <n v="1178"/>
    <n v="170"/>
    <s v="PIPO"/>
    <s v="WOS 317"/>
    <d v="2025-10-17T00:00:00"/>
    <x v="23"/>
    <s v="2526/7/TI-318"/>
    <x v="1107"/>
    <d v="2025-10-17T00:00:00"/>
    <x v="7"/>
    <n v="360"/>
    <n v="360"/>
    <n v="30"/>
    <d v="2025-10-17T00:00:00"/>
    <s v="Jammu &amp; Kashmir"/>
    <s v="VIJAY LAXMI TRANSPORT"/>
    <s v="KA01AL4021"/>
    <s v="32 FT"/>
    <s v="NOT RECEIVED"/>
    <s v="Dispatched"/>
    <m/>
    <m/>
  </r>
  <r>
    <n v="1178"/>
    <n v="170"/>
    <s v="PIPO"/>
    <s v="WOS 316"/>
    <d v="2025-10-17T00:00:00"/>
    <x v="33"/>
    <s v="2526/7/TI-324"/>
    <x v="1108"/>
    <d v="2025-10-17T00:00:00"/>
    <x v="7"/>
    <n v="456"/>
    <n v="456"/>
    <n v="38"/>
    <d v="2025-10-17T00:00:00"/>
    <s v="Maharashtra"/>
    <s v="VIJAY LAXMI TRANSPORT"/>
    <s v="KA01AL4021"/>
    <s v="32 FT"/>
    <s v="NOT RECEIVED"/>
    <s v="Dispatched"/>
    <m/>
    <m/>
  </r>
  <r>
    <n v="1178"/>
    <n v="170"/>
    <s v="PIPO"/>
    <s v="WOS 305"/>
    <d v="2025-10-16T00:00:00"/>
    <x v="49"/>
    <s v="2526/7/TI-306"/>
    <x v="1109"/>
    <d v="2025-10-16T00:00:00"/>
    <x v="7"/>
    <n v="888"/>
    <n v="888"/>
    <n v="74"/>
    <d v="2025-10-17T00:00:00"/>
    <s v="Uttar Pradesh"/>
    <s v="VIJAY LAXMI TRANSPORT"/>
    <s v="KA01AL4021"/>
    <s v="32 FT"/>
    <s v="NOT RECEIVED"/>
    <s v="Dispatched"/>
    <m/>
    <m/>
  </r>
  <r>
    <n v="1178"/>
    <n v="170"/>
    <s v="PIPO"/>
    <s v="WOS 302"/>
    <d v="2025-10-16T00:00:00"/>
    <x v="4"/>
    <s v="2526/7/TI-307"/>
    <x v="1110"/>
    <d v="2025-10-16T00:00:00"/>
    <x v="7"/>
    <n v="612"/>
    <n v="612"/>
    <n v="51"/>
    <d v="2025-10-17T00:00:00"/>
    <s v="PUNJAB"/>
    <s v="VIJAY LAXMI TRANSPORT"/>
    <s v="KA01AL4021"/>
    <s v="32 FT"/>
    <s v="NOT RECEIVED"/>
    <s v="Dispatched"/>
    <m/>
    <m/>
  </r>
  <r>
    <n v="1178"/>
    <n v="170"/>
    <s v="PIPO"/>
    <s v="WOS 308"/>
    <d v="2025-10-16T00:00:00"/>
    <x v="29"/>
    <s v="2526/7/TI-311"/>
    <x v="1111"/>
    <d v="2025-10-16T00:00:00"/>
    <x v="7"/>
    <n v="444"/>
    <n v="444"/>
    <n v="37"/>
    <d v="2025-10-17T00:00:00"/>
    <s v="Madhya Pradesh"/>
    <s v="VIJAY LAXMI TRANSPORT"/>
    <s v="KA01AL4021"/>
    <s v="32 FT"/>
    <s v="NOT RECEIVED"/>
    <s v="Dispatched"/>
    <m/>
    <m/>
  </r>
  <r>
    <n v="1178"/>
    <n v="170"/>
    <s v="PIPO"/>
    <s v="WOS 304"/>
    <d v="2025-10-16T00:00:00"/>
    <x v="27"/>
    <s v="2526/7/TI-309"/>
    <x v="1112"/>
    <d v="2025-10-16T00:00:00"/>
    <x v="7"/>
    <n v="384"/>
    <n v="384"/>
    <n v="32"/>
    <d v="2025-10-17T00:00:00"/>
    <s v="Madhya Pradesh"/>
    <s v="VIJAY LAXMI TRANSPORT"/>
    <s v="KA01AL4021"/>
    <s v="32 FT"/>
    <s v="NOT RECEIVED"/>
    <s v="Dispatched"/>
    <m/>
    <m/>
  </r>
  <r>
    <n v="1178"/>
    <n v="170"/>
    <s v="PIPO"/>
    <s v="WOS 303"/>
    <d v="2025-10-16T00:00:00"/>
    <x v="2"/>
    <s v="2526/7/TI-310"/>
    <x v="1113"/>
    <d v="2025-10-16T00:00:00"/>
    <x v="7"/>
    <n v="876"/>
    <n v="876"/>
    <n v="73"/>
    <d v="2025-10-17T00:00:00"/>
    <s v="Uttar Pradesh"/>
    <s v="VIJAY LAXMI TRANSPORT"/>
    <s v="KA01AL4021"/>
    <s v="32 FT"/>
    <s v="NOT RECEIVED"/>
    <s v="Dispatched"/>
    <m/>
    <m/>
  </r>
  <r>
    <n v="1179"/>
    <n v="171"/>
    <s v="PIPO"/>
    <s v="WOS 310"/>
    <d v="2025-10-16T00:00:00"/>
    <x v="52"/>
    <s v="2526/7/TI-313"/>
    <x v="1114"/>
    <d v="2025-10-17T00:00:00"/>
    <x v="7"/>
    <n v="228"/>
    <n v="228"/>
    <n v="19"/>
    <d v="2025-10-24T00:00:00"/>
    <s v="Uttar Pradesh"/>
    <s v="VIJAY LAXMI TRANSPORT"/>
    <s v="DL1GC9359"/>
    <s v="22 FT"/>
    <s v="NOT RECEIVED"/>
    <s v="Dispatched"/>
    <m/>
    <m/>
  </r>
  <r>
    <n v="1179"/>
    <n v="171"/>
    <s v="PIPO"/>
    <s v="WOS 324"/>
    <d v="2025-10-16T00:00:00"/>
    <x v="47"/>
    <s v="2526/7/TI-314"/>
    <x v="1115"/>
    <d v="2025-10-17T00:00:00"/>
    <x v="7"/>
    <n v="108"/>
    <n v="108"/>
    <n v="9"/>
    <d v="2025-10-24T00:00:00"/>
    <s v="Maharashtra"/>
    <s v="VIJAY LAXMI TRANSPORT"/>
    <s v="DL1GC9359"/>
    <s v="22 FT"/>
    <s v="NOT RECEIVED"/>
    <s v="Dispatched"/>
    <m/>
    <m/>
  </r>
  <r>
    <n v="1179"/>
    <n v="171"/>
    <s v="PIPO"/>
    <s v="WOS 322"/>
    <d v="2025-10-16T00:00:00"/>
    <x v="9"/>
    <s v="2526/7/TI-315"/>
    <x v="1116"/>
    <d v="2025-10-17T00:00:00"/>
    <x v="7"/>
    <n v="60"/>
    <n v="60"/>
    <n v="5"/>
    <d v="2025-10-24T00:00:00"/>
    <s v="Uttar Pradesh"/>
    <s v="VIJAY LAXMI TRANSPORT"/>
    <s v="DL1GC9359"/>
    <s v="22 FT"/>
    <s v="NOT RECEIVED"/>
    <s v="Dispatched"/>
    <m/>
    <m/>
  </r>
  <r>
    <n v="1179"/>
    <n v="171"/>
    <s v="PIPO"/>
    <s v="WOS 319"/>
    <d v="2025-10-16T00:00:00"/>
    <x v="35"/>
    <s v="2526/7/TI-316"/>
    <x v="1117"/>
    <d v="2025-10-17T00:00:00"/>
    <x v="7"/>
    <n v="120"/>
    <n v="120"/>
    <n v="10"/>
    <d v="2025-10-24T00:00:00"/>
    <s v="Delhi"/>
    <s v="VIJAY LAXMI TRANSPORT"/>
    <s v="DL1GC9359"/>
    <s v="22 FT"/>
    <s v="NOT RECEIVED"/>
    <s v="Dispatched"/>
    <m/>
    <m/>
  </r>
  <r>
    <n v="1179"/>
    <n v="171"/>
    <s v="PIPO"/>
    <s v="WOS 320"/>
    <d v="2025-10-16T00:00:00"/>
    <x v="22"/>
    <s v="2526/7/TI-320"/>
    <x v="1118"/>
    <d v="2025-10-17T00:00:00"/>
    <x v="7"/>
    <n v="204"/>
    <n v="204"/>
    <n v="17"/>
    <d v="2025-10-24T00:00:00"/>
    <s v="Haryana"/>
    <s v="VIJAY LAXMI TRANSPORT"/>
    <s v="DL1GC9359"/>
    <s v="22 FT"/>
    <s v="NOT RECEIVED"/>
    <s v="Dispatched"/>
    <m/>
    <m/>
  </r>
  <r>
    <n v="1179"/>
    <n v="171"/>
    <s v="PIPO"/>
    <s v="WOS 313"/>
    <d v="2025-10-16T00:00:00"/>
    <x v="8"/>
    <s v="2526/7/TI-321"/>
    <x v="1119"/>
    <d v="2025-10-17T00:00:00"/>
    <x v="7"/>
    <n v="120"/>
    <n v="120"/>
    <n v="10"/>
    <d v="2025-10-24T00:00:00"/>
    <s v="HIMALCHAL PRADESH"/>
    <s v="VIJAY LAXMI TRANSPORT"/>
    <s v="DL1GC9359"/>
    <s v="22 FT"/>
    <s v="NOT RECEIVED"/>
    <s v="Dispatched"/>
    <m/>
    <m/>
  </r>
  <r>
    <n v="1179"/>
    <n v="171"/>
    <s v="PIPO"/>
    <s v="WOS 318"/>
    <d v="2025-10-16T00:00:00"/>
    <x v="21"/>
    <s v="2526/7/TI-322"/>
    <x v="1120"/>
    <d v="2025-10-17T00:00:00"/>
    <x v="7"/>
    <n v="180"/>
    <n v="180"/>
    <n v="15"/>
    <d v="2025-10-24T00:00:00"/>
    <s v="Haryana"/>
    <s v="VIJAY LAXMI TRANSPORT"/>
    <s v="DL1GC9359"/>
    <s v="22 FT"/>
    <s v="NOT RECEIVED"/>
    <s v="Dispatched"/>
    <m/>
    <m/>
  </r>
  <r>
    <n v="1179"/>
    <n v="171"/>
    <s v="PIPO"/>
    <s v="WOS 320"/>
    <d v="2025-10-16T00:00:00"/>
    <x v="6"/>
    <s v="2526/7/TI-323"/>
    <x v="1121"/>
    <d v="2025-10-17T00:00:00"/>
    <x v="7"/>
    <n v="180"/>
    <n v="180"/>
    <n v="15"/>
    <d v="2025-10-24T00:00:00"/>
    <s v="TELANGANA"/>
    <s v="VIJAY LAXMI TRANSPORT"/>
    <s v="DL1GC9359"/>
    <s v="22 FT"/>
    <s v="NOT RECEIVED"/>
    <s v="Dispatched"/>
    <m/>
    <m/>
  </r>
  <r>
    <n v="1179"/>
    <n v="171"/>
    <s v="PIPO"/>
    <s v="WOS 314"/>
    <d v="2025-10-16T00:00:00"/>
    <x v="48"/>
    <s v="2526/7/TI-326"/>
    <x v="1122"/>
    <d v="2025-10-17T00:00:00"/>
    <x v="7"/>
    <n v="288"/>
    <n v="288"/>
    <n v="24"/>
    <d v="2025-10-24T00:00:00"/>
    <s v="Delhi"/>
    <s v="VIJAY LAXMI TRANSPORT"/>
    <s v="DL1GC9359"/>
    <s v="22 FT"/>
    <s v="NOT RECEIVED"/>
    <s v="Dispatched"/>
    <m/>
    <m/>
  </r>
  <r>
    <n v="1179"/>
    <n v="171"/>
    <s v="PIPO"/>
    <s v="WOS 278,328"/>
    <d v="2025-10-16T00:00:00"/>
    <x v="44"/>
    <s v="2526/7/TI-334"/>
    <x v="1123"/>
    <d v="2025-10-24T00:00:00"/>
    <x v="7"/>
    <n v="1044"/>
    <n v="1044"/>
    <n v="87"/>
    <d v="2025-10-24T00:00:00"/>
    <s v="Uttar Pradesh"/>
    <s v="VIJAY LAXMI TRANSPORT"/>
    <s v="DL1GC9359"/>
    <s v="22 FT"/>
    <s v="NOT RECEIVED"/>
    <s v="Dispatched"/>
    <m/>
    <m/>
  </r>
  <r>
    <n v="1179"/>
    <n v="171"/>
    <s v="PIPO"/>
    <s v="WOS 326,334"/>
    <d v="2025-10-16T00:00:00"/>
    <x v="4"/>
    <s v="2526/7/TI-335"/>
    <x v="1124"/>
    <d v="2025-10-24T00:00:00"/>
    <x v="7"/>
    <n v="204"/>
    <n v="204"/>
    <n v="17"/>
    <d v="2025-10-24T00:00:00"/>
    <s v="PUNJAB"/>
    <s v="VIJAY LAXMI TRANSPORT"/>
    <s v="DL1GC9359"/>
    <s v="22 FT"/>
    <s v="NOT RECEIVED"/>
    <s v="Dispatched"/>
    <m/>
    <m/>
  </r>
  <r>
    <n v="1179"/>
    <n v="171"/>
    <s v="PIPO"/>
    <s v="WOS 329"/>
    <d v="2025-10-16T00:00:00"/>
    <x v="52"/>
    <s v="2526/7/TI-336"/>
    <x v="1125"/>
    <d v="2025-10-24T00:00:00"/>
    <x v="7"/>
    <n v="36"/>
    <n v="36"/>
    <n v="3"/>
    <d v="2025-10-24T00:00:00"/>
    <s v="Uttar Pradesh"/>
    <s v="VIJAY LAXMI TRANSPORT"/>
    <s v="DL1GC9359"/>
    <s v="22 FT"/>
    <s v="NOT RECEIVED"/>
    <s v="Dispatched"/>
    <m/>
    <m/>
  </r>
  <r>
    <n v="1179"/>
    <n v="171"/>
    <s v="PIPO"/>
    <s v="WOS 327"/>
    <d v="2025-10-16T00:00:00"/>
    <x v="49"/>
    <s v="2526/7/TI-337"/>
    <x v="1116"/>
    <d v="2025-10-24T00:00:00"/>
    <x v="7"/>
    <n v="60"/>
    <n v="60"/>
    <n v="5"/>
    <d v="2025-10-24T00:00:00"/>
    <s v="Uttar Pradesh"/>
    <s v="VIJAY LAXMI TRANSPORT"/>
    <s v="DL1GC9359"/>
    <s v="22 FT"/>
    <s v="NOT RECEIVED"/>
    <s v="Dispatched"/>
    <m/>
    <m/>
  </r>
  <r>
    <n v="1179"/>
    <n v="171"/>
    <s v="PIPO"/>
    <s v="WOS 330"/>
    <d v="2025-10-16T00:00:00"/>
    <x v="17"/>
    <s v="2526/7/TI-338"/>
    <x v="1126"/>
    <d v="2025-10-24T00:00:00"/>
    <x v="7"/>
    <n v="72"/>
    <n v="72"/>
    <n v="6"/>
    <d v="2025-10-24T00:00:00"/>
    <s v="GUJARAT"/>
    <s v="VIJAY LAXMI TRANSPORT"/>
    <s v="DL1GC9359"/>
    <s v="22 FT"/>
    <s v="NOT RECEIVED"/>
    <s v="Dispatched"/>
    <m/>
    <m/>
  </r>
  <r>
    <n v="1180"/>
    <n v="172"/>
    <s v="PIPO"/>
    <s v="WOS 337"/>
    <d v="2025-10-27T00:00:00"/>
    <x v="49"/>
    <s v="2526/7/TI-339"/>
    <x v="1127"/>
    <d v="2025-10-27T00:00:00"/>
    <x v="7"/>
    <n v="576"/>
    <n v="576"/>
    <n v="48"/>
    <d v="2025-10-27T00:00:00"/>
    <s v="Uttar Pradesh"/>
    <s v="VIJAY LAXMI TRANSPORT"/>
    <s v="DL1GC9359"/>
    <s v="22 FT"/>
    <s v="NOT RECEIVED"/>
    <s v="Dispatched"/>
    <m/>
    <m/>
  </r>
  <r>
    <n v="1180"/>
    <n v="172"/>
    <s v="PIPO"/>
    <s v="WOS 338"/>
    <d v="2025-10-27T00:00:00"/>
    <x v="31"/>
    <s v="2526/7/TI-340"/>
    <x v="1128"/>
    <d v="2025-10-27T00:00:00"/>
    <x v="7"/>
    <n v="804"/>
    <n v="804"/>
    <n v="67"/>
    <d v="2025-10-27T00:00:00"/>
    <s v="Jammu &amp; Kashmir"/>
    <s v="VIJAY LAXMI TRANSPORT"/>
    <s v="DL1GC9359"/>
    <s v="22 FT"/>
    <s v="NOT RECEIVED"/>
    <s v="Dispatched"/>
    <m/>
    <m/>
  </r>
  <r>
    <n v="1180"/>
    <n v="172"/>
    <s v="PIPO"/>
    <s v="WOS 339"/>
    <d v="2025-10-27T00:00:00"/>
    <x v="11"/>
    <s v="2526/7/TI-341"/>
    <x v="1129"/>
    <d v="2025-10-27T00:00:00"/>
    <x v="7"/>
    <n v="84"/>
    <n v="84"/>
    <n v="7"/>
    <d v="2025-10-27T00:00:00"/>
    <s v="Delhi"/>
    <s v="VIJAY LAXMI TRANSPORT"/>
    <s v="DL1GC9359"/>
    <s v="22 FT"/>
    <s v="NOT RECEIVED"/>
    <s v="Dispatched"/>
    <m/>
    <m/>
  </r>
  <r>
    <n v="1180"/>
    <n v="172"/>
    <s v="PIPO"/>
    <s v="WOS 340"/>
    <d v="2025-10-27T00:00:00"/>
    <x v="3"/>
    <s v="2526/7/TI-342"/>
    <x v="1130"/>
    <d v="2025-10-27T00:00:00"/>
    <x v="7"/>
    <n v="132"/>
    <n v="132"/>
    <n v="11"/>
    <d v="2025-10-27T00:00:00"/>
    <s v="Chandigarh"/>
    <s v="VIJAY LAXMI TRANSPORT"/>
    <s v="DL1GC9359"/>
    <s v="22 FT"/>
    <s v="NOT RECEIVED"/>
    <s v="Dispatched"/>
    <m/>
    <m/>
  </r>
  <r>
    <n v="1180"/>
    <n v="172"/>
    <s v="BIBO"/>
    <s v="WOS 348"/>
    <d v="2025-10-27T00:00:00"/>
    <x v="12"/>
    <s v="2526/7/TI-343"/>
    <x v="1131"/>
    <d v="2025-10-27T00:00:00"/>
    <x v="7"/>
    <n v="336"/>
    <n v="336"/>
    <n v="14"/>
    <d v="2025-10-27T00:00:00"/>
    <s v="GUJARAT"/>
    <s v="VIJAY LAXMI TRANSPORT"/>
    <s v="DL1GC9359"/>
    <s v="22 FT"/>
    <s v="NOT RECEIVED"/>
    <s v="Dispatched"/>
    <m/>
    <m/>
  </r>
  <r>
    <n v="1180"/>
    <n v="172"/>
    <s v="BIBO"/>
    <s v="WOS 347"/>
    <d v="2025-10-27T00:00:00"/>
    <x v="2"/>
    <s v="2526/7/TI-344"/>
    <x v="1132"/>
    <d v="2025-10-27T00:00:00"/>
    <x v="7"/>
    <n v="240"/>
    <n v="240"/>
    <n v="10"/>
    <d v="2025-10-27T00:00:00"/>
    <s v="Uttar Pradesh"/>
    <s v="VIJAY LAXMI TRANSPORT"/>
    <s v="DL1GC9359"/>
    <s v="22 FT"/>
    <s v="NOT RECEIVED"/>
    <s v="Dispatched"/>
    <m/>
    <m/>
  </r>
  <r>
    <n v="1180"/>
    <n v="172"/>
    <s v="PIPO"/>
    <s v="WOS 345"/>
    <d v="2025-10-27T00:00:00"/>
    <x v="4"/>
    <s v="2526/7/TI-345"/>
    <x v="1133"/>
    <d v="2025-10-27T00:00:00"/>
    <x v="7"/>
    <n v="180"/>
    <n v="180"/>
    <n v="15"/>
    <d v="2025-10-27T00:00:00"/>
    <s v="PUNJAB"/>
    <s v="VIJAY LAXMI TRANSPORT"/>
    <s v="DL1GC9359"/>
    <s v="22 FT"/>
    <s v="NOT RECEIVED"/>
    <s v="Dispatched"/>
    <m/>
    <m/>
  </r>
  <r>
    <n v="1180"/>
    <n v="172"/>
    <s v="PIPO"/>
    <s v="WOS 344"/>
    <d v="2025-10-27T00:00:00"/>
    <x v="2"/>
    <s v="2526/7/TI-346"/>
    <x v="1134"/>
    <d v="2025-10-27T00:00:00"/>
    <x v="7"/>
    <n v="168"/>
    <n v="168"/>
    <n v="14"/>
    <d v="2025-10-27T00:00:00"/>
    <s v="Uttar Pradesh"/>
    <s v="VIJAY LAXMI TRANSPORT"/>
    <s v="DL1GC9359"/>
    <s v="22 FT"/>
    <s v="NOT RECEIVED"/>
    <s v="Dispatched"/>
    <m/>
    <m/>
  </r>
  <r>
    <n v="1180"/>
    <n v="172"/>
    <s v="BIBO"/>
    <s v="WOS 346"/>
    <d v="2025-10-27T00:00:00"/>
    <x v="4"/>
    <s v="2526/7/TI-347"/>
    <x v="1135"/>
    <d v="2025-10-27T00:00:00"/>
    <x v="7"/>
    <n v="192"/>
    <n v="192"/>
    <n v="8"/>
    <d v="2025-10-27T00:00:00"/>
    <s v="PUNJAB"/>
    <s v="VIJAY LAXMI TRANSPORT"/>
    <s v="DL1GC9359"/>
    <s v="22 FT"/>
    <s v="NOT RECEIVED"/>
    <s v="Dispatched"/>
    <m/>
    <m/>
  </r>
  <r>
    <n v="1180"/>
    <n v="172"/>
    <s v="PIPO"/>
    <s v="WOS 343"/>
    <d v="2025-10-27T00:00:00"/>
    <x v="13"/>
    <s v="2526/7/TI-348"/>
    <x v="1136"/>
    <d v="2025-10-27T00:00:00"/>
    <x v="7"/>
    <n v="120"/>
    <n v="120"/>
    <n v="10"/>
    <d v="2025-10-27T00:00:00"/>
    <s v="Rajasthan"/>
    <s v="VIJAY LAXMI TRANSPORT"/>
    <s v="DL1GC9359"/>
    <s v="22 FT"/>
    <s v="NOT RECEIVED"/>
    <s v="Dispatched"/>
    <m/>
    <m/>
  </r>
  <r>
    <n v="1181"/>
    <n v="173"/>
    <s v="PIPO"/>
    <s v="WOS 358"/>
    <d v="2025-10-28T00:00:00"/>
    <x v="31"/>
    <s v="2526/7/TI-349"/>
    <x v="1137"/>
    <d v="2025-10-28T00:00:00"/>
    <x v="7"/>
    <n v="600"/>
    <n v="600"/>
    <n v="50"/>
    <d v="2025-10-28T00:00:00"/>
    <s v="Jammu &amp; Kashmir"/>
    <s v="VIJAY LAXMI TRANSPORT"/>
    <s v="DL1MA2968"/>
    <s v="22 FT"/>
    <s v="NOT RECEIVED"/>
    <s v="Dispatched"/>
    <m/>
    <m/>
  </r>
  <r>
    <n v="1181"/>
    <n v="173"/>
    <s v="PIPO"/>
    <s v="WOS 349"/>
    <d v="2025-10-28T00:00:00"/>
    <x v="44"/>
    <s v="2526/7/TI-350"/>
    <x v="1136"/>
    <d v="2025-10-28T00:00:00"/>
    <x v="7"/>
    <n v="120"/>
    <n v="120"/>
    <n v="10"/>
    <d v="2025-10-28T00:00:00"/>
    <s v="Uttar Pradesh"/>
    <s v="VIJAY LAXMI TRANSPORT"/>
    <s v="DL1MA2968"/>
    <s v="22 FT"/>
    <s v="NOT RECEIVED"/>
    <s v="Dispatched"/>
    <m/>
    <m/>
  </r>
  <r>
    <n v="1181"/>
    <n v="173"/>
    <s v="PIPO"/>
    <s v="WOS 353"/>
    <d v="2025-10-28T00:00:00"/>
    <x v="8"/>
    <s v="2526/7/TI-351"/>
    <x v="1136"/>
    <d v="2025-10-28T00:00:00"/>
    <x v="7"/>
    <n v="120"/>
    <n v="120"/>
    <n v="10"/>
    <d v="2025-10-28T00:00:00"/>
    <s v="HIMALCHAL PRADESH"/>
    <s v="VIJAY LAXMI TRANSPORT"/>
    <s v="DL1MA2968"/>
    <s v="22 FT"/>
    <s v="NOT RECEIVED"/>
    <s v="Dispatched"/>
    <m/>
    <m/>
  </r>
  <r>
    <n v="1181"/>
    <n v="173"/>
    <s v="PIPO"/>
    <s v="WOS 352"/>
    <d v="2025-10-28T00:00:00"/>
    <x v="29"/>
    <s v="2526/7/TI-352"/>
    <x v="1138"/>
    <d v="2025-10-28T00:00:00"/>
    <x v="7"/>
    <n v="48"/>
    <n v="48"/>
    <n v="4"/>
    <d v="2025-10-28T00:00:00"/>
    <s v="Madhya Pradesh"/>
    <s v="VIJAY LAXMI TRANSPORT"/>
    <s v="DL1MA2968"/>
    <s v="22 FT"/>
    <s v="NOT RECEIVED"/>
    <s v="Dispatched"/>
    <m/>
    <m/>
  </r>
  <r>
    <n v="1181"/>
    <n v="173"/>
    <s v="PIPO"/>
    <s v="WOS 354"/>
    <d v="2025-10-28T00:00:00"/>
    <x v="3"/>
    <s v="2526/7/TI-353"/>
    <x v="1138"/>
    <d v="2025-10-28T00:00:00"/>
    <x v="7"/>
    <n v="48"/>
    <n v="48"/>
    <n v="4"/>
    <d v="2025-10-28T00:00:00"/>
    <s v="Chandigarh"/>
    <s v="VIJAY LAXMI TRANSPORT"/>
    <s v="DL1MA2968"/>
    <s v="22 FT"/>
    <s v="NOT RECEIVED"/>
    <s v="Dispatched"/>
    <m/>
    <m/>
  </r>
  <r>
    <n v="1181"/>
    <n v="173"/>
    <s v="PIPO"/>
    <s v="WOS 351"/>
    <d v="2025-10-28T00:00:00"/>
    <x v="19"/>
    <s v="2526/7/TI-354"/>
    <x v="1138"/>
    <d v="2025-10-28T00:00:00"/>
    <x v="7"/>
    <n v="48"/>
    <n v="48"/>
    <n v="4"/>
    <d v="2025-10-28T00:00:00"/>
    <s v="Rajasthan"/>
    <s v="VIJAY LAXMI TRANSPORT"/>
    <s v="DL1MA2968"/>
    <s v="22 FT"/>
    <s v="NOT RECEIVED"/>
    <s v="Dispatched"/>
    <m/>
    <m/>
  </r>
  <r>
    <n v="1181"/>
    <n v="173"/>
    <s v="PIPO"/>
    <s v="WOS 350"/>
    <d v="2025-10-28T00:00:00"/>
    <x v="27"/>
    <s v="2526/7/TI-355"/>
    <x v="1138"/>
    <d v="2025-10-28T00:00:00"/>
    <x v="7"/>
    <n v="48"/>
    <n v="48"/>
    <n v="4"/>
    <d v="2025-10-28T00:00:00"/>
    <s v="Madhya Pradesh"/>
    <s v="VIJAY LAXMI TRANSPORT"/>
    <s v="DL1MA2968"/>
    <s v="22 FT"/>
    <s v="NOT RECEIVED"/>
    <s v="Dispatched"/>
    <m/>
    <m/>
  </r>
  <r>
    <n v="1181"/>
    <n v="173"/>
    <s v="PIPO"/>
    <s v="WOS 357"/>
    <d v="2025-10-28T00:00:00"/>
    <x v="22"/>
    <s v="2526/7/TI-356"/>
    <x v="1139"/>
    <d v="2025-10-28T00:00:00"/>
    <x v="7"/>
    <n v="60"/>
    <n v="60"/>
    <n v="5"/>
    <d v="2025-10-28T00:00:00"/>
    <s v="Haryana"/>
    <s v="VIJAY LAXMI TRANSPORT"/>
    <s v="DL1MA2968"/>
    <s v="22 FT"/>
    <s v="NOT RECEIVED"/>
    <s v="Dispatched"/>
    <m/>
    <m/>
  </r>
  <r>
    <n v="1181"/>
    <n v="173"/>
    <s v="BIBO"/>
    <s v="WOS 356"/>
    <d v="2025-10-28T00:00:00"/>
    <x v="4"/>
    <s v="2526/7/TI-357"/>
    <x v="1140"/>
    <d v="2025-10-28T00:00:00"/>
    <x v="7"/>
    <n v="192"/>
    <n v="192"/>
    <n v="8"/>
    <d v="2025-10-28T00:00:00"/>
    <s v="PUNJAB"/>
    <s v="VIJAY LAXMI TRANSPORT"/>
    <s v="DL1MA2968"/>
    <s v="22 FT"/>
    <s v="NOT RECEIVED"/>
    <s v="Dispatched"/>
    <m/>
    <m/>
  </r>
  <r>
    <n v="1181"/>
    <n v="173"/>
    <s v="PIPO"/>
    <s v="WOS 360"/>
    <d v="2025-10-28T00:00:00"/>
    <x v="44"/>
    <s v="2526/7/TI-358"/>
    <x v="1141"/>
    <d v="2025-10-28T00:00:00"/>
    <x v="7"/>
    <n v="492"/>
    <n v="492"/>
    <n v="41"/>
    <d v="2025-10-28T00:00:00"/>
    <s v="Uttar Pradesh"/>
    <s v="VIJAY LAXMI TRANSPORT"/>
    <s v="DL1MA2968"/>
    <s v="22 FT"/>
    <s v="NOT RECEIVED"/>
    <s v="Dispatched"/>
    <m/>
    <m/>
  </r>
  <r>
    <n v="1181"/>
    <n v="173"/>
    <s v="PIPO"/>
    <s v="WOS 361"/>
    <d v="2025-10-28T00:00:00"/>
    <x v="44"/>
    <s v="2526/7/TI-359"/>
    <x v="1142"/>
    <d v="2025-10-28T00:00:00"/>
    <x v="7"/>
    <n v="396"/>
    <n v="396"/>
    <n v="33"/>
    <d v="2025-10-28T00:00:00"/>
    <s v="Uttar Pradesh"/>
    <s v="VIJAY LAXMI TRANSPORT"/>
    <s v="DL1MA2968"/>
    <s v="22 FT"/>
    <s v="NOT RECEIVED"/>
    <s v="Dispatched"/>
    <m/>
    <m/>
  </r>
  <r>
    <n v="1182"/>
    <n v="174"/>
    <s v="PIPO"/>
    <s v="WOS 341,359"/>
    <d v="2025-10-29T00:00:00"/>
    <x v="31"/>
    <s v="2526/7/TI-360"/>
    <x v="1143"/>
    <d v="2025-10-29T00:00:00"/>
    <x v="7"/>
    <n v="576"/>
    <n v="576"/>
    <n v="48"/>
    <d v="2025-10-29T00:00:00"/>
    <s v="Jammu &amp; Kashmir"/>
    <s v="VIJAY LAXMI TRANSPORT"/>
    <s v="DL1GC9359"/>
    <s v="22 FT"/>
    <s v="NOT RECEIVED"/>
    <s v="Dispatched"/>
    <m/>
    <m/>
  </r>
  <r>
    <n v="1182"/>
    <n v="174"/>
    <s v="PIPO"/>
    <s v="WOS 342"/>
    <d v="2025-10-29T00:00:00"/>
    <x v="49"/>
    <s v="2526/7/TI-361"/>
    <x v="1096"/>
    <d v="2025-10-29T00:00:00"/>
    <x v="7"/>
    <n v="96"/>
    <n v="96"/>
    <n v="8"/>
    <d v="2025-10-29T00:00:00"/>
    <s v="Uttar Pradesh"/>
    <s v="VIJAY LAXMI TRANSPORT"/>
    <s v="DL1GC9359"/>
    <s v="22 FT"/>
    <s v="NOT RECEIVED"/>
    <s v="Dispatched"/>
    <m/>
    <m/>
  </r>
  <r>
    <n v="1182"/>
    <n v="174"/>
    <s v="PIPO"/>
    <s v="WOS 355"/>
    <d v="2025-10-29T00:00:00"/>
    <x v="3"/>
    <s v="2526/7/TI-362"/>
    <x v="1144"/>
    <d v="2025-10-29T00:00:00"/>
    <x v="7"/>
    <n v="96"/>
    <n v="96"/>
    <n v="8"/>
    <d v="2025-10-29T00:00:00"/>
    <s v="Chandigarh"/>
    <s v="VIJAY LAXMI TRANSPORT"/>
    <s v="DL1GC9359"/>
    <s v="22 FT"/>
    <s v="NOT RECEIVED"/>
    <s v="Dispatched"/>
    <m/>
    <m/>
  </r>
  <r>
    <n v="1182"/>
    <n v="174"/>
    <s v="PIPO"/>
    <s v="WOS 362"/>
    <d v="2025-10-29T00:00:00"/>
    <x v="22"/>
    <s v="2526/7/TI-363"/>
    <x v="1145"/>
    <d v="2025-10-29T00:00:00"/>
    <x v="7"/>
    <n v="36"/>
    <n v="36"/>
    <n v="3"/>
    <d v="2025-10-29T00:00:00"/>
    <s v="Haryana"/>
    <s v="VIJAY LAXMI TRANSPORT"/>
    <s v="DL1GC9359"/>
    <s v="22 FT"/>
    <s v="NOT RECEIVED"/>
    <s v="Dispatched"/>
    <m/>
    <m/>
  </r>
  <r>
    <n v="1182"/>
    <n v="174"/>
    <s v="PIPO"/>
    <s v="WOS 364"/>
    <d v="2025-10-29T00:00:00"/>
    <x v="48"/>
    <s v="2526/7/TI-364"/>
    <x v="1146"/>
    <d v="2025-10-29T00:00:00"/>
    <x v="7"/>
    <n v="48"/>
    <n v="48"/>
    <n v="4"/>
    <d v="2025-10-29T00:00:00"/>
    <s v="Delhi"/>
    <s v="VIJAY LAXMI TRANSPORT"/>
    <s v="DL1GC9359"/>
    <s v="22 FT"/>
    <s v="NOT RECEIVED"/>
    <s v="Dispatched"/>
    <m/>
    <m/>
  </r>
  <r>
    <n v="1182"/>
    <n v="174"/>
    <s v="PIPO"/>
    <s v="WOS 371"/>
    <d v="2025-10-29T00:00:00"/>
    <x v="51"/>
    <s v="2526/7/TI-365"/>
    <x v="1147"/>
    <d v="2025-10-29T00:00:00"/>
    <x v="7"/>
    <n v="24"/>
    <n v="24"/>
    <n v="2"/>
    <d v="2025-10-29T00:00:00"/>
    <s v="Rajasthan"/>
    <s v="VIJAY LAXMI TRANSPORT"/>
    <s v="DL1GC9359"/>
    <s v="22 FT"/>
    <s v="NOT RECEIVED"/>
    <s v="Dispatched"/>
    <m/>
    <m/>
  </r>
  <r>
    <n v="1182"/>
    <n v="174"/>
    <s v="PIPO"/>
    <s v="WOS 366"/>
    <d v="2025-10-29T00:00:00"/>
    <x v="48"/>
    <s v="2526/7/TI-366"/>
    <x v="1045"/>
    <d v="2025-10-29T00:00:00"/>
    <x v="7"/>
    <n v="72"/>
    <n v="72"/>
    <n v="6"/>
    <d v="2025-10-29T00:00:00"/>
    <s v="Delhi"/>
    <s v="VIJAY LAXMI TRANSPORT"/>
    <s v="DL1GC9359"/>
    <s v="22 FT"/>
    <s v="NOT RECEIVED"/>
    <s v="Dispatched"/>
    <m/>
    <m/>
  </r>
  <r>
    <n v="1182"/>
    <n v="174"/>
    <s v="PIPO"/>
    <s v="WOS 363"/>
    <d v="2025-10-29T00:00:00"/>
    <x v="44"/>
    <s v="2526/7/TI-367"/>
    <x v="1148"/>
    <d v="2025-10-29T00:00:00"/>
    <x v="7"/>
    <n v="336"/>
    <n v="336"/>
    <n v="28"/>
    <d v="2025-10-29T00:00:00"/>
    <s v="Uttar Pradesh"/>
    <s v="VIJAY LAXMI TRANSPORT"/>
    <s v="DL1GC9359"/>
    <s v="22 FT"/>
    <s v="NOT RECEIVED"/>
    <s v="Dispatched"/>
    <m/>
    <m/>
  </r>
  <r>
    <n v="1182"/>
    <n v="174"/>
    <s v="PIPO"/>
    <s v="WOS 367"/>
    <d v="2025-10-29T00:00:00"/>
    <x v="4"/>
    <s v="2526/7/TI-368"/>
    <x v="1149"/>
    <d v="2025-10-29T00:00:00"/>
    <x v="7"/>
    <n v="144"/>
    <n v="144"/>
    <n v="6"/>
    <d v="2025-10-29T00:00:00"/>
    <s v="PUNJAB"/>
    <s v="VIJAY LAXMI TRANSPORT"/>
    <s v="DL1GC9359"/>
    <s v="22 FT"/>
    <s v="NOT RECEIVED"/>
    <s v="Dispatched"/>
    <m/>
    <m/>
  </r>
  <r>
    <n v="1182"/>
    <n v="174"/>
    <s v="PIPO"/>
    <s v="WOS 369"/>
    <d v="2025-10-29T00:00:00"/>
    <x v="12"/>
    <s v="2526/7/TI-369"/>
    <x v="1150"/>
    <d v="2025-10-29T00:00:00"/>
    <x v="7"/>
    <n v="120"/>
    <n v="120"/>
    <n v="10"/>
    <d v="2025-10-29T00:00:00"/>
    <s v="GUJARAT"/>
    <s v="VIJAY LAXMI TRANSPORT"/>
    <s v="DL1GC9359"/>
    <s v="22 FT"/>
    <s v="NOT RECEIVED"/>
    <s v="Dispatched"/>
    <m/>
    <m/>
  </r>
  <r>
    <n v="1182"/>
    <n v="174"/>
    <s v="PIPO"/>
    <s v="WOS 368"/>
    <d v="2025-10-29T00:00:00"/>
    <x v="49"/>
    <s v="2526/7/TI-370"/>
    <x v="1151"/>
    <d v="2025-10-29T00:00:00"/>
    <x v="7"/>
    <n v="60"/>
    <n v="60"/>
    <n v="5"/>
    <d v="2025-10-29T00:00:00"/>
    <s v="Uttar Pradesh"/>
    <s v="VIJAY LAXMI TRANSPORT"/>
    <s v="DL1GC9359"/>
    <s v="22 FT"/>
    <s v="NOT RECEIVED"/>
    <s v="Dispatched"/>
    <m/>
    <m/>
  </r>
  <r>
    <n v="1182"/>
    <n v="174"/>
    <s v="PIPO"/>
    <s v="WOS 365"/>
    <d v="2025-10-29T00:00:00"/>
    <x v="6"/>
    <s v="2526/7/TI-371"/>
    <x v="1065"/>
    <d v="2025-10-29T00:00:00"/>
    <x v="7"/>
    <n v="72"/>
    <n v="72"/>
    <n v="6"/>
    <d v="2025-10-29T00:00:00"/>
    <s v="TELANGANA"/>
    <s v="VIJAY LAXMI TRANSPORT"/>
    <s v="DL1GC9359"/>
    <s v="22 FT"/>
    <s v="NOT RECEIVED"/>
    <s v="Dispatched"/>
    <m/>
    <m/>
  </r>
  <r>
    <n v="1182"/>
    <n v="174"/>
    <s v="PIPO"/>
    <s v="WOS 370,373"/>
    <d v="2025-10-29T00:00:00"/>
    <x v="13"/>
    <s v="2526/7/TI-372"/>
    <x v="1152"/>
    <d v="2025-10-29T00:00:00"/>
    <x v="7"/>
    <n v="876"/>
    <n v="876"/>
    <n v="73"/>
    <d v="2025-10-29T00:00:00"/>
    <s v="Rajasthan"/>
    <s v="VIJAY LAXMI TRANSPORT"/>
    <s v="DL1GC9359"/>
    <s v="22 FT"/>
    <s v="NOT RECEIVED"/>
    <s v="Dispatched"/>
    <m/>
    <m/>
  </r>
  <r>
    <n v="1182"/>
    <n v="174"/>
    <s v="PIPO"/>
    <s v="WOS 372"/>
    <d v="2025-10-29T00:00:00"/>
    <x v="51"/>
    <s v="2526/7/TI-373"/>
    <x v="1153"/>
    <d v="2025-10-29T00:00:00"/>
    <x v="7"/>
    <n v="84"/>
    <n v="84"/>
    <n v="7"/>
    <d v="2025-10-29T00:00:00"/>
    <s v="Rajasthan"/>
    <s v="VIJAY LAXMI TRANSPORT"/>
    <s v="DL1GC9359"/>
    <s v="22 FT"/>
    <s v="NOT RECEIVED"/>
    <s v="Dispatched"/>
    <m/>
    <m/>
  </r>
  <r>
    <n v="1182"/>
    <n v="174"/>
    <s v="PIPO"/>
    <s v="WOS 374"/>
    <d v="2025-10-29T00:00:00"/>
    <x v="4"/>
    <s v="2526/7/TI-374"/>
    <x v="124"/>
    <d v="2025-10-29T00:00:00"/>
    <x v="7"/>
    <n v="144"/>
    <n v="144"/>
    <n v="6"/>
    <d v="2025-10-29T00:00:00"/>
    <s v="PUNJAB"/>
    <s v="VIJAY LAXMI TRANSPORT"/>
    <s v="DL1GC9359"/>
    <s v="22 FT"/>
    <s v="NOT RECEIVED"/>
    <s v="Dispatched"/>
    <m/>
    <m/>
  </r>
  <r>
    <n v="1183"/>
    <n v="175"/>
    <s v="PIPO"/>
    <s v="STO -7"/>
    <d v="2025-10-30T00:00:00"/>
    <x v="0"/>
    <s v="2526/7/ESTO-7"/>
    <x v="1154"/>
    <d v="2025-10-30T00:00:00"/>
    <x v="7"/>
    <n v="2500"/>
    <n v="2500"/>
    <n v="250"/>
    <d v="2025-10-30T00:00:00"/>
    <s v="Delhi"/>
    <s v="VIJAY LAXMI TRANSPORT"/>
    <s v="DL01MA6900"/>
    <s v="22 FT"/>
    <s v="NOT RECEIVED"/>
    <s v="Dispatched"/>
    <s v="Vehicle demanded on 5pm, but received at 11pm"/>
    <m/>
  </r>
  <r>
    <n v="1183"/>
    <n v="175"/>
    <s v="PIPO"/>
    <s v="Sto- 6"/>
    <d v="2025-10-30T00:00:00"/>
    <x v="0"/>
    <s v="2526/7/ESTO-6"/>
    <x v="1155"/>
    <d v="2025-10-30T00:00:00"/>
    <x v="7"/>
    <n v="610"/>
    <n v="610"/>
    <n v="61"/>
    <d v="2025-10-30T00:00:00"/>
    <s v="Delhi"/>
    <s v="VIJAY LAXMI TRANSPORT"/>
    <s v="DL1GC9359"/>
    <s v="22 FT"/>
    <s v="NOT RECEIVED"/>
    <s v="Dispatched"/>
    <m/>
    <m/>
  </r>
  <r>
    <n v="1184"/>
    <n v="176"/>
    <s v="PIPO"/>
    <s v="WOS 377"/>
    <d v="2025-10-31T00:00:00"/>
    <x v="35"/>
    <s v="2526/7/TI-375"/>
    <x v="1156"/>
    <d v="2025-10-31T00:00:00"/>
    <x v="7"/>
    <n v="48"/>
    <n v="48"/>
    <n v="4"/>
    <d v="2025-10-31T00:00:00"/>
    <s v="Delhi"/>
    <s v="VIJAY LAXMI TRANSPORT"/>
    <s v="HR38AD4723"/>
    <s v="22 FT"/>
    <s v="NOT RECEIVED"/>
    <s v="Dispatched"/>
    <m/>
    <m/>
  </r>
  <r>
    <n v="1184"/>
    <n v="176"/>
    <s v="BIBO"/>
    <s v="WOS 379"/>
    <d v="2025-10-31T00:00:00"/>
    <x v="40"/>
    <s v="2526/7/TI-376"/>
    <x v="1157"/>
    <d v="2025-10-31T00:00:00"/>
    <x v="7"/>
    <n v="432"/>
    <n v="432"/>
    <n v="18"/>
    <d v="2025-10-31T00:00:00"/>
    <s v="KARNATAKA"/>
    <s v="VIJAY LAXMI TRANSPORT"/>
    <s v="HR38AD4723"/>
    <s v="22 FT"/>
    <s v="NOT RECEIVED"/>
    <s v="Dispatched"/>
    <m/>
    <m/>
  </r>
  <r>
    <n v="1184"/>
    <n v="176"/>
    <s v="BIBO"/>
    <s v="WOS 380"/>
    <d v="2025-10-31T00:00:00"/>
    <x v="2"/>
    <s v="2526/7/TI-377"/>
    <x v="1158"/>
    <d v="2025-10-31T00:00:00"/>
    <x v="7"/>
    <n v="216"/>
    <n v="216"/>
    <n v="9"/>
    <d v="2025-10-31T00:00:00"/>
    <s v="Uttar Pradesh"/>
    <s v="VIJAY LAXMI TRANSPORT"/>
    <s v="HR38AD4723"/>
    <s v="22 FT"/>
    <s v="NOT RECEIVED"/>
    <s v="Dispatched"/>
    <m/>
    <m/>
  </r>
  <r>
    <n v="1184"/>
    <n v="176"/>
    <s v="PIPO"/>
    <s v="WOS 376"/>
    <d v="2025-10-31T00:00:00"/>
    <x v="19"/>
    <s v="2526/7/TI-378"/>
    <x v="1159"/>
    <d v="2025-10-31T00:00:00"/>
    <x v="7"/>
    <n v="324"/>
    <n v="324"/>
    <n v="27"/>
    <d v="2025-10-31T00:00:00"/>
    <s v="Rajasthan"/>
    <s v="VIJAY LAXMI TRANSPORT"/>
    <s v="HR38AD4723"/>
    <s v="22 FT"/>
    <s v="NOT RECEIVED"/>
    <s v="Dispatched"/>
    <m/>
    <m/>
  </r>
  <r>
    <n v="1184"/>
    <n v="176"/>
    <s v="PIPO"/>
    <s v="WOS 381"/>
    <d v="2025-10-31T00:00:00"/>
    <x v="11"/>
    <s v="2526/7/TI-379"/>
    <x v="1160"/>
    <d v="2025-10-31T00:00:00"/>
    <x v="7"/>
    <n v="360"/>
    <n v="360"/>
    <n v="30"/>
    <d v="2025-10-31T00:00:00"/>
    <s v="Delhi"/>
    <s v="VIJAY LAXMI TRANSPORT"/>
    <s v="HR38AD4723"/>
    <s v="22 FT"/>
    <s v="NOT RECEIVED"/>
    <s v="Dispatched"/>
    <m/>
    <m/>
  </r>
  <r>
    <n v="1184"/>
    <n v="176"/>
    <s v="PIPO"/>
    <s v="WOS 384"/>
    <d v="2025-10-31T00:00:00"/>
    <x v="19"/>
    <s v="2526/7/TI-380"/>
    <x v="1161"/>
    <d v="2025-10-31T00:00:00"/>
    <x v="7"/>
    <n v="36"/>
    <n v="36"/>
    <n v="3"/>
    <d v="2025-10-31T00:00:00"/>
    <s v="Rajasthan"/>
    <s v="VIJAY LAXMI TRANSPORT"/>
    <s v="HR38AD4723"/>
    <s v="22 FT"/>
    <s v="NOT RECEIVED"/>
    <s v="Dispatched"/>
    <m/>
    <m/>
  </r>
  <r>
    <n v="1184"/>
    <n v="176"/>
    <s v="PIPO"/>
    <s v="WOS 382"/>
    <d v="2025-10-31T00:00:00"/>
    <x v="52"/>
    <s v="2526/7/TI-381"/>
    <x v="1162"/>
    <d v="2025-10-31T00:00:00"/>
    <x v="7"/>
    <n v="156"/>
    <n v="156"/>
    <n v="13"/>
    <d v="2025-10-31T00:00:00"/>
    <s v="Uttar Pradesh"/>
    <s v="VIJAY LAXMI TRANSPORT"/>
    <s v="HR38AD4723"/>
    <s v="22 FT"/>
    <s v="NOT RECEIVED"/>
    <s v="Dispatched"/>
    <m/>
    <m/>
  </r>
  <r>
    <n v="1184"/>
    <n v="176"/>
    <s v="PIPO"/>
    <s v="WOS 385"/>
    <d v="2025-10-31T00:00:00"/>
    <x v="44"/>
    <s v="2526/7/TI-382"/>
    <x v="1163"/>
    <d v="2025-10-31T00:00:00"/>
    <x v="7"/>
    <n v="600"/>
    <n v="600"/>
    <n v="50"/>
    <d v="2025-10-31T00:00:00"/>
    <s v="Uttar Pradesh"/>
    <s v="VIJAY LAXMI TRANSPORT"/>
    <s v="HR38AD4723"/>
    <s v="22 FT"/>
    <s v="NOT RECEIVED"/>
    <s v="Dispatched"/>
    <m/>
    <m/>
  </r>
  <r>
    <n v="1184"/>
    <n v="176"/>
    <s v="PIPO"/>
    <s v="WOS 386"/>
    <d v="2025-10-31T00:00:00"/>
    <x v="48"/>
    <s v="2526/7/TI-383"/>
    <x v="1164"/>
    <d v="2025-10-31T00:00:00"/>
    <x v="7"/>
    <n v="84"/>
    <n v="84"/>
    <n v="7"/>
    <d v="2025-10-31T00:00:00"/>
    <s v="Delhi"/>
    <s v="VIJAY LAXMI TRANSPORT"/>
    <s v="HR38AD4723"/>
    <s v="22 FT"/>
    <s v="NOT RECEIVED"/>
    <s v="Dispatched"/>
    <m/>
    <m/>
  </r>
  <r>
    <n v="1184"/>
    <n v="176"/>
    <s v="PIPO"/>
    <s v="WOS 390"/>
    <d v="2025-10-31T00:00:00"/>
    <x v="11"/>
    <s v="2526/7/TI-384"/>
    <x v="1165"/>
    <d v="2025-10-31T00:00:00"/>
    <x v="7"/>
    <n v="252"/>
    <n v="252"/>
    <n v="21"/>
    <d v="2025-10-31T00:00:00"/>
    <s v="Delhi"/>
    <s v="VIJAY LAXMI TRANSPORT"/>
    <s v="HR38AD4723"/>
    <s v="22 FT"/>
    <s v="NOT RECEIVED"/>
    <s v="Dispatched"/>
    <m/>
    <m/>
  </r>
  <r>
    <n v="1184"/>
    <n v="176"/>
    <s v="PIPO"/>
    <s v="WOS 287"/>
    <d v="2025-10-31T00:00:00"/>
    <x v="34"/>
    <s v="2526/7/TI-385"/>
    <x v="1166"/>
    <d v="2025-10-31T00:00:00"/>
    <x v="7"/>
    <n v="84"/>
    <n v="84"/>
    <n v="7"/>
    <d v="2025-10-31T00:00:00"/>
    <s v="Rajasthan"/>
    <s v="VIJAY LAXMI TRANSPORT"/>
    <s v="HR38AD4723"/>
    <s v="22 FT"/>
    <s v="NOT RECEIVED"/>
    <s v="Dispatched"/>
    <m/>
    <m/>
  </r>
  <r>
    <n v="1184"/>
    <n v="176"/>
    <s v="PIPO"/>
    <s v="WOS 388"/>
    <d v="2025-10-31T00:00:00"/>
    <x v="32"/>
    <s v="2526/7/TI-386"/>
    <x v="1167"/>
    <d v="2025-10-31T00:00:00"/>
    <x v="7"/>
    <n v="300"/>
    <n v="300"/>
    <n v="25"/>
    <d v="2025-10-31T00:00:00"/>
    <s v="BIHAR"/>
    <s v="VIJAY LAXMI TRANSPORT"/>
    <s v="HR38AD4723"/>
    <s v="22 FT"/>
    <s v="NOT RECEIVED"/>
    <s v="Dispatched"/>
    <m/>
    <m/>
  </r>
  <r>
    <n v="1184"/>
    <n v="176"/>
    <s v="PIPO"/>
    <s v="WOS 389"/>
    <d v="2025-10-31T00:00:00"/>
    <x v="44"/>
    <s v="2526/7/TI-387"/>
    <x v="1168"/>
    <d v="2025-10-31T00:00:00"/>
    <x v="7"/>
    <n v="324"/>
    <n v="324"/>
    <n v="27"/>
    <d v="2025-10-31T00:00:00"/>
    <s v="Uttar Pradesh"/>
    <s v="VIJAY LAXMI TRANSPORT"/>
    <s v="HR38AD4723"/>
    <s v="22 FT"/>
    <s v="NOT RECEIVED"/>
    <s v="Dispatched"/>
    <m/>
    <m/>
  </r>
  <r>
    <n v="1184"/>
    <n v="176"/>
    <s v="BIBO"/>
    <s v="WOS 391"/>
    <d v="2025-10-31T00:00:00"/>
    <x v="2"/>
    <s v="2526/7/TI-388"/>
    <x v="142"/>
    <d v="2025-10-31T00:00:00"/>
    <x v="7"/>
    <n v="144"/>
    <n v="144"/>
    <n v="6"/>
    <d v="2025-10-31T00:00:00"/>
    <s v="GHAZIABAD"/>
    <s v="VIJAY LAXMI TRANSPORT"/>
    <s v="HR38AD4723"/>
    <s v="22 FT"/>
    <s v="NOT RECEIVED"/>
    <s v="Dispatched"/>
    <m/>
    <m/>
  </r>
  <r>
    <n v="1185"/>
    <n v="177"/>
    <s v="PIPO"/>
    <s v="WOS 393"/>
    <d v="2025-10-31T00:00:00"/>
    <x v="13"/>
    <s v="2526/7/TI-389"/>
    <x v="1169"/>
    <d v="2025-10-31T00:00:00"/>
    <x v="7"/>
    <n v="600"/>
    <n v="600"/>
    <n v="50"/>
    <d v="2025-11-01T00:00:00"/>
    <s v="Rajasthan"/>
    <s v="VIJAY LAXMI TRANSPORT"/>
    <s v="DL1LAB2196"/>
    <s v="22 FT"/>
    <s v="NOT RECEIVED"/>
    <s v="Dispatched"/>
    <m/>
    <m/>
  </r>
  <r>
    <n v="1185"/>
    <n v="177"/>
    <s v="PIPO"/>
    <s v="WOS 392"/>
    <d v="2025-10-31T00:00:00"/>
    <x v="44"/>
    <s v="2526/7/TI-390"/>
    <x v="1170"/>
    <d v="2025-10-31T00:00:00"/>
    <x v="7"/>
    <n v="540"/>
    <n v="540"/>
    <n v="45"/>
    <d v="2025-11-01T00:00:00"/>
    <s v="Uttar Pradesh"/>
    <s v="VIJAY LAXMI TRANSPORT"/>
    <s v="DL1LAB2196"/>
    <s v="22 FT"/>
    <s v="NOT RECEIVED"/>
    <s v="Dispatched"/>
    <m/>
    <m/>
  </r>
  <r>
    <n v="1185"/>
    <n v="177"/>
    <s v="PIPO"/>
    <s v="WOS 399"/>
    <d v="2025-10-31T00:00:00"/>
    <x v="4"/>
    <s v="2526/7/TI-393"/>
    <x v="1171"/>
    <d v="2025-10-31T00:00:00"/>
    <x v="7"/>
    <n v="192"/>
    <n v="192"/>
    <n v="16"/>
    <d v="2025-11-01T00:00:00"/>
    <s v="PUNJAB"/>
    <s v="VIJAY LAXMI TRANSPORT"/>
    <s v="DL1LAB2196"/>
    <s v="22 FT"/>
    <s v="NOT RECEIVED"/>
    <s v="Dispatched"/>
    <m/>
    <m/>
  </r>
  <r>
    <n v="1185"/>
    <n v="177"/>
    <s v="PIPO"/>
    <s v="WOS 404"/>
    <d v="2025-10-31T00:00:00"/>
    <x v="21"/>
    <s v="2526/7/TI-397"/>
    <x v="1172"/>
    <d v="2025-10-31T00:00:00"/>
    <x v="7"/>
    <n v="120"/>
    <n v="120"/>
    <n v="10"/>
    <d v="2025-11-01T00:00:00"/>
    <s v="Haryana"/>
    <s v="VIJAY LAXMI TRANSPORT"/>
    <s v="DL1LAB2196"/>
    <s v="22 FT"/>
    <s v="NOT RECEIVED"/>
    <s v="Dispatched"/>
    <m/>
    <m/>
  </r>
  <r>
    <n v="1185"/>
    <n v="177"/>
    <s v="PIPO"/>
    <s v="WOS 397"/>
    <d v="2025-10-31T00:00:00"/>
    <x v="2"/>
    <s v="2526/7/TI-399"/>
    <x v="1173"/>
    <d v="2025-10-31T00:00:00"/>
    <x v="7"/>
    <n v="408"/>
    <n v="408"/>
    <n v="34"/>
    <d v="2025-11-01T00:00:00"/>
    <s v="Uttar Pradesh"/>
    <s v="VIJAY LAXMI TRANSPORT"/>
    <s v="DL1LAB2196"/>
    <s v="22 FT"/>
    <s v="NOT RECEIVED"/>
    <s v="Dispatched"/>
    <m/>
    <m/>
  </r>
  <r>
    <n v="1186"/>
    <n v="178"/>
    <s v="PIPO"/>
    <s v="STO-8"/>
    <d v="2025-10-31T00:00:00"/>
    <x v="0"/>
    <s v="2526/7/ESTO-8"/>
    <x v="1154"/>
    <d v="2025-10-31T00:00:00"/>
    <x v="7"/>
    <n v="2500"/>
    <n v="2500"/>
    <n v="250"/>
    <d v="2025-10-31T00:00:00"/>
    <s v="Delhi"/>
    <s v="VIJAY LAXMI TRANSPORT"/>
    <s v="DL1MA9417"/>
    <s v="22 FT"/>
    <s v="NOT RECEIVED"/>
    <s v="Dispatched"/>
    <m/>
    <m/>
  </r>
  <r>
    <n v="1187"/>
    <n v="179"/>
    <s v="PIPO"/>
    <s v="STO-9"/>
    <d v="2025-10-31T00:00:00"/>
    <x v="0"/>
    <s v="2526/7/ESTO-9"/>
    <x v="1174"/>
    <d v="2025-10-31T00:00:00"/>
    <x v="7"/>
    <n v="2600"/>
    <n v="2600"/>
    <n v="260"/>
    <d v="2025-10-31T00:00:00"/>
    <s v="Delhi"/>
    <s v="VIJAY LAXMI TRANSPORT"/>
    <s v="DL1MA9877"/>
    <s v="22 FT"/>
    <s v="NOT RECEIVED"/>
    <s v="Dispatched"/>
    <m/>
    <m/>
  </r>
  <r>
    <m/>
    <m/>
    <m/>
    <m/>
    <m/>
    <x v="53"/>
    <m/>
    <x v="0"/>
    <m/>
    <x v="0"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1DB547-DE10-4DE1-A5A3-438AE14B1D3F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I53" firstHeaderRow="1" firstDataRow="4" firstDataCol="1"/>
  <pivotFields count="24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5">
        <item x="23"/>
        <item x="3"/>
        <item x="10"/>
        <item x="46"/>
        <item x="38"/>
        <item x="22"/>
        <item x="52"/>
        <item x="20"/>
        <item x="21"/>
        <item x="18"/>
        <item x="48"/>
        <item x="24"/>
        <item x="34"/>
        <item x="50"/>
        <item x="7"/>
        <item x="41"/>
        <item x="4"/>
        <item x="13"/>
        <item x="25"/>
        <item x="36"/>
        <item x="15"/>
        <item x="39"/>
        <item x="35"/>
        <item x="29"/>
        <item x="14"/>
        <item x="42"/>
        <item x="44"/>
        <item x="19"/>
        <item x="1"/>
        <item x="28"/>
        <item x="11"/>
        <item x="37"/>
        <item x="27"/>
        <item x="5"/>
        <item x="32"/>
        <item x="2"/>
        <item x="49"/>
        <item x="8"/>
        <item x="47"/>
        <item x="45"/>
        <item x="12"/>
        <item x="16"/>
        <item x="30"/>
        <item h="1" x="0"/>
        <item x="43"/>
        <item x="33"/>
        <item x="51"/>
        <item x="6"/>
        <item x="17"/>
        <item x="26"/>
        <item x="9"/>
        <item x="40"/>
        <item x="31"/>
        <item x="53"/>
        <item t="default"/>
      </items>
    </pivotField>
    <pivotField compact="0" outline="0" showAll="0"/>
    <pivotField dataField="1" compact="0" outline="0" showAll="0">
      <items count="1176">
        <item x="579"/>
        <item x="593"/>
        <item x="769"/>
        <item x="448"/>
        <item x="224"/>
        <item x="228"/>
        <item x="449"/>
        <item x="596"/>
        <item x="207"/>
        <item x="451"/>
        <item x="239"/>
        <item x="447"/>
        <item x="727"/>
        <item x="278"/>
        <item x="460"/>
        <item x="490"/>
        <item x="836"/>
        <item x="225"/>
        <item x="1020"/>
        <item x="284"/>
        <item x="32"/>
        <item x="165"/>
        <item x="768"/>
        <item x="468"/>
        <item x="68"/>
        <item x="148"/>
        <item x="876"/>
        <item x="874"/>
        <item x="529"/>
        <item x="865"/>
        <item x="10"/>
        <item x="877"/>
        <item x="617"/>
        <item x="421"/>
        <item x="283"/>
        <item x="467"/>
        <item x="531"/>
        <item x="957"/>
        <item x="428"/>
        <item x="275"/>
        <item x="710"/>
        <item x="255"/>
        <item x="279"/>
        <item x="643"/>
        <item x="1076"/>
        <item x="450"/>
        <item x="564"/>
        <item x="446"/>
        <item x="611"/>
        <item x="66"/>
        <item x="472"/>
        <item x="123"/>
        <item x="155"/>
        <item x="385"/>
        <item x="418"/>
        <item x="512"/>
        <item x="835"/>
        <item x="1089"/>
        <item x="508"/>
        <item x="425"/>
        <item x="445"/>
        <item x="74"/>
        <item x="193"/>
        <item x="260"/>
        <item x="461"/>
        <item x="387"/>
        <item x="143"/>
        <item x="383"/>
        <item x="411"/>
        <item x="639"/>
        <item x="420"/>
        <item x="335"/>
        <item x="346"/>
        <item x="569"/>
        <item x="744"/>
        <item x="108"/>
        <item x="241"/>
        <item x="474"/>
        <item x="227"/>
        <item x="114"/>
        <item x="1147"/>
        <item x="403"/>
        <item x="280"/>
        <item x="251"/>
        <item x="1125"/>
        <item x="409"/>
        <item x="979"/>
        <item x="85"/>
        <item x="408"/>
        <item x="339"/>
        <item x="142"/>
        <item x="49"/>
        <item x="301"/>
        <item x="644"/>
        <item x="217"/>
        <item x="347"/>
        <item x="181"/>
        <item x="1149"/>
        <item x="630"/>
        <item x="237"/>
        <item x="434"/>
        <item x="458"/>
        <item x="760"/>
        <item x="259"/>
        <item x="870"/>
        <item x="762"/>
        <item x="1083"/>
        <item x="257"/>
        <item x="34"/>
        <item x="735"/>
        <item x="441"/>
        <item x="498"/>
        <item x="592"/>
        <item x="493"/>
        <item x="303"/>
        <item x="83"/>
        <item x="829"/>
        <item x="520"/>
        <item x="482"/>
        <item x="287"/>
        <item x="901"/>
        <item x="160"/>
        <item x="503"/>
        <item x="132"/>
        <item x="18"/>
        <item x="330"/>
        <item x="395"/>
        <item x="419"/>
        <item x="729"/>
        <item x="867"/>
        <item x="336"/>
        <item x="873"/>
        <item x="431"/>
        <item x="603"/>
        <item x="1161"/>
        <item x="222"/>
        <item x="634"/>
        <item x="401"/>
        <item x="131"/>
        <item x="137"/>
        <item x="469"/>
        <item x="319"/>
        <item x="153"/>
        <item x="538"/>
        <item x="733"/>
        <item x="1145"/>
        <item x="209"/>
        <item x="827"/>
        <item x="87"/>
        <item x="276"/>
        <item x="620"/>
        <item x="1077"/>
        <item x="787"/>
        <item x="156"/>
        <item x="151"/>
        <item x="568"/>
        <item x="220"/>
        <item x="702"/>
        <item x="591"/>
        <item x="120"/>
        <item x="122"/>
        <item x="536"/>
        <item x="296"/>
        <item x="71"/>
        <item x="712"/>
        <item x="459"/>
        <item x="820"/>
        <item x="93"/>
        <item x="487"/>
        <item x="483"/>
        <item x="881"/>
        <item x="322"/>
        <item x="648"/>
        <item x="1082"/>
        <item x="60"/>
        <item x="194"/>
        <item x="318"/>
        <item x="714"/>
        <item x="828"/>
        <item x="514"/>
        <item x="749"/>
        <item x="745"/>
        <item x="219"/>
        <item x="305"/>
        <item x="635"/>
        <item x="124"/>
        <item x="952"/>
        <item x="1116"/>
        <item x="994"/>
        <item x="289"/>
        <item x="204"/>
        <item x="1146"/>
        <item x="69"/>
        <item x="547"/>
        <item x="764"/>
        <item x="298"/>
        <item x="329"/>
        <item x="407"/>
        <item x="337"/>
        <item x="136"/>
        <item x="637"/>
        <item x="608"/>
        <item x="1135"/>
        <item x="140"/>
        <item x="776"/>
        <item x="598"/>
        <item x="26"/>
        <item x="491"/>
        <item x="502"/>
        <item x="728"/>
        <item x="610"/>
        <item x="429"/>
        <item x="804"/>
        <item x="526"/>
        <item x="65"/>
        <item x="890"/>
        <item x="862"/>
        <item x="196"/>
        <item x="543"/>
        <item x="964"/>
        <item x="650"/>
        <item x="633"/>
        <item x="1088"/>
        <item x="150"/>
        <item x="1091"/>
        <item x="406"/>
        <item x="706"/>
        <item x="129"/>
        <item x="636"/>
        <item x="704"/>
        <item x="489"/>
        <item x="732"/>
        <item x="48"/>
        <item x="1156"/>
        <item x="795"/>
        <item x="269"/>
        <item x="825"/>
        <item x="537"/>
        <item x="117"/>
        <item x="624"/>
        <item x="277"/>
        <item x="832"/>
        <item x="1048"/>
        <item x="1084"/>
        <item x="281"/>
        <item x="542"/>
        <item x="417"/>
        <item x="149"/>
        <item x="1140"/>
        <item x="802"/>
        <item x="344"/>
        <item x="1126"/>
        <item x="79"/>
        <item x="119"/>
        <item x="588"/>
        <item x="687"/>
        <item x="900"/>
        <item x="495"/>
        <item x="396"/>
        <item x="126"/>
        <item x="558"/>
        <item x="444"/>
        <item x="1081"/>
        <item x="1080"/>
        <item x="763"/>
        <item x="1037"/>
        <item x="521"/>
        <item x="307"/>
        <item x="218"/>
        <item x="1139"/>
        <item x="112"/>
        <item x="145"/>
        <item x="201"/>
        <item x="646"/>
        <item x="850"/>
        <item x="966"/>
        <item x="695"/>
        <item x="485"/>
        <item x="1058"/>
        <item x="625"/>
        <item x="548"/>
        <item x="492"/>
        <item x="76"/>
        <item x="1151"/>
        <item x="258"/>
        <item x="1138"/>
        <item x="583"/>
        <item x="1093"/>
        <item x="969"/>
        <item x="629"/>
        <item x="1164"/>
        <item x="642"/>
        <item x="800"/>
        <item x="21"/>
        <item x="424"/>
        <item x="1158"/>
        <item x="327"/>
        <item x="589"/>
        <item x="566"/>
        <item x="109"/>
        <item x="1087"/>
        <item x="233"/>
        <item x="540"/>
        <item x="612"/>
        <item x="1036"/>
        <item x="1085"/>
        <item x="308"/>
        <item x="88"/>
        <item x="716"/>
        <item x="1067"/>
        <item x="616"/>
        <item x="466"/>
        <item x="455"/>
        <item x="525"/>
        <item x="640"/>
        <item x="400"/>
        <item x="58"/>
        <item x="905"/>
        <item x="382"/>
        <item x="438"/>
        <item x="788"/>
        <item x="110"/>
        <item x="392"/>
        <item x="669"/>
        <item x="516"/>
        <item x="86"/>
        <item x="627"/>
        <item x="317"/>
        <item x="902"/>
        <item x="61"/>
        <item x="413"/>
        <item x="951"/>
        <item x="572"/>
        <item x="415"/>
        <item x="1132"/>
        <item x="641"/>
        <item x="518"/>
        <item x="293"/>
        <item x="273"/>
        <item x="657"/>
        <item x="587"/>
        <item x="541"/>
        <item x="911"/>
        <item x="423"/>
        <item x="297"/>
        <item x="628"/>
        <item x="663"/>
        <item x="993"/>
        <item x="146"/>
        <item x="328"/>
        <item x="903"/>
        <item x="711"/>
        <item x="426"/>
        <item x="254"/>
        <item x="1065"/>
        <item x="1092"/>
        <item x="824"/>
        <item x="509"/>
        <item x="746"/>
        <item x="863"/>
        <item x="1102"/>
        <item x="718"/>
        <item x="152"/>
        <item x="753"/>
        <item x="166"/>
        <item x="292"/>
        <item x="983"/>
        <item x="652"/>
        <item x="462"/>
        <item x="1039"/>
        <item x="933"/>
        <item x="551"/>
        <item x="271"/>
        <item x="597"/>
        <item x="1075"/>
        <item x="144"/>
        <item x="672"/>
        <item x="465"/>
        <item x="80"/>
        <item x="757"/>
        <item x="801"/>
        <item x="872"/>
        <item x="1045"/>
        <item x="698"/>
        <item x="416"/>
        <item x="581"/>
        <item x="386"/>
        <item x="54"/>
        <item x="826"/>
        <item x="806"/>
        <item x="813"/>
        <item x="992"/>
        <item x="1104"/>
        <item x="677"/>
        <item x="513"/>
        <item x="274"/>
        <item x="682"/>
        <item x="252"/>
        <item x="1153"/>
        <item x="147"/>
        <item x="190"/>
        <item x="701"/>
        <item x="939"/>
        <item x="381"/>
        <item x="638"/>
        <item x="242"/>
        <item x="907"/>
        <item x="530"/>
        <item x="678"/>
        <item x="236"/>
        <item x="1115"/>
        <item x="563"/>
        <item x="815"/>
        <item x="754"/>
        <item x="394"/>
        <item x="118"/>
        <item x="1095"/>
        <item x="794"/>
        <item x="705"/>
        <item x="179"/>
        <item x="496"/>
        <item x="797"/>
        <item x="831"/>
        <item x="539"/>
        <item x="390"/>
        <item x="208"/>
        <item x="793"/>
        <item x="690"/>
        <item x="248"/>
        <item x="720"/>
        <item x="681"/>
        <item x="1069"/>
        <item x="478"/>
        <item x="786"/>
        <item x="436"/>
        <item x="685"/>
        <item x="481"/>
        <item x="609"/>
        <item x="707"/>
        <item x="285"/>
        <item x="371"/>
        <item x="560"/>
        <item x="532"/>
        <item x="984"/>
        <item x="956"/>
        <item x="1086"/>
        <item x="842"/>
        <item x="440"/>
        <item x="852"/>
        <item x="544"/>
        <item x="851"/>
        <item x="96"/>
        <item x="838"/>
        <item x="16"/>
        <item x="799"/>
        <item x="67"/>
        <item x="823"/>
        <item x="709"/>
        <item x="402"/>
        <item x="1119"/>
        <item x="345"/>
        <item x="866"/>
        <item x="752"/>
        <item x="373"/>
        <item x="1117"/>
        <item x="1144"/>
        <item x="75"/>
        <item x="1129"/>
        <item x="304"/>
        <item x="812"/>
        <item x="782"/>
        <item x="128"/>
        <item x="755"/>
        <item x="23"/>
        <item x="310"/>
        <item x="1026"/>
        <item x="567"/>
        <item x="726"/>
        <item x="388"/>
        <item x="841"/>
        <item x="272"/>
        <item x="1057"/>
        <item x="724"/>
        <item x="111"/>
        <item x="750"/>
        <item x="115"/>
        <item x="674"/>
        <item x="453"/>
        <item x="781"/>
        <item x="180"/>
        <item x="805"/>
        <item x="454"/>
        <item x="497"/>
        <item x="59"/>
        <item x="435"/>
        <item x="600"/>
        <item x="40"/>
        <item x="645"/>
        <item x="1073"/>
        <item x="675"/>
        <item x="414"/>
        <item x="81"/>
        <item x="585"/>
        <item x="858"/>
        <item x="578"/>
        <item x="980"/>
        <item x="967"/>
        <item x="946"/>
        <item x="463"/>
        <item x="651"/>
        <item x="534"/>
        <item x="103"/>
        <item x="576"/>
        <item x="121"/>
        <item x="601"/>
        <item x="393"/>
        <item x="169"/>
        <item x="912"/>
        <item x="734"/>
        <item x="1096"/>
        <item x="384"/>
        <item x="316"/>
        <item x="1166"/>
        <item x="884"/>
        <item x="1074"/>
        <item x="211"/>
        <item x="340"/>
        <item x="584"/>
        <item x="871"/>
        <item x="626"/>
        <item x="693"/>
        <item x="995"/>
        <item x="1131"/>
        <item x="880"/>
        <item x="138"/>
        <item x="604"/>
        <item x="559"/>
        <item x="789"/>
        <item x="908"/>
        <item x="811"/>
        <item x="713"/>
        <item x="667"/>
        <item x="288"/>
        <item x="631"/>
        <item x="679"/>
        <item x="306"/>
        <item x="595"/>
        <item x="343"/>
        <item x="580"/>
        <item x="376"/>
        <item x="941"/>
        <item x="981"/>
        <item x="494"/>
        <item x="790"/>
        <item x="1017"/>
        <item x="817"/>
        <item x="9"/>
        <item x="554"/>
        <item x="369"/>
        <item x="765"/>
        <item x="556"/>
        <item x="798"/>
        <item x="157"/>
        <item x="562"/>
        <item x="697"/>
        <item x="56"/>
        <item x="380"/>
        <item x="473"/>
        <item x="72"/>
        <item x="725"/>
        <item x="747"/>
        <item x="855"/>
        <item x="613"/>
        <item x="719"/>
        <item x="717"/>
        <item x="1016"/>
        <item x="14"/>
        <item x="323"/>
        <item x="504"/>
        <item x="202"/>
        <item x="561"/>
        <item x="761"/>
        <item x="982"/>
        <item x="785"/>
        <item x="730"/>
        <item x="33"/>
        <item x="517"/>
        <item x="680"/>
        <item x="1150"/>
        <item x="404"/>
        <item x="656"/>
        <item x="845"/>
        <item x="17"/>
        <item x="807"/>
        <item x="427"/>
        <item x="331"/>
        <item x="479"/>
        <item x="133"/>
        <item x="924"/>
        <item x="816"/>
        <item x="178"/>
        <item x="507"/>
        <item x="986"/>
        <item x="839"/>
        <item x="1072"/>
        <item x="882"/>
        <item x="590"/>
        <item x="270"/>
        <item x="477"/>
        <item x="22"/>
        <item x="821"/>
        <item x="632"/>
        <item x="1172"/>
        <item x="553"/>
        <item x="125"/>
        <item x="1034"/>
        <item x="1157"/>
        <item x="549"/>
        <item x="1130"/>
        <item x="803"/>
        <item x="430"/>
        <item x="1003"/>
        <item x="527"/>
        <item x="810"/>
        <item x="950"/>
        <item x="439"/>
        <item x="1094"/>
        <item x="809"/>
        <item x="405"/>
        <item x="1121"/>
        <item x="1120"/>
        <item x="268"/>
        <item x="215"/>
        <item x="973"/>
        <item x="846"/>
        <item x="897"/>
        <item x="766"/>
        <item x="962"/>
        <item x="662"/>
        <item x="848"/>
        <item x="1002"/>
        <item x="555"/>
        <item x="77"/>
        <item x="501"/>
        <item x="990"/>
        <item x="830"/>
        <item x="422"/>
        <item x="774"/>
        <item x="515"/>
        <item x="655"/>
        <item x="198"/>
        <item x="313"/>
        <item x="338"/>
        <item x="739"/>
        <item x="819"/>
        <item x="582"/>
        <item x="189"/>
        <item x="127"/>
        <item x="974"/>
        <item x="958"/>
        <item x="243"/>
        <item x="443"/>
        <item x="1053"/>
        <item x="245"/>
        <item x="743"/>
        <item x="1136"/>
        <item x="1118"/>
        <item x="1005"/>
        <item x="987"/>
        <item x="162"/>
        <item x="519"/>
        <item x="27"/>
        <item x="158"/>
        <item x="808"/>
        <item x="926"/>
        <item x="688"/>
        <item x="1054"/>
        <item x="206"/>
        <item x="471"/>
        <item x="949"/>
        <item x="456"/>
        <item x="621"/>
        <item x="378"/>
        <item x="875"/>
        <item x="28"/>
        <item x="43"/>
        <item x="970"/>
        <item x="398"/>
        <item x="63"/>
        <item x="11"/>
        <item x="758"/>
        <item x="1103"/>
        <item x="499"/>
        <item x="326"/>
        <item x="1162"/>
        <item x="666"/>
        <item x="173"/>
        <item x="1052"/>
        <item x="154"/>
        <item x="545"/>
        <item x="1051"/>
        <item x="659"/>
        <item x="618"/>
        <item x="185"/>
        <item x="741"/>
        <item x="523"/>
        <item x="1090"/>
        <item x="294"/>
        <item x="722"/>
        <item x="524"/>
        <item x="410"/>
        <item x="614"/>
        <item x="500"/>
        <item x="930"/>
        <item x="883"/>
        <item x="324"/>
        <item x="1114"/>
        <item x="1064"/>
        <item x="599"/>
        <item x="886"/>
        <item x="116"/>
        <item x="95"/>
        <item x="172"/>
        <item x="442"/>
        <item x="312"/>
        <item x="1124"/>
        <item x="51"/>
        <item x="50"/>
        <item x="989"/>
        <item x="432"/>
        <item x="92"/>
        <item x="315"/>
        <item x="480"/>
        <item x="223"/>
        <item x="1011"/>
        <item x="869"/>
        <item x="20"/>
        <item x="1025"/>
        <item x="577"/>
        <item x="550"/>
        <item x="676"/>
        <item x="41"/>
        <item x="38"/>
        <item x="265"/>
        <item x="575"/>
        <item x="623"/>
        <item x="570"/>
        <item x="235"/>
        <item x="780"/>
        <item x="290"/>
        <item x="658"/>
        <item x="920"/>
        <item x="1070"/>
        <item x="370"/>
        <item x="586"/>
        <item x="295"/>
        <item x="262"/>
        <item x="1066"/>
        <item x="286"/>
        <item x="906"/>
        <item x="771"/>
        <item x="78"/>
        <item x="772"/>
        <item x="15"/>
        <item x="1046"/>
        <item x="170"/>
        <item x="931"/>
        <item x="927"/>
        <item x="1019"/>
        <item x="619"/>
        <item x="673"/>
        <item x="1171"/>
        <item x="1006"/>
        <item x="314"/>
        <item x="818"/>
        <item x="615"/>
        <item x="159"/>
        <item x="1133"/>
        <item x="1035"/>
        <item x="955"/>
        <item x="784"/>
        <item x="844"/>
        <item x="366"/>
        <item x="334"/>
        <item x="684"/>
        <item x="98"/>
        <item x="377"/>
        <item x="953"/>
        <item x="748"/>
        <item x="1134"/>
        <item x="309"/>
        <item x="57"/>
        <item x="104"/>
        <item x="700"/>
        <item x="783"/>
        <item x="1122"/>
        <item x="963"/>
        <item x="686"/>
        <item x="486"/>
        <item x="94"/>
        <item x="267"/>
        <item x="857"/>
        <item x="767"/>
        <item x="715"/>
        <item x="374"/>
        <item x="1079"/>
        <item x="737"/>
        <item x="163"/>
        <item x="35"/>
        <item x="985"/>
        <item x="837"/>
        <item x="759"/>
        <item x="742"/>
        <item x="363"/>
        <item x="833"/>
        <item x="229"/>
        <item x="773"/>
        <item x="1042"/>
        <item x="573"/>
        <item x="731"/>
        <item x="375"/>
        <item x="937"/>
        <item x="1041"/>
        <item x="379"/>
        <item x="244"/>
        <item x="282"/>
        <item x="210"/>
        <item x="607"/>
        <item x="528"/>
        <item x="99"/>
        <item x="192"/>
        <item x="205"/>
        <item x="796"/>
        <item x="364"/>
        <item x="770"/>
        <item x="232"/>
        <item x="82"/>
        <item x="161"/>
        <item x="299"/>
        <item x="212"/>
        <item x="484"/>
        <item x="1044"/>
        <item x="195"/>
        <item x="291"/>
        <item x="391"/>
        <item x="1105"/>
        <item x="7"/>
        <item x="1063"/>
        <item x="130"/>
        <item x="55"/>
        <item x="978"/>
        <item x="775"/>
        <item x="320"/>
        <item x="1165"/>
        <item x="263"/>
        <item x="238"/>
        <item x="602"/>
        <item x="311"/>
        <item x="822"/>
        <item x="177"/>
        <item x="777"/>
        <item x="1159"/>
        <item x="740"/>
        <item x="778"/>
        <item x="321"/>
        <item x="488"/>
        <item x="696"/>
        <item x="37"/>
        <item x="134"/>
        <item x="1107"/>
        <item x="31"/>
        <item x="921"/>
        <item x="1000"/>
        <item x="333"/>
        <item x="699"/>
        <item x="1047"/>
        <item x="606"/>
        <item x="736"/>
        <item x="859"/>
        <item x="25"/>
        <item x="1031"/>
        <item x="36"/>
        <item x="29"/>
        <item x="475"/>
        <item x="947"/>
        <item x="894"/>
        <item x="200"/>
        <item x="571"/>
        <item x="1015"/>
        <item x="668"/>
        <item x="847"/>
        <item x="691"/>
        <item x="250"/>
        <item x="1112"/>
        <item x="1004"/>
        <item x="791"/>
        <item x="909"/>
        <item x="1160"/>
        <item x="249"/>
        <item x="1167"/>
        <item x="213"/>
        <item x="868"/>
        <item x="756"/>
        <item x="971"/>
        <item x="914"/>
        <item x="464"/>
        <item x="1056"/>
        <item x="605"/>
        <item x="368"/>
        <item x="935"/>
        <item x="552"/>
        <item x="692"/>
        <item x="888"/>
        <item x="934"/>
        <item x="39"/>
        <item x="365"/>
        <item x="779"/>
        <item x="1030"/>
        <item x="1098"/>
        <item x="622"/>
        <item x="708"/>
        <item x="300"/>
        <item x="216"/>
        <item x="998"/>
        <item x="856"/>
        <item x="199"/>
        <item x="302"/>
        <item x="1013"/>
        <item x="203"/>
        <item x="922"/>
        <item x="389"/>
        <item x="101"/>
        <item x="960"/>
        <item x="1010"/>
        <item x="174"/>
        <item x="19"/>
        <item x="30"/>
        <item x="896"/>
        <item x="917"/>
        <item x="197"/>
        <item x="660"/>
        <item x="792"/>
        <item x="1033"/>
        <item x="1023"/>
        <item x="940"/>
        <item x="266"/>
        <item x="649"/>
        <item x="1111"/>
        <item x="246"/>
        <item x="1148"/>
        <item x="342"/>
        <item x="1108"/>
        <item x="661"/>
        <item x="864"/>
        <item x="89"/>
        <item x="97"/>
        <item x="183"/>
        <item x="1029"/>
        <item x="653"/>
        <item x="1168"/>
        <item x="397"/>
        <item x="261"/>
        <item x="919"/>
        <item x="226"/>
        <item x="565"/>
        <item x="214"/>
        <item x="1106"/>
        <item x="945"/>
        <item x="893"/>
        <item x="664"/>
        <item x="694"/>
        <item x="164"/>
        <item x="1101"/>
        <item x="52"/>
        <item x="522"/>
        <item x="1007"/>
        <item x="671"/>
        <item x="349"/>
        <item x="834"/>
        <item x="932"/>
        <item x="988"/>
        <item x="253"/>
        <item x="139"/>
        <item x="167"/>
        <item x="360"/>
        <item x="359"/>
        <item x="991"/>
        <item x="332"/>
        <item x="999"/>
        <item x="186"/>
        <item x="1173"/>
        <item x="42"/>
        <item x="670"/>
        <item x="1040"/>
        <item x="470"/>
        <item x="141"/>
        <item x="1155"/>
        <item x="965"/>
        <item x="1055"/>
        <item x="372"/>
        <item x="505"/>
        <item x="73"/>
        <item x="849"/>
        <item x="231"/>
        <item x="689"/>
        <item x="348"/>
        <item x="594"/>
        <item x="361"/>
        <item x="1142"/>
        <item x="62"/>
        <item x="234"/>
        <item x="352"/>
        <item x="351"/>
        <item x="357"/>
        <item x="64"/>
        <item x="256"/>
        <item x="105"/>
        <item x="546"/>
        <item x="889"/>
        <item x="910"/>
        <item x="510"/>
        <item x="47"/>
        <item x="113"/>
        <item x="892"/>
        <item x="476"/>
        <item x="1043"/>
        <item x="362"/>
        <item x="240"/>
        <item x="182"/>
        <item x="341"/>
        <item x="751"/>
        <item x="5"/>
        <item x="135"/>
        <item x="6"/>
        <item x="356"/>
        <item x="703"/>
        <item x="899"/>
        <item x="944"/>
        <item x="171"/>
        <item x="452"/>
        <item x="954"/>
        <item x="996"/>
        <item x="358"/>
        <item x="1018"/>
        <item x="1078"/>
        <item x="1110"/>
        <item x="879"/>
        <item x="325"/>
        <item x="535"/>
        <item x="1050"/>
        <item x="53"/>
        <item x="916"/>
        <item x="221"/>
        <item x="665"/>
        <item x="102"/>
        <item x="367"/>
        <item x="923"/>
        <item x="574"/>
        <item x="70"/>
        <item x="506"/>
        <item x="647"/>
        <item x="8"/>
        <item x="399"/>
        <item x="91"/>
        <item x="4"/>
        <item x="1049"/>
        <item x="721"/>
        <item x="1170"/>
        <item x="44"/>
        <item x="3"/>
        <item x="511"/>
        <item x="230"/>
        <item x="683"/>
        <item x="1024"/>
        <item x="885"/>
        <item x="12"/>
        <item x="107"/>
        <item x="350"/>
        <item x="13"/>
        <item x="1061"/>
        <item x="904"/>
        <item x="533"/>
        <item x="1141"/>
        <item x="355"/>
        <item x="264"/>
        <item x="840"/>
        <item x="929"/>
        <item x="938"/>
        <item x="84"/>
        <item x="1"/>
        <item x="100"/>
        <item x="1062"/>
        <item x="457"/>
        <item x="191"/>
        <item x="106"/>
        <item x="723"/>
        <item x="90"/>
        <item x="354"/>
        <item x="854"/>
        <item x="24"/>
        <item x="948"/>
        <item x="997"/>
        <item x="918"/>
        <item x="860"/>
        <item x="1163"/>
        <item x="1169"/>
        <item x="2"/>
        <item x="928"/>
        <item x="557"/>
        <item x="1021"/>
        <item x="1127"/>
        <item x="654"/>
        <item x="1009"/>
        <item x="1113"/>
        <item x="961"/>
        <item x="898"/>
        <item x="353"/>
        <item x="895"/>
        <item x="433"/>
        <item x="1109"/>
        <item x="891"/>
        <item x="1012"/>
        <item x="943"/>
        <item x="968"/>
        <item x="1038"/>
        <item x="1022"/>
        <item x="975"/>
        <item x="925"/>
        <item x="843"/>
        <item x="887"/>
        <item x="1071"/>
        <item x="972"/>
        <item x="1008"/>
        <item x="1143"/>
        <item x="1014"/>
        <item x="1137"/>
        <item x="1152"/>
        <item x="45"/>
        <item x="1123"/>
        <item x="437"/>
        <item x="1068"/>
        <item x="1001"/>
        <item x="853"/>
        <item x="861"/>
        <item x="913"/>
        <item x="1128"/>
        <item x="188"/>
        <item x="936"/>
        <item x="1097"/>
        <item x="46"/>
        <item x="1032"/>
        <item x="1060"/>
        <item x="1100"/>
        <item x="1154"/>
        <item x="1174"/>
        <item x="976"/>
        <item x="247"/>
        <item x="942"/>
        <item x="1099"/>
        <item x="878"/>
        <item x="1059"/>
        <item x="977"/>
        <item x="187"/>
        <item x="1027"/>
        <item x="959"/>
        <item x="176"/>
        <item x="168"/>
        <item x="184"/>
        <item x="175"/>
        <item x="1028"/>
        <item x="915"/>
        <item x="738"/>
        <item x="412"/>
        <item x="814"/>
        <item x="0"/>
        <item t="default"/>
      </items>
    </pivotField>
    <pivotField compact="0" outline="0" showAll="0"/>
    <pivotField axis="axisCol" compact="0" outline="0" showAll="0">
      <items count="9">
        <item x="1"/>
        <item x="2"/>
        <item x="3"/>
        <item x="4"/>
        <item x="5"/>
        <item x="6"/>
        <item x="7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Col" compact="0" outline="0" showAll="0">
      <items count="15">
        <item h="1" sd="0" x="0"/>
        <item h="1" sd="0" x="1"/>
        <item h="1" sd="0" x="2"/>
        <item h="1"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5"/>
  </rowFields>
  <rowItems count="4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1"/>
    </i>
    <i>
      <x v="22"/>
    </i>
    <i>
      <x v="23"/>
    </i>
    <i>
      <x v="25"/>
    </i>
    <i>
      <x v="26"/>
    </i>
    <i>
      <x v="27"/>
    </i>
    <i>
      <x v="28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4"/>
    </i>
    <i>
      <x v="45"/>
    </i>
    <i>
      <x v="46"/>
    </i>
    <i>
      <x v="47"/>
    </i>
    <i>
      <x v="48"/>
    </i>
    <i>
      <x v="50"/>
    </i>
    <i>
      <x v="51"/>
    </i>
    <i>
      <x v="52"/>
    </i>
    <i t="grand">
      <x/>
    </i>
  </rowItems>
  <colFields count="3">
    <field x="23"/>
    <field x="22"/>
    <field x="9"/>
  </colFields>
  <colItems count="8"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colItems>
  <dataFields count="1">
    <dataField name="Sum of  INVOICE GROSS TOTAL VALUE" fld="7" baseField="5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C6D34-093A-4F2E-9FDE-134A69F472F9}">
  <dimension ref="A3:I53"/>
  <sheetViews>
    <sheetView topLeftCell="A3" workbookViewId="0">
      <selection activeCell="B4" sqref="B4"/>
    </sheetView>
  </sheetViews>
  <sheetFormatPr defaultRowHeight="14.4" x14ac:dyDescent="0.3"/>
  <cols>
    <col min="1" max="1" width="43.77734375" bestFit="1" customWidth="1"/>
    <col min="2" max="8" width="17.21875" bestFit="1" customWidth="1"/>
    <col min="9" max="10" width="11.77734375" bestFit="1" customWidth="1"/>
  </cols>
  <sheetData>
    <row r="3" spans="1:9" x14ac:dyDescent="0.3">
      <c r="A3" s="9" t="s">
        <v>2808</v>
      </c>
      <c r="B3" s="9" t="s">
        <v>2809</v>
      </c>
      <c r="C3" s="9" t="s">
        <v>2810</v>
      </c>
      <c r="D3" s="9" t="s">
        <v>2806</v>
      </c>
    </row>
    <row r="4" spans="1:9" x14ac:dyDescent="0.3">
      <c r="B4" t="s">
        <v>2811</v>
      </c>
      <c r="C4" t="s">
        <v>2812</v>
      </c>
      <c r="D4" t="s">
        <v>2813</v>
      </c>
      <c r="E4" t="s">
        <v>2814</v>
      </c>
      <c r="F4" t="s">
        <v>2815</v>
      </c>
      <c r="G4" t="s">
        <v>2816</v>
      </c>
      <c r="H4" t="s">
        <v>2817</v>
      </c>
      <c r="I4" t="s">
        <v>2807</v>
      </c>
    </row>
    <row r="6" spans="1:9" x14ac:dyDescent="0.3">
      <c r="A6" s="9" t="s">
        <v>5</v>
      </c>
    </row>
    <row r="7" spans="1:9" x14ac:dyDescent="0.3">
      <c r="A7" t="s">
        <v>119</v>
      </c>
      <c r="B7">
        <v>267506.26</v>
      </c>
      <c r="D7">
        <v>363675.52</v>
      </c>
      <c r="E7">
        <v>189458.63999999998</v>
      </c>
      <c r="F7">
        <v>117419.23</v>
      </c>
      <c r="G7">
        <v>825045.41</v>
      </c>
      <c r="H7">
        <v>1125261.0899999999</v>
      </c>
      <c r="I7">
        <v>2888366.15</v>
      </c>
    </row>
    <row r="8" spans="1:9" x14ac:dyDescent="0.3">
      <c r="A8" t="s">
        <v>33</v>
      </c>
      <c r="B8">
        <v>345495.24</v>
      </c>
      <c r="C8">
        <v>98976</v>
      </c>
      <c r="D8">
        <v>202789.91999999998</v>
      </c>
      <c r="E8">
        <v>101406.96</v>
      </c>
      <c r="G8">
        <v>880376.80999999994</v>
      </c>
      <c r="H8">
        <v>2384328.02</v>
      </c>
      <c r="I8">
        <v>4013372.9499999997</v>
      </c>
    </row>
    <row r="9" spans="1:9" x14ac:dyDescent="0.3">
      <c r="A9" t="s">
        <v>51</v>
      </c>
      <c r="B9">
        <v>210791.04000000004</v>
      </c>
      <c r="C9">
        <v>141725.4</v>
      </c>
      <c r="D9">
        <v>140022.96000000002</v>
      </c>
      <c r="I9">
        <v>492539.40000000008</v>
      </c>
    </row>
    <row r="10" spans="1:9" x14ac:dyDescent="0.3">
      <c r="A10" t="s">
        <v>1525</v>
      </c>
      <c r="C10">
        <v>136790.76</v>
      </c>
      <c r="I10">
        <v>136790.76</v>
      </c>
    </row>
    <row r="11" spans="1:9" x14ac:dyDescent="0.3">
      <c r="A11" t="s">
        <v>350</v>
      </c>
      <c r="B11">
        <v>215160.24</v>
      </c>
      <c r="C11">
        <v>47028.6</v>
      </c>
      <c r="I11">
        <v>262188.83999999997</v>
      </c>
    </row>
    <row r="12" spans="1:9" x14ac:dyDescent="0.3">
      <c r="A12" t="s">
        <v>118</v>
      </c>
      <c r="B12">
        <v>1094020.8599999999</v>
      </c>
      <c r="C12">
        <v>534924.16</v>
      </c>
      <c r="D12">
        <v>81084</v>
      </c>
      <c r="G12">
        <v>771187.5199999999</v>
      </c>
      <c r="H12">
        <v>767991.25</v>
      </c>
      <c r="I12">
        <v>3249207.79</v>
      </c>
    </row>
    <row r="13" spans="1:9" x14ac:dyDescent="0.3">
      <c r="A13" t="s">
        <v>2494</v>
      </c>
      <c r="H13">
        <v>1815019.2799999998</v>
      </c>
      <c r="I13">
        <v>1815019.2799999998</v>
      </c>
    </row>
    <row r="14" spans="1:9" x14ac:dyDescent="0.3">
      <c r="A14" t="s">
        <v>114</v>
      </c>
      <c r="B14">
        <v>214328.88</v>
      </c>
      <c r="I14">
        <v>214328.88</v>
      </c>
    </row>
    <row r="15" spans="1:9" x14ac:dyDescent="0.3">
      <c r="A15" t="s">
        <v>117</v>
      </c>
      <c r="B15">
        <v>235950.47999999998</v>
      </c>
      <c r="C15">
        <v>201982.06000000003</v>
      </c>
      <c r="D15">
        <v>159780</v>
      </c>
      <c r="G15">
        <v>857759.29999999993</v>
      </c>
      <c r="H15">
        <v>1108094.26</v>
      </c>
      <c r="I15">
        <v>2563566.0999999996</v>
      </c>
    </row>
    <row r="16" spans="1:9" x14ac:dyDescent="0.3">
      <c r="A16" t="s">
        <v>89</v>
      </c>
      <c r="C16">
        <v>231493.53999999998</v>
      </c>
      <c r="E16">
        <v>170562.96</v>
      </c>
      <c r="H16">
        <v>762679.39</v>
      </c>
      <c r="I16">
        <v>1164735.8900000001</v>
      </c>
    </row>
    <row r="17" spans="1:9" x14ac:dyDescent="0.3">
      <c r="A17" t="s">
        <v>2193</v>
      </c>
      <c r="G17">
        <v>463297.70999999996</v>
      </c>
      <c r="H17">
        <v>1591320.93</v>
      </c>
      <c r="I17">
        <v>2054618.64</v>
      </c>
    </row>
    <row r="18" spans="1:9" x14ac:dyDescent="0.3">
      <c r="A18" t="s">
        <v>132</v>
      </c>
      <c r="C18">
        <v>219311.96000000002</v>
      </c>
      <c r="H18">
        <v>629530.55000000005</v>
      </c>
      <c r="I18">
        <v>848842.51</v>
      </c>
    </row>
    <row r="19" spans="1:9" x14ac:dyDescent="0.3">
      <c r="A19" t="s">
        <v>2231</v>
      </c>
      <c r="G19">
        <v>459270</v>
      </c>
      <c r="I19">
        <v>459270</v>
      </c>
    </row>
    <row r="20" spans="1:9" x14ac:dyDescent="0.3">
      <c r="A20" t="s">
        <v>43</v>
      </c>
      <c r="B20">
        <v>353529.98</v>
      </c>
      <c r="C20">
        <v>160219.12</v>
      </c>
      <c r="D20">
        <v>103881.12</v>
      </c>
      <c r="I20">
        <v>617630.22</v>
      </c>
    </row>
    <row r="21" spans="1:9" x14ac:dyDescent="0.3">
      <c r="A21" t="s">
        <v>728</v>
      </c>
      <c r="D21">
        <v>133551.98000000001</v>
      </c>
      <c r="I21">
        <v>133551.98000000001</v>
      </c>
    </row>
    <row r="22" spans="1:9" x14ac:dyDescent="0.3">
      <c r="A22" t="s">
        <v>35</v>
      </c>
      <c r="B22">
        <v>1604287.8199999998</v>
      </c>
      <c r="C22">
        <v>1428914.4599999997</v>
      </c>
      <c r="D22">
        <v>971098.81999999983</v>
      </c>
      <c r="E22">
        <v>411266.64</v>
      </c>
      <c r="F22">
        <v>334478</v>
      </c>
      <c r="G22">
        <v>2889796.38</v>
      </c>
      <c r="H22">
        <v>4107499.5799999996</v>
      </c>
      <c r="I22">
        <v>11747341.699999999</v>
      </c>
    </row>
    <row r="23" spans="1:9" x14ac:dyDescent="0.3">
      <c r="A23" t="s">
        <v>64</v>
      </c>
      <c r="B23">
        <v>1977113.14</v>
      </c>
      <c r="C23">
        <v>2737871.1799999997</v>
      </c>
      <c r="D23">
        <v>345951.64</v>
      </c>
      <c r="E23">
        <v>475644.15999999997</v>
      </c>
      <c r="F23">
        <v>1513225.5</v>
      </c>
      <c r="G23">
        <v>8206581.1200000001</v>
      </c>
      <c r="H23">
        <v>18195517.050000001</v>
      </c>
      <c r="I23">
        <v>33451903.789999999</v>
      </c>
    </row>
    <row r="24" spans="1:9" x14ac:dyDescent="0.3">
      <c r="A24" t="s">
        <v>121</v>
      </c>
      <c r="G24">
        <v>927555.33</v>
      </c>
      <c r="H24">
        <v>65154.720000000001</v>
      </c>
      <c r="I24">
        <v>992710.04999999993</v>
      </c>
    </row>
    <row r="25" spans="1:9" x14ac:dyDescent="0.3">
      <c r="A25" t="s">
        <v>137</v>
      </c>
      <c r="B25">
        <v>330638.07</v>
      </c>
      <c r="C25">
        <v>109706.2</v>
      </c>
      <c r="F25">
        <v>121705.92</v>
      </c>
      <c r="H25">
        <v>574496.57000000007</v>
      </c>
      <c r="I25">
        <v>1136546.7600000002</v>
      </c>
    </row>
    <row r="26" spans="1:9" x14ac:dyDescent="0.3">
      <c r="A26" t="s">
        <v>575</v>
      </c>
      <c r="B26">
        <v>455623.44</v>
      </c>
      <c r="C26">
        <v>477574.54</v>
      </c>
      <c r="D26">
        <v>688431.24</v>
      </c>
      <c r="E26">
        <v>411864.24</v>
      </c>
      <c r="F26">
        <v>176271.3</v>
      </c>
      <c r="G26">
        <v>137843.51999999999</v>
      </c>
      <c r="I26">
        <v>2347608.2799999998</v>
      </c>
    </row>
    <row r="27" spans="1:9" x14ac:dyDescent="0.3">
      <c r="A27" t="s">
        <v>133</v>
      </c>
      <c r="F27">
        <v>127170.9</v>
      </c>
      <c r="G27">
        <v>283902.61</v>
      </c>
      <c r="H27">
        <v>576331.38</v>
      </c>
      <c r="I27">
        <v>987404.89</v>
      </c>
    </row>
    <row r="28" spans="1:9" x14ac:dyDescent="0.3">
      <c r="A28" t="s">
        <v>123</v>
      </c>
      <c r="B28">
        <v>1347620.7</v>
      </c>
      <c r="C28">
        <v>788918.1</v>
      </c>
      <c r="D28">
        <v>169216.96000000002</v>
      </c>
      <c r="E28">
        <v>124004.34</v>
      </c>
      <c r="F28">
        <v>63303.35</v>
      </c>
      <c r="G28">
        <v>1000675.3099999998</v>
      </c>
      <c r="H28">
        <v>1651043.09</v>
      </c>
      <c r="I28">
        <v>5144781.8499999996</v>
      </c>
    </row>
    <row r="29" spans="1:9" x14ac:dyDescent="0.3">
      <c r="A29" t="s">
        <v>786</v>
      </c>
      <c r="C29">
        <v>344994.66000000003</v>
      </c>
      <c r="D29">
        <v>81145.440000000002</v>
      </c>
      <c r="E29">
        <v>54524.4</v>
      </c>
      <c r="I29">
        <v>480664.50000000006</v>
      </c>
    </row>
    <row r="30" spans="1:9" x14ac:dyDescent="0.3">
      <c r="A30" t="s">
        <v>1207</v>
      </c>
      <c r="B30">
        <v>532140.82000000007</v>
      </c>
      <c r="C30">
        <v>1770033.8800000001</v>
      </c>
      <c r="D30">
        <v>154862.28</v>
      </c>
      <c r="E30">
        <v>62704.800000000003</v>
      </c>
      <c r="F30">
        <v>877129.51</v>
      </c>
      <c r="G30">
        <v>1159330.45</v>
      </c>
      <c r="H30">
        <v>11465028.590000002</v>
      </c>
      <c r="I30">
        <v>16021230.330000002</v>
      </c>
    </row>
    <row r="31" spans="1:9" x14ac:dyDescent="0.3">
      <c r="A31" t="s">
        <v>113</v>
      </c>
      <c r="B31">
        <v>237008.64000000001</v>
      </c>
      <c r="C31">
        <v>297745</v>
      </c>
      <c r="D31">
        <v>188610.88</v>
      </c>
      <c r="G31">
        <v>436932</v>
      </c>
      <c r="H31">
        <v>1345537.11</v>
      </c>
      <c r="I31">
        <v>2505833.63</v>
      </c>
    </row>
    <row r="32" spans="1:9" x14ac:dyDescent="0.3">
      <c r="A32" t="s">
        <v>24</v>
      </c>
      <c r="B32">
        <v>62704.800000000003</v>
      </c>
      <c r="I32">
        <v>62704.800000000003</v>
      </c>
    </row>
    <row r="33" spans="1:9" x14ac:dyDescent="0.3">
      <c r="A33" t="s">
        <v>53</v>
      </c>
      <c r="B33">
        <v>3243596.25</v>
      </c>
      <c r="C33">
        <v>833030.16</v>
      </c>
      <c r="D33">
        <v>266568.40000000002</v>
      </c>
      <c r="E33">
        <v>190509</v>
      </c>
      <c r="F33">
        <v>1456725.4</v>
      </c>
      <c r="G33">
        <v>1110070.3500000001</v>
      </c>
      <c r="H33">
        <v>3164204.85</v>
      </c>
      <c r="I33">
        <v>10264704.41</v>
      </c>
    </row>
    <row r="34" spans="1:9" x14ac:dyDescent="0.3">
      <c r="A34" t="s">
        <v>247</v>
      </c>
      <c r="B34">
        <v>153455.06</v>
      </c>
      <c r="I34">
        <v>153455.06</v>
      </c>
    </row>
    <row r="35" spans="1:9" x14ac:dyDescent="0.3">
      <c r="A35" t="s">
        <v>122</v>
      </c>
      <c r="B35">
        <v>299382.96000000002</v>
      </c>
      <c r="C35">
        <v>1258617.0900000001</v>
      </c>
      <c r="E35">
        <v>59012.639999999999</v>
      </c>
      <c r="F35">
        <v>14456.31</v>
      </c>
      <c r="G35">
        <v>1720301.27</v>
      </c>
      <c r="H35">
        <v>2180749.46</v>
      </c>
      <c r="I35">
        <v>5532519.7300000004</v>
      </c>
    </row>
    <row r="36" spans="1:9" x14ac:dyDescent="0.3">
      <c r="A36" t="s">
        <v>39</v>
      </c>
      <c r="B36">
        <v>493339.8</v>
      </c>
      <c r="D36">
        <v>287774.88</v>
      </c>
      <c r="E36">
        <v>62704.4</v>
      </c>
      <c r="I36">
        <v>843819.08</v>
      </c>
    </row>
    <row r="37" spans="1:9" x14ac:dyDescent="0.3">
      <c r="A37" t="s">
        <v>130</v>
      </c>
      <c r="B37">
        <v>977804.38000000012</v>
      </c>
      <c r="C37">
        <v>987898.02</v>
      </c>
      <c r="D37">
        <v>70542.899999999994</v>
      </c>
      <c r="E37">
        <v>160290.20000000001</v>
      </c>
      <c r="G37">
        <v>540140.76</v>
      </c>
      <c r="H37">
        <v>382048.51</v>
      </c>
      <c r="I37">
        <v>3118724.7699999996</v>
      </c>
    </row>
    <row r="38" spans="1:9" x14ac:dyDescent="0.3">
      <c r="A38" t="s">
        <v>28</v>
      </c>
      <c r="B38">
        <v>747157.65</v>
      </c>
      <c r="C38">
        <v>2402595.16</v>
      </c>
      <c r="D38">
        <v>314592.16000000003</v>
      </c>
      <c r="E38">
        <v>202850.64</v>
      </c>
      <c r="F38">
        <v>1381127.1</v>
      </c>
      <c r="G38">
        <v>7852586.1499999994</v>
      </c>
      <c r="H38">
        <v>6537670.5</v>
      </c>
      <c r="I38">
        <v>19438579.359999999</v>
      </c>
    </row>
    <row r="39" spans="1:9" x14ac:dyDescent="0.3">
      <c r="A39" t="s">
        <v>2208</v>
      </c>
      <c r="G39">
        <v>3447884.93</v>
      </c>
      <c r="H39">
        <v>3943482.7199999997</v>
      </c>
      <c r="I39">
        <v>7391367.6500000004</v>
      </c>
    </row>
    <row r="40" spans="1:9" x14ac:dyDescent="0.3">
      <c r="A40" t="s">
        <v>47</v>
      </c>
      <c r="B40">
        <v>699632.32</v>
      </c>
      <c r="C40">
        <v>417564.69</v>
      </c>
      <c r="D40">
        <v>150890.72</v>
      </c>
      <c r="E40">
        <v>105765.8</v>
      </c>
      <c r="F40">
        <v>473440.18</v>
      </c>
      <c r="G40">
        <v>1701236.14</v>
      </c>
      <c r="H40">
        <v>1909573.03</v>
      </c>
      <c r="I40">
        <v>5458102.8799999999</v>
      </c>
    </row>
    <row r="41" spans="1:9" x14ac:dyDescent="0.3">
      <c r="A41" t="s">
        <v>2070</v>
      </c>
      <c r="G41">
        <v>824464.25</v>
      </c>
      <c r="H41">
        <v>1790066.02</v>
      </c>
      <c r="I41">
        <v>2614530.27</v>
      </c>
    </row>
    <row r="42" spans="1:9" x14ac:dyDescent="0.3">
      <c r="A42" t="s">
        <v>1471</v>
      </c>
      <c r="B42">
        <v>498074.96</v>
      </c>
      <c r="C42">
        <v>137032.39000000001</v>
      </c>
      <c r="I42">
        <v>635107.35000000009</v>
      </c>
    </row>
    <row r="43" spans="1:9" x14ac:dyDescent="0.3">
      <c r="A43" t="s">
        <v>58</v>
      </c>
      <c r="B43">
        <v>941131.96</v>
      </c>
      <c r="C43">
        <v>769287.41999999993</v>
      </c>
      <c r="D43">
        <v>667210.55999999994</v>
      </c>
      <c r="E43">
        <v>696532.14</v>
      </c>
      <c r="F43">
        <v>1896044.7999999998</v>
      </c>
      <c r="G43">
        <v>6317397.7300000004</v>
      </c>
      <c r="H43">
        <v>14396517.160000002</v>
      </c>
      <c r="I43">
        <v>25684121.770000003</v>
      </c>
    </row>
    <row r="44" spans="1:9" x14ac:dyDescent="0.3">
      <c r="A44" t="s">
        <v>68</v>
      </c>
      <c r="B44">
        <v>370000.86</v>
      </c>
      <c r="C44">
        <v>101822.2</v>
      </c>
      <c r="D44">
        <v>452983.68000000005</v>
      </c>
      <c r="E44">
        <v>131552.88</v>
      </c>
      <c r="F44">
        <v>76836.87</v>
      </c>
      <c r="G44">
        <v>966594.08</v>
      </c>
      <c r="H44">
        <v>881487.90999999992</v>
      </c>
      <c r="I44">
        <v>2981278.4800000004</v>
      </c>
    </row>
    <row r="45" spans="1:9" x14ac:dyDescent="0.3">
      <c r="A45" t="s">
        <v>929</v>
      </c>
      <c r="B45">
        <v>500509.26</v>
      </c>
      <c r="C45">
        <v>457427.04</v>
      </c>
      <c r="D45">
        <v>26456229.220000003</v>
      </c>
      <c r="F45">
        <v>1073213.52</v>
      </c>
      <c r="H45">
        <v>282171.59999999998</v>
      </c>
      <c r="I45">
        <v>28769550.640000004</v>
      </c>
    </row>
    <row r="46" spans="1:9" x14ac:dyDescent="0.3">
      <c r="A46" t="s">
        <v>131</v>
      </c>
      <c r="B46">
        <v>441628.94</v>
      </c>
      <c r="C46">
        <v>291884.66000000003</v>
      </c>
      <c r="D46">
        <v>353614.62</v>
      </c>
      <c r="F46">
        <v>405497.8</v>
      </c>
      <c r="G46">
        <v>363920.12</v>
      </c>
      <c r="H46">
        <v>1120502.51</v>
      </c>
      <c r="I46">
        <v>2977048.6500000004</v>
      </c>
    </row>
    <row r="47" spans="1:9" x14ac:dyDescent="0.3">
      <c r="A47" t="s">
        <v>2315</v>
      </c>
      <c r="H47">
        <v>814688.69</v>
      </c>
      <c r="I47">
        <v>814688.69</v>
      </c>
    </row>
    <row r="48" spans="1:9" x14ac:dyDescent="0.3">
      <c r="A48" t="s">
        <v>41</v>
      </c>
      <c r="B48">
        <v>906337.26</v>
      </c>
      <c r="C48">
        <v>1293312.48</v>
      </c>
      <c r="D48">
        <v>2007394.08</v>
      </c>
      <c r="E48">
        <v>381771.36</v>
      </c>
      <c r="F48">
        <v>1347756.42</v>
      </c>
      <c r="G48">
        <v>1584079.68</v>
      </c>
      <c r="H48">
        <v>268614.51</v>
      </c>
      <c r="I48">
        <v>7789265.79</v>
      </c>
    </row>
    <row r="49" spans="1:9" x14ac:dyDescent="0.3">
      <c r="A49" t="s">
        <v>84</v>
      </c>
      <c r="B49">
        <v>1123491.1400000001</v>
      </c>
      <c r="C49">
        <v>588012.46</v>
      </c>
      <c r="D49">
        <v>296240.82</v>
      </c>
      <c r="F49">
        <v>180752.25</v>
      </c>
      <c r="G49">
        <v>1172864.72</v>
      </c>
      <c r="H49">
        <v>1892138.31</v>
      </c>
      <c r="I49">
        <v>5253499.6999999993</v>
      </c>
    </row>
    <row r="50" spans="1:9" x14ac:dyDescent="0.3">
      <c r="A50" t="s">
        <v>49</v>
      </c>
      <c r="B50">
        <v>574746.76</v>
      </c>
      <c r="E50">
        <v>139454.48000000001</v>
      </c>
      <c r="H50">
        <v>351376.77999999997</v>
      </c>
      <c r="I50">
        <v>1065578.02</v>
      </c>
    </row>
    <row r="51" spans="1:9" x14ac:dyDescent="0.3">
      <c r="A51" t="s">
        <v>580</v>
      </c>
      <c r="B51">
        <v>132771.35999999999</v>
      </c>
      <c r="C51">
        <v>731450.15999999992</v>
      </c>
      <c r="D51">
        <v>122320.8</v>
      </c>
      <c r="E51">
        <v>281521.91999999998</v>
      </c>
      <c r="F51">
        <v>10400.64</v>
      </c>
      <c r="G51">
        <v>200509.24</v>
      </c>
      <c r="H51">
        <v>169640.46</v>
      </c>
      <c r="I51">
        <v>1648614.5799999998</v>
      </c>
    </row>
    <row r="52" spans="1:9" x14ac:dyDescent="0.3">
      <c r="A52" t="s">
        <v>129</v>
      </c>
      <c r="B52">
        <v>2262598.7399999998</v>
      </c>
      <c r="C52">
        <v>617900.62000000011</v>
      </c>
      <c r="D52">
        <v>558450.88</v>
      </c>
      <c r="E52">
        <v>199926.72</v>
      </c>
      <c r="F52">
        <v>163029.96</v>
      </c>
      <c r="G52">
        <v>2307834.9400000004</v>
      </c>
      <c r="H52">
        <v>8977317.2100000009</v>
      </c>
      <c r="I52">
        <v>15087059.07</v>
      </c>
    </row>
    <row r="53" spans="1:9" x14ac:dyDescent="0.3">
      <c r="A53" t="s">
        <v>2807</v>
      </c>
      <c r="B53">
        <v>23849580.070000008</v>
      </c>
      <c r="C53">
        <v>20616044.170000002</v>
      </c>
      <c r="D53">
        <v>35788916.480000004</v>
      </c>
      <c r="E53">
        <v>4613329.3199999994</v>
      </c>
      <c r="F53">
        <v>11809984.960000001</v>
      </c>
      <c r="G53">
        <v>49409437.829999991</v>
      </c>
      <c r="H53">
        <v>97227083.090000004</v>
      </c>
      <c r="I53">
        <v>243314375.92000002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6" tint="0.39997558519241921"/>
  </sheetPr>
  <dimension ref="A1:W1382"/>
  <sheetViews>
    <sheetView tabSelected="1" workbookViewId="0">
      <pane ySplit="2" topLeftCell="A3" activePane="bottomLeft" state="frozen"/>
      <selection pane="bottomLeft" activeCell="D22" sqref="D22"/>
    </sheetView>
  </sheetViews>
  <sheetFormatPr defaultRowHeight="14.4" x14ac:dyDescent="0.3"/>
  <cols>
    <col min="1" max="1" width="6.21875" bestFit="1" customWidth="1"/>
    <col min="2" max="2" width="7.5546875" bestFit="1" customWidth="1"/>
    <col min="3" max="3" width="8.77734375" bestFit="1" customWidth="1"/>
    <col min="4" max="4" width="31.77734375" bestFit="1" customWidth="1"/>
    <col min="5" max="5" width="10.109375" style="6" bestFit="1" customWidth="1"/>
    <col min="6" max="6" width="43.77734375" bestFit="1" customWidth="1"/>
    <col min="7" max="7" width="16.21875" style="53" bestFit="1" customWidth="1"/>
    <col min="8" max="8" width="25.77734375" style="58" bestFit="1" customWidth="1"/>
    <col min="9" max="9" width="12.33203125" style="8" bestFit="1" customWidth="1"/>
    <col min="10" max="10" width="7" bestFit="1" customWidth="1"/>
    <col min="11" max="11" width="8.6640625" bestFit="1" customWidth="1"/>
    <col min="12" max="12" width="14.6640625" style="65" bestFit="1" customWidth="1"/>
    <col min="13" max="13" width="13.88671875" style="65" bestFit="1" customWidth="1"/>
    <col min="14" max="14" width="14.77734375" style="7" bestFit="1" customWidth="1"/>
    <col min="15" max="20" width="36.109375" bestFit="1" customWidth="1"/>
    <col min="21" max="21" width="61.6640625" bestFit="1" customWidth="1"/>
    <col min="22" max="22" width="12.5546875" bestFit="1" customWidth="1"/>
  </cols>
  <sheetData>
    <row r="1" spans="1:22" x14ac:dyDescent="0.3">
      <c r="A1" s="14"/>
      <c r="B1" s="14"/>
      <c r="C1" s="14"/>
      <c r="D1" s="14"/>
      <c r="E1" s="15"/>
      <c r="F1" s="14"/>
      <c r="G1" s="47"/>
      <c r="H1" s="54">
        <f>SUBTOTAL(9,H3:H1048576)</f>
        <v>365977966.77000028</v>
      </c>
      <c r="I1" s="16"/>
      <c r="J1" s="14"/>
      <c r="K1" s="14"/>
      <c r="L1" s="59"/>
      <c r="M1" s="66">
        <f>SUBTOTAL(9,M3:M1048576)</f>
        <v>29300</v>
      </c>
      <c r="N1" s="17"/>
      <c r="O1" s="14"/>
      <c r="P1" s="14"/>
      <c r="Q1" s="14"/>
      <c r="R1" s="14"/>
      <c r="S1" s="14"/>
      <c r="T1" s="14"/>
      <c r="U1" s="14"/>
      <c r="V1" s="14"/>
    </row>
    <row r="2" spans="1:22" s="46" customFormat="1" ht="26.4" customHeight="1" x14ac:dyDescent="0.3">
      <c r="A2" s="11" t="s">
        <v>0</v>
      </c>
      <c r="B2" s="11" t="s">
        <v>1</v>
      </c>
      <c r="C2" s="12" t="s">
        <v>2</v>
      </c>
      <c r="D2" s="11" t="s">
        <v>3</v>
      </c>
      <c r="E2" s="13" t="s">
        <v>4</v>
      </c>
      <c r="F2" s="11" t="s">
        <v>5</v>
      </c>
      <c r="G2" s="48" t="s">
        <v>6</v>
      </c>
      <c r="H2" s="55" t="s">
        <v>1127</v>
      </c>
      <c r="I2" s="13" t="s">
        <v>7</v>
      </c>
      <c r="J2" s="11" t="s">
        <v>2806</v>
      </c>
      <c r="K2" s="11" t="s">
        <v>8</v>
      </c>
      <c r="L2" s="60" t="s">
        <v>9</v>
      </c>
      <c r="M2" s="60" t="s">
        <v>10</v>
      </c>
      <c r="N2" s="12" t="s">
        <v>11</v>
      </c>
      <c r="O2" s="11" t="s">
        <v>12</v>
      </c>
      <c r="P2" s="11" t="s">
        <v>13</v>
      </c>
      <c r="Q2" s="11" t="s">
        <v>14</v>
      </c>
      <c r="R2" s="11" t="s">
        <v>15</v>
      </c>
      <c r="S2" s="11" t="s">
        <v>16</v>
      </c>
      <c r="T2" s="11" t="s">
        <v>17</v>
      </c>
      <c r="U2" s="11" t="s">
        <v>18</v>
      </c>
      <c r="V2" s="11" t="s">
        <v>1018</v>
      </c>
    </row>
    <row r="3" spans="1:22" x14ac:dyDescent="0.3">
      <c r="A3" s="18">
        <v>3</v>
      </c>
      <c r="B3" s="17" t="s">
        <v>19</v>
      </c>
      <c r="C3" s="22" t="s">
        <v>23</v>
      </c>
      <c r="D3" s="20" t="s">
        <v>19</v>
      </c>
      <c r="E3" s="20" t="s">
        <v>19</v>
      </c>
      <c r="F3" s="21" t="s">
        <v>28</v>
      </c>
      <c r="G3" s="49" t="s">
        <v>29</v>
      </c>
      <c r="H3" s="56"/>
      <c r="I3" s="20">
        <v>45618</v>
      </c>
      <c r="J3" s="18"/>
      <c r="K3" s="18" t="s">
        <v>19</v>
      </c>
      <c r="L3" s="61">
        <v>12</v>
      </c>
      <c r="M3" s="61">
        <v>1</v>
      </c>
      <c r="N3" s="19">
        <v>45621</v>
      </c>
      <c r="O3" s="18" t="s">
        <v>21</v>
      </c>
      <c r="P3" s="18" t="s">
        <v>25</v>
      </c>
      <c r="Q3" s="18" t="s">
        <v>30</v>
      </c>
      <c r="R3" s="18" t="s">
        <v>31</v>
      </c>
      <c r="S3" s="18">
        <v>6656</v>
      </c>
      <c r="T3" s="18" t="s">
        <v>22</v>
      </c>
      <c r="U3" s="18" t="s">
        <v>19</v>
      </c>
      <c r="V3" s="17"/>
    </row>
    <row r="4" spans="1:22" x14ac:dyDescent="0.3">
      <c r="A4" s="18">
        <v>4</v>
      </c>
      <c r="B4" s="17" t="s">
        <v>19</v>
      </c>
      <c r="C4" s="22" t="s">
        <v>23</v>
      </c>
      <c r="D4" s="20" t="s">
        <v>19</v>
      </c>
      <c r="E4" s="20" t="s">
        <v>19</v>
      </c>
      <c r="F4" s="21" t="s">
        <v>28</v>
      </c>
      <c r="G4" s="49" t="s">
        <v>32</v>
      </c>
      <c r="H4" s="56"/>
      <c r="I4" s="20">
        <v>45619</v>
      </c>
      <c r="J4" s="18"/>
      <c r="K4" s="18" t="s">
        <v>19</v>
      </c>
      <c r="L4" s="61">
        <v>1200</v>
      </c>
      <c r="M4" s="61">
        <v>50</v>
      </c>
      <c r="N4" s="19">
        <v>45621</v>
      </c>
      <c r="O4" s="18" t="s">
        <v>21</v>
      </c>
      <c r="P4" s="18" t="s">
        <v>25</v>
      </c>
      <c r="Q4" s="18" t="s">
        <v>30</v>
      </c>
      <c r="R4" s="18" t="s">
        <v>31</v>
      </c>
      <c r="S4" s="18">
        <v>6656</v>
      </c>
      <c r="T4" s="18" t="s">
        <v>22</v>
      </c>
      <c r="U4" s="18" t="s">
        <v>19</v>
      </c>
      <c r="V4" s="17"/>
    </row>
    <row r="5" spans="1:22" x14ac:dyDescent="0.3">
      <c r="A5" s="18">
        <f>A4+1</f>
        <v>5</v>
      </c>
      <c r="B5" s="17" t="s">
        <v>19</v>
      </c>
      <c r="C5" s="22" t="s">
        <v>23</v>
      </c>
      <c r="D5" s="20" t="s">
        <v>19</v>
      </c>
      <c r="E5" s="20" t="s">
        <v>19</v>
      </c>
      <c r="F5" s="21" t="s">
        <v>33</v>
      </c>
      <c r="G5" s="49" t="s">
        <v>34</v>
      </c>
      <c r="H5" s="56"/>
      <c r="I5" s="20">
        <v>45619</v>
      </c>
      <c r="J5" s="18"/>
      <c r="K5" s="18" t="s">
        <v>19</v>
      </c>
      <c r="L5" s="61">
        <v>96</v>
      </c>
      <c r="M5" s="61">
        <v>4</v>
      </c>
      <c r="N5" s="19">
        <v>45621</v>
      </c>
      <c r="O5" s="18" t="s">
        <v>21</v>
      </c>
      <c r="P5" s="18" t="s">
        <v>25</v>
      </c>
      <c r="Q5" s="18" t="s">
        <v>30</v>
      </c>
      <c r="R5" s="18" t="s">
        <v>31</v>
      </c>
      <c r="S5" s="18">
        <v>6657</v>
      </c>
      <c r="T5" s="18" t="s">
        <v>22</v>
      </c>
      <c r="U5" s="18" t="s">
        <v>19</v>
      </c>
      <c r="V5" s="17"/>
    </row>
    <row r="6" spans="1:22" x14ac:dyDescent="0.3">
      <c r="A6" s="18">
        <f t="shared" ref="A6:A44" si="0">A5+1</f>
        <v>6</v>
      </c>
      <c r="B6" s="17" t="s">
        <v>19</v>
      </c>
      <c r="C6" s="22" t="s">
        <v>23</v>
      </c>
      <c r="D6" s="20" t="s">
        <v>19</v>
      </c>
      <c r="E6" s="20" t="s">
        <v>19</v>
      </c>
      <c r="F6" s="21" t="s">
        <v>35</v>
      </c>
      <c r="G6" s="49" t="s">
        <v>36</v>
      </c>
      <c r="H6" s="56"/>
      <c r="I6" s="20">
        <v>45619</v>
      </c>
      <c r="J6" s="18"/>
      <c r="K6" s="18" t="s">
        <v>19</v>
      </c>
      <c r="L6" s="61">
        <v>408</v>
      </c>
      <c r="M6" s="61">
        <v>17</v>
      </c>
      <c r="N6" s="19">
        <v>45621</v>
      </c>
      <c r="O6" s="18" t="s">
        <v>21</v>
      </c>
      <c r="P6" s="18" t="s">
        <v>25</v>
      </c>
      <c r="Q6" s="18" t="s">
        <v>37</v>
      </c>
      <c r="R6" s="18" t="s">
        <v>31</v>
      </c>
      <c r="S6" s="18">
        <v>6658</v>
      </c>
      <c r="T6" s="18" t="s">
        <v>22</v>
      </c>
      <c r="U6" s="18" t="s">
        <v>19</v>
      </c>
      <c r="V6" s="17"/>
    </row>
    <row r="7" spans="1:22" x14ac:dyDescent="0.3">
      <c r="A7" s="18">
        <f t="shared" si="0"/>
        <v>7</v>
      </c>
      <c r="B7" s="17" t="s">
        <v>19</v>
      </c>
      <c r="C7" s="22" t="s">
        <v>23</v>
      </c>
      <c r="D7" s="20" t="s">
        <v>19</v>
      </c>
      <c r="E7" s="20" t="s">
        <v>19</v>
      </c>
      <c r="F7" s="21" t="s">
        <v>35</v>
      </c>
      <c r="G7" s="49" t="s">
        <v>38</v>
      </c>
      <c r="H7" s="56"/>
      <c r="I7" s="20">
        <v>45616</v>
      </c>
      <c r="J7" s="18"/>
      <c r="K7" s="18" t="s">
        <v>19</v>
      </c>
      <c r="L7" s="61">
        <v>120</v>
      </c>
      <c r="M7" s="61">
        <v>5</v>
      </c>
      <c r="N7" s="19">
        <v>45621</v>
      </c>
      <c r="O7" s="18" t="s">
        <v>21</v>
      </c>
      <c r="P7" s="18" t="s">
        <v>25</v>
      </c>
      <c r="Q7" s="18" t="s">
        <v>37</v>
      </c>
      <c r="R7" s="18" t="s">
        <v>31</v>
      </c>
      <c r="S7" s="18">
        <v>6658</v>
      </c>
      <c r="T7" s="18" t="s">
        <v>22</v>
      </c>
      <c r="U7" s="18" t="s">
        <v>19</v>
      </c>
      <c r="V7" s="17"/>
    </row>
    <row r="8" spans="1:22" x14ac:dyDescent="0.3">
      <c r="A8" s="18">
        <f t="shared" si="0"/>
        <v>8</v>
      </c>
      <c r="B8" s="17" t="s">
        <v>19</v>
      </c>
      <c r="C8" s="22" t="s">
        <v>23</v>
      </c>
      <c r="D8" s="20" t="s">
        <v>19</v>
      </c>
      <c r="E8" s="20" t="s">
        <v>19</v>
      </c>
      <c r="F8" s="23" t="s">
        <v>39</v>
      </c>
      <c r="G8" s="49" t="s">
        <v>40</v>
      </c>
      <c r="H8" s="56"/>
      <c r="I8" s="20">
        <v>45619</v>
      </c>
      <c r="J8" s="18"/>
      <c r="K8" s="18" t="s">
        <v>19</v>
      </c>
      <c r="L8" s="61">
        <v>576</v>
      </c>
      <c r="M8" s="61">
        <v>24</v>
      </c>
      <c r="N8" s="19">
        <v>45621</v>
      </c>
      <c r="O8" s="18" t="s">
        <v>21</v>
      </c>
      <c r="P8" s="18" t="s">
        <v>25</v>
      </c>
      <c r="Q8" s="18" t="s">
        <v>37</v>
      </c>
      <c r="R8" s="18" t="s">
        <v>31</v>
      </c>
      <c r="S8" s="18">
        <v>6659</v>
      </c>
      <c r="T8" s="18" t="s">
        <v>22</v>
      </c>
      <c r="U8" s="18" t="s">
        <v>19</v>
      </c>
      <c r="V8" s="17"/>
    </row>
    <row r="9" spans="1:22" x14ac:dyDescent="0.3">
      <c r="A9" s="18">
        <f t="shared" si="0"/>
        <v>9</v>
      </c>
      <c r="B9" s="17" t="s">
        <v>19</v>
      </c>
      <c r="C9" s="22" t="s">
        <v>23</v>
      </c>
      <c r="D9" s="20" t="s">
        <v>19</v>
      </c>
      <c r="E9" s="20" t="s">
        <v>19</v>
      </c>
      <c r="F9" s="24" t="s">
        <v>41</v>
      </c>
      <c r="G9" s="49" t="s">
        <v>42</v>
      </c>
      <c r="H9" s="56"/>
      <c r="I9" s="20">
        <v>45619</v>
      </c>
      <c r="J9" s="18"/>
      <c r="K9" s="18" t="s">
        <v>19</v>
      </c>
      <c r="L9" s="61">
        <v>480</v>
      </c>
      <c r="M9" s="61">
        <v>20</v>
      </c>
      <c r="N9" s="19">
        <v>45621</v>
      </c>
      <c r="O9" s="18" t="s">
        <v>21</v>
      </c>
      <c r="P9" s="18" t="s">
        <v>25</v>
      </c>
      <c r="Q9" s="18" t="s">
        <v>37</v>
      </c>
      <c r="R9" s="18" t="s">
        <v>31</v>
      </c>
      <c r="S9" s="18">
        <v>6660</v>
      </c>
      <c r="T9" s="18" t="s">
        <v>22</v>
      </c>
      <c r="U9" s="18" t="s">
        <v>19</v>
      </c>
      <c r="V9" s="17"/>
    </row>
    <row r="10" spans="1:22" x14ac:dyDescent="0.3">
      <c r="A10" s="18">
        <f t="shared" si="0"/>
        <v>10</v>
      </c>
      <c r="B10" s="17" t="s">
        <v>19</v>
      </c>
      <c r="C10" s="22" t="s">
        <v>23</v>
      </c>
      <c r="D10" s="20" t="s">
        <v>19</v>
      </c>
      <c r="E10" s="20" t="s">
        <v>19</v>
      </c>
      <c r="F10" s="21" t="s">
        <v>43</v>
      </c>
      <c r="G10" s="49" t="s">
        <v>44</v>
      </c>
      <c r="H10" s="56"/>
      <c r="I10" s="20">
        <v>45619</v>
      </c>
      <c r="J10" s="18"/>
      <c r="K10" s="18" t="s">
        <v>19</v>
      </c>
      <c r="L10" s="61">
        <v>264</v>
      </c>
      <c r="M10" s="61">
        <v>11</v>
      </c>
      <c r="N10" s="19">
        <v>45621</v>
      </c>
      <c r="O10" s="18" t="s">
        <v>21</v>
      </c>
      <c r="P10" s="18" t="s">
        <v>25</v>
      </c>
      <c r="Q10" s="18" t="s">
        <v>37</v>
      </c>
      <c r="R10" s="18" t="s">
        <v>31</v>
      </c>
      <c r="S10" s="18">
        <v>6661</v>
      </c>
      <c r="T10" s="18" t="s">
        <v>22</v>
      </c>
      <c r="U10" s="18" t="s">
        <v>19</v>
      </c>
      <c r="V10" s="17"/>
    </row>
    <row r="11" spans="1:22" x14ac:dyDescent="0.3">
      <c r="A11" s="18">
        <f t="shared" si="0"/>
        <v>11</v>
      </c>
      <c r="B11" s="17" t="s">
        <v>19</v>
      </c>
      <c r="C11" s="22" t="s">
        <v>23</v>
      </c>
      <c r="D11" s="20" t="s">
        <v>19</v>
      </c>
      <c r="E11" s="20" t="s">
        <v>19</v>
      </c>
      <c r="F11" s="21" t="s">
        <v>28</v>
      </c>
      <c r="G11" s="49" t="s">
        <v>45</v>
      </c>
      <c r="H11" s="56"/>
      <c r="I11" s="20">
        <v>45619</v>
      </c>
      <c r="J11" s="18"/>
      <c r="K11" s="18" t="s">
        <v>19</v>
      </c>
      <c r="L11" s="61">
        <v>336</v>
      </c>
      <c r="M11" s="61">
        <v>14</v>
      </c>
      <c r="N11" s="19">
        <v>45621</v>
      </c>
      <c r="O11" s="18" t="s">
        <v>21</v>
      </c>
      <c r="P11" s="18" t="s">
        <v>25</v>
      </c>
      <c r="Q11" s="18" t="s">
        <v>46</v>
      </c>
      <c r="R11" s="18" t="s">
        <v>27</v>
      </c>
      <c r="S11" s="18">
        <v>6662</v>
      </c>
      <c r="T11" s="18" t="s">
        <v>22</v>
      </c>
      <c r="U11" s="18" t="s">
        <v>19</v>
      </c>
      <c r="V11" s="17"/>
    </row>
    <row r="12" spans="1:22" x14ac:dyDescent="0.3">
      <c r="A12" s="18">
        <f t="shared" si="0"/>
        <v>12</v>
      </c>
      <c r="B12" s="17" t="s">
        <v>19</v>
      </c>
      <c r="C12" s="22" t="s">
        <v>23</v>
      </c>
      <c r="D12" s="20" t="s">
        <v>19</v>
      </c>
      <c r="E12" s="20" t="s">
        <v>19</v>
      </c>
      <c r="F12" s="21" t="s">
        <v>47</v>
      </c>
      <c r="G12" s="49" t="s">
        <v>48</v>
      </c>
      <c r="H12" s="56"/>
      <c r="I12" s="20">
        <v>45619</v>
      </c>
      <c r="J12" s="18"/>
      <c r="K12" s="18" t="s">
        <v>19</v>
      </c>
      <c r="L12" s="61">
        <v>228</v>
      </c>
      <c r="M12" s="61">
        <v>12</v>
      </c>
      <c r="N12" s="19">
        <v>45621</v>
      </c>
      <c r="O12" s="18" t="s">
        <v>21</v>
      </c>
      <c r="P12" s="18" t="s">
        <v>25</v>
      </c>
      <c r="Q12" s="18" t="s">
        <v>46</v>
      </c>
      <c r="R12" s="18" t="s">
        <v>27</v>
      </c>
      <c r="S12" s="18">
        <v>6663</v>
      </c>
      <c r="T12" s="18" t="s">
        <v>22</v>
      </c>
      <c r="U12" s="18" t="s">
        <v>19</v>
      </c>
      <c r="V12" s="17"/>
    </row>
    <row r="13" spans="1:22" x14ac:dyDescent="0.3">
      <c r="A13" s="18">
        <f t="shared" si="0"/>
        <v>13</v>
      </c>
      <c r="B13" s="17" t="s">
        <v>19</v>
      </c>
      <c r="C13" s="22" t="s">
        <v>23</v>
      </c>
      <c r="D13" s="20" t="s">
        <v>19</v>
      </c>
      <c r="E13" s="20" t="s">
        <v>19</v>
      </c>
      <c r="F13" s="21" t="s">
        <v>49</v>
      </c>
      <c r="G13" s="49" t="s">
        <v>50</v>
      </c>
      <c r="H13" s="56"/>
      <c r="I13" s="20">
        <v>45619</v>
      </c>
      <c r="J13" s="18"/>
      <c r="K13" s="18" t="s">
        <v>19</v>
      </c>
      <c r="L13" s="61">
        <v>456</v>
      </c>
      <c r="M13" s="61">
        <v>19</v>
      </c>
      <c r="N13" s="19">
        <v>45622</v>
      </c>
      <c r="O13" s="18" t="s">
        <v>21</v>
      </c>
      <c r="P13" s="18" t="s">
        <v>25</v>
      </c>
      <c r="Q13" s="18" t="s">
        <v>26</v>
      </c>
      <c r="R13" s="18" t="s">
        <v>27</v>
      </c>
      <c r="S13" s="18">
        <v>6666</v>
      </c>
      <c r="T13" s="18" t="s">
        <v>22</v>
      </c>
      <c r="U13" s="18" t="s">
        <v>19</v>
      </c>
      <c r="V13" s="17"/>
    </row>
    <row r="14" spans="1:22" x14ac:dyDescent="0.3">
      <c r="A14" s="18">
        <f t="shared" si="0"/>
        <v>14</v>
      </c>
      <c r="B14" s="17" t="s">
        <v>19</v>
      </c>
      <c r="C14" s="22" t="s">
        <v>23</v>
      </c>
      <c r="D14" s="20" t="s">
        <v>19</v>
      </c>
      <c r="E14" s="20" t="s">
        <v>19</v>
      </c>
      <c r="F14" s="24" t="s">
        <v>51</v>
      </c>
      <c r="G14" s="49" t="s">
        <v>52</v>
      </c>
      <c r="H14" s="56"/>
      <c r="I14" s="20">
        <v>45619</v>
      </c>
      <c r="J14" s="18"/>
      <c r="K14" s="18" t="s">
        <v>19</v>
      </c>
      <c r="L14" s="61">
        <v>312</v>
      </c>
      <c r="M14" s="61">
        <v>13</v>
      </c>
      <c r="N14" s="19">
        <v>45622</v>
      </c>
      <c r="O14" s="18" t="s">
        <v>21</v>
      </c>
      <c r="P14" s="18" t="s">
        <v>25</v>
      </c>
      <c r="Q14" s="18" t="s">
        <v>30</v>
      </c>
      <c r="R14" s="18" t="s">
        <v>31</v>
      </c>
      <c r="S14" s="18">
        <v>6664</v>
      </c>
      <c r="T14" s="18" t="s">
        <v>22</v>
      </c>
      <c r="U14" s="18" t="s">
        <v>19</v>
      </c>
      <c r="V14" s="17"/>
    </row>
    <row r="15" spans="1:22" x14ac:dyDescent="0.3">
      <c r="A15" s="18">
        <f t="shared" si="0"/>
        <v>15</v>
      </c>
      <c r="B15" s="17" t="s">
        <v>19</v>
      </c>
      <c r="C15" s="22" t="s">
        <v>23</v>
      </c>
      <c r="D15" s="20" t="s">
        <v>19</v>
      </c>
      <c r="E15" s="20" t="s">
        <v>19</v>
      </c>
      <c r="F15" s="21" t="s">
        <v>53</v>
      </c>
      <c r="G15" s="49" t="s">
        <v>54</v>
      </c>
      <c r="H15" s="56"/>
      <c r="I15" s="20">
        <v>45619</v>
      </c>
      <c r="J15" s="18"/>
      <c r="K15" s="18" t="s">
        <v>19</v>
      </c>
      <c r="L15" s="61">
        <v>456</v>
      </c>
      <c r="M15" s="61">
        <v>19</v>
      </c>
      <c r="N15" s="19">
        <v>45622</v>
      </c>
      <c r="O15" s="18" t="s">
        <v>21</v>
      </c>
      <c r="P15" s="18" t="s">
        <v>25</v>
      </c>
      <c r="Q15" s="18" t="s">
        <v>30</v>
      </c>
      <c r="R15" s="18" t="s">
        <v>31</v>
      </c>
      <c r="S15" s="18">
        <v>6665</v>
      </c>
      <c r="T15" s="18" t="s">
        <v>22</v>
      </c>
      <c r="U15" s="18" t="s">
        <v>19</v>
      </c>
      <c r="V15" s="17"/>
    </row>
    <row r="16" spans="1:22" x14ac:dyDescent="0.3">
      <c r="A16" s="18">
        <f t="shared" si="0"/>
        <v>16</v>
      </c>
      <c r="B16" s="17" t="s">
        <v>19</v>
      </c>
      <c r="C16" s="22" t="s">
        <v>20</v>
      </c>
      <c r="D16" s="20" t="s">
        <v>19</v>
      </c>
      <c r="E16" s="20" t="s">
        <v>19</v>
      </c>
      <c r="F16" s="21" t="s">
        <v>33</v>
      </c>
      <c r="G16" s="49" t="s">
        <v>55</v>
      </c>
      <c r="H16" s="56"/>
      <c r="I16" s="20">
        <v>45622</v>
      </c>
      <c r="J16" s="18"/>
      <c r="K16" s="18" t="s">
        <v>19</v>
      </c>
      <c r="L16" s="61">
        <v>28</v>
      </c>
      <c r="M16" s="61">
        <v>3</v>
      </c>
      <c r="N16" s="19">
        <v>45623</v>
      </c>
      <c r="O16" s="18" t="s">
        <v>21</v>
      </c>
      <c r="P16" s="18" t="s">
        <v>25</v>
      </c>
      <c r="Q16" s="18" t="s">
        <v>26</v>
      </c>
      <c r="R16" s="18" t="s">
        <v>27</v>
      </c>
      <c r="S16" s="18">
        <v>6670</v>
      </c>
      <c r="T16" s="18" t="s">
        <v>22</v>
      </c>
      <c r="U16" s="18" t="s">
        <v>19</v>
      </c>
      <c r="V16" s="17"/>
    </row>
    <row r="17" spans="1:22" x14ac:dyDescent="0.3">
      <c r="A17" s="18">
        <f t="shared" si="0"/>
        <v>17</v>
      </c>
      <c r="B17" s="17" t="s">
        <v>19</v>
      </c>
      <c r="C17" s="22" t="s">
        <v>20</v>
      </c>
      <c r="D17" s="20" t="s">
        <v>19</v>
      </c>
      <c r="E17" s="20" t="s">
        <v>19</v>
      </c>
      <c r="F17" s="24" t="s">
        <v>51</v>
      </c>
      <c r="G17" s="49" t="s">
        <v>56</v>
      </c>
      <c r="H17" s="56"/>
      <c r="I17" s="20">
        <v>45622</v>
      </c>
      <c r="J17" s="18"/>
      <c r="K17" s="18" t="s">
        <v>19</v>
      </c>
      <c r="L17" s="61">
        <v>120</v>
      </c>
      <c r="M17" s="61">
        <v>12</v>
      </c>
      <c r="N17" s="19">
        <v>45623</v>
      </c>
      <c r="O17" s="18" t="s">
        <v>21</v>
      </c>
      <c r="P17" s="18" t="s">
        <v>25</v>
      </c>
      <c r="Q17" s="18" t="s">
        <v>26</v>
      </c>
      <c r="R17" s="18" t="s">
        <v>27</v>
      </c>
      <c r="S17" s="18">
        <v>6669</v>
      </c>
      <c r="T17" s="18" t="s">
        <v>22</v>
      </c>
      <c r="U17" s="18" t="s">
        <v>19</v>
      </c>
      <c r="V17" s="17"/>
    </row>
    <row r="18" spans="1:22" x14ac:dyDescent="0.3">
      <c r="A18" s="18">
        <f t="shared" si="0"/>
        <v>18</v>
      </c>
      <c r="B18" s="17" t="s">
        <v>19</v>
      </c>
      <c r="C18" s="22" t="s">
        <v>20</v>
      </c>
      <c r="D18" s="20" t="s">
        <v>19</v>
      </c>
      <c r="E18" s="20" t="s">
        <v>19</v>
      </c>
      <c r="F18" s="21" t="s">
        <v>28</v>
      </c>
      <c r="G18" s="49" t="s">
        <v>57</v>
      </c>
      <c r="H18" s="56"/>
      <c r="I18" s="20">
        <v>45622</v>
      </c>
      <c r="J18" s="18"/>
      <c r="K18" s="18" t="s">
        <v>19</v>
      </c>
      <c r="L18" s="61">
        <v>250</v>
      </c>
      <c r="M18" s="61">
        <v>25</v>
      </c>
      <c r="N18" s="19">
        <v>45623</v>
      </c>
      <c r="O18" s="18" t="s">
        <v>21</v>
      </c>
      <c r="P18" s="18" t="s">
        <v>25</v>
      </c>
      <c r="Q18" s="18" t="s">
        <v>26</v>
      </c>
      <c r="R18" s="18" t="s">
        <v>27</v>
      </c>
      <c r="S18" s="18">
        <v>6668</v>
      </c>
      <c r="T18" s="18" t="s">
        <v>22</v>
      </c>
      <c r="U18" s="18" t="s">
        <v>19</v>
      </c>
      <c r="V18" s="17"/>
    </row>
    <row r="19" spans="1:22" x14ac:dyDescent="0.3">
      <c r="A19" s="18">
        <f t="shared" si="0"/>
        <v>19</v>
      </c>
      <c r="B19" s="17" t="s">
        <v>19</v>
      </c>
      <c r="C19" s="22" t="s">
        <v>23</v>
      </c>
      <c r="D19" s="20" t="s">
        <v>19</v>
      </c>
      <c r="E19" s="20" t="s">
        <v>19</v>
      </c>
      <c r="F19" s="21" t="s">
        <v>58</v>
      </c>
      <c r="G19" s="49" t="s">
        <v>59</v>
      </c>
      <c r="H19" s="56"/>
      <c r="I19" s="20">
        <v>45622</v>
      </c>
      <c r="J19" s="18"/>
      <c r="K19" s="18" t="s">
        <v>19</v>
      </c>
      <c r="L19" s="61">
        <v>2280</v>
      </c>
      <c r="M19" s="61">
        <v>95</v>
      </c>
      <c r="N19" s="19">
        <v>45623</v>
      </c>
      <c r="O19" s="18" t="s">
        <v>21</v>
      </c>
      <c r="P19" s="18" t="s">
        <v>25</v>
      </c>
      <c r="Q19" s="18" t="s">
        <v>60</v>
      </c>
      <c r="R19" s="18" t="s">
        <v>31</v>
      </c>
      <c r="S19" s="18">
        <v>6667</v>
      </c>
      <c r="T19" s="18" t="s">
        <v>22</v>
      </c>
      <c r="U19" s="18" t="s">
        <v>19</v>
      </c>
      <c r="V19" s="17"/>
    </row>
    <row r="20" spans="1:22" x14ac:dyDescent="0.3">
      <c r="A20" s="18">
        <f t="shared" si="0"/>
        <v>20</v>
      </c>
      <c r="B20" s="17" t="s">
        <v>19</v>
      </c>
      <c r="C20" s="22" t="s">
        <v>20</v>
      </c>
      <c r="D20" s="20" t="s">
        <v>19</v>
      </c>
      <c r="E20" s="20" t="s">
        <v>19</v>
      </c>
      <c r="F20" s="21" t="s">
        <v>53</v>
      </c>
      <c r="G20" s="49" t="s">
        <v>61</v>
      </c>
      <c r="H20" s="56"/>
      <c r="I20" s="20">
        <v>45626</v>
      </c>
      <c r="J20" s="18"/>
      <c r="K20" s="18" t="s">
        <v>19</v>
      </c>
      <c r="L20" s="61">
        <v>540</v>
      </c>
      <c r="M20" s="61">
        <v>54</v>
      </c>
      <c r="N20" s="19">
        <v>45627</v>
      </c>
      <c r="O20" s="18" t="s">
        <v>21</v>
      </c>
      <c r="P20" s="18" t="s">
        <v>25</v>
      </c>
      <c r="Q20" s="18" t="s">
        <v>62</v>
      </c>
      <c r="R20" s="18" t="s">
        <v>31</v>
      </c>
      <c r="S20" s="18">
        <v>6671</v>
      </c>
      <c r="T20" s="18" t="s">
        <v>22</v>
      </c>
      <c r="U20" s="18" t="s">
        <v>19</v>
      </c>
      <c r="V20" s="17"/>
    </row>
    <row r="21" spans="1:22" x14ac:dyDescent="0.3">
      <c r="A21" s="18">
        <f t="shared" si="0"/>
        <v>21</v>
      </c>
      <c r="B21" s="17" t="s">
        <v>19</v>
      </c>
      <c r="C21" s="22" t="s">
        <v>20</v>
      </c>
      <c r="D21" s="20" t="s">
        <v>19</v>
      </c>
      <c r="E21" s="20" t="s">
        <v>19</v>
      </c>
      <c r="F21" s="21" t="s">
        <v>47</v>
      </c>
      <c r="G21" s="49" t="s">
        <v>63</v>
      </c>
      <c r="H21" s="56"/>
      <c r="I21" s="20">
        <v>45627</v>
      </c>
      <c r="J21" s="18"/>
      <c r="K21" s="18" t="s">
        <v>19</v>
      </c>
      <c r="L21" s="61">
        <v>31</v>
      </c>
      <c r="M21" s="61">
        <v>3</v>
      </c>
      <c r="N21" s="19">
        <v>45627</v>
      </c>
      <c r="O21" s="18" t="s">
        <v>21</v>
      </c>
      <c r="P21" s="18" t="s">
        <v>25</v>
      </c>
      <c r="Q21" s="18" t="s">
        <v>62</v>
      </c>
      <c r="R21" s="18" t="s">
        <v>31</v>
      </c>
      <c r="S21" s="18">
        <v>6673</v>
      </c>
      <c r="T21" s="18" t="s">
        <v>22</v>
      </c>
      <c r="U21" s="18" t="s">
        <v>19</v>
      </c>
      <c r="V21" s="17"/>
    </row>
    <row r="22" spans="1:22" x14ac:dyDescent="0.3">
      <c r="A22" s="18">
        <f t="shared" si="0"/>
        <v>22</v>
      </c>
      <c r="B22" s="17" t="s">
        <v>19</v>
      </c>
      <c r="C22" s="22" t="s">
        <v>20</v>
      </c>
      <c r="D22" s="20" t="s">
        <v>19</v>
      </c>
      <c r="E22" s="20" t="s">
        <v>19</v>
      </c>
      <c r="F22" s="21" t="s">
        <v>64</v>
      </c>
      <c r="G22" s="49" t="s">
        <v>65</v>
      </c>
      <c r="H22" s="56"/>
      <c r="I22" s="20">
        <v>45627</v>
      </c>
      <c r="J22" s="18"/>
      <c r="K22" s="18" t="s">
        <v>19</v>
      </c>
      <c r="L22" s="61">
        <v>200</v>
      </c>
      <c r="M22" s="61">
        <v>20</v>
      </c>
      <c r="N22" s="19">
        <v>45627</v>
      </c>
      <c r="O22" s="18" t="s">
        <v>21</v>
      </c>
      <c r="P22" s="18" t="s">
        <v>25</v>
      </c>
      <c r="Q22" s="18" t="s">
        <v>62</v>
      </c>
      <c r="R22" s="18" t="s">
        <v>31</v>
      </c>
      <c r="S22" s="18">
        <v>6672</v>
      </c>
      <c r="T22" s="18" t="s">
        <v>22</v>
      </c>
      <c r="U22" s="18" t="s">
        <v>19</v>
      </c>
      <c r="V22" s="17"/>
    </row>
    <row r="23" spans="1:22" x14ac:dyDescent="0.3">
      <c r="A23" s="18" t="e">
        <f>#REF!+1</f>
        <v>#REF!</v>
      </c>
      <c r="B23" s="17" t="s">
        <v>19</v>
      </c>
      <c r="C23" s="22" t="s">
        <v>23</v>
      </c>
      <c r="D23" s="20" t="s">
        <v>19</v>
      </c>
      <c r="E23" s="20" t="s">
        <v>19</v>
      </c>
      <c r="F23" s="23" t="s">
        <v>66</v>
      </c>
      <c r="G23" s="49" t="s">
        <v>67</v>
      </c>
      <c r="H23" s="56"/>
      <c r="I23" s="20">
        <v>45626</v>
      </c>
      <c r="J23" s="18"/>
      <c r="K23" s="18" t="s">
        <v>19</v>
      </c>
      <c r="L23" s="61">
        <v>96</v>
      </c>
      <c r="M23" s="61">
        <v>4</v>
      </c>
      <c r="N23" s="19">
        <v>45627</v>
      </c>
      <c r="O23" s="18" t="s">
        <v>21</v>
      </c>
      <c r="P23" s="18" t="s">
        <v>25</v>
      </c>
      <c r="Q23" s="18" t="s">
        <v>62</v>
      </c>
      <c r="R23" s="18" t="s">
        <v>31</v>
      </c>
      <c r="S23" s="18">
        <v>6674</v>
      </c>
      <c r="T23" s="18" t="s">
        <v>22</v>
      </c>
      <c r="U23" s="18" t="s">
        <v>19</v>
      </c>
      <c r="V23" s="17"/>
    </row>
    <row r="24" spans="1:22" x14ac:dyDescent="0.3">
      <c r="A24" s="18" t="e">
        <f>#REF!+1</f>
        <v>#REF!</v>
      </c>
      <c r="B24" s="17" t="s">
        <v>19</v>
      </c>
      <c r="C24" s="22" t="s">
        <v>23</v>
      </c>
      <c r="D24" s="20" t="s">
        <v>19</v>
      </c>
      <c r="E24" s="20" t="s">
        <v>19</v>
      </c>
      <c r="F24" s="21" t="s">
        <v>64</v>
      </c>
      <c r="G24" s="49" t="s">
        <v>69</v>
      </c>
      <c r="H24" s="56"/>
      <c r="I24" s="20">
        <v>45628</v>
      </c>
      <c r="J24" s="18"/>
      <c r="K24" s="18" t="s">
        <v>19</v>
      </c>
      <c r="L24" s="61">
        <v>912</v>
      </c>
      <c r="M24" s="61">
        <v>38</v>
      </c>
      <c r="N24" s="19">
        <v>45628</v>
      </c>
      <c r="O24" s="18" t="s">
        <v>21</v>
      </c>
      <c r="P24" s="18" t="s">
        <v>25</v>
      </c>
      <c r="Q24" s="18" t="s">
        <v>62</v>
      </c>
      <c r="R24" s="18" t="s">
        <v>31</v>
      </c>
      <c r="S24" s="18">
        <v>6675</v>
      </c>
      <c r="T24" s="18" t="s">
        <v>22</v>
      </c>
      <c r="U24" s="18" t="s">
        <v>19</v>
      </c>
      <c r="V24" s="17"/>
    </row>
    <row r="25" spans="1:22" x14ac:dyDescent="0.3">
      <c r="A25" s="18" t="e">
        <f t="shared" si="0"/>
        <v>#REF!</v>
      </c>
      <c r="B25" s="17" t="s">
        <v>19</v>
      </c>
      <c r="C25" s="22" t="s">
        <v>23</v>
      </c>
      <c r="D25" s="20" t="s">
        <v>19</v>
      </c>
      <c r="E25" s="20" t="s">
        <v>19</v>
      </c>
      <c r="F25" s="21" t="s">
        <v>35</v>
      </c>
      <c r="G25" s="49" t="s">
        <v>70</v>
      </c>
      <c r="H25" s="56"/>
      <c r="I25" s="20">
        <v>45629</v>
      </c>
      <c r="J25" s="18"/>
      <c r="K25" s="18" t="s">
        <v>19</v>
      </c>
      <c r="L25" s="61">
        <v>96</v>
      </c>
      <c r="M25" s="61">
        <v>4</v>
      </c>
      <c r="N25" s="19">
        <v>45629</v>
      </c>
      <c r="O25" s="18" t="s">
        <v>21</v>
      </c>
      <c r="P25" s="18" t="s">
        <v>25</v>
      </c>
      <c r="Q25" s="18" t="s">
        <v>26</v>
      </c>
      <c r="R25" s="18" t="s">
        <v>27</v>
      </c>
      <c r="S25" s="18">
        <v>6677</v>
      </c>
      <c r="T25" s="18" t="s">
        <v>22</v>
      </c>
      <c r="U25" s="18" t="s">
        <v>19</v>
      </c>
      <c r="V25" s="17"/>
    </row>
    <row r="26" spans="1:22" x14ac:dyDescent="0.3">
      <c r="A26" s="18" t="e">
        <f t="shared" si="0"/>
        <v>#REF!</v>
      </c>
      <c r="B26" s="17" t="s">
        <v>19</v>
      </c>
      <c r="C26" s="22" t="s">
        <v>23</v>
      </c>
      <c r="D26" s="20" t="s">
        <v>19</v>
      </c>
      <c r="E26" s="20" t="s">
        <v>19</v>
      </c>
      <c r="F26" s="21" t="s">
        <v>64</v>
      </c>
      <c r="G26" s="49" t="s">
        <v>71</v>
      </c>
      <c r="H26" s="56"/>
      <c r="I26" s="20">
        <v>45629</v>
      </c>
      <c r="J26" s="18"/>
      <c r="K26" s="18" t="s">
        <v>19</v>
      </c>
      <c r="L26" s="61">
        <v>24</v>
      </c>
      <c r="M26" s="61">
        <v>1</v>
      </c>
      <c r="N26" s="19">
        <v>45629</v>
      </c>
      <c r="O26" s="18" t="s">
        <v>21</v>
      </c>
      <c r="P26" s="18" t="s">
        <v>25</v>
      </c>
      <c r="Q26" s="18" t="s">
        <v>26</v>
      </c>
      <c r="R26" s="18" t="s">
        <v>27</v>
      </c>
      <c r="S26" s="18">
        <v>6678</v>
      </c>
      <c r="T26" s="18" t="s">
        <v>22</v>
      </c>
      <c r="U26" s="18" t="s">
        <v>19</v>
      </c>
      <c r="V26" s="17"/>
    </row>
    <row r="27" spans="1:22" x14ac:dyDescent="0.3">
      <c r="A27" s="18" t="e">
        <f t="shared" si="0"/>
        <v>#REF!</v>
      </c>
      <c r="B27" s="17" t="s">
        <v>19</v>
      </c>
      <c r="C27" s="22" t="s">
        <v>23</v>
      </c>
      <c r="D27" s="20" t="s">
        <v>72</v>
      </c>
      <c r="E27" s="20" t="s">
        <v>19</v>
      </c>
      <c r="F27" s="24" t="s">
        <v>41</v>
      </c>
      <c r="G27" s="49" t="s">
        <v>73</v>
      </c>
      <c r="H27" s="56"/>
      <c r="I27" s="20">
        <v>45629</v>
      </c>
      <c r="J27" s="18"/>
      <c r="K27" s="18" t="s">
        <v>19</v>
      </c>
      <c r="L27" s="61">
        <v>1996</v>
      </c>
      <c r="M27" s="61">
        <v>83</v>
      </c>
      <c r="N27" s="19">
        <v>45629</v>
      </c>
      <c r="O27" s="18" t="s">
        <v>21</v>
      </c>
      <c r="P27" s="18" t="s">
        <v>25</v>
      </c>
      <c r="Q27" s="18" t="s">
        <v>30</v>
      </c>
      <c r="R27" s="18" t="s">
        <v>31</v>
      </c>
      <c r="S27" s="18">
        <v>6680</v>
      </c>
      <c r="T27" s="18" t="s">
        <v>22</v>
      </c>
      <c r="U27" s="18" t="s">
        <v>19</v>
      </c>
      <c r="V27" s="17"/>
    </row>
    <row r="28" spans="1:22" x14ac:dyDescent="0.3">
      <c r="A28" s="18" t="e">
        <f t="shared" si="0"/>
        <v>#REF!</v>
      </c>
      <c r="B28" s="17" t="s">
        <v>19</v>
      </c>
      <c r="C28" s="22" t="s">
        <v>23</v>
      </c>
      <c r="D28" s="20" t="s">
        <v>19</v>
      </c>
      <c r="E28" s="20" t="s">
        <v>19</v>
      </c>
      <c r="F28" s="21" t="s">
        <v>58</v>
      </c>
      <c r="G28" s="49" t="s">
        <v>74</v>
      </c>
      <c r="H28" s="56"/>
      <c r="I28" s="20">
        <v>45630</v>
      </c>
      <c r="J28" s="18"/>
      <c r="K28" s="18" t="s">
        <v>19</v>
      </c>
      <c r="L28" s="61">
        <v>240</v>
      </c>
      <c r="M28" s="61">
        <v>10</v>
      </c>
      <c r="N28" s="19">
        <v>45630</v>
      </c>
      <c r="O28" s="18" t="s">
        <v>21</v>
      </c>
      <c r="P28" s="18" t="s">
        <v>25</v>
      </c>
      <c r="Q28" s="18" t="s">
        <v>26</v>
      </c>
      <c r="R28" s="18" t="s">
        <v>27</v>
      </c>
      <c r="S28" s="18">
        <v>6685</v>
      </c>
      <c r="T28" s="18" t="s">
        <v>22</v>
      </c>
      <c r="U28" s="18" t="s">
        <v>19</v>
      </c>
      <c r="V28" s="17"/>
    </row>
    <row r="29" spans="1:22" x14ac:dyDescent="0.3">
      <c r="A29" s="18" t="e">
        <f t="shared" si="0"/>
        <v>#REF!</v>
      </c>
      <c r="B29" s="17" t="s">
        <v>19</v>
      </c>
      <c r="C29" s="22" t="s">
        <v>23</v>
      </c>
      <c r="D29" s="20" t="s">
        <v>19</v>
      </c>
      <c r="E29" s="20" t="s">
        <v>19</v>
      </c>
      <c r="F29" s="21" t="s">
        <v>49</v>
      </c>
      <c r="G29" s="49" t="s">
        <v>75</v>
      </c>
      <c r="H29" s="56"/>
      <c r="I29" s="20">
        <v>45630</v>
      </c>
      <c r="J29" s="18"/>
      <c r="K29" s="18" t="s">
        <v>19</v>
      </c>
      <c r="L29" s="61">
        <v>48</v>
      </c>
      <c r="M29" s="61">
        <v>2</v>
      </c>
      <c r="N29" s="19">
        <v>45630</v>
      </c>
      <c r="O29" s="18" t="s">
        <v>21</v>
      </c>
      <c r="P29" s="18" t="s">
        <v>25</v>
      </c>
      <c r="Q29" s="18" t="s">
        <v>26</v>
      </c>
      <c r="R29" s="18" t="s">
        <v>27</v>
      </c>
      <c r="S29" s="18">
        <v>6683</v>
      </c>
      <c r="T29" s="18" t="s">
        <v>22</v>
      </c>
      <c r="U29" s="18" t="s">
        <v>19</v>
      </c>
      <c r="V29" s="17"/>
    </row>
    <row r="30" spans="1:22" x14ac:dyDescent="0.3">
      <c r="A30" s="18" t="e">
        <f t="shared" si="0"/>
        <v>#REF!</v>
      </c>
      <c r="B30" s="17" t="s">
        <v>19</v>
      </c>
      <c r="C30" s="22" t="s">
        <v>23</v>
      </c>
      <c r="D30" s="20" t="s">
        <v>76</v>
      </c>
      <c r="E30" s="20" t="s">
        <v>19</v>
      </c>
      <c r="F30" s="21" t="s">
        <v>35</v>
      </c>
      <c r="G30" s="49" t="s">
        <v>77</v>
      </c>
      <c r="H30" s="56"/>
      <c r="I30" s="20">
        <v>45630</v>
      </c>
      <c r="J30" s="18"/>
      <c r="K30" s="18" t="s">
        <v>19</v>
      </c>
      <c r="L30" s="61">
        <v>168</v>
      </c>
      <c r="M30" s="61">
        <v>7</v>
      </c>
      <c r="N30" s="19">
        <v>45630</v>
      </c>
      <c r="O30" s="18" t="s">
        <v>21</v>
      </c>
      <c r="P30" s="18" t="s">
        <v>25</v>
      </c>
      <c r="Q30" s="18" t="s">
        <v>26</v>
      </c>
      <c r="R30" s="18" t="s">
        <v>27</v>
      </c>
      <c r="S30" s="18">
        <v>6681</v>
      </c>
      <c r="T30" s="18" t="s">
        <v>22</v>
      </c>
      <c r="U30" s="18" t="s">
        <v>19</v>
      </c>
      <c r="V30" s="17"/>
    </row>
    <row r="31" spans="1:22" x14ac:dyDescent="0.3">
      <c r="A31" s="18" t="e">
        <f t="shared" si="0"/>
        <v>#REF!</v>
      </c>
      <c r="B31" s="17" t="s">
        <v>19</v>
      </c>
      <c r="C31" s="22" t="s">
        <v>23</v>
      </c>
      <c r="D31" s="20" t="s">
        <v>19</v>
      </c>
      <c r="E31" s="20" t="s">
        <v>19</v>
      </c>
      <c r="F31" s="21" t="s">
        <v>28</v>
      </c>
      <c r="G31" s="49" t="s">
        <v>78</v>
      </c>
      <c r="H31" s="56"/>
      <c r="I31" s="20">
        <v>45630</v>
      </c>
      <c r="J31" s="18"/>
      <c r="K31" s="18" t="s">
        <v>19</v>
      </c>
      <c r="L31" s="61">
        <v>48</v>
      </c>
      <c r="M31" s="61">
        <v>2</v>
      </c>
      <c r="N31" s="19">
        <v>45630</v>
      </c>
      <c r="O31" s="18" t="s">
        <v>21</v>
      </c>
      <c r="P31" s="18" t="s">
        <v>25</v>
      </c>
      <c r="Q31" s="18" t="s">
        <v>26</v>
      </c>
      <c r="R31" s="18" t="s">
        <v>27</v>
      </c>
      <c r="S31" s="18">
        <v>6684</v>
      </c>
      <c r="T31" s="18" t="s">
        <v>22</v>
      </c>
      <c r="U31" s="18" t="s">
        <v>19</v>
      </c>
      <c r="V31" s="17"/>
    </row>
    <row r="32" spans="1:22" x14ac:dyDescent="0.3">
      <c r="A32" s="18" t="e">
        <f t="shared" si="0"/>
        <v>#REF!</v>
      </c>
      <c r="B32" s="17" t="s">
        <v>19</v>
      </c>
      <c r="C32" s="22" t="s">
        <v>23</v>
      </c>
      <c r="D32" s="20" t="s">
        <v>19</v>
      </c>
      <c r="E32" s="20" t="s">
        <v>19</v>
      </c>
      <c r="F32" s="23" t="s">
        <v>39</v>
      </c>
      <c r="G32" s="49" t="s">
        <v>79</v>
      </c>
      <c r="H32" s="56"/>
      <c r="I32" s="20">
        <v>45630</v>
      </c>
      <c r="J32" s="18"/>
      <c r="K32" s="18" t="s">
        <v>19</v>
      </c>
      <c r="L32" s="61">
        <v>72</v>
      </c>
      <c r="M32" s="61">
        <v>3</v>
      </c>
      <c r="N32" s="19">
        <v>45630</v>
      </c>
      <c r="O32" s="18" t="s">
        <v>21</v>
      </c>
      <c r="P32" s="18" t="s">
        <v>25</v>
      </c>
      <c r="Q32" s="18" t="s">
        <v>26</v>
      </c>
      <c r="R32" s="18" t="s">
        <v>27</v>
      </c>
      <c r="S32" s="18">
        <v>6682</v>
      </c>
      <c r="T32" s="18" t="s">
        <v>22</v>
      </c>
      <c r="U32" s="18" t="s">
        <v>19</v>
      </c>
      <c r="V32" s="17"/>
    </row>
    <row r="33" spans="1:22" x14ac:dyDescent="0.3">
      <c r="A33" s="18" t="e">
        <f t="shared" si="0"/>
        <v>#REF!</v>
      </c>
      <c r="B33" s="17" t="s">
        <v>19</v>
      </c>
      <c r="C33" s="22" t="s">
        <v>23</v>
      </c>
      <c r="D33" s="20" t="s">
        <v>19</v>
      </c>
      <c r="E33" s="20" t="s">
        <v>19</v>
      </c>
      <c r="F33" s="21" t="s">
        <v>28</v>
      </c>
      <c r="G33" s="49" t="s">
        <v>80</v>
      </c>
      <c r="H33" s="56"/>
      <c r="I33" s="20">
        <v>45631</v>
      </c>
      <c r="J33" s="18"/>
      <c r="K33" s="18" t="s">
        <v>19</v>
      </c>
      <c r="L33" s="61">
        <v>1356</v>
      </c>
      <c r="M33" s="61">
        <v>60</v>
      </c>
      <c r="N33" s="19">
        <v>45631</v>
      </c>
      <c r="O33" s="18" t="s">
        <v>21</v>
      </c>
      <c r="P33" s="18" t="s">
        <v>25</v>
      </c>
      <c r="Q33" s="18" t="s">
        <v>81</v>
      </c>
      <c r="R33" s="18" t="s">
        <v>82</v>
      </c>
      <c r="S33" s="18">
        <v>6688</v>
      </c>
      <c r="T33" s="18" t="s">
        <v>22</v>
      </c>
      <c r="U33" s="18" t="s">
        <v>19</v>
      </c>
      <c r="V33" s="17"/>
    </row>
    <row r="34" spans="1:22" x14ac:dyDescent="0.3">
      <c r="A34" s="18" t="e">
        <f t="shared" si="0"/>
        <v>#REF!</v>
      </c>
      <c r="B34" s="17" t="s">
        <v>19</v>
      </c>
      <c r="C34" s="22" t="s">
        <v>23</v>
      </c>
      <c r="D34" s="20" t="s">
        <v>83</v>
      </c>
      <c r="E34" s="20" t="s">
        <v>19</v>
      </c>
      <c r="F34" s="21" t="s">
        <v>84</v>
      </c>
      <c r="G34" s="49" t="s">
        <v>85</v>
      </c>
      <c r="H34" s="56"/>
      <c r="I34" s="20">
        <v>45630</v>
      </c>
      <c r="J34" s="18"/>
      <c r="K34" s="18" t="s">
        <v>19</v>
      </c>
      <c r="L34" s="61">
        <v>1680</v>
      </c>
      <c r="M34" s="61">
        <v>70</v>
      </c>
      <c r="N34" s="19">
        <v>45631</v>
      </c>
      <c r="O34" s="18" t="s">
        <v>21</v>
      </c>
      <c r="P34" s="18" t="s">
        <v>25</v>
      </c>
      <c r="Q34" s="18" t="s">
        <v>81</v>
      </c>
      <c r="R34" s="18" t="s">
        <v>82</v>
      </c>
      <c r="S34" s="18">
        <v>6687</v>
      </c>
      <c r="T34" s="18" t="s">
        <v>22</v>
      </c>
      <c r="U34" s="18" t="s">
        <v>19</v>
      </c>
      <c r="V34" s="17"/>
    </row>
    <row r="35" spans="1:22" x14ac:dyDescent="0.3">
      <c r="A35" s="18" t="e">
        <f t="shared" si="0"/>
        <v>#REF!</v>
      </c>
      <c r="B35" s="17" t="s">
        <v>19</v>
      </c>
      <c r="C35" s="22" t="s">
        <v>23</v>
      </c>
      <c r="D35" s="20" t="s">
        <v>86</v>
      </c>
      <c r="E35" s="20" t="s">
        <v>19</v>
      </c>
      <c r="F35" s="23" t="s">
        <v>39</v>
      </c>
      <c r="G35" s="49" t="s">
        <v>87</v>
      </c>
      <c r="H35" s="56"/>
      <c r="I35" s="20">
        <v>45631</v>
      </c>
      <c r="J35" s="18"/>
      <c r="K35" s="18" t="s">
        <v>19</v>
      </c>
      <c r="L35" s="61">
        <v>480</v>
      </c>
      <c r="M35" s="61">
        <v>20</v>
      </c>
      <c r="N35" s="19">
        <v>45631</v>
      </c>
      <c r="O35" s="18" t="s">
        <v>21</v>
      </c>
      <c r="P35" s="18" t="s">
        <v>25</v>
      </c>
      <c r="Q35" s="18" t="s">
        <v>60</v>
      </c>
      <c r="R35" s="18" t="s">
        <v>82</v>
      </c>
      <c r="S35" s="18">
        <v>6686</v>
      </c>
      <c r="T35" s="18" t="s">
        <v>22</v>
      </c>
      <c r="U35" s="18" t="s">
        <v>19</v>
      </c>
      <c r="V35" s="17"/>
    </row>
    <row r="36" spans="1:22" x14ac:dyDescent="0.3">
      <c r="A36" s="18" t="e">
        <f t="shared" si="0"/>
        <v>#REF!</v>
      </c>
      <c r="B36" s="17" t="s">
        <v>19</v>
      </c>
      <c r="C36" s="22" t="s">
        <v>23</v>
      </c>
      <c r="D36" s="20" t="s">
        <v>88</v>
      </c>
      <c r="E36" s="20" t="s">
        <v>19</v>
      </c>
      <c r="F36" s="25" t="s">
        <v>89</v>
      </c>
      <c r="G36" s="49" t="s">
        <v>90</v>
      </c>
      <c r="H36" s="56"/>
      <c r="I36" s="20">
        <v>45631</v>
      </c>
      <c r="J36" s="18"/>
      <c r="K36" s="18" t="s">
        <v>19</v>
      </c>
      <c r="L36" s="61">
        <v>240</v>
      </c>
      <c r="M36" s="61">
        <v>10</v>
      </c>
      <c r="N36" s="19">
        <v>45631</v>
      </c>
      <c r="O36" s="18" t="s">
        <v>21</v>
      </c>
      <c r="P36" s="18" t="s">
        <v>25</v>
      </c>
      <c r="Q36" s="18" t="s">
        <v>60</v>
      </c>
      <c r="R36" s="18" t="s">
        <v>82</v>
      </c>
      <c r="S36" s="18">
        <v>6690</v>
      </c>
      <c r="T36" s="18" t="s">
        <v>22</v>
      </c>
      <c r="U36" s="18" t="s">
        <v>19</v>
      </c>
      <c r="V36" s="17"/>
    </row>
    <row r="37" spans="1:22" x14ac:dyDescent="0.3">
      <c r="A37" s="18" t="e">
        <f t="shared" si="0"/>
        <v>#REF!</v>
      </c>
      <c r="B37" s="17" t="s">
        <v>19</v>
      </c>
      <c r="C37" s="22" t="s">
        <v>23</v>
      </c>
      <c r="D37" s="20" t="s">
        <v>91</v>
      </c>
      <c r="E37" s="20" t="s">
        <v>19</v>
      </c>
      <c r="F37" s="21" t="s">
        <v>35</v>
      </c>
      <c r="G37" s="49" t="s">
        <v>92</v>
      </c>
      <c r="H37" s="56"/>
      <c r="I37" s="20">
        <v>45631</v>
      </c>
      <c r="J37" s="18"/>
      <c r="K37" s="18" t="s">
        <v>19</v>
      </c>
      <c r="L37" s="61">
        <v>168</v>
      </c>
      <c r="M37" s="61">
        <v>7</v>
      </c>
      <c r="N37" s="19">
        <v>45631</v>
      </c>
      <c r="O37" s="18" t="s">
        <v>21</v>
      </c>
      <c r="P37" s="18" t="s">
        <v>25</v>
      </c>
      <c r="Q37" s="18" t="s">
        <v>60</v>
      </c>
      <c r="R37" s="18" t="s">
        <v>82</v>
      </c>
      <c r="S37" s="18">
        <v>6689</v>
      </c>
      <c r="T37" s="18" t="s">
        <v>22</v>
      </c>
      <c r="U37" s="18" t="s">
        <v>19</v>
      </c>
      <c r="V37" s="17"/>
    </row>
    <row r="38" spans="1:22" x14ac:dyDescent="0.3">
      <c r="A38" s="18" t="e">
        <f t="shared" si="0"/>
        <v>#REF!</v>
      </c>
      <c r="B38" s="17" t="s">
        <v>19</v>
      </c>
      <c r="C38" s="22" t="s">
        <v>23</v>
      </c>
      <c r="D38" s="20" t="s">
        <v>93</v>
      </c>
      <c r="E38" s="20" t="s">
        <v>19</v>
      </c>
      <c r="F38" s="23" t="s">
        <v>68</v>
      </c>
      <c r="G38" s="49" t="s">
        <v>94</v>
      </c>
      <c r="H38" s="56"/>
      <c r="I38" s="20">
        <v>45631</v>
      </c>
      <c r="J38" s="18"/>
      <c r="K38" s="18" t="s">
        <v>19</v>
      </c>
      <c r="L38" s="61">
        <v>600</v>
      </c>
      <c r="M38" s="61">
        <v>25</v>
      </c>
      <c r="N38" s="19">
        <v>45631</v>
      </c>
      <c r="O38" s="18" t="s">
        <v>21</v>
      </c>
      <c r="P38" s="18" t="s">
        <v>25</v>
      </c>
      <c r="Q38" s="18" t="s">
        <v>60</v>
      </c>
      <c r="R38" s="18" t="s">
        <v>82</v>
      </c>
      <c r="S38" s="18">
        <v>6691</v>
      </c>
      <c r="T38" s="18" t="s">
        <v>22</v>
      </c>
      <c r="U38" s="18" t="s">
        <v>19</v>
      </c>
      <c r="V38" s="17"/>
    </row>
    <row r="39" spans="1:22" x14ac:dyDescent="0.3">
      <c r="A39" s="18" t="e">
        <f t="shared" si="0"/>
        <v>#REF!</v>
      </c>
      <c r="B39" s="17" t="s">
        <v>19</v>
      </c>
      <c r="C39" s="22" t="s">
        <v>20</v>
      </c>
      <c r="D39" s="20" t="s">
        <v>19</v>
      </c>
      <c r="E39" s="20" t="s">
        <v>19</v>
      </c>
      <c r="F39" s="21" t="s">
        <v>28</v>
      </c>
      <c r="G39" s="49" t="s">
        <v>95</v>
      </c>
      <c r="H39" s="56"/>
      <c r="I39" s="20">
        <v>45632</v>
      </c>
      <c r="J39" s="18"/>
      <c r="K39" s="18" t="s">
        <v>19</v>
      </c>
      <c r="L39" s="61">
        <v>360</v>
      </c>
      <c r="M39" s="61">
        <v>36</v>
      </c>
      <c r="N39" s="19">
        <v>45632</v>
      </c>
      <c r="O39" s="18" t="s">
        <v>21</v>
      </c>
      <c r="P39" s="18" t="s">
        <v>25</v>
      </c>
      <c r="Q39" s="18" t="s">
        <v>26</v>
      </c>
      <c r="R39" s="18" t="s">
        <v>27</v>
      </c>
      <c r="S39" s="18">
        <v>6677</v>
      </c>
      <c r="T39" s="18" t="s">
        <v>22</v>
      </c>
      <c r="U39" s="18" t="s">
        <v>19</v>
      </c>
      <c r="V39" s="17"/>
    </row>
    <row r="40" spans="1:22" x14ac:dyDescent="0.3">
      <c r="A40" s="18" t="e">
        <f t="shared" si="0"/>
        <v>#REF!</v>
      </c>
      <c r="B40" s="17" t="s">
        <v>19</v>
      </c>
      <c r="C40" s="22" t="s">
        <v>23</v>
      </c>
      <c r="D40" s="20" t="s">
        <v>19</v>
      </c>
      <c r="E40" s="20" t="s">
        <v>19</v>
      </c>
      <c r="F40" s="21" t="s">
        <v>49</v>
      </c>
      <c r="G40" s="49" t="s">
        <v>96</v>
      </c>
      <c r="H40" s="56"/>
      <c r="I40" s="20">
        <v>45632</v>
      </c>
      <c r="J40" s="18"/>
      <c r="K40" s="18" t="s">
        <v>19</v>
      </c>
      <c r="L40" s="61">
        <v>48</v>
      </c>
      <c r="M40" s="61">
        <v>2</v>
      </c>
      <c r="N40" s="19">
        <v>45632</v>
      </c>
      <c r="O40" s="18" t="s">
        <v>21</v>
      </c>
      <c r="P40" s="18" t="s">
        <v>25</v>
      </c>
      <c r="Q40" s="18" t="s">
        <v>26</v>
      </c>
      <c r="R40" s="18" t="s">
        <v>27</v>
      </c>
      <c r="S40" s="18">
        <v>6693</v>
      </c>
      <c r="T40" s="18" t="s">
        <v>22</v>
      </c>
      <c r="U40" s="18" t="s">
        <v>19</v>
      </c>
      <c r="V40" s="17"/>
    </row>
    <row r="41" spans="1:22" x14ac:dyDescent="0.3">
      <c r="A41" s="18" t="e">
        <f t="shared" si="0"/>
        <v>#REF!</v>
      </c>
      <c r="B41" s="17" t="s">
        <v>19</v>
      </c>
      <c r="C41" s="22" t="s">
        <v>20</v>
      </c>
      <c r="D41" s="20" t="s">
        <v>97</v>
      </c>
      <c r="E41" s="20" t="s">
        <v>19</v>
      </c>
      <c r="F41" s="21" t="s">
        <v>64</v>
      </c>
      <c r="G41" s="49" t="s">
        <v>98</v>
      </c>
      <c r="H41" s="56"/>
      <c r="I41" s="20">
        <v>45634</v>
      </c>
      <c r="J41" s="18"/>
      <c r="K41" s="18" t="s">
        <v>19</v>
      </c>
      <c r="L41" s="61">
        <v>200</v>
      </c>
      <c r="M41" s="61">
        <v>20</v>
      </c>
      <c r="N41" s="19">
        <v>45634</v>
      </c>
      <c r="O41" s="18" t="s">
        <v>99</v>
      </c>
      <c r="P41" s="18" t="s">
        <v>100</v>
      </c>
      <c r="Q41" s="18" t="s">
        <v>101</v>
      </c>
      <c r="R41" s="18" t="s">
        <v>102</v>
      </c>
      <c r="S41" s="18" t="s">
        <v>103</v>
      </c>
      <c r="T41" s="18" t="s">
        <v>22</v>
      </c>
      <c r="U41" s="18" t="s">
        <v>104</v>
      </c>
      <c r="V41" s="17"/>
    </row>
    <row r="42" spans="1:22" x14ac:dyDescent="0.3">
      <c r="A42" s="18" t="e">
        <f t="shared" si="0"/>
        <v>#REF!</v>
      </c>
      <c r="B42" s="17" t="s">
        <v>19</v>
      </c>
      <c r="C42" s="22" t="s">
        <v>20</v>
      </c>
      <c r="D42" s="20" t="s">
        <v>105</v>
      </c>
      <c r="E42" s="20" t="s">
        <v>19</v>
      </c>
      <c r="F42" s="21" t="s">
        <v>64</v>
      </c>
      <c r="G42" s="49" t="s">
        <v>106</v>
      </c>
      <c r="H42" s="56"/>
      <c r="I42" s="20">
        <v>45634</v>
      </c>
      <c r="J42" s="18"/>
      <c r="K42" s="18" t="s">
        <v>19</v>
      </c>
      <c r="L42" s="61">
        <v>160</v>
      </c>
      <c r="M42" s="61">
        <v>16</v>
      </c>
      <c r="N42" s="19">
        <v>45634</v>
      </c>
      <c r="O42" s="18" t="s">
        <v>99</v>
      </c>
      <c r="P42" s="18" t="s">
        <v>100</v>
      </c>
      <c r="Q42" s="18" t="s">
        <v>101</v>
      </c>
      <c r="R42" s="18" t="s">
        <v>102</v>
      </c>
      <c r="S42" s="18" t="s">
        <v>103</v>
      </c>
      <c r="T42" s="18" t="s">
        <v>22</v>
      </c>
      <c r="U42" s="18" t="s">
        <v>104</v>
      </c>
      <c r="V42" s="17"/>
    </row>
    <row r="43" spans="1:22" x14ac:dyDescent="0.3">
      <c r="A43" s="18" t="e">
        <f>#REF!+1</f>
        <v>#REF!</v>
      </c>
      <c r="B43" s="17" t="s">
        <v>19</v>
      </c>
      <c r="C43" s="22" t="s">
        <v>20</v>
      </c>
      <c r="D43" s="20" t="s">
        <v>108</v>
      </c>
      <c r="E43" s="20" t="s">
        <v>19</v>
      </c>
      <c r="F43" s="21" t="s">
        <v>64</v>
      </c>
      <c r="G43" s="49" t="s">
        <v>109</v>
      </c>
      <c r="H43" s="56"/>
      <c r="I43" s="20">
        <v>45634</v>
      </c>
      <c r="J43" s="18"/>
      <c r="K43" s="18" t="s">
        <v>19</v>
      </c>
      <c r="L43" s="61">
        <v>350</v>
      </c>
      <c r="M43" s="61">
        <v>35</v>
      </c>
      <c r="N43" s="19">
        <v>45634</v>
      </c>
      <c r="O43" s="18" t="s">
        <v>99</v>
      </c>
      <c r="P43" s="18" t="s">
        <v>100</v>
      </c>
      <c r="Q43" s="18" t="s">
        <v>101</v>
      </c>
      <c r="R43" s="18" t="s">
        <v>102</v>
      </c>
      <c r="S43" s="18" t="s">
        <v>103</v>
      </c>
      <c r="T43" s="18" t="s">
        <v>22</v>
      </c>
      <c r="U43" s="18" t="s">
        <v>104</v>
      </c>
      <c r="V43" s="17"/>
    </row>
    <row r="44" spans="1:22" x14ac:dyDescent="0.3">
      <c r="A44" s="18" t="e">
        <f t="shared" si="0"/>
        <v>#REF!</v>
      </c>
      <c r="B44" s="17" t="s">
        <v>19</v>
      </c>
      <c r="C44" s="22" t="s">
        <v>20</v>
      </c>
      <c r="D44" s="20" t="s">
        <v>110</v>
      </c>
      <c r="E44" s="20" t="s">
        <v>19</v>
      </c>
      <c r="F44" s="21" t="s">
        <v>64</v>
      </c>
      <c r="G44" s="49" t="s">
        <v>111</v>
      </c>
      <c r="H44" s="56"/>
      <c r="I44" s="20">
        <v>45634</v>
      </c>
      <c r="J44" s="18"/>
      <c r="K44" s="18" t="s">
        <v>19</v>
      </c>
      <c r="L44" s="61">
        <v>491</v>
      </c>
      <c r="M44" s="61">
        <v>51</v>
      </c>
      <c r="N44" s="19">
        <v>45634</v>
      </c>
      <c r="O44" s="18" t="s">
        <v>99</v>
      </c>
      <c r="P44" s="18" t="s">
        <v>100</v>
      </c>
      <c r="Q44" s="18" t="s">
        <v>101</v>
      </c>
      <c r="R44" s="18" t="s">
        <v>102</v>
      </c>
      <c r="S44" s="18" t="s">
        <v>103</v>
      </c>
      <c r="T44" s="18" t="s">
        <v>22</v>
      </c>
      <c r="U44" s="18" t="s">
        <v>104</v>
      </c>
      <c r="V44" s="17"/>
    </row>
    <row r="45" spans="1:22" x14ac:dyDescent="0.3">
      <c r="A45" s="18" t="e">
        <f>#REF!+1</f>
        <v>#REF!</v>
      </c>
      <c r="B45" s="17">
        <v>49</v>
      </c>
      <c r="C45" s="22" t="s">
        <v>20</v>
      </c>
      <c r="D45" s="20" t="s">
        <v>142</v>
      </c>
      <c r="E45" s="20">
        <v>45666</v>
      </c>
      <c r="F45" s="21" t="s">
        <v>53</v>
      </c>
      <c r="G45" s="49" t="s">
        <v>143</v>
      </c>
      <c r="H45" s="56">
        <v>231568.5</v>
      </c>
      <c r="I45" s="20">
        <v>45670</v>
      </c>
      <c r="J45" s="18"/>
      <c r="K45" s="18" t="s">
        <v>19</v>
      </c>
      <c r="L45" s="61">
        <v>150</v>
      </c>
      <c r="M45" s="61">
        <v>15</v>
      </c>
      <c r="N45" s="19">
        <v>45671</v>
      </c>
      <c r="O45" s="18" t="s">
        <v>21</v>
      </c>
      <c r="P45" s="18" t="s">
        <v>25</v>
      </c>
      <c r="Q45" s="18" t="s">
        <v>144</v>
      </c>
      <c r="R45" s="18" t="s">
        <v>102</v>
      </c>
      <c r="S45" s="18">
        <v>5192</v>
      </c>
      <c r="T45" s="18" t="s">
        <v>22</v>
      </c>
      <c r="U45" s="18" t="s">
        <v>19</v>
      </c>
      <c r="V45" s="17"/>
    </row>
    <row r="46" spans="1:22" x14ac:dyDescent="0.3">
      <c r="A46" s="18" t="e">
        <f t="shared" ref="A46:A56" si="1">A45+1</f>
        <v>#REF!</v>
      </c>
      <c r="B46" s="17">
        <v>49</v>
      </c>
      <c r="C46" s="22" t="s">
        <v>20</v>
      </c>
      <c r="D46" s="20" t="s">
        <v>145</v>
      </c>
      <c r="E46" s="20">
        <v>45665</v>
      </c>
      <c r="F46" s="21" t="s">
        <v>53</v>
      </c>
      <c r="G46" s="49" t="s">
        <v>146</v>
      </c>
      <c r="H46" s="56">
        <v>468386.1</v>
      </c>
      <c r="I46" s="20">
        <v>45670</v>
      </c>
      <c r="J46" s="18"/>
      <c r="K46" s="18" t="s">
        <v>19</v>
      </c>
      <c r="L46" s="61">
        <v>340</v>
      </c>
      <c r="M46" s="61">
        <v>34</v>
      </c>
      <c r="N46" s="19">
        <v>45671</v>
      </c>
      <c r="O46" s="18" t="s">
        <v>21</v>
      </c>
      <c r="P46" s="18" t="s">
        <v>25</v>
      </c>
      <c r="Q46" s="18" t="s">
        <v>144</v>
      </c>
      <c r="R46" s="18" t="s">
        <v>102</v>
      </c>
      <c r="S46" s="18">
        <v>5192</v>
      </c>
      <c r="T46" s="18" t="s">
        <v>22</v>
      </c>
      <c r="U46" s="18" t="s">
        <v>19</v>
      </c>
      <c r="V46" s="17"/>
    </row>
    <row r="47" spans="1:22" x14ac:dyDescent="0.3">
      <c r="A47" s="18" t="e">
        <f t="shared" si="1"/>
        <v>#REF!</v>
      </c>
      <c r="B47" s="17">
        <v>49</v>
      </c>
      <c r="C47" s="22" t="s">
        <v>23</v>
      </c>
      <c r="D47" s="20" t="s">
        <v>147</v>
      </c>
      <c r="E47" s="20" t="s">
        <v>19</v>
      </c>
      <c r="F47" s="24" t="s">
        <v>41</v>
      </c>
      <c r="G47" s="49" t="s">
        <v>148</v>
      </c>
      <c r="H47" s="56">
        <v>612480</v>
      </c>
      <c r="I47" s="20">
        <v>45671</v>
      </c>
      <c r="J47" s="18"/>
      <c r="K47" s="18" t="s">
        <v>19</v>
      </c>
      <c r="L47" s="61">
        <v>1248</v>
      </c>
      <c r="M47" s="61">
        <v>52</v>
      </c>
      <c r="N47" s="19">
        <v>45671</v>
      </c>
      <c r="O47" s="18" t="s">
        <v>21</v>
      </c>
      <c r="P47" s="18" t="s">
        <v>25</v>
      </c>
      <c r="Q47" s="18" t="s">
        <v>149</v>
      </c>
      <c r="R47" s="18" t="s">
        <v>102</v>
      </c>
      <c r="S47" s="18">
        <v>5200</v>
      </c>
      <c r="T47" s="18" t="s">
        <v>22</v>
      </c>
      <c r="U47" s="18" t="s">
        <v>19</v>
      </c>
      <c r="V47" s="17"/>
    </row>
    <row r="48" spans="1:22" x14ac:dyDescent="0.3">
      <c r="A48" s="18" t="e">
        <f t="shared" si="1"/>
        <v>#REF!</v>
      </c>
      <c r="B48" s="17">
        <v>49</v>
      </c>
      <c r="C48" s="22" t="s">
        <v>20</v>
      </c>
      <c r="D48" s="20" t="s">
        <v>150</v>
      </c>
      <c r="E48" s="20">
        <v>45668</v>
      </c>
      <c r="F48" s="21" t="s">
        <v>49</v>
      </c>
      <c r="G48" s="49" t="s">
        <v>151</v>
      </c>
      <c r="H48" s="56">
        <v>100838.2</v>
      </c>
      <c r="I48" s="20">
        <v>45671</v>
      </c>
      <c r="J48" s="18"/>
      <c r="K48" s="18" t="s">
        <v>19</v>
      </c>
      <c r="L48" s="61">
        <v>70</v>
      </c>
      <c r="M48" s="61">
        <v>7</v>
      </c>
      <c r="N48" s="19">
        <v>45671</v>
      </c>
      <c r="O48" s="18" t="s">
        <v>21</v>
      </c>
      <c r="P48" s="18" t="s">
        <v>25</v>
      </c>
      <c r="Q48" s="18" t="s">
        <v>144</v>
      </c>
      <c r="R48" s="18" t="s">
        <v>136</v>
      </c>
      <c r="S48" s="18">
        <v>5193</v>
      </c>
      <c r="T48" s="18" t="s">
        <v>22</v>
      </c>
      <c r="U48" s="18" t="s">
        <v>19</v>
      </c>
      <c r="V48" s="17"/>
    </row>
    <row r="49" spans="1:22" x14ac:dyDescent="0.3">
      <c r="A49" s="18" t="e">
        <f t="shared" si="1"/>
        <v>#REF!</v>
      </c>
      <c r="B49" s="17">
        <v>49</v>
      </c>
      <c r="C49" s="22" t="s">
        <v>20</v>
      </c>
      <c r="D49" s="20" t="s">
        <v>152</v>
      </c>
      <c r="E49" s="20">
        <v>45668</v>
      </c>
      <c r="F49" s="21" t="s">
        <v>49</v>
      </c>
      <c r="G49" s="49" t="s">
        <v>153</v>
      </c>
      <c r="H49" s="56">
        <v>327636.71999999997</v>
      </c>
      <c r="I49" s="20">
        <v>45670</v>
      </c>
      <c r="J49" s="18"/>
      <c r="K49" s="18" t="s">
        <v>19</v>
      </c>
      <c r="L49" s="61">
        <v>258</v>
      </c>
      <c r="M49" s="61">
        <v>26</v>
      </c>
      <c r="N49" s="19">
        <v>45671</v>
      </c>
      <c r="O49" s="18" t="s">
        <v>21</v>
      </c>
      <c r="P49" s="18" t="s">
        <v>25</v>
      </c>
      <c r="Q49" s="18" t="s">
        <v>144</v>
      </c>
      <c r="R49" s="18" t="s">
        <v>136</v>
      </c>
      <c r="S49" s="18">
        <v>5193</v>
      </c>
      <c r="T49" s="18" t="s">
        <v>22</v>
      </c>
      <c r="U49" s="18" t="s">
        <v>19</v>
      </c>
      <c r="V49" s="17"/>
    </row>
    <row r="50" spans="1:22" x14ac:dyDescent="0.3">
      <c r="A50" s="18" t="e">
        <f t="shared" si="1"/>
        <v>#REF!</v>
      </c>
      <c r="B50" s="17">
        <v>49</v>
      </c>
      <c r="C50" s="22" t="s">
        <v>20</v>
      </c>
      <c r="D50" s="20" t="s">
        <v>154</v>
      </c>
      <c r="E50" s="20">
        <v>45666</v>
      </c>
      <c r="F50" s="21" t="s">
        <v>132</v>
      </c>
      <c r="G50" s="49" t="s">
        <v>155</v>
      </c>
      <c r="H50" s="56">
        <v>149548.84</v>
      </c>
      <c r="I50" s="20">
        <v>45671</v>
      </c>
      <c r="J50" s="18"/>
      <c r="K50" s="18" t="s">
        <v>19</v>
      </c>
      <c r="L50" s="61">
        <v>106</v>
      </c>
      <c r="M50" s="61">
        <v>11</v>
      </c>
      <c r="N50" s="19">
        <v>45671</v>
      </c>
      <c r="O50" s="18" t="s">
        <v>21</v>
      </c>
      <c r="P50" s="18" t="s">
        <v>25</v>
      </c>
      <c r="Q50" s="18" t="s">
        <v>144</v>
      </c>
      <c r="R50" s="18" t="s">
        <v>136</v>
      </c>
      <c r="S50" s="18">
        <v>5194</v>
      </c>
      <c r="T50" s="18" t="s">
        <v>22</v>
      </c>
      <c r="U50" s="18" t="s">
        <v>19</v>
      </c>
      <c r="V50" s="17"/>
    </row>
    <row r="51" spans="1:22" x14ac:dyDescent="0.3">
      <c r="A51" s="18" t="e">
        <f t="shared" si="1"/>
        <v>#REF!</v>
      </c>
      <c r="B51" s="17">
        <v>49</v>
      </c>
      <c r="C51" s="22" t="s">
        <v>20</v>
      </c>
      <c r="D51" s="20" t="s">
        <v>156</v>
      </c>
      <c r="E51" s="20">
        <v>45665</v>
      </c>
      <c r="F51" s="26" t="s">
        <v>117</v>
      </c>
      <c r="G51" s="49" t="s">
        <v>157</v>
      </c>
      <c r="H51" s="56">
        <v>277680.21999999997</v>
      </c>
      <c r="I51" s="20">
        <v>45671</v>
      </c>
      <c r="J51" s="18"/>
      <c r="K51" s="18" t="s">
        <v>19</v>
      </c>
      <c r="L51" s="61">
        <v>208</v>
      </c>
      <c r="M51" s="61">
        <v>21</v>
      </c>
      <c r="N51" s="19">
        <v>45671</v>
      </c>
      <c r="O51" s="18" t="s">
        <v>21</v>
      </c>
      <c r="P51" s="18" t="s">
        <v>25</v>
      </c>
      <c r="Q51" s="18" t="s">
        <v>144</v>
      </c>
      <c r="R51" s="18" t="s">
        <v>136</v>
      </c>
      <c r="S51" s="18">
        <v>5195</v>
      </c>
      <c r="T51" s="18" t="s">
        <v>22</v>
      </c>
      <c r="U51" s="18" t="s">
        <v>19</v>
      </c>
      <c r="V51" s="17"/>
    </row>
    <row r="52" spans="1:22" x14ac:dyDescent="0.3">
      <c r="A52" s="18" t="e">
        <f t="shared" si="1"/>
        <v>#REF!</v>
      </c>
      <c r="B52" s="17">
        <v>49</v>
      </c>
      <c r="C52" s="22" t="s">
        <v>20</v>
      </c>
      <c r="D52" s="20" t="s">
        <v>158</v>
      </c>
      <c r="E52" s="20">
        <v>45666</v>
      </c>
      <c r="F52" s="24" t="s">
        <v>121</v>
      </c>
      <c r="G52" s="49" t="s">
        <v>159</v>
      </c>
      <c r="H52" s="56">
        <v>85891.72</v>
      </c>
      <c r="I52" s="20">
        <v>45671</v>
      </c>
      <c r="J52" s="18"/>
      <c r="K52" s="18" t="s">
        <v>19</v>
      </c>
      <c r="L52" s="61">
        <v>68</v>
      </c>
      <c r="M52" s="61">
        <v>7</v>
      </c>
      <c r="N52" s="19">
        <v>45671</v>
      </c>
      <c r="O52" s="18" t="s">
        <v>21</v>
      </c>
      <c r="P52" s="18" t="s">
        <v>25</v>
      </c>
      <c r="Q52" s="18" t="s">
        <v>144</v>
      </c>
      <c r="R52" s="18" t="s">
        <v>136</v>
      </c>
      <c r="S52" s="18">
        <v>5199</v>
      </c>
      <c r="T52" s="18" t="s">
        <v>22</v>
      </c>
      <c r="U52" s="18" t="s">
        <v>19</v>
      </c>
      <c r="V52" s="17"/>
    </row>
    <row r="53" spans="1:22" x14ac:dyDescent="0.3">
      <c r="A53" s="18" t="e">
        <f t="shared" si="1"/>
        <v>#REF!</v>
      </c>
      <c r="B53" s="17">
        <v>49</v>
      </c>
      <c r="C53" s="22" t="s">
        <v>20</v>
      </c>
      <c r="D53" s="20" t="s">
        <v>160</v>
      </c>
      <c r="E53" s="20">
        <v>45666</v>
      </c>
      <c r="F53" s="21" t="s">
        <v>128</v>
      </c>
      <c r="G53" s="49" t="s">
        <v>161</v>
      </c>
      <c r="H53" s="56">
        <v>124781.54</v>
      </c>
      <c r="I53" s="20">
        <v>45671</v>
      </c>
      <c r="J53" s="18"/>
      <c r="K53" s="18" t="s">
        <v>19</v>
      </c>
      <c r="L53" s="61">
        <v>96</v>
      </c>
      <c r="M53" s="61">
        <v>10</v>
      </c>
      <c r="N53" s="19">
        <v>45671</v>
      </c>
      <c r="O53" s="18" t="s">
        <v>21</v>
      </c>
      <c r="P53" s="18" t="s">
        <v>25</v>
      </c>
      <c r="Q53" s="18" t="s">
        <v>144</v>
      </c>
      <c r="R53" s="18" t="s">
        <v>136</v>
      </c>
      <c r="S53" s="18">
        <v>5197</v>
      </c>
      <c r="T53" s="18" t="s">
        <v>22</v>
      </c>
      <c r="U53" s="18" t="s">
        <v>19</v>
      </c>
      <c r="V53" s="17"/>
    </row>
    <row r="54" spans="1:22" x14ac:dyDescent="0.3">
      <c r="A54" s="18" t="e">
        <f t="shared" si="1"/>
        <v>#REF!</v>
      </c>
      <c r="B54" s="17">
        <v>49</v>
      </c>
      <c r="C54" s="22" t="s">
        <v>20</v>
      </c>
      <c r="D54" s="20" t="s">
        <v>162</v>
      </c>
      <c r="E54" s="20">
        <v>45668</v>
      </c>
      <c r="F54" s="23" t="s">
        <v>68</v>
      </c>
      <c r="G54" s="49" t="s">
        <v>163</v>
      </c>
      <c r="H54" s="56">
        <v>55838.6</v>
      </c>
      <c r="I54" s="20">
        <v>45671</v>
      </c>
      <c r="J54" s="18"/>
      <c r="K54" s="18" t="s">
        <v>19</v>
      </c>
      <c r="L54" s="61">
        <v>40</v>
      </c>
      <c r="M54" s="61">
        <v>4</v>
      </c>
      <c r="N54" s="19">
        <v>45671</v>
      </c>
      <c r="O54" s="18" t="s">
        <v>21</v>
      </c>
      <c r="P54" s="18" t="s">
        <v>25</v>
      </c>
      <c r="Q54" s="18" t="s">
        <v>144</v>
      </c>
      <c r="R54" s="18" t="s">
        <v>136</v>
      </c>
      <c r="S54" s="18">
        <v>5198</v>
      </c>
      <c r="T54" s="18" t="s">
        <v>22</v>
      </c>
      <c r="U54" s="18" t="s">
        <v>19</v>
      </c>
      <c r="V54" s="17"/>
    </row>
    <row r="55" spans="1:22" x14ac:dyDescent="0.3">
      <c r="A55" s="18" t="e">
        <f t="shared" si="1"/>
        <v>#REF!</v>
      </c>
      <c r="B55" s="17">
        <v>49</v>
      </c>
      <c r="C55" s="22" t="s">
        <v>20</v>
      </c>
      <c r="D55" s="20" t="s">
        <v>164</v>
      </c>
      <c r="E55" s="20">
        <v>45667</v>
      </c>
      <c r="F55" s="21" t="s">
        <v>28</v>
      </c>
      <c r="G55" s="49" t="s">
        <v>165</v>
      </c>
      <c r="H55" s="56">
        <v>89504.9</v>
      </c>
      <c r="I55" s="20">
        <v>45670</v>
      </c>
      <c r="J55" s="18"/>
      <c r="K55" s="18" t="s">
        <v>19</v>
      </c>
      <c r="L55" s="61">
        <v>70</v>
      </c>
      <c r="M55" s="61">
        <v>7</v>
      </c>
      <c r="N55" s="19">
        <v>45671</v>
      </c>
      <c r="O55" s="18" t="s">
        <v>21</v>
      </c>
      <c r="P55" s="18" t="s">
        <v>25</v>
      </c>
      <c r="Q55" s="18" t="s">
        <v>144</v>
      </c>
      <c r="R55" s="18" t="s">
        <v>136</v>
      </c>
      <c r="S55" s="18">
        <v>5199</v>
      </c>
      <c r="T55" s="18" t="s">
        <v>22</v>
      </c>
      <c r="U55" s="18" t="s">
        <v>19</v>
      </c>
      <c r="V55" s="17"/>
    </row>
    <row r="56" spans="1:22" x14ac:dyDescent="0.3">
      <c r="A56" s="18" t="e">
        <f t="shared" si="1"/>
        <v>#REF!</v>
      </c>
      <c r="B56" s="17">
        <v>50</v>
      </c>
      <c r="C56" s="22" t="s">
        <v>23</v>
      </c>
      <c r="D56" s="20" t="s">
        <v>166</v>
      </c>
      <c r="E56" s="20" t="s">
        <v>19</v>
      </c>
      <c r="F56" s="21" t="s">
        <v>28</v>
      </c>
      <c r="G56" s="49" t="s">
        <v>167</v>
      </c>
      <c r="H56" s="56">
        <v>525654</v>
      </c>
      <c r="I56" s="20">
        <v>45673</v>
      </c>
      <c r="J56" s="18"/>
      <c r="K56" s="18" t="s">
        <v>19</v>
      </c>
      <c r="L56" s="61">
        <v>1140</v>
      </c>
      <c r="M56" s="61">
        <v>50</v>
      </c>
      <c r="N56" s="19">
        <v>45673</v>
      </c>
      <c r="O56" s="18" t="s">
        <v>21</v>
      </c>
      <c r="P56" s="18" t="s">
        <v>25</v>
      </c>
      <c r="Q56" s="18" t="s">
        <v>101</v>
      </c>
      <c r="R56" s="18" t="s">
        <v>136</v>
      </c>
      <c r="S56" s="18">
        <v>5205</v>
      </c>
      <c r="T56" s="18" t="s">
        <v>22</v>
      </c>
      <c r="U56" s="18" t="s">
        <v>19</v>
      </c>
      <c r="V56" s="17"/>
    </row>
    <row r="57" spans="1:22" x14ac:dyDescent="0.3">
      <c r="A57" s="18" t="e">
        <f t="shared" ref="A57:A118" si="2">A56+1</f>
        <v>#REF!</v>
      </c>
      <c r="B57" s="17">
        <v>50</v>
      </c>
      <c r="C57" s="22" t="s">
        <v>23</v>
      </c>
      <c r="D57" s="20" t="s">
        <v>168</v>
      </c>
      <c r="E57" s="20" t="s">
        <v>19</v>
      </c>
      <c r="F57" s="24" t="s">
        <v>41</v>
      </c>
      <c r="G57" s="49" t="s">
        <v>169</v>
      </c>
      <c r="H57" s="56">
        <v>209030.64</v>
      </c>
      <c r="I57" s="20">
        <v>45673</v>
      </c>
      <c r="J57" s="18"/>
      <c r="K57" s="18" t="s">
        <v>19</v>
      </c>
      <c r="L57" s="61">
        <v>456</v>
      </c>
      <c r="M57" s="61">
        <v>29</v>
      </c>
      <c r="N57" s="19">
        <v>45673</v>
      </c>
      <c r="O57" s="18" t="s">
        <v>21</v>
      </c>
      <c r="P57" s="18" t="s">
        <v>25</v>
      </c>
      <c r="Q57" s="18" t="s">
        <v>101</v>
      </c>
      <c r="R57" s="18" t="s">
        <v>136</v>
      </c>
      <c r="S57" s="18">
        <v>5206</v>
      </c>
      <c r="T57" s="18" t="s">
        <v>22</v>
      </c>
      <c r="U57" s="18" t="s">
        <v>19</v>
      </c>
      <c r="V57" s="17"/>
    </row>
    <row r="58" spans="1:22" x14ac:dyDescent="0.3">
      <c r="A58" s="18" t="e">
        <f t="shared" si="2"/>
        <v>#REF!</v>
      </c>
      <c r="B58" s="17">
        <v>50</v>
      </c>
      <c r="C58" s="22" t="s">
        <v>20</v>
      </c>
      <c r="D58" s="20" t="s">
        <v>170</v>
      </c>
      <c r="E58" s="20">
        <v>45668</v>
      </c>
      <c r="F58" s="21" t="s">
        <v>123</v>
      </c>
      <c r="G58" s="49" t="s">
        <v>171</v>
      </c>
      <c r="H58" s="56">
        <v>529726.97</v>
      </c>
      <c r="I58" s="20">
        <v>45673</v>
      </c>
      <c r="J58" s="18"/>
      <c r="K58" s="18" t="s">
        <v>19</v>
      </c>
      <c r="L58" s="61">
        <v>377</v>
      </c>
      <c r="M58" s="61">
        <v>38</v>
      </c>
      <c r="N58" s="19">
        <v>45673</v>
      </c>
      <c r="O58" s="18" t="s">
        <v>21</v>
      </c>
      <c r="P58" s="18" t="s">
        <v>25</v>
      </c>
      <c r="Q58" s="18" t="s">
        <v>101</v>
      </c>
      <c r="R58" s="18" t="s">
        <v>136</v>
      </c>
      <c r="S58" s="18">
        <v>5207</v>
      </c>
      <c r="T58" s="18" t="s">
        <v>22</v>
      </c>
      <c r="U58" s="18" t="s">
        <v>19</v>
      </c>
      <c r="V58" s="17"/>
    </row>
    <row r="59" spans="1:22" x14ac:dyDescent="0.3">
      <c r="A59" s="18" t="e">
        <f t="shared" si="2"/>
        <v>#REF!</v>
      </c>
      <c r="B59" s="17">
        <v>50</v>
      </c>
      <c r="C59" s="22" t="s">
        <v>23</v>
      </c>
      <c r="D59" s="20" t="s">
        <v>172</v>
      </c>
      <c r="E59" s="20" t="s">
        <v>19</v>
      </c>
      <c r="F59" s="21" t="s">
        <v>33</v>
      </c>
      <c r="G59" s="49" t="s">
        <v>173</v>
      </c>
      <c r="H59" s="56">
        <v>62853.36</v>
      </c>
      <c r="I59" s="20">
        <v>45673</v>
      </c>
      <c r="J59" s="18"/>
      <c r="K59" s="18" t="s">
        <v>19</v>
      </c>
      <c r="L59" s="61">
        <v>168</v>
      </c>
      <c r="M59" s="61">
        <v>7</v>
      </c>
      <c r="N59" s="19">
        <v>45673</v>
      </c>
      <c r="O59" s="18" t="s">
        <v>21</v>
      </c>
      <c r="P59" s="18" t="s">
        <v>25</v>
      </c>
      <c r="Q59" s="18" t="s">
        <v>101</v>
      </c>
      <c r="R59" s="18" t="s">
        <v>136</v>
      </c>
      <c r="S59" s="18">
        <v>5201</v>
      </c>
      <c r="T59" s="18" t="s">
        <v>22</v>
      </c>
      <c r="U59" s="18" t="s">
        <v>19</v>
      </c>
      <c r="V59" s="17"/>
    </row>
    <row r="60" spans="1:22" x14ac:dyDescent="0.3">
      <c r="A60" s="18" t="e">
        <f t="shared" si="2"/>
        <v>#REF!</v>
      </c>
      <c r="B60" s="17">
        <v>50</v>
      </c>
      <c r="C60" s="22" t="s">
        <v>23</v>
      </c>
      <c r="D60" s="20" t="s">
        <v>174</v>
      </c>
      <c r="E60" s="20" t="s">
        <v>19</v>
      </c>
      <c r="F60" s="24" t="s">
        <v>121</v>
      </c>
      <c r="G60" s="49" t="s">
        <v>175</v>
      </c>
      <c r="H60" s="56">
        <v>22132.799999999999</v>
      </c>
      <c r="I60" s="20">
        <v>45673</v>
      </c>
      <c r="J60" s="18"/>
      <c r="K60" s="18" t="s">
        <v>19</v>
      </c>
      <c r="L60" s="61">
        <v>48</v>
      </c>
      <c r="M60" s="61">
        <v>2</v>
      </c>
      <c r="N60" s="19">
        <v>45673</v>
      </c>
      <c r="O60" s="18" t="s">
        <v>21</v>
      </c>
      <c r="P60" s="18" t="s">
        <v>25</v>
      </c>
      <c r="Q60" s="18" t="s">
        <v>101</v>
      </c>
      <c r="R60" s="18" t="s">
        <v>136</v>
      </c>
      <c r="S60" s="18">
        <v>5202</v>
      </c>
      <c r="T60" s="18" t="s">
        <v>22</v>
      </c>
      <c r="U60" s="18" t="s">
        <v>19</v>
      </c>
      <c r="V60" s="17"/>
    </row>
    <row r="61" spans="1:22" x14ac:dyDescent="0.3">
      <c r="A61" s="18" t="e">
        <f t="shared" si="2"/>
        <v>#REF!</v>
      </c>
      <c r="B61" s="17">
        <v>50</v>
      </c>
      <c r="C61" s="22" t="s">
        <v>23</v>
      </c>
      <c r="D61" s="20" t="s">
        <v>176</v>
      </c>
      <c r="E61" s="20" t="s">
        <v>19</v>
      </c>
      <c r="F61" s="21" t="s">
        <v>53</v>
      </c>
      <c r="G61" s="49" t="s">
        <v>177</v>
      </c>
      <c r="H61" s="56">
        <v>115575.6</v>
      </c>
      <c r="I61" s="20">
        <v>45673</v>
      </c>
      <c r="J61" s="18"/>
      <c r="K61" s="18" t="s">
        <v>19</v>
      </c>
      <c r="L61" s="61">
        <v>264</v>
      </c>
      <c r="M61" s="61">
        <v>11</v>
      </c>
      <c r="N61" s="19">
        <v>45673</v>
      </c>
      <c r="O61" s="18" t="s">
        <v>21</v>
      </c>
      <c r="P61" s="18" t="s">
        <v>25</v>
      </c>
      <c r="Q61" s="18" t="s">
        <v>101</v>
      </c>
      <c r="R61" s="18" t="s">
        <v>136</v>
      </c>
      <c r="S61" s="18">
        <v>5203</v>
      </c>
      <c r="T61" s="18" t="s">
        <v>22</v>
      </c>
      <c r="U61" s="18" t="s">
        <v>19</v>
      </c>
      <c r="V61" s="17"/>
    </row>
    <row r="62" spans="1:22" x14ac:dyDescent="0.3">
      <c r="A62" s="18" t="e">
        <f t="shared" si="2"/>
        <v>#REF!</v>
      </c>
      <c r="B62" s="17">
        <v>50</v>
      </c>
      <c r="C62" s="22" t="s">
        <v>23</v>
      </c>
      <c r="D62" s="20" t="s">
        <v>178</v>
      </c>
      <c r="E62" s="20" t="s">
        <v>19</v>
      </c>
      <c r="F62" s="21" t="s">
        <v>28</v>
      </c>
      <c r="G62" s="49" t="s">
        <v>179</v>
      </c>
      <c r="H62" s="56">
        <v>12285.12</v>
      </c>
      <c r="I62" s="20">
        <v>45673</v>
      </c>
      <c r="J62" s="18"/>
      <c r="K62" s="18" t="s">
        <v>19</v>
      </c>
      <c r="L62" s="61">
        <v>48</v>
      </c>
      <c r="M62" s="61">
        <v>2</v>
      </c>
      <c r="N62" s="19">
        <v>45673</v>
      </c>
      <c r="O62" s="18" t="s">
        <v>21</v>
      </c>
      <c r="P62" s="18" t="s">
        <v>25</v>
      </c>
      <c r="Q62" s="18" t="s">
        <v>101</v>
      </c>
      <c r="R62" s="18" t="s">
        <v>136</v>
      </c>
      <c r="S62" s="18">
        <v>5204</v>
      </c>
      <c r="T62" s="18" t="s">
        <v>22</v>
      </c>
      <c r="U62" s="18" t="s">
        <v>19</v>
      </c>
      <c r="V62" s="17"/>
    </row>
    <row r="63" spans="1:22" x14ac:dyDescent="0.3">
      <c r="A63" s="18" t="e">
        <f t="shared" si="2"/>
        <v>#REF!</v>
      </c>
      <c r="B63" s="17">
        <v>51</v>
      </c>
      <c r="C63" s="22" t="s">
        <v>20</v>
      </c>
      <c r="D63" s="20" t="s">
        <v>180</v>
      </c>
      <c r="E63" s="20">
        <v>45665</v>
      </c>
      <c r="F63" s="21" t="s">
        <v>53</v>
      </c>
      <c r="G63" s="49" t="s">
        <v>181</v>
      </c>
      <c r="H63" s="56">
        <v>59976.05</v>
      </c>
      <c r="I63" s="20">
        <v>45674</v>
      </c>
      <c r="J63" s="18"/>
      <c r="K63" s="18" t="s">
        <v>19</v>
      </c>
      <c r="L63" s="61">
        <v>50</v>
      </c>
      <c r="M63" s="61">
        <v>5</v>
      </c>
      <c r="N63" s="19">
        <v>45674</v>
      </c>
      <c r="O63" s="18" t="s">
        <v>21</v>
      </c>
      <c r="P63" s="18" t="s">
        <v>25</v>
      </c>
      <c r="Q63" s="18" t="s">
        <v>182</v>
      </c>
      <c r="R63" s="18" t="s">
        <v>136</v>
      </c>
      <c r="S63" s="18">
        <v>5152</v>
      </c>
      <c r="T63" s="18" t="s">
        <v>22</v>
      </c>
      <c r="U63" s="18" t="s">
        <v>19</v>
      </c>
      <c r="V63" s="17"/>
    </row>
    <row r="64" spans="1:22" x14ac:dyDescent="0.3">
      <c r="A64" s="18" t="e">
        <f t="shared" si="2"/>
        <v>#REF!</v>
      </c>
      <c r="B64" s="17">
        <v>51</v>
      </c>
      <c r="C64" s="22" t="s">
        <v>23</v>
      </c>
      <c r="D64" s="20" t="s">
        <v>183</v>
      </c>
      <c r="E64" s="20" t="s">
        <v>19</v>
      </c>
      <c r="F64" s="21" t="s">
        <v>24</v>
      </c>
      <c r="G64" s="49" t="s">
        <v>184</v>
      </c>
      <c r="H64" s="56">
        <v>630053.04</v>
      </c>
      <c r="I64" s="20">
        <v>45674</v>
      </c>
      <c r="J64" s="18"/>
      <c r="K64" s="18" t="s">
        <v>19</v>
      </c>
      <c r="L64" s="61">
        <v>1596</v>
      </c>
      <c r="M64" s="61">
        <v>84</v>
      </c>
      <c r="N64" s="19">
        <v>45674</v>
      </c>
      <c r="O64" s="18" t="s">
        <v>21</v>
      </c>
      <c r="P64" s="18" t="s">
        <v>25</v>
      </c>
      <c r="Q64" s="18" t="s">
        <v>182</v>
      </c>
      <c r="R64" s="18" t="s">
        <v>136</v>
      </c>
      <c r="S64" s="18">
        <v>5209</v>
      </c>
      <c r="T64" s="18" t="s">
        <v>22</v>
      </c>
      <c r="U64" s="18" t="s">
        <v>19</v>
      </c>
      <c r="V64" s="17"/>
    </row>
    <row r="65" spans="1:22" x14ac:dyDescent="0.3">
      <c r="A65" s="18" t="e">
        <f t="shared" si="2"/>
        <v>#REF!</v>
      </c>
      <c r="B65" s="17">
        <v>51</v>
      </c>
      <c r="C65" s="22" t="s">
        <v>20</v>
      </c>
      <c r="D65" s="20" t="s">
        <v>185</v>
      </c>
      <c r="E65" s="20">
        <v>45668</v>
      </c>
      <c r="F65" s="21" t="s">
        <v>33</v>
      </c>
      <c r="G65" s="49" t="s">
        <v>186</v>
      </c>
      <c r="H65" s="56">
        <v>54062.78</v>
      </c>
      <c r="I65" s="20">
        <v>45674</v>
      </c>
      <c r="J65" s="18"/>
      <c r="K65" s="18" t="s">
        <v>19</v>
      </c>
      <c r="L65" s="61">
        <v>52</v>
      </c>
      <c r="M65" s="61">
        <v>5</v>
      </c>
      <c r="N65" s="19">
        <v>45674</v>
      </c>
      <c r="O65" s="18" t="s">
        <v>21</v>
      </c>
      <c r="P65" s="18" t="s">
        <v>25</v>
      </c>
      <c r="Q65" s="18" t="s">
        <v>182</v>
      </c>
      <c r="R65" s="18" t="s">
        <v>136</v>
      </c>
      <c r="S65" s="18">
        <v>5210</v>
      </c>
      <c r="T65" s="18" t="s">
        <v>22</v>
      </c>
      <c r="U65" s="18" t="s">
        <v>19</v>
      </c>
      <c r="V65" s="17"/>
    </row>
    <row r="66" spans="1:22" x14ac:dyDescent="0.3">
      <c r="A66" s="18" t="e">
        <f t="shared" si="2"/>
        <v>#REF!</v>
      </c>
      <c r="B66" s="17">
        <v>51</v>
      </c>
      <c r="C66" s="22" t="s">
        <v>20</v>
      </c>
      <c r="D66" s="20" t="s">
        <v>187</v>
      </c>
      <c r="E66" s="20" t="s">
        <v>19</v>
      </c>
      <c r="F66" s="21" t="s">
        <v>33</v>
      </c>
      <c r="G66" s="49" t="s">
        <v>188</v>
      </c>
      <c r="H66" s="56">
        <v>150334.46</v>
      </c>
      <c r="I66" s="20">
        <v>45674</v>
      </c>
      <c r="J66" s="18"/>
      <c r="K66" s="18" t="s">
        <v>19</v>
      </c>
      <c r="L66" s="61">
        <v>124</v>
      </c>
      <c r="M66" s="61">
        <v>12</v>
      </c>
      <c r="N66" s="19">
        <v>45674</v>
      </c>
      <c r="O66" s="18" t="s">
        <v>21</v>
      </c>
      <c r="P66" s="18" t="s">
        <v>25</v>
      </c>
      <c r="Q66" s="18" t="s">
        <v>182</v>
      </c>
      <c r="R66" s="18" t="s">
        <v>136</v>
      </c>
      <c r="S66" s="18">
        <v>5213</v>
      </c>
      <c r="T66" s="18" t="s">
        <v>22</v>
      </c>
      <c r="U66" s="18" t="s">
        <v>19</v>
      </c>
      <c r="V66" s="17"/>
    </row>
    <row r="67" spans="1:22" x14ac:dyDescent="0.3">
      <c r="A67" s="18" t="e">
        <f t="shared" si="2"/>
        <v>#REF!</v>
      </c>
      <c r="B67" s="17">
        <v>51</v>
      </c>
      <c r="C67" s="22" t="s">
        <v>20</v>
      </c>
      <c r="D67" s="20" t="s">
        <v>189</v>
      </c>
      <c r="E67" s="20">
        <v>45668</v>
      </c>
      <c r="F67" s="21" t="s">
        <v>53</v>
      </c>
      <c r="G67" s="49" t="s">
        <v>190</v>
      </c>
      <c r="H67" s="56">
        <v>519745.3</v>
      </c>
      <c r="I67" s="20">
        <v>45674</v>
      </c>
      <c r="J67" s="18"/>
      <c r="K67" s="18" t="s">
        <v>19</v>
      </c>
      <c r="L67" s="61">
        <v>450</v>
      </c>
      <c r="M67" s="61">
        <v>45</v>
      </c>
      <c r="N67" s="19">
        <v>45674</v>
      </c>
      <c r="O67" s="18" t="s">
        <v>21</v>
      </c>
      <c r="P67" s="18" t="s">
        <v>25</v>
      </c>
      <c r="Q67" s="18" t="s">
        <v>182</v>
      </c>
      <c r="R67" s="18" t="s">
        <v>136</v>
      </c>
      <c r="S67" s="18">
        <v>5152</v>
      </c>
      <c r="T67" s="18" t="s">
        <v>22</v>
      </c>
      <c r="U67" s="18" t="s">
        <v>19</v>
      </c>
      <c r="V67" s="17"/>
    </row>
    <row r="68" spans="1:22" x14ac:dyDescent="0.3">
      <c r="A68" s="18" t="e">
        <f t="shared" si="2"/>
        <v>#REF!</v>
      </c>
      <c r="B68" s="17">
        <v>51</v>
      </c>
      <c r="C68" s="22" t="s">
        <v>20</v>
      </c>
      <c r="D68" s="20" t="s">
        <v>191</v>
      </c>
      <c r="E68" s="20">
        <v>45665</v>
      </c>
      <c r="F68" s="26" t="s">
        <v>129</v>
      </c>
      <c r="G68" s="49" t="s">
        <v>192</v>
      </c>
      <c r="H68" s="56">
        <v>27589.200000000001</v>
      </c>
      <c r="I68" s="20">
        <v>45674</v>
      </c>
      <c r="J68" s="18"/>
      <c r="K68" s="18" t="s">
        <v>19</v>
      </c>
      <c r="L68" s="61">
        <v>30</v>
      </c>
      <c r="M68" s="61">
        <v>3</v>
      </c>
      <c r="N68" s="19">
        <v>45674</v>
      </c>
      <c r="O68" s="18" t="s">
        <v>21</v>
      </c>
      <c r="P68" s="18" t="s">
        <v>25</v>
      </c>
      <c r="Q68" s="18" t="s">
        <v>182</v>
      </c>
      <c r="R68" s="18" t="s">
        <v>136</v>
      </c>
      <c r="S68" s="18">
        <v>5152</v>
      </c>
      <c r="T68" s="18" t="s">
        <v>22</v>
      </c>
      <c r="U68" s="18" t="s">
        <v>19</v>
      </c>
      <c r="V68" s="17"/>
    </row>
    <row r="69" spans="1:22" x14ac:dyDescent="0.3">
      <c r="A69" s="18" t="e">
        <f t="shared" si="2"/>
        <v>#REF!</v>
      </c>
      <c r="B69" s="17">
        <v>52</v>
      </c>
      <c r="C69" s="22" t="s">
        <v>20</v>
      </c>
      <c r="D69" s="20" t="s">
        <v>193</v>
      </c>
      <c r="E69" s="20" t="s">
        <v>19</v>
      </c>
      <c r="F69" s="24" t="s">
        <v>51</v>
      </c>
      <c r="G69" s="49" t="s">
        <v>194</v>
      </c>
      <c r="H69" s="56"/>
      <c r="I69" s="20">
        <v>45657</v>
      </c>
      <c r="J69" s="18"/>
      <c r="K69" s="18" t="s">
        <v>19</v>
      </c>
      <c r="L69" s="61">
        <v>458</v>
      </c>
      <c r="M69" s="61">
        <v>44</v>
      </c>
      <c r="N69" s="19">
        <v>45660</v>
      </c>
      <c r="O69" s="18" t="s">
        <v>21</v>
      </c>
      <c r="P69" s="18" t="s">
        <v>25</v>
      </c>
      <c r="Q69" s="18" t="s">
        <v>127</v>
      </c>
      <c r="R69" s="18" t="s">
        <v>136</v>
      </c>
      <c r="S69" s="18">
        <v>1585</v>
      </c>
      <c r="T69" s="18" t="s">
        <v>22</v>
      </c>
      <c r="U69" s="18" t="s">
        <v>19</v>
      </c>
      <c r="V69" s="17"/>
    </row>
    <row r="70" spans="1:22" x14ac:dyDescent="0.3">
      <c r="A70" s="18" t="e">
        <f t="shared" si="2"/>
        <v>#REF!</v>
      </c>
      <c r="B70" s="17">
        <v>52</v>
      </c>
      <c r="C70" s="22" t="s">
        <v>20</v>
      </c>
      <c r="D70" s="20" t="s">
        <v>195</v>
      </c>
      <c r="E70" s="20" t="s">
        <v>19</v>
      </c>
      <c r="F70" s="21" t="s">
        <v>47</v>
      </c>
      <c r="G70" s="49" t="s">
        <v>196</v>
      </c>
      <c r="H70" s="56"/>
      <c r="I70" s="20">
        <v>45657</v>
      </c>
      <c r="J70" s="18"/>
      <c r="K70" s="18" t="s">
        <v>19</v>
      </c>
      <c r="L70" s="61">
        <v>90</v>
      </c>
      <c r="M70" s="61">
        <v>9</v>
      </c>
      <c r="N70" s="19">
        <v>45660</v>
      </c>
      <c r="O70" s="18" t="s">
        <v>21</v>
      </c>
      <c r="P70" s="18" t="s">
        <v>25</v>
      </c>
      <c r="Q70" s="18" t="s">
        <v>127</v>
      </c>
      <c r="R70" s="18" t="s">
        <v>136</v>
      </c>
      <c r="S70" s="18">
        <v>1584</v>
      </c>
      <c r="T70" s="18" t="s">
        <v>22</v>
      </c>
      <c r="U70" s="18" t="s">
        <v>19</v>
      </c>
      <c r="V70" s="17"/>
    </row>
    <row r="71" spans="1:22" x14ac:dyDescent="0.3">
      <c r="A71" s="18" t="e">
        <f t="shared" si="2"/>
        <v>#REF!</v>
      </c>
      <c r="B71" s="17">
        <v>52</v>
      </c>
      <c r="C71" s="22" t="s">
        <v>20</v>
      </c>
      <c r="D71" s="20" t="s">
        <v>197</v>
      </c>
      <c r="E71" s="20" t="s">
        <v>19</v>
      </c>
      <c r="F71" s="21" t="s">
        <v>64</v>
      </c>
      <c r="G71" s="49" t="s">
        <v>198</v>
      </c>
      <c r="H71" s="56"/>
      <c r="I71" s="20">
        <v>45657</v>
      </c>
      <c r="J71" s="18"/>
      <c r="K71" s="18" t="s">
        <v>19</v>
      </c>
      <c r="L71" s="61">
        <v>486</v>
      </c>
      <c r="M71" s="61">
        <v>49</v>
      </c>
      <c r="N71" s="19">
        <v>45660</v>
      </c>
      <c r="O71" s="18" t="s">
        <v>21</v>
      </c>
      <c r="P71" s="18" t="s">
        <v>25</v>
      </c>
      <c r="Q71" s="18" t="s">
        <v>127</v>
      </c>
      <c r="R71" s="18" t="s">
        <v>136</v>
      </c>
      <c r="S71" s="18">
        <v>1583</v>
      </c>
      <c r="T71" s="18" t="s">
        <v>22</v>
      </c>
      <c r="U71" s="18" t="s">
        <v>19</v>
      </c>
      <c r="V71" s="17"/>
    </row>
    <row r="72" spans="1:22" x14ac:dyDescent="0.3">
      <c r="A72" s="18" t="e">
        <f t="shared" si="2"/>
        <v>#REF!</v>
      </c>
      <c r="B72" s="17">
        <v>52</v>
      </c>
      <c r="C72" s="22" t="s">
        <v>20</v>
      </c>
      <c r="D72" s="20" t="s">
        <v>199</v>
      </c>
      <c r="E72" s="20" t="s">
        <v>19</v>
      </c>
      <c r="F72" s="21" t="s">
        <v>64</v>
      </c>
      <c r="G72" s="49" t="s">
        <v>200</v>
      </c>
      <c r="H72" s="56"/>
      <c r="I72" s="20">
        <v>45657</v>
      </c>
      <c r="J72" s="18"/>
      <c r="K72" s="18" t="s">
        <v>19</v>
      </c>
      <c r="L72" s="61">
        <v>504</v>
      </c>
      <c r="M72" s="61">
        <v>51</v>
      </c>
      <c r="N72" s="19">
        <v>45660</v>
      </c>
      <c r="O72" s="18" t="s">
        <v>21</v>
      </c>
      <c r="P72" s="18" t="s">
        <v>25</v>
      </c>
      <c r="Q72" s="18" t="s">
        <v>127</v>
      </c>
      <c r="R72" s="18" t="s">
        <v>136</v>
      </c>
      <c r="S72" s="18">
        <v>1583</v>
      </c>
      <c r="T72" s="18" t="s">
        <v>22</v>
      </c>
      <c r="U72" s="18" t="s">
        <v>19</v>
      </c>
      <c r="V72" s="17"/>
    </row>
    <row r="73" spans="1:22" x14ac:dyDescent="0.3">
      <c r="A73" s="18" t="e">
        <f t="shared" si="2"/>
        <v>#REF!</v>
      </c>
      <c r="B73" s="17">
        <v>52</v>
      </c>
      <c r="C73" s="22" t="s">
        <v>20</v>
      </c>
      <c r="D73" s="20" t="s">
        <v>201</v>
      </c>
      <c r="E73" s="20" t="s">
        <v>19</v>
      </c>
      <c r="F73" s="25" t="s">
        <v>122</v>
      </c>
      <c r="G73" s="49" t="s">
        <v>202</v>
      </c>
      <c r="H73" s="56"/>
      <c r="I73" s="20">
        <v>45657</v>
      </c>
      <c r="J73" s="18"/>
      <c r="K73" s="18" t="s">
        <v>19</v>
      </c>
      <c r="L73" s="61">
        <v>1150</v>
      </c>
      <c r="M73" s="61">
        <v>116</v>
      </c>
      <c r="N73" s="19">
        <v>45660</v>
      </c>
      <c r="O73" s="18" t="s">
        <v>21</v>
      </c>
      <c r="P73" s="18" t="s">
        <v>25</v>
      </c>
      <c r="Q73" s="18" t="s">
        <v>127</v>
      </c>
      <c r="R73" s="18" t="s">
        <v>136</v>
      </c>
      <c r="S73" s="18">
        <v>1582</v>
      </c>
      <c r="T73" s="18" t="s">
        <v>22</v>
      </c>
      <c r="U73" s="18" t="s">
        <v>19</v>
      </c>
      <c r="V73" s="17"/>
    </row>
    <row r="74" spans="1:22" x14ac:dyDescent="0.3">
      <c r="A74" s="18" t="e">
        <f t="shared" si="2"/>
        <v>#REF!</v>
      </c>
      <c r="B74" s="17">
        <v>52</v>
      </c>
      <c r="C74" s="22" t="s">
        <v>20</v>
      </c>
      <c r="D74" s="20" t="s">
        <v>203</v>
      </c>
      <c r="E74" s="20" t="s">
        <v>19</v>
      </c>
      <c r="F74" s="21" t="s">
        <v>35</v>
      </c>
      <c r="G74" s="49" t="s">
        <v>204</v>
      </c>
      <c r="H74" s="56"/>
      <c r="I74" s="20">
        <v>45657</v>
      </c>
      <c r="J74" s="18"/>
      <c r="K74" s="18" t="s">
        <v>19</v>
      </c>
      <c r="L74" s="61">
        <v>150</v>
      </c>
      <c r="M74" s="61">
        <v>15</v>
      </c>
      <c r="N74" s="19">
        <v>45660</v>
      </c>
      <c r="O74" s="18" t="s">
        <v>21</v>
      </c>
      <c r="P74" s="18" t="s">
        <v>25</v>
      </c>
      <c r="Q74" s="18" t="s">
        <v>127</v>
      </c>
      <c r="R74" s="18" t="s">
        <v>136</v>
      </c>
      <c r="S74" s="18">
        <v>1586</v>
      </c>
      <c r="T74" s="18" t="s">
        <v>22</v>
      </c>
      <c r="U74" s="18" t="s">
        <v>19</v>
      </c>
      <c r="V74" s="17"/>
    </row>
    <row r="75" spans="1:22" x14ac:dyDescent="0.3">
      <c r="A75" s="18" t="e">
        <f t="shared" si="2"/>
        <v>#REF!</v>
      </c>
      <c r="B75" s="17">
        <v>53</v>
      </c>
      <c r="C75" s="22" t="s">
        <v>23</v>
      </c>
      <c r="D75" s="20" t="s">
        <v>205</v>
      </c>
      <c r="E75" s="20" t="s">
        <v>19</v>
      </c>
      <c r="F75" s="25" t="s">
        <v>119</v>
      </c>
      <c r="G75" s="49" t="s">
        <v>206</v>
      </c>
      <c r="H75" s="56">
        <v>14747.04</v>
      </c>
      <c r="I75" s="20">
        <v>45660</v>
      </c>
      <c r="J75" s="18"/>
      <c r="K75" s="18" t="s">
        <v>19</v>
      </c>
      <c r="L75" s="61">
        <v>48</v>
      </c>
      <c r="M75" s="61">
        <v>2</v>
      </c>
      <c r="N75" s="19">
        <v>45661</v>
      </c>
      <c r="O75" s="18" t="s">
        <v>21</v>
      </c>
      <c r="P75" s="18" t="s">
        <v>25</v>
      </c>
      <c r="Q75" s="18" t="s">
        <v>125</v>
      </c>
      <c r="R75" s="18" t="s">
        <v>136</v>
      </c>
      <c r="S75" s="18">
        <v>1588</v>
      </c>
      <c r="T75" s="18" t="s">
        <v>22</v>
      </c>
      <c r="U75" s="18" t="s">
        <v>19</v>
      </c>
      <c r="V75" s="17"/>
    </row>
    <row r="76" spans="1:22" x14ac:dyDescent="0.3">
      <c r="A76" s="18" t="e">
        <f t="shared" si="2"/>
        <v>#REF!</v>
      </c>
      <c r="B76" s="17">
        <v>53</v>
      </c>
      <c r="C76" s="22" t="s">
        <v>23</v>
      </c>
      <c r="D76" s="20" t="s">
        <v>207</v>
      </c>
      <c r="E76" s="20" t="s">
        <v>19</v>
      </c>
      <c r="F76" s="21" t="s">
        <v>47</v>
      </c>
      <c r="G76" s="50" t="s">
        <v>208</v>
      </c>
      <c r="H76" s="56">
        <v>14747.04</v>
      </c>
      <c r="I76" s="20">
        <v>45660</v>
      </c>
      <c r="J76" s="18"/>
      <c r="K76" s="18" t="s">
        <v>19</v>
      </c>
      <c r="L76" s="61">
        <v>48</v>
      </c>
      <c r="M76" s="61">
        <v>2</v>
      </c>
      <c r="N76" s="19">
        <v>45661</v>
      </c>
      <c r="O76" s="18" t="s">
        <v>21</v>
      </c>
      <c r="P76" s="18" t="s">
        <v>25</v>
      </c>
      <c r="Q76" s="18" t="s">
        <v>125</v>
      </c>
      <c r="R76" s="18" t="s">
        <v>136</v>
      </c>
      <c r="S76" s="18">
        <v>1598</v>
      </c>
      <c r="T76" s="18" t="s">
        <v>22</v>
      </c>
      <c r="U76" s="18" t="s">
        <v>19</v>
      </c>
      <c r="V76" s="17" t="s">
        <v>1019</v>
      </c>
    </row>
    <row r="77" spans="1:22" x14ac:dyDescent="0.3">
      <c r="A77" s="18" t="e">
        <f t="shared" si="2"/>
        <v>#REF!</v>
      </c>
      <c r="B77" s="17">
        <v>53</v>
      </c>
      <c r="C77" s="22" t="s">
        <v>20</v>
      </c>
      <c r="D77" s="20" t="s">
        <v>209</v>
      </c>
      <c r="E77" s="20" t="s">
        <v>19</v>
      </c>
      <c r="F77" s="21" t="s">
        <v>49</v>
      </c>
      <c r="G77" s="49" t="s">
        <v>210</v>
      </c>
      <c r="H77" s="56">
        <v>118899.1</v>
      </c>
      <c r="I77" s="20">
        <v>45660</v>
      </c>
      <c r="J77" s="18"/>
      <c r="K77" s="18" t="s">
        <v>19</v>
      </c>
      <c r="L77" s="61">
        <v>110</v>
      </c>
      <c r="M77" s="61">
        <v>11</v>
      </c>
      <c r="N77" s="19">
        <v>45661</v>
      </c>
      <c r="O77" s="18" t="s">
        <v>21</v>
      </c>
      <c r="P77" s="18" t="s">
        <v>25</v>
      </c>
      <c r="Q77" s="18" t="s">
        <v>125</v>
      </c>
      <c r="R77" s="18" t="s">
        <v>136</v>
      </c>
      <c r="S77" s="18">
        <v>1597</v>
      </c>
      <c r="T77" s="18" t="s">
        <v>22</v>
      </c>
      <c r="U77" s="18" t="s">
        <v>19</v>
      </c>
      <c r="V77" s="17"/>
    </row>
    <row r="78" spans="1:22" x14ac:dyDescent="0.3">
      <c r="A78" s="18" t="e">
        <f t="shared" si="2"/>
        <v>#REF!</v>
      </c>
      <c r="B78" s="17">
        <v>53</v>
      </c>
      <c r="C78" s="22" t="s">
        <v>23</v>
      </c>
      <c r="D78" s="20" t="s">
        <v>207</v>
      </c>
      <c r="E78" s="20" t="s">
        <v>19</v>
      </c>
      <c r="F78" s="23" t="s">
        <v>68</v>
      </c>
      <c r="G78" s="49" t="s">
        <v>211</v>
      </c>
      <c r="H78" s="56">
        <v>78055.199999999997</v>
      </c>
      <c r="I78" s="20">
        <v>45661</v>
      </c>
      <c r="J78" s="18"/>
      <c r="K78" s="18" t="s">
        <v>19</v>
      </c>
      <c r="L78" s="61">
        <v>216</v>
      </c>
      <c r="M78" s="61">
        <v>9</v>
      </c>
      <c r="N78" s="19">
        <v>45661</v>
      </c>
      <c r="O78" s="18" t="s">
        <v>21</v>
      </c>
      <c r="P78" s="18" t="s">
        <v>25</v>
      </c>
      <c r="Q78" s="18" t="s">
        <v>125</v>
      </c>
      <c r="R78" s="18" t="s">
        <v>136</v>
      </c>
      <c r="S78" s="18">
        <v>1596</v>
      </c>
      <c r="T78" s="18" t="s">
        <v>22</v>
      </c>
      <c r="U78" s="18" t="s">
        <v>19</v>
      </c>
      <c r="V78" s="17"/>
    </row>
    <row r="79" spans="1:22" x14ac:dyDescent="0.3">
      <c r="A79" s="18" t="e">
        <f t="shared" si="2"/>
        <v>#REF!</v>
      </c>
      <c r="B79" s="17">
        <v>53</v>
      </c>
      <c r="C79" s="22" t="s">
        <v>20</v>
      </c>
      <c r="D79" s="20" t="s">
        <v>212</v>
      </c>
      <c r="E79" s="20" t="s">
        <v>19</v>
      </c>
      <c r="F79" s="23" t="s">
        <v>68</v>
      </c>
      <c r="G79" s="49" t="s">
        <v>213</v>
      </c>
      <c r="H79" s="56">
        <v>185412</v>
      </c>
      <c r="I79" s="20">
        <v>45661</v>
      </c>
      <c r="J79" s="18"/>
      <c r="K79" s="18" t="s">
        <v>19</v>
      </c>
      <c r="L79" s="61">
        <v>160</v>
      </c>
      <c r="M79" s="61">
        <v>16</v>
      </c>
      <c r="N79" s="19">
        <v>45661</v>
      </c>
      <c r="O79" s="18" t="s">
        <v>21</v>
      </c>
      <c r="P79" s="18" t="s">
        <v>25</v>
      </c>
      <c r="Q79" s="18" t="s">
        <v>125</v>
      </c>
      <c r="R79" s="18" t="s">
        <v>136</v>
      </c>
      <c r="S79" s="18">
        <v>1597</v>
      </c>
      <c r="T79" s="18" t="s">
        <v>22</v>
      </c>
      <c r="U79" s="18" t="s">
        <v>19</v>
      </c>
      <c r="V79" s="17"/>
    </row>
    <row r="80" spans="1:22" x14ac:dyDescent="0.3">
      <c r="A80" s="18" t="e">
        <f t="shared" si="2"/>
        <v>#REF!</v>
      </c>
      <c r="B80" s="17">
        <v>53</v>
      </c>
      <c r="C80" s="22" t="s">
        <v>20</v>
      </c>
      <c r="D80" s="20" t="s">
        <v>214</v>
      </c>
      <c r="E80" s="20" t="s">
        <v>19</v>
      </c>
      <c r="F80" s="21" t="s">
        <v>53</v>
      </c>
      <c r="G80" s="49" t="s">
        <v>215</v>
      </c>
      <c r="H80" s="56"/>
      <c r="I80" s="20">
        <v>45657</v>
      </c>
      <c r="J80" s="18"/>
      <c r="K80" s="18" t="s">
        <v>19</v>
      </c>
      <c r="L80" s="61">
        <v>450</v>
      </c>
      <c r="M80" s="61">
        <v>45</v>
      </c>
      <c r="N80" s="19">
        <v>45661</v>
      </c>
      <c r="O80" s="18" t="s">
        <v>21</v>
      </c>
      <c r="P80" s="18" t="s">
        <v>25</v>
      </c>
      <c r="Q80" s="18" t="s">
        <v>125</v>
      </c>
      <c r="R80" s="18" t="s">
        <v>136</v>
      </c>
      <c r="S80" s="18">
        <v>1595</v>
      </c>
      <c r="T80" s="18" t="s">
        <v>22</v>
      </c>
      <c r="U80" s="18" t="s">
        <v>19</v>
      </c>
      <c r="V80" s="17"/>
    </row>
    <row r="81" spans="1:22" x14ac:dyDescent="0.3">
      <c r="A81" s="18" t="e">
        <f t="shared" si="2"/>
        <v>#REF!</v>
      </c>
      <c r="B81" s="17">
        <v>53</v>
      </c>
      <c r="C81" s="22" t="s">
        <v>20</v>
      </c>
      <c r="D81" s="20" t="s">
        <v>216</v>
      </c>
      <c r="E81" s="20" t="s">
        <v>19</v>
      </c>
      <c r="F81" s="24" t="s">
        <v>51</v>
      </c>
      <c r="G81" s="49" t="s">
        <v>217</v>
      </c>
      <c r="H81" s="56"/>
      <c r="I81" s="20">
        <v>45657</v>
      </c>
      <c r="J81" s="18"/>
      <c r="K81" s="18" t="s">
        <v>19</v>
      </c>
      <c r="L81" s="61">
        <v>250</v>
      </c>
      <c r="M81" s="61">
        <v>25</v>
      </c>
      <c r="N81" s="19">
        <v>45661</v>
      </c>
      <c r="O81" s="18" t="s">
        <v>21</v>
      </c>
      <c r="P81" s="18" t="s">
        <v>25</v>
      </c>
      <c r="Q81" s="18" t="s">
        <v>125</v>
      </c>
      <c r="R81" s="18" t="s">
        <v>136</v>
      </c>
      <c r="S81" s="18">
        <v>1589</v>
      </c>
      <c r="T81" s="18" t="s">
        <v>22</v>
      </c>
      <c r="U81" s="18" t="s">
        <v>19</v>
      </c>
      <c r="V81" s="17"/>
    </row>
    <row r="82" spans="1:22" x14ac:dyDescent="0.3">
      <c r="A82" s="18" t="e">
        <f t="shared" si="2"/>
        <v>#REF!</v>
      </c>
      <c r="B82" s="17">
        <v>53</v>
      </c>
      <c r="C82" s="22" t="s">
        <v>20</v>
      </c>
      <c r="D82" s="20" t="s">
        <v>218</v>
      </c>
      <c r="E82" s="20" t="s">
        <v>19</v>
      </c>
      <c r="F82" s="26" t="s">
        <v>117</v>
      </c>
      <c r="G82" s="49" t="s">
        <v>219</v>
      </c>
      <c r="H82" s="56">
        <v>256918.26</v>
      </c>
      <c r="I82" s="20">
        <v>45660</v>
      </c>
      <c r="J82" s="18"/>
      <c r="K82" s="18" t="s">
        <v>19</v>
      </c>
      <c r="L82" s="61">
        <v>214</v>
      </c>
      <c r="M82" s="61">
        <v>21</v>
      </c>
      <c r="N82" s="19">
        <v>45661</v>
      </c>
      <c r="O82" s="18" t="s">
        <v>21</v>
      </c>
      <c r="P82" s="18" t="s">
        <v>25</v>
      </c>
      <c r="Q82" s="18" t="s">
        <v>125</v>
      </c>
      <c r="R82" s="18" t="s">
        <v>136</v>
      </c>
      <c r="S82" s="18">
        <v>1590</v>
      </c>
      <c r="T82" s="18" t="s">
        <v>22</v>
      </c>
      <c r="U82" s="18" t="s">
        <v>19</v>
      </c>
      <c r="V82" s="17"/>
    </row>
    <row r="83" spans="1:22" x14ac:dyDescent="0.3">
      <c r="A83" s="18" t="e">
        <f t="shared" si="2"/>
        <v>#REF!</v>
      </c>
      <c r="B83" s="17">
        <v>53</v>
      </c>
      <c r="C83" s="22" t="s">
        <v>20</v>
      </c>
      <c r="D83" s="20" t="s">
        <v>220</v>
      </c>
      <c r="E83" s="20" t="s">
        <v>19</v>
      </c>
      <c r="F83" s="25" t="s">
        <v>89</v>
      </c>
      <c r="G83" s="49" t="s">
        <v>221</v>
      </c>
      <c r="H83" s="56">
        <v>61618.28</v>
      </c>
      <c r="I83" s="20">
        <v>45661</v>
      </c>
      <c r="J83" s="18"/>
      <c r="K83" s="18" t="s">
        <v>19</v>
      </c>
      <c r="L83" s="61">
        <v>52</v>
      </c>
      <c r="M83" s="61">
        <v>5</v>
      </c>
      <c r="N83" s="19">
        <v>45661</v>
      </c>
      <c r="O83" s="18" t="s">
        <v>21</v>
      </c>
      <c r="P83" s="18" t="s">
        <v>25</v>
      </c>
      <c r="Q83" s="18" t="s">
        <v>125</v>
      </c>
      <c r="R83" s="18" t="s">
        <v>136</v>
      </c>
      <c r="S83" s="18">
        <v>1591</v>
      </c>
      <c r="T83" s="18" t="s">
        <v>22</v>
      </c>
      <c r="U83" s="18" t="s">
        <v>19</v>
      </c>
      <c r="V83" s="17"/>
    </row>
    <row r="84" spans="1:22" x14ac:dyDescent="0.3">
      <c r="A84" s="18" t="e">
        <f t="shared" si="2"/>
        <v>#REF!</v>
      </c>
      <c r="B84" s="17">
        <v>53</v>
      </c>
      <c r="C84" s="22" t="s">
        <v>20</v>
      </c>
      <c r="D84" s="20" t="s">
        <v>222</v>
      </c>
      <c r="E84" s="20" t="s">
        <v>19</v>
      </c>
      <c r="F84" s="21" t="s">
        <v>132</v>
      </c>
      <c r="G84" s="49" t="s">
        <v>223</v>
      </c>
      <c r="H84" s="56">
        <v>71438.899999999994</v>
      </c>
      <c r="I84" s="20">
        <v>45660</v>
      </c>
      <c r="J84" s="18"/>
      <c r="K84" s="18" t="s">
        <v>19</v>
      </c>
      <c r="L84" s="61">
        <v>60</v>
      </c>
      <c r="M84" s="61">
        <v>6</v>
      </c>
      <c r="N84" s="19">
        <v>45661</v>
      </c>
      <c r="O84" s="18" t="s">
        <v>21</v>
      </c>
      <c r="P84" s="18" t="s">
        <v>25</v>
      </c>
      <c r="Q84" s="18" t="s">
        <v>125</v>
      </c>
      <c r="R84" s="18" t="s">
        <v>136</v>
      </c>
      <c r="S84" s="18">
        <v>1592</v>
      </c>
      <c r="T84" s="18" t="s">
        <v>22</v>
      </c>
      <c r="U84" s="18" t="s">
        <v>19</v>
      </c>
      <c r="V84" s="17"/>
    </row>
    <row r="85" spans="1:22" x14ac:dyDescent="0.3">
      <c r="A85" s="18" t="e">
        <f t="shared" si="2"/>
        <v>#REF!</v>
      </c>
      <c r="B85" s="17">
        <v>53</v>
      </c>
      <c r="C85" s="22" t="s">
        <v>20</v>
      </c>
      <c r="D85" s="20" t="s">
        <v>224</v>
      </c>
      <c r="E85" s="20" t="s">
        <v>19</v>
      </c>
      <c r="F85" s="21" t="s">
        <v>64</v>
      </c>
      <c r="G85" s="49" t="s">
        <v>225</v>
      </c>
      <c r="H85" s="56"/>
      <c r="I85" s="20">
        <v>45657</v>
      </c>
      <c r="J85" s="18"/>
      <c r="K85" s="18" t="s">
        <v>19</v>
      </c>
      <c r="L85" s="61">
        <v>500</v>
      </c>
      <c r="M85" s="61">
        <v>50</v>
      </c>
      <c r="N85" s="19">
        <v>45661</v>
      </c>
      <c r="O85" s="18" t="s">
        <v>21</v>
      </c>
      <c r="P85" s="18" t="s">
        <v>25</v>
      </c>
      <c r="Q85" s="18" t="s">
        <v>125</v>
      </c>
      <c r="R85" s="18" t="s">
        <v>136</v>
      </c>
      <c r="S85" s="18">
        <v>1594</v>
      </c>
      <c r="T85" s="18" t="s">
        <v>22</v>
      </c>
      <c r="U85" s="18" t="s">
        <v>19</v>
      </c>
      <c r="V85" s="17"/>
    </row>
    <row r="86" spans="1:22" x14ac:dyDescent="0.3">
      <c r="A86" s="18" t="e">
        <f t="shared" si="2"/>
        <v>#REF!</v>
      </c>
      <c r="B86" s="17">
        <v>53</v>
      </c>
      <c r="C86" s="22" t="s">
        <v>23</v>
      </c>
      <c r="D86" s="20" t="s">
        <v>226</v>
      </c>
      <c r="E86" s="20" t="s">
        <v>19</v>
      </c>
      <c r="F86" s="21" t="s">
        <v>35</v>
      </c>
      <c r="G86" s="49" t="s">
        <v>227</v>
      </c>
      <c r="H86" s="56">
        <v>12285.12</v>
      </c>
      <c r="I86" s="20">
        <v>45660</v>
      </c>
      <c r="J86" s="18"/>
      <c r="K86" s="18" t="s">
        <v>19</v>
      </c>
      <c r="L86" s="61">
        <v>48</v>
      </c>
      <c r="M86" s="61">
        <v>2</v>
      </c>
      <c r="N86" s="19">
        <v>45661</v>
      </c>
      <c r="O86" s="18" t="s">
        <v>21</v>
      </c>
      <c r="P86" s="18" t="s">
        <v>25</v>
      </c>
      <c r="Q86" s="18" t="s">
        <v>125</v>
      </c>
      <c r="R86" s="18" t="s">
        <v>136</v>
      </c>
      <c r="S86" s="18">
        <v>1593</v>
      </c>
      <c r="T86" s="18" t="s">
        <v>22</v>
      </c>
      <c r="U86" s="18" t="s">
        <v>19</v>
      </c>
      <c r="V86" s="17"/>
    </row>
    <row r="87" spans="1:22" x14ac:dyDescent="0.3">
      <c r="A87" s="18" t="e">
        <f>#REF!+1</f>
        <v>#REF!</v>
      </c>
      <c r="B87" s="17">
        <v>55</v>
      </c>
      <c r="C87" s="22" t="s">
        <v>20</v>
      </c>
      <c r="D87" s="20" t="s">
        <v>228</v>
      </c>
      <c r="E87" s="20">
        <v>45670</v>
      </c>
      <c r="F87" s="21" t="s">
        <v>35</v>
      </c>
      <c r="G87" s="49" t="s">
        <v>229</v>
      </c>
      <c r="H87" s="56">
        <v>99584.46</v>
      </c>
      <c r="I87" s="20">
        <v>45675</v>
      </c>
      <c r="J87" s="18"/>
      <c r="K87" s="18" t="s">
        <v>19</v>
      </c>
      <c r="L87" s="61">
        <v>104</v>
      </c>
      <c r="M87" s="61">
        <v>10</v>
      </c>
      <c r="N87" s="19">
        <v>45675</v>
      </c>
      <c r="O87" s="18" t="s">
        <v>21</v>
      </c>
      <c r="P87" s="18" t="s">
        <v>25</v>
      </c>
      <c r="Q87" s="18" t="s">
        <v>101</v>
      </c>
      <c r="R87" s="18" t="s">
        <v>102</v>
      </c>
      <c r="S87" s="18">
        <v>5216</v>
      </c>
      <c r="T87" s="18" t="s">
        <v>22</v>
      </c>
      <c r="U87" s="18" t="s">
        <v>19</v>
      </c>
      <c r="V87" s="17"/>
    </row>
    <row r="88" spans="1:22" x14ac:dyDescent="0.3">
      <c r="A88" s="18" t="e">
        <f t="shared" si="2"/>
        <v>#REF!</v>
      </c>
      <c r="B88" s="17">
        <v>55</v>
      </c>
      <c r="C88" s="22" t="s">
        <v>23</v>
      </c>
      <c r="D88" s="20" t="s">
        <v>230</v>
      </c>
      <c r="E88" s="20" t="s">
        <v>19</v>
      </c>
      <c r="F88" s="21" t="s">
        <v>35</v>
      </c>
      <c r="G88" s="49" t="s">
        <v>231</v>
      </c>
      <c r="H88" s="56">
        <v>22132.799999999999</v>
      </c>
      <c r="I88" s="20">
        <v>45675</v>
      </c>
      <c r="J88" s="18"/>
      <c r="K88" s="18" t="s">
        <v>19</v>
      </c>
      <c r="L88" s="61">
        <v>48</v>
      </c>
      <c r="M88" s="61">
        <v>2</v>
      </c>
      <c r="N88" s="19">
        <v>45675</v>
      </c>
      <c r="O88" s="18" t="s">
        <v>21</v>
      </c>
      <c r="P88" s="18" t="s">
        <v>25</v>
      </c>
      <c r="Q88" s="18" t="s">
        <v>101</v>
      </c>
      <c r="R88" s="18" t="s">
        <v>102</v>
      </c>
      <c r="S88" s="18">
        <v>5217</v>
      </c>
      <c r="T88" s="18" t="s">
        <v>22</v>
      </c>
      <c r="U88" s="18" t="s">
        <v>19</v>
      </c>
      <c r="V88" s="17"/>
    </row>
    <row r="89" spans="1:22" x14ac:dyDescent="0.3">
      <c r="A89" s="18" t="e">
        <f t="shared" si="2"/>
        <v>#REF!</v>
      </c>
      <c r="B89" s="17">
        <v>55</v>
      </c>
      <c r="C89" s="22" t="s">
        <v>20</v>
      </c>
      <c r="D89" s="20" t="s">
        <v>232</v>
      </c>
      <c r="E89" s="20">
        <v>45670</v>
      </c>
      <c r="F89" s="23" t="s">
        <v>66</v>
      </c>
      <c r="G89" s="49" t="s">
        <v>233</v>
      </c>
      <c r="H89" s="56">
        <v>126849.96</v>
      </c>
      <c r="I89" s="20">
        <v>45675</v>
      </c>
      <c r="J89" s="18"/>
      <c r="K89" s="18" t="s">
        <v>19</v>
      </c>
      <c r="L89" s="61">
        <v>104</v>
      </c>
      <c r="M89" s="61">
        <v>10</v>
      </c>
      <c r="N89" s="19">
        <v>45675</v>
      </c>
      <c r="O89" s="18" t="s">
        <v>21</v>
      </c>
      <c r="P89" s="18" t="s">
        <v>25</v>
      </c>
      <c r="Q89" s="18" t="s">
        <v>101</v>
      </c>
      <c r="R89" s="18" t="s">
        <v>102</v>
      </c>
      <c r="S89" s="18">
        <v>5218</v>
      </c>
      <c r="T89" s="18" t="s">
        <v>22</v>
      </c>
      <c r="U89" s="18" t="s">
        <v>19</v>
      </c>
      <c r="V89" s="17"/>
    </row>
    <row r="90" spans="1:22" x14ac:dyDescent="0.3">
      <c r="A90" s="18" t="e">
        <f t="shared" si="2"/>
        <v>#REF!</v>
      </c>
      <c r="B90" s="17">
        <v>55</v>
      </c>
      <c r="C90" s="22" t="s">
        <v>23</v>
      </c>
      <c r="D90" s="20" t="s">
        <v>234</v>
      </c>
      <c r="E90" s="20" t="s">
        <v>19</v>
      </c>
      <c r="F90" s="21" t="s">
        <v>64</v>
      </c>
      <c r="G90" s="49" t="s">
        <v>235</v>
      </c>
      <c r="H90" s="56">
        <v>319003.44</v>
      </c>
      <c r="I90" s="20">
        <v>45675</v>
      </c>
      <c r="J90" s="18"/>
      <c r="K90" s="18" t="s">
        <v>19</v>
      </c>
      <c r="L90" s="61">
        <v>840</v>
      </c>
      <c r="M90" s="61">
        <v>35</v>
      </c>
      <c r="N90" s="19">
        <v>45675</v>
      </c>
      <c r="O90" s="18" t="s">
        <v>21</v>
      </c>
      <c r="P90" s="18" t="s">
        <v>25</v>
      </c>
      <c r="Q90" s="18" t="s">
        <v>101</v>
      </c>
      <c r="R90" s="18" t="s">
        <v>102</v>
      </c>
      <c r="S90" s="18">
        <v>5219</v>
      </c>
      <c r="T90" s="18" t="s">
        <v>22</v>
      </c>
      <c r="U90" s="18" t="s">
        <v>19</v>
      </c>
      <c r="V90" s="17"/>
    </row>
    <row r="91" spans="1:22" x14ac:dyDescent="0.3">
      <c r="A91" s="18" t="e">
        <f>#REF!+1</f>
        <v>#REF!</v>
      </c>
      <c r="B91" s="17">
        <v>55</v>
      </c>
      <c r="C91" s="22" t="s">
        <v>20</v>
      </c>
      <c r="D91" s="20" t="s">
        <v>236</v>
      </c>
      <c r="E91" s="20">
        <v>45668</v>
      </c>
      <c r="F91" s="25" t="s">
        <v>122</v>
      </c>
      <c r="G91" s="49" t="s">
        <v>237</v>
      </c>
      <c r="H91" s="56">
        <v>729248.71</v>
      </c>
      <c r="I91" s="20">
        <v>45675</v>
      </c>
      <c r="J91" s="18"/>
      <c r="K91" s="18" t="s">
        <v>19</v>
      </c>
      <c r="L91" s="61">
        <v>534</v>
      </c>
      <c r="M91" s="61">
        <v>56</v>
      </c>
      <c r="N91" s="19">
        <v>45675</v>
      </c>
      <c r="O91" s="18" t="s">
        <v>21</v>
      </c>
      <c r="P91" s="18" t="s">
        <v>25</v>
      </c>
      <c r="Q91" s="18" t="s">
        <v>101</v>
      </c>
      <c r="R91" s="18" t="s">
        <v>102</v>
      </c>
      <c r="S91" s="18">
        <v>5221</v>
      </c>
      <c r="T91" s="18" t="s">
        <v>22</v>
      </c>
      <c r="U91" s="18" t="s">
        <v>19</v>
      </c>
      <c r="V91" s="17"/>
    </row>
    <row r="92" spans="1:22" x14ac:dyDescent="0.3">
      <c r="A92" s="18" t="e">
        <f t="shared" si="2"/>
        <v>#REF!</v>
      </c>
      <c r="B92" s="17">
        <v>55</v>
      </c>
      <c r="C92" s="22" t="s">
        <v>23</v>
      </c>
      <c r="D92" s="20" t="s">
        <v>238</v>
      </c>
      <c r="E92" s="20" t="s">
        <v>19</v>
      </c>
      <c r="F92" s="21" t="s">
        <v>64</v>
      </c>
      <c r="G92" s="49" t="s">
        <v>239</v>
      </c>
      <c r="H92" s="56">
        <v>36251.760000000002</v>
      </c>
      <c r="I92" s="20">
        <v>45675</v>
      </c>
      <c r="J92" s="18"/>
      <c r="K92" s="18" t="s">
        <v>19</v>
      </c>
      <c r="L92" s="61">
        <v>120</v>
      </c>
      <c r="M92" s="61">
        <v>5</v>
      </c>
      <c r="N92" s="19">
        <v>45675</v>
      </c>
      <c r="O92" s="18" t="s">
        <v>21</v>
      </c>
      <c r="P92" s="18" t="s">
        <v>25</v>
      </c>
      <c r="Q92" s="18" t="s">
        <v>101</v>
      </c>
      <c r="R92" s="18" t="s">
        <v>102</v>
      </c>
      <c r="S92" s="18">
        <v>5222</v>
      </c>
      <c r="T92" s="18" t="s">
        <v>22</v>
      </c>
      <c r="U92" s="18" t="s">
        <v>19</v>
      </c>
      <c r="V92" s="17"/>
    </row>
    <row r="93" spans="1:22" x14ac:dyDescent="0.3">
      <c r="A93" s="18" t="e">
        <f t="shared" si="2"/>
        <v>#REF!</v>
      </c>
      <c r="B93" s="17">
        <v>55</v>
      </c>
      <c r="C93" s="22" t="s">
        <v>23</v>
      </c>
      <c r="D93" s="20" t="s">
        <v>240</v>
      </c>
      <c r="E93" s="20" t="s">
        <v>19</v>
      </c>
      <c r="F93" s="23" t="s">
        <v>68</v>
      </c>
      <c r="G93" s="49" t="s">
        <v>241</v>
      </c>
      <c r="H93" s="56">
        <v>88518.48</v>
      </c>
      <c r="I93" s="20">
        <v>45675</v>
      </c>
      <c r="J93" s="18"/>
      <c r="K93" s="18" t="s">
        <v>19</v>
      </c>
      <c r="L93" s="61">
        <v>216</v>
      </c>
      <c r="M93" s="61">
        <v>9</v>
      </c>
      <c r="N93" s="19">
        <v>45675</v>
      </c>
      <c r="O93" s="18" t="s">
        <v>21</v>
      </c>
      <c r="P93" s="18" t="s">
        <v>25</v>
      </c>
      <c r="Q93" s="18" t="s">
        <v>101</v>
      </c>
      <c r="R93" s="18" t="s">
        <v>102</v>
      </c>
      <c r="S93" s="18">
        <v>5223</v>
      </c>
      <c r="T93" s="18" t="s">
        <v>22</v>
      </c>
      <c r="U93" s="18" t="s">
        <v>19</v>
      </c>
      <c r="V93" s="17"/>
    </row>
    <row r="94" spans="1:22" x14ac:dyDescent="0.3">
      <c r="A94" s="18" t="e">
        <f t="shared" si="2"/>
        <v>#REF!</v>
      </c>
      <c r="B94" s="17">
        <v>55</v>
      </c>
      <c r="C94" s="22" t="s">
        <v>20</v>
      </c>
      <c r="D94" s="20" t="s">
        <v>242</v>
      </c>
      <c r="E94" s="20">
        <v>45675</v>
      </c>
      <c r="F94" s="21" t="s">
        <v>84</v>
      </c>
      <c r="G94" s="49" t="s">
        <v>243</v>
      </c>
      <c r="H94" s="56">
        <v>50580.2</v>
      </c>
      <c r="I94" s="20">
        <v>45675</v>
      </c>
      <c r="J94" s="18"/>
      <c r="K94" s="18" t="s">
        <v>19</v>
      </c>
      <c r="L94" s="61">
        <v>55</v>
      </c>
      <c r="M94" s="61">
        <v>5</v>
      </c>
      <c r="N94" s="19">
        <v>45675</v>
      </c>
      <c r="O94" s="18" t="s">
        <v>21</v>
      </c>
      <c r="P94" s="18" t="s">
        <v>25</v>
      </c>
      <c r="Q94" s="18" t="s">
        <v>101</v>
      </c>
      <c r="R94" s="18" t="s">
        <v>102</v>
      </c>
      <c r="S94" s="18">
        <v>5224</v>
      </c>
      <c r="T94" s="18" t="s">
        <v>22</v>
      </c>
      <c r="U94" s="18" t="s">
        <v>19</v>
      </c>
      <c r="V94" s="17"/>
    </row>
    <row r="95" spans="1:22" x14ac:dyDescent="0.3">
      <c r="A95" s="18" t="e">
        <f t="shared" si="2"/>
        <v>#REF!</v>
      </c>
      <c r="B95" s="17">
        <v>55</v>
      </c>
      <c r="C95" s="22" t="s">
        <v>20</v>
      </c>
      <c r="D95" s="20" t="s">
        <v>244</v>
      </c>
      <c r="E95" s="20">
        <v>45675</v>
      </c>
      <c r="F95" s="21" t="s">
        <v>84</v>
      </c>
      <c r="G95" s="49" t="s">
        <v>245</v>
      </c>
      <c r="H95" s="56">
        <v>50580.2</v>
      </c>
      <c r="I95" s="20">
        <v>45675</v>
      </c>
      <c r="J95" s="18"/>
      <c r="K95" s="18" t="s">
        <v>19</v>
      </c>
      <c r="L95" s="61">
        <v>55</v>
      </c>
      <c r="M95" s="61">
        <v>5</v>
      </c>
      <c r="N95" s="19">
        <v>45675</v>
      </c>
      <c r="O95" s="18" t="s">
        <v>21</v>
      </c>
      <c r="P95" s="18" t="s">
        <v>25</v>
      </c>
      <c r="Q95" s="18" t="s">
        <v>101</v>
      </c>
      <c r="R95" s="18" t="s">
        <v>102</v>
      </c>
      <c r="S95" s="18">
        <v>5225</v>
      </c>
      <c r="T95" s="18" t="s">
        <v>22</v>
      </c>
      <c r="U95" s="18" t="s">
        <v>19</v>
      </c>
      <c r="V95" s="17"/>
    </row>
    <row r="96" spans="1:22" x14ac:dyDescent="0.3">
      <c r="A96" s="18" t="e">
        <f t="shared" si="2"/>
        <v>#REF!</v>
      </c>
      <c r="B96" s="17">
        <v>55</v>
      </c>
      <c r="C96" s="22" t="s">
        <v>23</v>
      </c>
      <c r="D96" s="20" t="s">
        <v>246</v>
      </c>
      <c r="E96" s="20" t="s">
        <v>19</v>
      </c>
      <c r="F96" s="21" t="s">
        <v>247</v>
      </c>
      <c r="G96" s="49" t="s">
        <v>248</v>
      </c>
      <c r="H96" s="56">
        <v>83594.64</v>
      </c>
      <c r="I96" s="20">
        <v>45675</v>
      </c>
      <c r="J96" s="18"/>
      <c r="K96" s="18" t="s">
        <v>19</v>
      </c>
      <c r="L96" s="61">
        <v>216</v>
      </c>
      <c r="M96" s="61">
        <v>9</v>
      </c>
      <c r="N96" s="19">
        <v>45675</v>
      </c>
      <c r="O96" s="18" t="s">
        <v>21</v>
      </c>
      <c r="P96" s="18" t="s">
        <v>25</v>
      </c>
      <c r="Q96" s="18" t="s">
        <v>101</v>
      </c>
      <c r="R96" s="18" t="s">
        <v>102</v>
      </c>
      <c r="S96" s="18">
        <v>5226</v>
      </c>
      <c r="T96" s="18" t="s">
        <v>22</v>
      </c>
      <c r="U96" s="18" t="s">
        <v>19</v>
      </c>
      <c r="V96" s="17"/>
    </row>
    <row r="97" spans="1:22" x14ac:dyDescent="0.3">
      <c r="A97" s="18" t="e">
        <f t="shared" si="2"/>
        <v>#REF!</v>
      </c>
      <c r="B97" s="17">
        <v>56</v>
      </c>
      <c r="C97" s="22" t="s">
        <v>20</v>
      </c>
      <c r="D97" s="20" t="s">
        <v>249</v>
      </c>
      <c r="E97" s="20">
        <v>45668</v>
      </c>
      <c r="F97" s="25" t="s">
        <v>122</v>
      </c>
      <c r="G97" s="49" t="s">
        <v>250</v>
      </c>
      <c r="H97" s="56">
        <v>445389.04</v>
      </c>
      <c r="I97" s="20">
        <v>45677</v>
      </c>
      <c r="J97" s="18"/>
      <c r="K97" s="18" t="s">
        <v>19</v>
      </c>
      <c r="L97" s="61">
        <v>356</v>
      </c>
      <c r="M97" s="61">
        <v>36</v>
      </c>
      <c r="N97" s="19">
        <v>45677</v>
      </c>
      <c r="O97" s="18" t="s">
        <v>21</v>
      </c>
      <c r="P97" s="18" t="s">
        <v>25</v>
      </c>
      <c r="Q97" s="18" t="s">
        <v>138</v>
      </c>
      <c r="R97" s="18" t="s">
        <v>102</v>
      </c>
      <c r="S97" s="18">
        <v>5231</v>
      </c>
      <c r="T97" s="18" t="s">
        <v>22</v>
      </c>
      <c r="U97" s="18" t="s">
        <v>19</v>
      </c>
      <c r="V97" s="17"/>
    </row>
    <row r="98" spans="1:22" x14ac:dyDescent="0.3">
      <c r="A98" s="18" t="e">
        <f t="shared" si="2"/>
        <v>#REF!</v>
      </c>
      <c r="B98" s="17">
        <v>56</v>
      </c>
      <c r="C98" s="22" t="s">
        <v>20</v>
      </c>
      <c r="D98" s="20" t="s">
        <v>251</v>
      </c>
      <c r="E98" s="20">
        <v>45670</v>
      </c>
      <c r="F98" s="21" t="s">
        <v>64</v>
      </c>
      <c r="G98" s="49" t="s">
        <v>252</v>
      </c>
      <c r="H98" s="56">
        <v>761941.14</v>
      </c>
      <c r="I98" s="20">
        <v>45677</v>
      </c>
      <c r="J98" s="18"/>
      <c r="K98" s="18" t="s">
        <v>19</v>
      </c>
      <c r="L98" s="61">
        <v>600</v>
      </c>
      <c r="M98" s="61">
        <v>58</v>
      </c>
      <c r="N98" s="19">
        <v>45677</v>
      </c>
      <c r="O98" s="18" t="s">
        <v>21</v>
      </c>
      <c r="P98" s="18" t="s">
        <v>25</v>
      </c>
      <c r="Q98" s="18" t="s">
        <v>138</v>
      </c>
      <c r="R98" s="18" t="s">
        <v>102</v>
      </c>
      <c r="S98" s="18">
        <v>5230</v>
      </c>
      <c r="T98" s="18" t="s">
        <v>22</v>
      </c>
      <c r="U98" s="18" t="s">
        <v>19</v>
      </c>
      <c r="V98" s="17"/>
    </row>
    <row r="99" spans="1:22" x14ac:dyDescent="0.3">
      <c r="A99" s="18" t="e">
        <f t="shared" si="2"/>
        <v>#REF!</v>
      </c>
      <c r="B99" s="17">
        <v>56</v>
      </c>
      <c r="C99" s="22" t="s">
        <v>20</v>
      </c>
      <c r="D99" s="20" t="s">
        <v>253</v>
      </c>
      <c r="E99" s="20">
        <v>45670</v>
      </c>
      <c r="F99" s="21" t="s">
        <v>53</v>
      </c>
      <c r="G99" s="49" t="s">
        <v>254</v>
      </c>
      <c r="H99" s="56">
        <v>647242.30000000005</v>
      </c>
      <c r="I99" s="20">
        <v>45677</v>
      </c>
      <c r="J99" s="18"/>
      <c r="K99" s="18" t="s">
        <v>19</v>
      </c>
      <c r="L99" s="61">
        <v>620</v>
      </c>
      <c r="M99" s="61">
        <v>58</v>
      </c>
      <c r="N99" s="19">
        <v>45677</v>
      </c>
      <c r="O99" s="18" t="s">
        <v>21</v>
      </c>
      <c r="P99" s="18" t="s">
        <v>25</v>
      </c>
      <c r="Q99" s="18" t="s">
        <v>138</v>
      </c>
      <c r="R99" s="18" t="s">
        <v>102</v>
      </c>
      <c r="S99" s="18">
        <v>5232</v>
      </c>
      <c r="T99" s="18" t="s">
        <v>22</v>
      </c>
      <c r="U99" s="18" t="s">
        <v>19</v>
      </c>
      <c r="V99" s="17"/>
    </row>
    <row r="100" spans="1:22" x14ac:dyDescent="0.3">
      <c r="A100" s="18" t="e">
        <f t="shared" si="2"/>
        <v>#REF!</v>
      </c>
      <c r="B100" s="17">
        <v>56</v>
      </c>
      <c r="C100" s="22" t="s">
        <v>20</v>
      </c>
      <c r="D100" s="20" t="s">
        <v>255</v>
      </c>
      <c r="E100" s="20">
        <v>45670</v>
      </c>
      <c r="F100" s="21" t="s">
        <v>118</v>
      </c>
      <c r="G100" s="49" t="s">
        <v>256</v>
      </c>
      <c r="H100" s="56">
        <v>234387.39</v>
      </c>
      <c r="I100" s="20">
        <v>45677</v>
      </c>
      <c r="J100" s="18"/>
      <c r="K100" s="18" t="s">
        <v>19</v>
      </c>
      <c r="L100" s="61">
        <v>187</v>
      </c>
      <c r="M100" s="61">
        <v>19</v>
      </c>
      <c r="N100" s="19">
        <v>45677</v>
      </c>
      <c r="O100" s="18" t="s">
        <v>21</v>
      </c>
      <c r="P100" s="18" t="s">
        <v>25</v>
      </c>
      <c r="Q100" s="18" t="s">
        <v>138</v>
      </c>
      <c r="R100" s="18" t="s">
        <v>102</v>
      </c>
      <c r="S100" s="18">
        <v>5229</v>
      </c>
      <c r="T100" s="18" t="s">
        <v>22</v>
      </c>
      <c r="U100" s="18" t="s">
        <v>19</v>
      </c>
      <c r="V100" s="17"/>
    </row>
    <row r="101" spans="1:22" x14ac:dyDescent="0.3">
      <c r="A101" s="18" t="e">
        <f t="shared" si="2"/>
        <v>#REF!</v>
      </c>
      <c r="B101" s="17">
        <v>56</v>
      </c>
      <c r="C101" s="22" t="s">
        <v>20</v>
      </c>
      <c r="D101" s="20" t="s">
        <v>257</v>
      </c>
      <c r="E101" s="20">
        <v>45668</v>
      </c>
      <c r="F101" s="23" t="s">
        <v>114</v>
      </c>
      <c r="G101" s="49" t="s">
        <v>258</v>
      </c>
      <c r="H101" s="56">
        <v>55080.66</v>
      </c>
      <c r="I101" s="20">
        <v>45677</v>
      </c>
      <c r="J101" s="18"/>
      <c r="K101" s="18" t="s">
        <v>19</v>
      </c>
      <c r="L101" s="61">
        <v>54</v>
      </c>
      <c r="M101" s="61">
        <v>5</v>
      </c>
      <c r="N101" s="19">
        <v>45677</v>
      </c>
      <c r="O101" s="18" t="s">
        <v>21</v>
      </c>
      <c r="P101" s="18" t="s">
        <v>25</v>
      </c>
      <c r="Q101" s="18" t="s">
        <v>138</v>
      </c>
      <c r="R101" s="18" t="s">
        <v>102</v>
      </c>
      <c r="S101" s="18">
        <v>5228</v>
      </c>
      <c r="T101" s="18" t="s">
        <v>22</v>
      </c>
      <c r="U101" s="18" t="s">
        <v>19</v>
      </c>
      <c r="V101" s="17"/>
    </row>
    <row r="102" spans="1:22" x14ac:dyDescent="0.3">
      <c r="A102" s="18" t="e">
        <f t="shared" si="2"/>
        <v>#REF!</v>
      </c>
      <c r="B102" s="17">
        <v>56</v>
      </c>
      <c r="C102" s="22" t="s">
        <v>20</v>
      </c>
      <c r="D102" s="20" t="s">
        <v>259</v>
      </c>
      <c r="E102" s="20">
        <v>45668</v>
      </c>
      <c r="F102" s="25" t="s">
        <v>122</v>
      </c>
      <c r="G102" s="49" t="s">
        <v>260</v>
      </c>
      <c r="H102" s="56">
        <v>284738.21999999997</v>
      </c>
      <c r="I102" s="20">
        <v>45677</v>
      </c>
      <c r="J102" s="18"/>
      <c r="K102" s="18" t="s">
        <v>19</v>
      </c>
      <c r="L102" s="61">
        <v>233</v>
      </c>
      <c r="M102" s="61">
        <v>23</v>
      </c>
      <c r="N102" s="19">
        <v>45677</v>
      </c>
      <c r="O102" s="18" t="s">
        <v>21</v>
      </c>
      <c r="P102" s="18" t="s">
        <v>25</v>
      </c>
      <c r="Q102" s="18" t="s">
        <v>138</v>
      </c>
      <c r="R102" s="18" t="s">
        <v>102</v>
      </c>
      <c r="S102" s="18">
        <v>5227</v>
      </c>
      <c r="T102" s="18" t="s">
        <v>22</v>
      </c>
      <c r="U102" s="18" t="s">
        <v>19</v>
      </c>
      <c r="V102" s="17"/>
    </row>
    <row r="103" spans="1:22" x14ac:dyDescent="0.3">
      <c r="A103" s="18" t="e">
        <f t="shared" si="2"/>
        <v>#REF!</v>
      </c>
      <c r="B103" s="17">
        <v>56</v>
      </c>
      <c r="C103" s="22" t="s">
        <v>20</v>
      </c>
      <c r="D103" s="20" t="s">
        <v>261</v>
      </c>
      <c r="E103" s="20">
        <v>45668</v>
      </c>
      <c r="F103" s="25" t="s">
        <v>122</v>
      </c>
      <c r="G103" s="49" t="s">
        <v>262</v>
      </c>
      <c r="H103" s="56">
        <v>228800.98</v>
      </c>
      <c r="I103" s="20">
        <v>45677</v>
      </c>
      <c r="J103" s="18"/>
      <c r="K103" s="18" t="s">
        <v>19</v>
      </c>
      <c r="L103" s="61">
        <v>197</v>
      </c>
      <c r="M103" s="61">
        <v>20</v>
      </c>
      <c r="N103" s="19">
        <v>45677</v>
      </c>
      <c r="O103" s="18" t="s">
        <v>21</v>
      </c>
      <c r="P103" s="18" t="s">
        <v>25</v>
      </c>
      <c r="Q103" s="18" t="s">
        <v>138</v>
      </c>
      <c r="R103" s="18" t="s">
        <v>102</v>
      </c>
      <c r="S103" s="18">
        <v>5232</v>
      </c>
      <c r="T103" s="18" t="s">
        <v>22</v>
      </c>
      <c r="U103" s="18" t="s">
        <v>19</v>
      </c>
      <c r="V103" s="17"/>
    </row>
    <row r="104" spans="1:22" x14ac:dyDescent="0.3">
      <c r="A104" s="18" t="e">
        <f t="shared" si="2"/>
        <v>#REF!</v>
      </c>
      <c r="B104" s="17">
        <v>57</v>
      </c>
      <c r="C104" s="22" t="s">
        <v>20</v>
      </c>
      <c r="D104" s="20" t="s">
        <v>263</v>
      </c>
      <c r="E104" s="20" t="s">
        <v>19</v>
      </c>
      <c r="F104" s="21" t="s">
        <v>1204</v>
      </c>
      <c r="G104" s="49" t="s">
        <v>264</v>
      </c>
      <c r="H104" s="56"/>
      <c r="I104" s="20">
        <v>45678</v>
      </c>
      <c r="J104" s="18"/>
      <c r="K104" s="18" t="s">
        <v>19</v>
      </c>
      <c r="L104" s="61">
        <v>671</v>
      </c>
      <c r="M104" s="61">
        <v>61</v>
      </c>
      <c r="N104" s="19">
        <v>45678</v>
      </c>
      <c r="O104" s="18" t="s">
        <v>21</v>
      </c>
      <c r="P104" s="18" t="s">
        <v>25</v>
      </c>
      <c r="Q104" s="18" t="s">
        <v>265</v>
      </c>
      <c r="R104" s="18" t="s">
        <v>102</v>
      </c>
      <c r="S104" s="18">
        <v>5233</v>
      </c>
      <c r="T104" s="18" t="s">
        <v>22</v>
      </c>
      <c r="U104" s="18" t="s">
        <v>104</v>
      </c>
      <c r="V104" s="17"/>
    </row>
    <row r="105" spans="1:22" x14ac:dyDescent="0.3">
      <c r="A105" s="18" t="e">
        <f t="shared" si="2"/>
        <v>#REF!</v>
      </c>
      <c r="B105" s="17">
        <v>58</v>
      </c>
      <c r="C105" s="22" t="s">
        <v>20</v>
      </c>
      <c r="D105" s="20" t="s">
        <v>212</v>
      </c>
      <c r="E105" s="20" t="s">
        <v>19</v>
      </c>
      <c r="F105" s="21" t="s">
        <v>47</v>
      </c>
      <c r="G105" s="49" t="s">
        <v>266</v>
      </c>
      <c r="H105" s="56">
        <v>113841.78</v>
      </c>
      <c r="I105" s="20">
        <v>45661</v>
      </c>
      <c r="J105" s="18"/>
      <c r="K105" s="18" t="s">
        <v>19</v>
      </c>
      <c r="L105" s="61">
        <v>102</v>
      </c>
      <c r="M105" s="61">
        <v>10</v>
      </c>
      <c r="N105" s="19">
        <v>45661</v>
      </c>
      <c r="O105" s="18" t="s">
        <v>21</v>
      </c>
      <c r="P105" s="18" t="s">
        <v>25</v>
      </c>
      <c r="Q105" s="18" t="s">
        <v>267</v>
      </c>
      <c r="R105" s="18" t="s">
        <v>102</v>
      </c>
      <c r="S105" s="18">
        <v>5153</v>
      </c>
      <c r="T105" s="18" t="s">
        <v>22</v>
      </c>
      <c r="U105" s="18" t="s">
        <v>19</v>
      </c>
      <c r="V105" s="17"/>
    </row>
    <row r="106" spans="1:22" x14ac:dyDescent="0.3">
      <c r="A106" s="18" t="e">
        <f t="shared" si="2"/>
        <v>#REF!</v>
      </c>
      <c r="B106" s="17">
        <v>58</v>
      </c>
      <c r="C106" s="22" t="s">
        <v>20</v>
      </c>
      <c r="D106" s="20" t="s">
        <v>268</v>
      </c>
      <c r="E106" s="20" t="s">
        <v>19</v>
      </c>
      <c r="F106" s="23" t="s">
        <v>68</v>
      </c>
      <c r="G106" s="49" t="s">
        <v>269</v>
      </c>
      <c r="H106" s="56">
        <v>445553.4</v>
      </c>
      <c r="I106" s="20">
        <v>45661</v>
      </c>
      <c r="J106" s="18"/>
      <c r="K106" s="18" t="s">
        <v>19</v>
      </c>
      <c r="L106" s="61">
        <v>350</v>
      </c>
      <c r="M106" s="61">
        <v>35</v>
      </c>
      <c r="N106" s="19">
        <v>45661</v>
      </c>
      <c r="O106" s="18" t="s">
        <v>21</v>
      </c>
      <c r="P106" s="18" t="s">
        <v>25</v>
      </c>
      <c r="Q106" s="18" t="s">
        <v>267</v>
      </c>
      <c r="R106" s="18" t="s">
        <v>102</v>
      </c>
      <c r="S106" s="18">
        <v>5152</v>
      </c>
      <c r="T106" s="18" t="s">
        <v>22</v>
      </c>
      <c r="U106" s="18" t="s">
        <v>19</v>
      </c>
      <c r="V106" s="17"/>
    </row>
    <row r="107" spans="1:22" x14ac:dyDescent="0.3">
      <c r="A107" s="18" t="e">
        <f t="shared" si="2"/>
        <v>#REF!</v>
      </c>
      <c r="B107" s="17">
        <v>58</v>
      </c>
      <c r="C107" s="22" t="s">
        <v>20</v>
      </c>
      <c r="D107" s="20" t="s">
        <v>270</v>
      </c>
      <c r="E107" s="20" t="s">
        <v>19</v>
      </c>
      <c r="F107" s="21" t="s">
        <v>33</v>
      </c>
      <c r="G107" s="49" t="s">
        <v>271</v>
      </c>
      <c r="H107" s="56">
        <v>273669.43</v>
      </c>
      <c r="I107" s="20">
        <v>45661</v>
      </c>
      <c r="J107" s="18"/>
      <c r="K107" s="18" t="s">
        <v>19</v>
      </c>
      <c r="L107" s="61">
        <v>227</v>
      </c>
      <c r="M107" s="61">
        <v>23</v>
      </c>
      <c r="N107" s="19">
        <v>45661</v>
      </c>
      <c r="O107" s="18" t="s">
        <v>21</v>
      </c>
      <c r="P107" s="18" t="s">
        <v>25</v>
      </c>
      <c r="Q107" s="18" t="s">
        <v>267</v>
      </c>
      <c r="R107" s="18" t="s">
        <v>102</v>
      </c>
      <c r="S107" s="18">
        <v>5151</v>
      </c>
      <c r="T107" s="18" t="s">
        <v>22</v>
      </c>
      <c r="U107" s="18" t="s">
        <v>19</v>
      </c>
      <c r="V107" s="17"/>
    </row>
    <row r="108" spans="1:22" x14ac:dyDescent="0.3">
      <c r="A108" s="18" t="e">
        <f t="shared" si="2"/>
        <v>#REF!</v>
      </c>
      <c r="B108" s="17">
        <v>58</v>
      </c>
      <c r="C108" s="22" t="s">
        <v>20</v>
      </c>
      <c r="D108" s="20" t="s">
        <v>272</v>
      </c>
      <c r="E108" s="20" t="s">
        <v>19</v>
      </c>
      <c r="F108" s="21" t="s">
        <v>53</v>
      </c>
      <c r="G108" s="49" t="s">
        <v>273</v>
      </c>
      <c r="H108" s="56">
        <v>311457.95</v>
      </c>
      <c r="I108" s="20">
        <v>45661</v>
      </c>
      <c r="J108" s="18"/>
      <c r="K108" s="18" t="s">
        <v>19</v>
      </c>
      <c r="L108" s="61">
        <v>261</v>
      </c>
      <c r="M108" s="61">
        <v>27</v>
      </c>
      <c r="N108" s="19">
        <v>45661</v>
      </c>
      <c r="O108" s="18" t="s">
        <v>21</v>
      </c>
      <c r="P108" s="18" t="s">
        <v>25</v>
      </c>
      <c r="Q108" s="18" t="s">
        <v>267</v>
      </c>
      <c r="R108" s="18" t="s">
        <v>102</v>
      </c>
      <c r="S108" s="18">
        <v>1599</v>
      </c>
      <c r="T108" s="18" t="s">
        <v>22</v>
      </c>
      <c r="U108" s="18" t="s">
        <v>19</v>
      </c>
      <c r="V108" s="17"/>
    </row>
    <row r="109" spans="1:22" x14ac:dyDescent="0.3">
      <c r="A109" s="18" t="e">
        <f t="shared" si="2"/>
        <v>#REF!</v>
      </c>
      <c r="B109" s="17">
        <v>58</v>
      </c>
      <c r="C109" s="22" t="s">
        <v>20</v>
      </c>
      <c r="D109" s="20" t="s">
        <v>272</v>
      </c>
      <c r="E109" s="20" t="s">
        <v>19</v>
      </c>
      <c r="F109" s="21" t="s">
        <v>53</v>
      </c>
      <c r="G109" s="49" t="s">
        <v>274</v>
      </c>
      <c r="H109" s="56">
        <v>734335.62</v>
      </c>
      <c r="I109" s="20">
        <v>45661</v>
      </c>
      <c r="J109" s="18"/>
      <c r="K109" s="18" t="s">
        <v>19</v>
      </c>
      <c r="L109" s="61">
        <v>562</v>
      </c>
      <c r="M109" s="61">
        <v>56</v>
      </c>
      <c r="N109" s="19">
        <v>45661</v>
      </c>
      <c r="O109" s="18" t="s">
        <v>21</v>
      </c>
      <c r="P109" s="18" t="s">
        <v>25</v>
      </c>
      <c r="Q109" s="18" t="s">
        <v>267</v>
      </c>
      <c r="R109" s="18" t="s">
        <v>102</v>
      </c>
      <c r="S109" s="18">
        <v>1599</v>
      </c>
      <c r="T109" s="18" t="s">
        <v>22</v>
      </c>
      <c r="U109" s="18" t="s">
        <v>19</v>
      </c>
      <c r="V109" s="17"/>
    </row>
    <row r="110" spans="1:22" x14ac:dyDescent="0.3">
      <c r="A110" s="18" t="e">
        <f t="shared" si="2"/>
        <v>#REF!</v>
      </c>
      <c r="B110" s="17">
        <v>58</v>
      </c>
      <c r="C110" s="22" t="s">
        <v>20</v>
      </c>
      <c r="D110" s="20" t="s">
        <v>275</v>
      </c>
      <c r="E110" s="20" t="s">
        <v>19</v>
      </c>
      <c r="F110" s="25" t="s">
        <v>119</v>
      </c>
      <c r="G110" s="49" t="s">
        <v>276</v>
      </c>
      <c r="H110" s="56">
        <v>415728.1</v>
      </c>
      <c r="I110" s="20">
        <v>45661</v>
      </c>
      <c r="J110" s="18"/>
      <c r="K110" s="18" t="s">
        <v>19</v>
      </c>
      <c r="L110" s="61">
        <v>336</v>
      </c>
      <c r="M110" s="61">
        <v>33</v>
      </c>
      <c r="N110" s="19">
        <v>45661</v>
      </c>
      <c r="O110" s="18" t="s">
        <v>21</v>
      </c>
      <c r="P110" s="18" t="s">
        <v>25</v>
      </c>
      <c r="Q110" s="18" t="s">
        <v>267</v>
      </c>
      <c r="R110" s="18" t="s">
        <v>102</v>
      </c>
      <c r="S110" s="18">
        <v>1600</v>
      </c>
      <c r="T110" s="18" t="s">
        <v>22</v>
      </c>
      <c r="U110" s="18" t="s">
        <v>19</v>
      </c>
      <c r="V110" s="17"/>
    </row>
    <row r="111" spans="1:22" x14ac:dyDescent="0.3">
      <c r="A111" s="18" t="e">
        <f t="shared" si="2"/>
        <v>#REF!</v>
      </c>
      <c r="B111" s="17">
        <v>59</v>
      </c>
      <c r="C111" s="22" t="s">
        <v>20</v>
      </c>
      <c r="D111" s="20" t="s">
        <v>277</v>
      </c>
      <c r="E111" s="20">
        <v>45671</v>
      </c>
      <c r="F111" s="21" t="s">
        <v>24</v>
      </c>
      <c r="G111" s="49" t="s">
        <v>278</v>
      </c>
      <c r="H111" s="56">
        <v>617674.69999999995</v>
      </c>
      <c r="I111" s="20">
        <v>45679</v>
      </c>
      <c r="J111" s="18"/>
      <c r="K111" s="18" t="s">
        <v>19</v>
      </c>
      <c r="L111" s="61">
        <v>430</v>
      </c>
      <c r="M111" s="61">
        <v>43</v>
      </c>
      <c r="N111" s="19">
        <v>45679</v>
      </c>
      <c r="O111" s="18" t="s">
        <v>21</v>
      </c>
      <c r="P111" s="18" t="s">
        <v>25</v>
      </c>
      <c r="Q111" s="18" t="s">
        <v>124</v>
      </c>
      <c r="R111" s="18" t="s">
        <v>102</v>
      </c>
      <c r="S111" s="18">
        <v>6901</v>
      </c>
      <c r="T111" s="18" t="s">
        <v>22</v>
      </c>
      <c r="U111" s="18" t="s">
        <v>19</v>
      </c>
      <c r="V111" s="17"/>
    </row>
    <row r="112" spans="1:22" x14ac:dyDescent="0.3">
      <c r="A112" s="18" t="e">
        <f t="shared" si="2"/>
        <v>#REF!</v>
      </c>
      <c r="B112" s="17">
        <v>59</v>
      </c>
      <c r="C112" s="22" t="s">
        <v>20</v>
      </c>
      <c r="D112" s="20" t="s">
        <v>279</v>
      </c>
      <c r="E112" s="20">
        <v>45673</v>
      </c>
      <c r="F112" s="21" t="s">
        <v>49</v>
      </c>
      <c r="G112" s="49" t="s">
        <v>280</v>
      </c>
      <c r="H112" s="56">
        <v>131844.12</v>
      </c>
      <c r="I112" s="20">
        <v>45679</v>
      </c>
      <c r="J112" s="18"/>
      <c r="K112" s="18" t="s">
        <v>19</v>
      </c>
      <c r="L112" s="61">
        <v>98</v>
      </c>
      <c r="M112" s="61">
        <v>10</v>
      </c>
      <c r="N112" s="19">
        <v>45679</v>
      </c>
      <c r="O112" s="18" t="s">
        <v>21</v>
      </c>
      <c r="P112" s="18" t="s">
        <v>25</v>
      </c>
      <c r="Q112" s="18" t="s">
        <v>124</v>
      </c>
      <c r="R112" s="18" t="s">
        <v>102</v>
      </c>
      <c r="S112" s="18">
        <v>6902</v>
      </c>
      <c r="T112" s="18" t="s">
        <v>22</v>
      </c>
      <c r="U112" s="18" t="s">
        <v>19</v>
      </c>
      <c r="V112" s="17"/>
    </row>
    <row r="113" spans="1:22" x14ac:dyDescent="0.3">
      <c r="A113" s="18" t="e">
        <f t="shared" si="2"/>
        <v>#REF!</v>
      </c>
      <c r="B113" s="17">
        <v>59</v>
      </c>
      <c r="C113" s="22" t="s">
        <v>20</v>
      </c>
      <c r="D113" s="20" t="s">
        <v>281</v>
      </c>
      <c r="E113" s="20">
        <v>45677</v>
      </c>
      <c r="F113" s="21" t="s">
        <v>35</v>
      </c>
      <c r="G113" s="49" t="s">
        <v>282</v>
      </c>
      <c r="H113" s="56">
        <v>278528.28999999998</v>
      </c>
      <c r="I113" s="20">
        <v>45679</v>
      </c>
      <c r="J113" s="18"/>
      <c r="K113" s="18" t="s">
        <v>19</v>
      </c>
      <c r="L113" s="61">
        <v>245</v>
      </c>
      <c r="M113" s="61">
        <v>24</v>
      </c>
      <c r="N113" s="19">
        <v>45679</v>
      </c>
      <c r="O113" s="18" t="s">
        <v>21</v>
      </c>
      <c r="P113" s="18" t="s">
        <v>25</v>
      </c>
      <c r="Q113" s="18" t="s">
        <v>124</v>
      </c>
      <c r="R113" s="18" t="s">
        <v>102</v>
      </c>
      <c r="S113" s="18">
        <v>6910</v>
      </c>
      <c r="T113" s="18" t="s">
        <v>22</v>
      </c>
      <c r="U113" s="18" t="s">
        <v>19</v>
      </c>
      <c r="V113" s="17"/>
    </row>
    <row r="114" spans="1:22" x14ac:dyDescent="0.3">
      <c r="A114" s="18" t="e">
        <f t="shared" si="2"/>
        <v>#REF!</v>
      </c>
      <c r="B114" s="17">
        <v>59</v>
      </c>
      <c r="C114" s="22" t="s">
        <v>20</v>
      </c>
      <c r="D114" s="20" t="s">
        <v>283</v>
      </c>
      <c r="E114" s="20">
        <v>45671</v>
      </c>
      <c r="F114" s="21" t="s">
        <v>24</v>
      </c>
      <c r="G114" s="49" t="s">
        <v>284</v>
      </c>
      <c r="H114" s="56">
        <v>531123.36</v>
      </c>
      <c r="I114" s="20">
        <v>45679</v>
      </c>
      <c r="J114" s="18"/>
      <c r="K114" s="18" t="s">
        <v>19</v>
      </c>
      <c r="L114" s="61">
        <v>376</v>
      </c>
      <c r="M114" s="61">
        <v>38</v>
      </c>
      <c r="N114" s="19">
        <v>45679</v>
      </c>
      <c r="O114" s="18" t="s">
        <v>21</v>
      </c>
      <c r="P114" s="18" t="s">
        <v>25</v>
      </c>
      <c r="Q114" s="18" t="s">
        <v>124</v>
      </c>
      <c r="R114" s="18" t="s">
        <v>102</v>
      </c>
      <c r="S114" s="18">
        <v>6903</v>
      </c>
      <c r="T114" s="18" t="s">
        <v>22</v>
      </c>
      <c r="U114" s="18" t="s">
        <v>19</v>
      </c>
      <c r="V114" s="17"/>
    </row>
    <row r="115" spans="1:22" x14ac:dyDescent="0.3">
      <c r="A115" s="18" t="e">
        <f t="shared" si="2"/>
        <v>#REF!</v>
      </c>
      <c r="B115" s="17">
        <v>59</v>
      </c>
      <c r="C115" s="22" t="s">
        <v>20</v>
      </c>
      <c r="D115" s="20" t="s">
        <v>285</v>
      </c>
      <c r="E115" s="20">
        <v>45670</v>
      </c>
      <c r="F115" s="21" t="s">
        <v>53</v>
      </c>
      <c r="G115" s="49" t="s">
        <v>286</v>
      </c>
      <c r="H115" s="56">
        <v>743147.72</v>
      </c>
      <c r="I115" s="20">
        <v>45679</v>
      </c>
      <c r="J115" s="18"/>
      <c r="K115" s="18" t="s">
        <v>19</v>
      </c>
      <c r="L115" s="61">
        <v>511</v>
      </c>
      <c r="M115" s="61">
        <v>53</v>
      </c>
      <c r="N115" s="19">
        <v>45679</v>
      </c>
      <c r="O115" s="18" t="s">
        <v>21</v>
      </c>
      <c r="P115" s="18" t="s">
        <v>25</v>
      </c>
      <c r="Q115" s="18" t="s">
        <v>124</v>
      </c>
      <c r="R115" s="18" t="s">
        <v>102</v>
      </c>
      <c r="S115" s="18">
        <v>6909</v>
      </c>
      <c r="T115" s="18" t="s">
        <v>22</v>
      </c>
      <c r="U115" s="18" t="s">
        <v>287</v>
      </c>
      <c r="V115" s="17"/>
    </row>
    <row r="116" spans="1:22" x14ac:dyDescent="0.3">
      <c r="A116" s="18" t="e">
        <f t="shared" si="2"/>
        <v>#REF!</v>
      </c>
      <c r="B116" s="17">
        <v>59</v>
      </c>
      <c r="C116" s="22" t="s">
        <v>20</v>
      </c>
      <c r="D116" s="20" t="s">
        <v>288</v>
      </c>
      <c r="E116" s="20">
        <v>45671</v>
      </c>
      <c r="F116" s="21" t="s">
        <v>24</v>
      </c>
      <c r="G116" s="49" t="s">
        <v>289</v>
      </c>
      <c r="H116" s="56">
        <v>698704.24</v>
      </c>
      <c r="I116" s="20">
        <v>45679</v>
      </c>
      <c r="J116" s="18"/>
      <c r="K116" s="18" t="s">
        <v>19</v>
      </c>
      <c r="L116" s="61">
        <v>506</v>
      </c>
      <c r="M116" s="61">
        <v>50</v>
      </c>
      <c r="N116" s="19">
        <v>45679</v>
      </c>
      <c r="O116" s="18" t="s">
        <v>21</v>
      </c>
      <c r="P116" s="18" t="s">
        <v>25</v>
      </c>
      <c r="Q116" s="18" t="s">
        <v>124</v>
      </c>
      <c r="R116" s="18" t="s">
        <v>102</v>
      </c>
      <c r="S116" s="18">
        <v>6905</v>
      </c>
      <c r="T116" s="18" t="s">
        <v>22</v>
      </c>
      <c r="U116" s="18" t="s">
        <v>19</v>
      </c>
      <c r="V116" s="17"/>
    </row>
    <row r="117" spans="1:22" x14ac:dyDescent="0.3">
      <c r="A117" s="18" t="e">
        <f t="shared" si="2"/>
        <v>#REF!</v>
      </c>
      <c r="B117" s="17">
        <v>59</v>
      </c>
      <c r="C117" s="22" t="s">
        <v>20</v>
      </c>
      <c r="D117" s="20" t="s">
        <v>290</v>
      </c>
      <c r="E117" s="20">
        <v>45671</v>
      </c>
      <c r="F117" s="21" t="s">
        <v>35</v>
      </c>
      <c r="G117" s="49" t="s">
        <v>291</v>
      </c>
      <c r="H117" s="56">
        <v>32680.9</v>
      </c>
      <c r="I117" s="20">
        <v>45679</v>
      </c>
      <c r="J117" s="18"/>
      <c r="K117" s="18" t="s">
        <v>19</v>
      </c>
      <c r="L117" s="61">
        <v>30</v>
      </c>
      <c r="M117" s="61">
        <v>3</v>
      </c>
      <c r="N117" s="19">
        <v>45679</v>
      </c>
      <c r="O117" s="18" t="s">
        <v>21</v>
      </c>
      <c r="P117" s="18" t="s">
        <v>25</v>
      </c>
      <c r="Q117" s="18" t="s">
        <v>124</v>
      </c>
      <c r="R117" s="18" t="s">
        <v>102</v>
      </c>
      <c r="S117" s="18">
        <v>6904</v>
      </c>
      <c r="T117" s="18" t="s">
        <v>22</v>
      </c>
      <c r="U117" s="18" t="s">
        <v>19</v>
      </c>
      <c r="V117" s="17"/>
    </row>
    <row r="118" spans="1:22" x14ac:dyDescent="0.3">
      <c r="A118" s="18" t="e">
        <f t="shared" si="2"/>
        <v>#REF!</v>
      </c>
      <c r="B118" s="17">
        <v>59</v>
      </c>
      <c r="C118" s="22" t="s">
        <v>20</v>
      </c>
      <c r="D118" s="20" t="s">
        <v>292</v>
      </c>
      <c r="E118" s="20">
        <v>45674</v>
      </c>
      <c r="F118" s="21" t="s">
        <v>35</v>
      </c>
      <c r="G118" s="49" t="s">
        <v>293</v>
      </c>
      <c r="H118" s="56">
        <v>82933.399999999994</v>
      </c>
      <c r="I118" s="20">
        <v>45679</v>
      </c>
      <c r="J118" s="18"/>
      <c r="K118" s="18" t="s">
        <v>19</v>
      </c>
      <c r="L118" s="61">
        <v>70</v>
      </c>
      <c r="M118" s="61">
        <v>7</v>
      </c>
      <c r="N118" s="19">
        <v>45679</v>
      </c>
      <c r="O118" s="18" t="s">
        <v>21</v>
      </c>
      <c r="P118" s="18" t="s">
        <v>25</v>
      </c>
      <c r="Q118" s="18" t="s">
        <v>124</v>
      </c>
      <c r="R118" s="18" t="s">
        <v>102</v>
      </c>
      <c r="S118" s="18">
        <v>6908</v>
      </c>
      <c r="T118" s="18" t="s">
        <v>22</v>
      </c>
      <c r="U118" s="18" t="s">
        <v>19</v>
      </c>
      <c r="V118" s="17"/>
    </row>
    <row r="119" spans="1:22" x14ac:dyDescent="0.3">
      <c r="A119" s="18" t="e">
        <f t="shared" ref="A119:A182" si="3">A118+1</f>
        <v>#REF!</v>
      </c>
      <c r="B119" s="17">
        <v>59</v>
      </c>
      <c r="C119" s="22" t="s">
        <v>20</v>
      </c>
      <c r="D119" s="20" t="s">
        <v>294</v>
      </c>
      <c r="E119" s="20">
        <v>45679</v>
      </c>
      <c r="F119" s="21" t="s">
        <v>123</v>
      </c>
      <c r="G119" s="49" t="s">
        <v>295</v>
      </c>
      <c r="H119" s="56">
        <v>87699.6</v>
      </c>
      <c r="I119" s="20">
        <v>45679</v>
      </c>
      <c r="J119" s="18"/>
      <c r="K119" s="18" t="s">
        <v>19</v>
      </c>
      <c r="L119" s="61">
        <v>60</v>
      </c>
      <c r="M119" s="61">
        <v>6</v>
      </c>
      <c r="N119" s="19">
        <v>45679</v>
      </c>
      <c r="O119" s="18" t="s">
        <v>21</v>
      </c>
      <c r="P119" s="18" t="s">
        <v>25</v>
      </c>
      <c r="Q119" s="18" t="s">
        <v>124</v>
      </c>
      <c r="R119" s="18" t="s">
        <v>102</v>
      </c>
      <c r="S119" s="18">
        <v>6907</v>
      </c>
      <c r="T119" s="18" t="s">
        <v>22</v>
      </c>
      <c r="U119" s="18" t="s">
        <v>19</v>
      </c>
      <c r="V119" s="17"/>
    </row>
    <row r="120" spans="1:22" x14ac:dyDescent="0.3">
      <c r="A120" s="18" t="e">
        <f t="shared" si="3"/>
        <v>#REF!</v>
      </c>
      <c r="B120" s="17">
        <v>59</v>
      </c>
      <c r="C120" s="22" t="s">
        <v>20</v>
      </c>
      <c r="D120" s="20" t="s">
        <v>296</v>
      </c>
      <c r="E120" s="20">
        <v>45670</v>
      </c>
      <c r="F120" s="23" t="s">
        <v>66</v>
      </c>
      <c r="G120" s="49" t="s">
        <v>297</v>
      </c>
      <c r="H120" s="56">
        <v>122216.68</v>
      </c>
      <c r="I120" s="20">
        <v>45679</v>
      </c>
      <c r="J120" s="18"/>
      <c r="K120" s="18" t="s">
        <v>19</v>
      </c>
      <c r="L120" s="61">
        <v>112</v>
      </c>
      <c r="M120" s="61">
        <v>10</v>
      </c>
      <c r="N120" s="19">
        <v>45679</v>
      </c>
      <c r="O120" s="18" t="s">
        <v>21</v>
      </c>
      <c r="P120" s="18" t="s">
        <v>25</v>
      </c>
      <c r="Q120" s="18" t="s">
        <v>124</v>
      </c>
      <c r="R120" s="18" t="s">
        <v>102</v>
      </c>
      <c r="S120" s="18">
        <v>6906</v>
      </c>
      <c r="T120" s="18" t="s">
        <v>22</v>
      </c>
      <c r="U120" s="18" t="s">
        <v>19</v>
      </c>
      <c r="V120" s="17"/>
    </row>
    <row r="121" spans="1:22" x14ac:dyDescent="0.3">
      <c r="A121" s="18" t="e">
        <f t="shared" si="3"/>
        <v>#REF!</v>
      </c>
      <c r="B121" s="17">
        <v>60</v>
      </c>
      <c r="C121" s="22" t="s">
        <v>20</v>
      </c>
      <c r="D121" s="20" t="s">
        <v>298</v>
      </c>
      <c r="E121" s="20">
        <v>45673</v>
      </c>
      <c r="F121" s="21" t="s">
        <v>118</v>
      </c>
      <c r="G121" s="49" t="s">
        <v>299</v>
      </c>
      <c r="H121" s="56">
        <v>75707.8</v>
      </c>
      <c r="I121" s="20">
        <v>45679</v>
      </c>
      <c r="J121" s="18"/>
      <c r="K121" s="18" t="s">
        <v>19</v>
      </c>
      <c r="L121" s="61">
        <v>70</v>
      </c>
      <c r="M121" s="61">
        <v>7</v>
      </c>
      <c r="N121" s="19">
        <v>45680</v>
      </c>
      <c r="O121" s="18" t="s">
        <v>21</v>
      </c>
      <c r="P121" s="18" t="s">
        <v>25</v>
      </c>
      <c r="Q121" s="18" t="s">
        <v>101</v>
      </c>
      <c r="R121" s="18" t="s">
        <v>102</v>
      </c>
      <c r="S121" s="18">
        <v>6920</v>
      </c>
      <c r="T121" s="18" t="s">
        <v>22</v>
      </c>
      <c r="U121" s="18" t="s">
        <v>19</v>
      </c>
      <c r="V121" s="17"/>
    </row>
    <row r="122" spans="1:22" x14ac:dyDescent="0.3">
      <c r="A122" s="18" t="e">
        <f t="shared" si="3"/>
        <v>#REF!</v>
      </c>
      <c r="B122" s="17">
        <v>60</v>
      </c>
      <c r="C122" s="22" t="s">
        <v>20</v>
      </c>
      <c r="D122" s="20" t="s">
        <v>300</v>
      </c>
      <c r="E122" s="20">
        <v>45671</v>
      </c>
      <c r="F122" s="21" t="s">
        <v>24</v>
      </c>
      <c r="G122" s="49" t="s">
        <v>301</v>
      </c>
      <c r="H122" s="56">
        <v>547899.07999999996</v>
      </c>
      <c r="I122" s="20">
        <v>45679</v>
      </c>
      <c r="J122" s="18"/>
      <c r="K122" s="18" t="s">
        <v>19</v>
      </c>
      <c r="L122" s="61">
        <v>442</v>
      </c>
      <c r="M122" s="61">
        <v>43</v>
      </c>
      <c r="N122" s="19">
        <v>45680</v>
      </c>
      <c r="O122" s="18" t="s">
        <v>21</v>
      </c>
      <c r="P122" s="18" t="s">
        <v>25</v>
      </c>
      <c r="Q122" s="18" t="s">
        <v>101</v>
      </c>
      <c r="R122" s="18" t="s">
        <v>102</v>
      </c>
      <c r="S122" s="18">
        <v>6919</v>
      </c>
      <c r="T122" s="18" t="s">
        <v>22</v>
      </c>
      <c r="U122" s="18" t="s">
        <v>19</v>
      </c>
      <c r="V122" s="17"/>
    </row>
    <row r="123" spans="1:22" x14ac:dyDescent="0.3">
      <c r="A123" s="18" t="e">
        <f t="shared" si="3"/>
        <v>#REF!</v>
      </c>
      <c r="B123" s="17">
        <v>60</v>
      </c>
      <c r="C123" s="22" t="s">
        <v>23</v>
      </c>
      <c r="D123" s="20" t="s">
        <v>302</v>
      </c>
      <c r="E123" s="20">
        <v>45679</v>
      </c>
      <c r="F123" s="21" t="s">
        <v>33</v>
      </c>
      <c r="G123" s="49" t="s">
        <v>303</v>
      </c>
      <c r="H123" s="56">
        <v>33199.199999999997</v>
      </c>
      <c r="I123" s="20">
        <v>45680</v>
      </c>
      <c r="J123" s="18"/>
      <c r="K123" s="18" t="s">
        <v>19</v>
      </c>
      <c r="L123" s="61">
        <v>72</v>
      </c>
      <c r="M123" s="61">
        <v>3</v>
      </c>
      <c r="N123" s="19">
        <v>45680</v>
      </c>
      <c r="O123" s="18" t="s">
        <v>21</v>
      </c>
      <c r="P123" s="18" t="s">
        <v>25</v>
      </c>
      <c r="Q123" s="18" t="s">
        <v>101</v>
      </c>
      <c r="R123" s="18" t="s">
        <v>102</v>
      </c>
      <c r="S123" s="18">
        <v>6918</v>
      </c>
      <c r="T123" s="18" t="s">
        <v>22</v>
      </c>
      <c r="U123" s="18" t="s">
        <v>19</v>
      </c>
      <c r="V123" s="17"/>
    </row>
    <row r="124" spans="1:22" x14ac:dyDescent="0.3">
      <c r="A124" s="18" t="e">
        <f t="shared" si="3"/>
        <v>#REF!</v>
      </c>
      <c r="B124" s="17">
        <v>60</v>
      </c>
      <c r="C124" s="22" t="s">
        <v>23</v>
      </c>
      <c r="D124" s="20" t="s">
        <v>304</v>
      </c>
      <c r="E124" s="20">
        <v>45680</v>
      </c>
      <c r="F124" s="24" t="s">
        <v>41</v>
      </c>
      <c r="G124" s="49" t="s">
        <v>305</v>
      </c>
      <c r="H124" s="56">
        <v>122973.6</v>
      </c>
      <c r="I124" s="20">
        <v>45680</v>
      </c>
      <c r="J124" s="18"/>
      <c r="K124" s="18" t="s">
        <v>19</v>
      </c>
      <c r="L124" s="61">
        <v>240</v>
      </c>
      <c r="M124" s="61">
        <v>10</v>
      </c>
      <c r="N124" s="19">
        <v>45680</v>
      </c>
      <c r="O124" s="18" t="s">
        <v>21</v>
      </c>
      <c r="P124" s="18" t="s">
        <v>25</v>
      </c>
      <c r="Q124" s="18" t="s">
        <v>101</v>
      </c>
      <c r="R124" s="18" t="s">
        <v>102</v>
      </c>
      <c r="S124" s="18">
        <v>6917</v>
      </c>
      <c r="T124" s="18" t="s">
        <v>22</v>
      </c>
      <c r="U124" s="18" t="s">
        <v>19</v>
      </c>
      <c r="V124" s="17"/>
    </row>
    <row r="125" spans="1:22" x14ac:dyDescent="0.3">
      <c r="A125" s="18" t="e">
        <f t="shared" si="3"/>
        <v>#REF!</v>
      </c>
      <c r="B125" s="17">
        <v>60</v>
      </c>
      <c r="C125" s="22" t="s">
        <v>23</v>
      </c>
      <c r="D125" s="20" t="s">
        <v>306</v>
      </c>
      <c r="E125" s="20">
        <v>45680</v>
      </c>
      <c r="F125" s="21" t="s">
        <v>131</v>
      </c>
      <c r="G125" s="49" t="s">
        <v>307</v>
      </c>
      <c r="H125" s="56">
        <v>226829.76</v>
      </c>
      <c r="I125" s="20">
        <v>45680</v>
      </c>
      <c r="J125" s="18"/>
      <c r="K125" s="18" t="s">
        <v>19</v>
      </c>
      <c r="L125" s="61">
        <v>552</v>
      </c>
      <c r="M125" s="61">
        <v>23</v>
      </c>
      <c r="N125" s="19">
        <v>45680</v>
      </c>
      <c r="O125" s="18" t="s">
        <v>21</v>
      </c>
      <c r="P125" s="18" t="s">
        <v>25</v>
      </c>
      <c r="Q125" s="18" t="s">
        <v>101</v>
      </c>
      <c r="R125" s="18" t="s">
        <v>102</v>
      </c>
      <c r="S125" s="18">
        <v>6916</v>
      </c>
      <c r="T125" s="18" t="s">
        <v>22</v>
      </c>
      <c r="U125" s="18" t="s">
        <v>19</v>
      </c>
      <c r="V125" s="17"/>
    </row>
    <row r="126" spans="1:22" x14ac:dyDescent="0.3">
      <c r="A126" s="18" t="e">
        <f t="shared" si="3"/>
        <v>#REF!</v>
      </c>
      <c r="B126" s="17">
        <v>60</v>
      </c>
      <c r="C126" s="22" t="s">
        <v>23</v>
      </c>
      <c r="D126" s="20" t="s">
        <v>308</v>
      </c>
      <c r="E126" s="20">
        <v>45680</v>
      </c>
      <c r="F126" s="21" t="s">
        <v>35</v>
      </c>
      <c r="G126" s="49" t="s">
        <v>309</v>
      </c>
      <c r="H126" s="56">
        <v>68244.72</v>
      </c>
      <c r="I126" s="20">
        <v>45680</v>
      </c>
      <c r="J126" s="18"/>
      <c r="K126" s="18" t="s">
        <v>19</v>
      </c>
      <c r="L126" s="61">
        <v>144</v>
      </c>
      <c r="M126" s="61">
        <v>6</v>
      </c>
      <c r="N126" s="19">
        <v>45680</v>
      </c>
      <c r="O126" s="18" t="s">
        <v>21</v>
      </c>
      <c r="P126" s="18" t="s">
        <v>25</v>
      </c>
      <c r="Q126" s="18" t="s">
        <v>101</v>
      </c>
      <c r="R126" s="18" t="s">
        <v>102</v>
      </c>
      <c r="S126" s="18">
        <v>6915</v>
      </c>
      <c r="T126" s="18" t="s">
        <v>22</v>
      </c>
      <c r="U126" s="18" t="s">
        <v>19</v>
      </c>
      <c r="V126" s="17"/>
    </row>
    <row r="127" spans="1:22" x14ac:dyDescent="0.3">
      <c r="A127" s="18" t="e">
        <f t="shared" si="3"/>
        <v>#REF!</v>
      </c>
      <c r="B127" s="17">
        <v>60</v>
      </c>
      <c r="C127" s="22" t="s">
        <v>23</v>
      </c>
      <c r="D127" s="20" t="s">
        <v>310</v>
      </c>
      <c r="E127" s="20">
        <v>45677</v>
      </c>
      <c r="F127" s="21" t="s">
        <v>28</v>
      </c>
      <c r="G127" s="49" t="s">
        <v>311</v>
      </c>
      <c r="H127" s="56">
        <v>106945.92</v>
      </c>
      <c r="I127" s="20">
        <v>45680</v>
      </c>
      <c r="J127" s="18"/>
      <c r="K127" s="18" t="s">
        <v>19</v>
      </c>
      <c r="L127" s="61">
        <v>288</v>
      </c>
      <c r="M127" s="61">
        <v>12</v>
      </c>
      <c r="N127" s="19">
        <v>45680</v>
      </c>
      <c r="O127" s="18" t="s">
        <v>21</v>
      </c>
      <c r="P127" s="18" t="s">
        <v>25</v>
      </c>
      <c r="Q127" s="18" t="s">
        <v>101</v>
      </c>
      <c r="R127" s="18" t="s">
        <v>102</v>
      </c>
      <c r="S127" s="18">
        <v>6921</v>
      </c>
      <c r="T127" s="18" t="s">
        <v>22</v>
      </c>
      <c r="U127" s="18" t="s">
        <v>19</v>
      </c>
      <c r="V127" s="17"/>
    </row>
    <row r="128" spans="1:22" x14ac:dyDescent="0.3">
      <c r="A128" s="18" t="e">
        <f t="shared" si="3"/>
        <v>#REF!</v>
      </c>
      <c r="B128" s="17">
        <v>60</v>
      </c>
      <c r="C128" s="22" t="s">
        <v>23</v>
      </c>
      <c r="D128" s="20" t="s">
        <v>312</v>
      </c>
      <c r="E128" s="20">
        <v>45679</v>
      </c>
      <c r="F128" s="21" t="s">
        <v>35</v>
      </c>
      <c r="G128" s="49" t="s">
        <v>313</v>
      </c>
      <c r="H128" s="56">
        <v>71788.800000000003</v>
      </c>
      <c r="I128" s="20">
        <v>45680</v>
      </c>
      <c r="J128" s="18"/>
      <c r="K128" s="18" t="s">
        <v>19</v>
      </c>
      <c r="L128" s="61">
        <v>192</v>
      </c>
      <c r="M128" s="61">
        <v>8</v>
      </c>
      <c r="N128" s="19">
        <v>45680</v>
      </c>
      <c r="O128" s="18" t="s">
        <v>21</v>
      </c>
      <c r="P128" s="18" t="s">
        <v>25</v>
      </c>
      <c r="Q128" s="18" t="s">
        <v>101</v>
      </c>
      <c r="R128" s="18" t="s">
        <v>102</v>
      </c>
      <c r="S128" s="18">
        <v>6922</v>
      </c>
      <c r="T128" s="18" t="s">
        <v>22</v>
      </c>
      <c r="U128" s="18" t="s">
        <v>19</v>
      </c>
      <c r="V128" s="17"/>
    </row>
    <row r="129" spans="1:22" x14ac:dyDescent="0.3">
      <c r="A129" s="18" t="e">
        <f t="shared" si="3"/>
        <v>#REF!</v>
      </c>
      <c r="B129" s="17">
        <v>60</v>
      </c>
      <c r="C129" s="22" t="s">
        <v>23</v>
      </c>
      <c r="D129" s="20" t="s">
        <v>314</v>
      </c>
      <c r="E129" s="20">
        <v>45677</v>
      </c>
      <c r="F129" s="21" t="s">
        <v>35</v>
      </c>
      <c r="G129" s="49" t="s">
        <v>315</v>
      </c>
      <c r="H129" s="56">
        <v>52980.480000000003</v>
      </c>
      <c r="I129" s="20">
        <v>45680</v>
      </c>
      <c r="J129" s="18"/>
      <c r="K129" s="18" t="s">
        <v>19</v>
      </c>
      <c r="L129" s="61">
        <v>144</v>
      </c>
      <c r="M129" s="61">
        <v>6</v>
      </c>
      <c r="N129" s="19">
        <v>45680</v>
      </c>
      <c r="O129" s="18" t="s">
        <v>21</v>
      </c>
      <c r="P129" s="18" t="s">
        <v>25</v>
      </c>
      <c r="Q129" s="18" t="s">
        <v>101</v>
      </c>
      <c r="R129" s="18" t="s">
        <v>102</v>
      </c>
      <c r="S129" s="18">
        <v>6923</v>
      </c>
      <c r="T129" s="18" t="s">
        <v>22</v>
      </c>
      <c r="U129" s="18" t="s">
        <v>19</v>
      </c>
      <c r="V129" s="17"/>
    </row>
    <row r="130" spans="1:22" x14ac:dyDescent="0.3">
      <c r="A130" s="18" t="e">
        <f t="shared" si="3"/>
        <v>#REF!</v>
      </c>
      <c r="B130" s="17">
        <v>60</v>
      </c>
      <c r="C130" s="22" t="s">
        <v>20</v>
      </c>
      <c r="D130" s="20" t="s">
        <v>316</v>
      </c>
      <c r="E130" s="20">
        <v>45673</v>
      </c>
      <c r="F130" s="21" t="s">
        <v>247</v>
      </c>
      <c r="G130" s="49" t="s">
        <v>317</v>
      </c>
      <c r="H130" s="56">
        <v>132104.35999999999</v>
      </c>
      <c r="I130" s="20">
        <v>45680</v>
      </c>
      <c r="J130" s="18"/>
      <c r="K130" s="18" t="s">
        <v>19</v>
      </c>
      <c r="L130" s="61">
        <v>114</v>
      </c>
      <c r="M130" s="61">
        <v>11</v>
      </c>
      <c r="N130" s="19">
        <v>45680</v>
      </c>
      <c r="O130" s="18" t="s">
        <v>21</v>
      </c>
      <c r="P130" s="18" t="s">
        <v>25</v>
      </c>
      <c r="Q130" s="18" t="s">
        <v>101</v>
      </c>
      <c r="R130" s="18" t="s">
        <v>102</v>
      </c>
      <c r="S130" s="18">
        <v>6925</v>
      </c>
      <c r="T130" s="18" t="s">
        <v>22</v>
      </c>
      <c r="U130" s="18" t="s">
        <v>19</v>
      </c>
      <c r="V130" s="17"/>
    </row>
    <row r="131" spans="1:22" x14ac:dyDescent="0.3">
      <c r="A131" s="18" t="e">
        <f t="shared" si="3"/>
        <v>#REF!</v>
      </c>
      <c r="B131" s="17">
        <v>60</v>
      </c>
      <c r="C131" s="22" t="s">
        <v>20</v>
      </c>
      <c r="D131" s="20" t="s">
        <v>318</v>
      </c>
      <c r="E131" s="20">
        <v>45671</v>
      </c>
      <c r="F131" s="21" t="s">
        <v>33</v>
      </c>
      <c r="G131" s="49" t="s">
        <v>319</v>
      </c>
      <c r="H131" s="56">
        <v>53046.3</v>
      </c>
      <c r="I131" s="20">
        <v>45680</v>
      </c>
      <c r="J131" s="18"/>
      <c r="K131" s="18" t="s">
        <v>19</v>
      </c>
      <c r="L131" s="61">
        <v>40</v>
      </c>
      <c r="M131" s="61">
        <v>4</v>
      </c>
      <c r="N131" s="19">
        <v>45680</v>
      </c>
      <c r="O131" s="18" t="s">
        <v>21</v>
      </c>
      <c r="P131" s="18" t="s">
        <v>25</v>
      </c>
      <c r="Q131" s="18" t="s">
        <v>101</v>
      </c>
      <c r="R131" s="18" t="s">
        <v>102</v>
      </c>
      <c r="S131" s="18">
        <v>6924</v>
      </c>
      <c r="T131" s="18" t="s">
        <v>22</v>
      </c>
      <c r="U131" s="18" t="s">
        <v>19</v>
      </c>
      <c r="V131" s="17"/>
    </row>
    <row r="132" spans="1:22" x14ac:dyDescent="0.3">
      <c r="A132" s="18" t="e">
        <f t="shared" si="3"/>
        <v>#REF!</v>
      </c>
      <c r="B132" s="17">
        <v>60</v>
      </c>
      <c r="C132" s="22" t="s">
        <v>23</v>
      </c>
      <c r="D132" s="20" t="s">
        <v>320</v>
      </c>
      <c r="E132" s="20">
        <v>45680</v>
      </c>
      <c r="F132" s="24" t="s">
        <v>51</v>
      </c>
      <c r="G132" s="49" t="s">
        <v>321</v>
      </c>
      <c r="H132" s="56">
        <v>24089.759999999998</v>
      </c>
      <c r="I132" s="20">
        <v>45680</v>
      </c>
      <c r="J132" s="18"/>
      <c r="K132" s="18" t="s">
        <v>19</v>
      </c>
      <c r="L132" s="61">
        <v>72</v>
      </c>
      <c r="M132" s="61">
        <v>3</v>
      </c>
      <c r="N132" s="19">
        <v>45680</v>
      </c>
      <c r="O132" s="18" t="s">
        <v>21</v>
      </c>
      <c r="P132" s="18" t="s">
        <v>25</v>
      </c>
      <c r="Q132" s="18" t="s">
        <v>101</v>
      </c>
      <c r="R132" s="18" t="s">
        <v>102</v>
      </c>
      <c r="S132" s="18">
        <v>6913</v>
      </c>
      <c r="T132" s="18" t="s">
        <v>22</v>
      </c>
      <c r="U132" s="18" t="s">
        <v>19</v>
      </c>
      <c r="V132" s="17"/>
    </row>
    <row r="133" spans="1:22" x14ac:dyDescent="0.3">
      <c r="A133" s="18" t="e">
        <f t="shared" si="3"/>
        <v>#REF!</v>
      </c>
      <c r="B133" s="17">
        <v>60</v>
      </c>
      <c r="C133" s="22" t="s">
        <v>23</v>
      </c>
      <c r="D133" s="20" t="s">
        <v>322</v>
      </c>
      <c r="E133" s="20">
        <v>45680</v>
      </c>
      <c r="F133" s="23" t="s">
        <v>43</v>
      </c>
      <c r="G133" s="49" t="s">
        <v>323</v>
      </c>
      <c r="H133" s="56">
        <v>59012.639999999999</v>
      </c>
      <c r="I133" s="20">
        <v>45680</v>
      </c>
      <c r="J133" s="18"/>
      <c r="K133" s="18" t="s">
        <v>19</v>
      </c>
      <c r="L133" s="61">
        <v>144</v>
      </c>
      <c r="M133" s="61">
        <v>6</v>
      </c>
      <c r="N133" s="19">
        <v>45680</v>
      </c>
      <c r="O133" s="18" t="s">
        <v>21</v>
      </c>
      <c r="P133" s="18" t="s">
        <v>25</v>
      </c>
      <c r="Q133" s="18" t="s">
        <v>101</v>
      </c>
      <c r="R133" s="18" t="s">
        <v>102</v>
      </c>
      <c r="S133" s="18">
        <v>6914</v>
      </c>
      <c r="T133" s="18" t="s">
        <v>22</v>
      </c>
      <c r="U133" s="18" t="s">
        <v>19</v>
      </c>
      <c r="V133" s="17"/>
    </row>
    <row r="134" spans="1:22" x14ac:dyDescent="0.3">
      <c r="A134" s="18" t="e">
        <f t="shared" si="3"/>
        <v>#REF!</v>
      </c>
      <c r="B134" s="17">
        <v>60</v>
      </c>
      <c r="C134" s="22" t="s">
        <v>23</v>
      </c>
      <c r="D134" s="20" t="s">
        <v>324</v>
      </c>
      <c r="E134" s="20">
        <v>45680</v>
      </c>
      <c r="F134" s="21" t="s">
        <v>35</v>
      </c>
      <c r="G134" s="49" t="s">
        <v>325</v>
      </c>
      <c r="H134" s="56">
        <v>167528.04</v>
      </c>
      <c r="I134" s="20">
        <v>45680</v>
      </c>
      <c r="J134" s="18"/>
      <c r="K134" s="18" t="s">
        <v>19</v>
      </c>
      <c r="L134" s="61">
        <v>492</v>
      </c>
      <c r="M134" s="61">
        <v>21</v>
      </c>
      <c r="N134" s="19">
        <v>45680</v>
      </c>
      <c r="O134" s="18" t="s">
        <v>21</v>
      </c>
      <c r="P134" s="18" t="s">
        <v>25</v>
      </c>
      <c r="Q134" s="18" t="s">
        <v>101</v>
      </c>
      <c r="R134" s="18" t="s">
        <v>102</v>
      </c>
      <c r="S134" s="18">
        <v>6911</v>
      </c>
      <c r="T134" s="18" t="s">
        <v>22</v>
      </c>
      <c r="U134" s="18" t="s">
        <v>19</v>
      </c>
      <c r="V134" s="17"/>
    </row>
    <row r="135" spans="1:22" x14ac:dyDescent="0.3">
      <c r="A135" s="18" t="e">
        <f t="shared" si="3"/>
        <v>#REF!</v>
      </c>
      <c r="B135" s="17">
        <v>60</v>
      </c>
      <c r="C135" s="22" t="s">
        <v>23</v>
      </c>
      <c r="D135" s="20" t="s">
        <v>326</v>
      </c>
      <c r="E135" s="20">
        <v>45680</v>
      </c>
      <c r="F135" s="23" t="s">
        <v>68</v>
      </c>
      <c r="G135" s="49" t="s">
        <v>327</v>
      </c>
      <c r="H135" s="56">
        <v>73784.160000000003</v>
      </c>
      <c r="I135" s="20">
        <v>45680</v>
      </c>
      <c r="J135" s="18"/>
      <c r="K135" s="18" t="s">
        <v>19</v>
      </c>
      <c r="L135" s="61">
        <v>144</v>
      </c>
      <c r="M135" s="61">
        <v>6</v>
      </c>
      <c r="N135" s="19">
        <v>45680</v>
      </c>
      <c r="O135" s="18" t="s">
        <v>21</v>
      </c>
      <c r="P135" s="18" t="s">
        <v>25</v>
      </c>
      <c r="Q135" s="18" t="s">
        <v>101</v>
      </c>
      <c r="R135" s="18" t="s">
        <v>102</v>
      </c>
      <c r="S135" s="18">
        <v>6912</v>
      </c>
      <c r="T135" s="18" t="s">
        <v>22</v>
      </c>
      <c r="U135" s="18" t="s">
        <v>19</v>
      </c>
      <c r="V135" s="17"/>
    </row>
    <row r="136" spans="1:22" x14ac:dyDescent="0.3">
      <c r="A136" s="18" t="e">
        <f t="shared" si="3"/>
        <v>#REF!</v>
      </c>
      <c r="B136" s="17">
        <v>61</v>
      </c>
      <c r="C136" s="22" t="s">
        <v>20</v>
      </c>
      <c r="D136" s="20" t="s">
        <v>328</v>
      </c>
      <c r="E136" s="20">
        <v>45677</v>
      </c>
      <c r="F136" s="21" t="s">
        <v>130</v>
      </c>
      <c r="G136" s="49" t="s">
        <v>329</v>
      </c>
      <c r="H136" s="56">
        <v>191525.38</v>
      </c>
      <c r="I136" s="20">
        <v>45680</v>
      </c>
      <c r="J136" s="18"/>
      <c r="K136" s="18" t="s">
        <v>19</v>
      </c>
      <c r="L136" s="61">
        <v>142</v>
      </c>
      <c r="M136" s="61">
        <v>14</v>
      </c>
      <c r="N136" s="19">
        <v>45681</v>
      </c>
      <c r="O136" s="18" t="s">
        <v>21</v>
      </c>
      <c r="P136" s="18" t="s">
        <v>25</v>
      </c>
      <c r="Q136" s="18" t="s">
        <v>101</v>
      </c>
      <c r="R136" s="18" t="s">
        <v>102</v>
      </c>
      <c r="S136" s="18">
        <v>6934</v>
      </c>
      <c r="T136" s="18" t="s">
        <v>22</v>
      </c>
      <c r="U136" s="18" t="s">
        <v>19</v>
      </c>
      <c r="V136" s="17"/>
    </row>
    <row r="137" spans="1:22" x14ac:dyDescent="0.3">
      <c r="A137" s="18" t="e">
        <f t="shared" si="3"/>
        <v>#REF!</v>
      </c>
      <c r="B137" s="17">
        <v>61</v>
      </c>
      <c r="C137" s="22" t="s">
        <v>20</v>
      </c>
      <c r="D137" s="20" t="s">
        <v>330</v>
      </c>
      <c r="E137" s="20">
        <v>45680</v>
      </c>
      <c r="F137" s="21" t="s">
        <v>33</v>
      </c>
      <c r="G137" s="49" t="s">
        <v>331</v>
      </c>
      <c r="H137" s="56">
        <v>120379.2</v>
      </c>
      <c r="I137" s="20">
        <v>45681</v>
      </c>
      <c r="J137" s="18"/>
      <c r="K137" s="18" t="s">
        <v>19</v>
      </c>
      <c r="L137" s="61">
        <v>100</v>
      </c>
      <c r="M137" s="61">
        <v>10</v>
      </c>
      <c r="N137" s="19">
        <v>45681</v>
      </c>
      <c r="O137" s="18" t="s">
        <v>21</v>
      </c>
      <c r="P137" s="18" t="s">
        <v>25</v>
      </c>
      <c r="Q137" s="18" t="s">
        <v>101</v>
      </c>
      <c r="R137" s="18" t="s">
        <v>102</v>
      </c>
      <c r="S137" s="18">
        <v>6933</v>
      </c>
      <c r="T137" s="18" t="s">
        <v>22</v>
      </c>
      <c r="U137" s="18" t="s">
        <v>19</v>
      </c>
      <c r="V137" s="17"/>
    </row>
    <row r="138" spans="1:22" x14ac:dyDescent="0.3">
      <c r="A138" s="18" t="e">
        <f t="shared" si="3"/>
        <v>#REF!</v>
      </c>
      <c r="B138" s="17">
        <v>61</v>
      </c>
      <c r="C138" s="22" t="s">
        <v>20</v>
      </c>
      <c r="D138" s="20" t="s">
        <v>332</v>
      </c>
      <c r="E138" s="20">
        <v>45679</v>
      </c>
      <c r="F138" s="21" t="s">
        <v>47</v>
      </c>
      <c r="G138" s="49" t="s">
        <v>333</v>
      </c>
      <c r="H138" s="56">
        <v>65887.88</v>
      </c>
      <c r="I138" s="20">
        <v>45681</v>
      </c>
      <c r="J138" s="18"/>
      <c r="K138" s="18" t="s">
        <v>19</v>
      </c>
      <c r="L138" s="61">
        <v>57</v>
      </c>
      <c r="M138" s="61">
        <v>6</v>
      </c>
      <c r="N138" s="19">
        <v>45681</v>
      </c>
      <c r="O138" s="18" t="s">
        <v>21</v>
      </c>
      <c r="P138" s="18" t="s">
        <v>25</v>
      </c>
      <c r="Q138" s="18" t="s">
        <v>101</v>
      </c>
      <c r="R138" s="18" t="s">
        <v>102</v>
      </c>
      <c r="S138" s="18">
        <v>6932</v>
      </c>
      <c r="T138" s="18" t="s">
        <v>22</v>
      </c>
      <c r="U138" s="18" t="s">
        <v>19</v>
      </c>
      <c r="V138" s="17"/>
    </row>
    <row r="139" spans="1:22" x14ac:dyDescent="0.3">
      <c r="A139" s="18" t="e">
        <f t="shared" si="3"/>
        <v>#REF!</v>
      </c>
      <c r="B139" s="17">
        <v>61</v>
      </c>
      <c r="C139" s="22" t="s">
        <v>20</v>
      </c>
      <c r="D139" s="20" t="s">
        <v>334</v>
      </c>
      <c r="E139" s="20">
        <v>45677</v>
      </c>
      <c r="F139" s="21" t="s">
        <v>28</v>
      </c>
      <c r="G139" s="49" t="s">
        <v>335</v>
      </c>
      <c r="H139" s="56">
        <v>327142.8</v>
      </c>
      <c r="I139" s="20">
        <v>45680</v>
      </c>
      <c r="J139" s="18"/>
      <c r="K139" s="18" t="s">
        <v>19</v>
      </c>
      <c r="L139" s="61">
        <v>270</v>
      </c>
      <c r="M139" s="61">
        <v>25</v>
      </c>
      <c r="N139" s="19">
        <v>45681</v>
      </c>
      <c r="O139" s="18" t="s">
        <v>21</v>
      </c>
      <c r="P139" s="18" t="s">
        <v>25</v>
      </c>
      <c r="Q139" s="18" t="s">
        <v>101</v>
      </c>
      <c r="R139" s="18" t="s">
        <v>102</v>
      </c>
      <c r="S139" s="18">
        <v>6930</v>
      </c>
      <c r="T139" s="18" t="s">
        <v>22</v>
      </c>
      <c r="U139" s="18" t="s">
        <v>19</v>
      </c>
      <c r="V139" s="17"/>
    </row>
    <row r="140" spans="1:22" x14ac:dyDescent="0.3">
      <c r="A140" s="18" t="e">
        <f t="shared" si="3"/>
        <v>#REF!</v>
      </c>
      <c r="B140" s="17">
        <v>61</v>
      </c>
      <c r="C140" s="22" t="s">
        <v>20</v>
      </c>
      <c r="D140" s="20" t="s">
        <v>336</v>
      </c>
      <c r="E140" s="20">
        <v>45681</v>
      </c>
      <c r="F140" s="21" t="s">
        <v>43</v>
      </c>
      <c r="G140" s="49" t="s">
        <v>337</v>
      </c>
      <c r="H140" s="56">
        <v>49004.26</v>
      </c>
      <c r="I140" s="20">
        <v>45681</v>
      </c>
      <c r="J140" s="18"/>
      <c r="K140" s="18" t="s">
        <v>19</v>
      </c>
      <c r="L140" s="61">
        <v>49</v>
      </c>
      <c r="M140" s="61">
        <v>5</v>
      </c>
      <c r="N140" s="19">
        <v>45681</v>
      </c>
      <c r="O140" s="18" t="s">
        <v>21</v>
      </c>
      <c r="P140" s="18" t="s">
        <v>25</v>
      </c>
      <c r="Q140" s="18" t="s">
        <v>101</v>
      </c>
      <c r="R140" s="18" t="s">
        <v>102</v>
      </c>
      <c r="S140" s="18">
        <v>6927</v>
      </c>
      <c r="T140" s="18" t="s">
        <v>22</v>
      </c>
      <c r="U140" s="18" t="s">
        <v>19</v>
      </c>
      <c r="V140" s="17"/>
    </row>
    <row r="141" spans="1:22" x14ac:dyDescent="0.3">
      <c r="A141" s="18" t="e">
        <f t="shared" si="3"/>
        <v>#REF!</v>
      </c>
      <c r="B141" s="17">
        <v>61</v>
      </c>
      <c r="C141" s="22" t="s">
        <v>20</v>
      </c>
      <c r="D141" s="20" t="s">
        <v>338</v>
      </c>
      <c r="E141" s="20">
        <v>45679</v>
      </c>
      <c r="F141" s="21" t="s">
        <v>35</v>
      </c>
      <c r="G141" s="49" t="s">
        <v>339</v>
      </c>
      <c r="H141" s="56">
        <v>46212.06</v>
      </c>
      <c r="I141" s="20">
        <v>45681</v>
      </c>
      <c r="J141" s="18"/>
      <c r="K141" s="18" t="s">
        <v>19</v>
      </c>
      <c r="L141" s="61">
        <v>48</v>
      </c>
      <c r="M141" s="61">
        <v>5</v>
      </c>
      <c r="N141" s="19">
        <v>45681</v>
      </c>
      <c r="O141" s="18" t="s">
        <v>21</v>
      </c>
      <c r="P141" s="18" t="s">
        <v>25</v>
      </c>
      <c r="Q141" s="18" t="s">
        <v>101</v>
      </c>
      <c r="R141" s="18" t="s">
        <v>102</v>
      </c>
      <c r="S141" s="18">
        <v>6938</v>
      </c>
      <c r="T141" s="18" t="s">
        <v>22</v>
      </c>
      <c r="U141" s="18" t="s">
        <v>19</v>
      </c>
      <c r="V141" s="17"/>
    </row>
    <row r="142" spans="1:22" x14ac:dyDescent="0.3">
      <c r="A142" s="18" t="e">
        <f t="shared" si="3"/>
        <v>#REF!</v>
      </c>
      <c r="B142" s="17">
        <v>61</v>
      </c>
      <c r="C142" s="22" t="s">
        <v>20</v>
      </c>
      <c r="D142" s="20" t="s">
        <v>340</v>
      </c>
      <c r="E142" s="20">
        <v>45679</v>
      </c>
      <c r="F142" s="21" t="s">
        <v>49</v>
      </c>
      <c r="G142" s="49" t="s">
        <v>341</v>
      </c>
      <c r="H142" s="56">
        <v>159826.68</v>
      </c>
      <c r="I142" s="20">
        <v>45681</v>
      </c>
      <c r="J142" s="18"/>
      <c r="K142" s="18" t="s">
        <v>19</v>
      </c>
      <c r="L142" s="61">
        <v>132</v>
      </c>
      <c r="M142" s="61">
        <v>13</v>
      </c>
      <c r="N142" s="19">
        <v>45681</v>
      </c>
      <c r="O142" s="18" t="s">
        <v>21</v>
      </c>
      <c r="P142" s="18" t="s">
        <v>25</v>
      </c>
      <c r="Q142" s="18" t="s">
        <v>101</v>
      </c>
      <c r="R142" s="18" t="s">
        <v>102</v>
      </c>
      <c r="S142" s="18">
        <v>6928</v>
      </c>
      <c r="T142" s="18" t="s">
        <v>22</v>
      </c>
      <c r="U142" s="18" t="s">
        <v>19</v>
      </c>
      <c r="V142" s="17"/>
    </row>
    <row r="143" spans="1:22" x14ac:dyDescent="0.3">
      <c r="A143" s="18" t="e">
        <f t="shared" si="3"/>
        <v>#REF!</v>
      </c>
      <c r="B143" s="17">
        <v>61</v>
      </c>
      <c r="C143" s="22" t="s">
        <v>20</v>
      </c>
      <c r="D143" s="20" t="s">
        <v>342</v>
      </c>
      <c r="E143" s="20">
        <v>45677</v>
      </c>
      <c r="F143" s="21" t="s">
        <v>131</v>
      </c>
      <c r="G143" s="49" t="s">
        <v>343</v>
      </c>
      <c r="H143" s="56">
        <v>347242.36</v>
      </c>
      <c r="I143" s="20">
        <v>45681</v>
      </c>
      <c r="J143" s="18"/>
      <c r="K143" s="18" t="s">
        <v>19</v>
      </c>
      <c r="L143" s="61">
        <v>294</v>
      </c>
      <c r="M143" s="61">
        <v>29</v>
      </c>
      <c r="N143" s="19">
        <v>45681</v>
      </c>
      <c r="O143" s="18" t="s">
        <v>21</v>
      </c>
      <c r="P143" s="18" t="s">
        <v>25</v>
      </c>
      <c r="Q143" s="18" t="s">
        <v>101</v>
      </c>
      <c r="R143" s="18" t="s">
        <v>102</v>
      </c>
      <c r="S143" s="18">
        <v>6929</v>
      </c>
      <c r="T143" s="18" t="s">
        <v>22</v>
      </c>
      <c r="U143" s="18" t="s">
        <v>19</v>
      </c>
      <c r="V143" s="17"/>
    </row>
    <row r="144" spans="1:22" x14ac:dyDescent="0.3">
      <c r="A144" s="18" t="e">
        <f t="shared" si="3"/>
        <v>#REF!</v>
      </c>
      <c r="B144" s="17">
        <v>61</v>
      </c>
      <c r="C144" s="22" t="s">
        <v>20</v>
      </c>
      <c r="D144" s="20" t="s">
        <v>344</v>
      </c>
      <c r="E144" s="20">
        <v>45679</v>
      </c>
      <c r="F144" s="21" t="s">
        <v>64</v>
      </c>
      <c r="G144" s="49" t="s">
        <v>345</v>
      </c>
      <c r="H144" s="56">
        <v>573530.41</v>
      </c>
      <c r="I144" s="20">
        <v>45681</v>
      </c>
      <c r="J144" s="18"/>
      <c r="K144" s="18" t="s">
        <v>19</v>
      </c>
      <c r="L144" s="61">
        <v>494</v>
      </c>
      <c r="M144" s="61">
        <v>50</v>
      </c>
      <c r="N144" s="19">
        <v>45681</v>
      </c>
      <c r="O144" s="18" t="s">
        <v>21</v>
      </c>
      <c r="P144" s="18" t="s">
        <v>25</v>
      </c>
      <c r="Q144" s="18" t="s">
        <v>101</v>
      </c>
      <c r="R144" s="18" t="s">
        <v>102</v>
      </c>
      <c r="S144" s="18">
        <v>6926</v>
      </c>
      <c r="T144" s="18" t="s">
        <v>22</v>
      </c>
      <c r="U144" s="18" t="s">
        <v>19</v>
      </c>
      <c r="V144" s="17"/>
    </row>
    <row r="145" spans="1:22" x14ac:dyDescent="0.3">
      <c r="A145" s="18" t="e">
        <f t="shared" si="3"/>
        <v>#REF!</v>
      </c>
      <c r="B145" s="17">
        <v>61</v>
      </c>
      <c r="C145" s="22" t="s">
        <v>23</v>
      </c>
      <c r="D145" s="20" t="s">
        <v>346</v>
      </c>
      <c r="E145" s="20" t="s">
        <v>19</v>
      </c>
      <c r="F145" s="21" t="s">
        <v>35</v>
      </c>
      <c r="G145" s="49" t="s">
        <v>347</v>
      </c>
      <c r="H145" s="56">
        <v>61425.599999999999</v>
      </c>
      <c r="I145" s="20">
        <v>45681</v>
      </c>
      <c r="J145" s="18"/>
      <c r="K145" s="18" t="s">
        <v>19</v>
      </c>
      <c r="L145" s="61">
        <v>240</v>
      </c>
      <c r="M145" s="61">
        <v>10</v>
      </c>
      <c r="N145" s="19">
        <v>45681</v>
      </c>
      <c r="O145" s="18" t="s">
        <v>21</v>
      </c>
      <c r="P145" s="18" t="s">
        <v>25</v>
      </c>
      <c r="Q145" s="18" t="s">
        <v>101</v>
      </c>
      <c r="R145" s="18" t="s">
        <v>102</v>
      </c>
      <c r="S145" s="18">
        <v>6936</v>
      </c>
      <c r="T145" s="18" t="s">
        <v>22</v>
      </c>
      <c r="U145" s="18" t="s">
        <v>19</v>
      </c>
      <c r="V145" s="17"/>
    </row>
    <row r="146" spans="1:22" x14ac:dyDescent="0.3">
      <c r="A146" s="18" t="e">
        <f t="shared" si="3"/>
        <v>#REF!</v>
      </c>
      <c r="B146" s="17">
        <v>61</v>
      </c>
      <c r="C146" s="22" t="s">
        <v>23</v>
      </c>
      <c r="D146" s="20" t="s">
        <v>19</v>
      </c>
      <c r="E146" s="20" t="s">
        <v>19</v>
      </c>
      <c r="F146" s="21" t="s">
        <v>35</v>
      </c>
      <c r="G146" s="49" t="s">
        <v>348</v>
      </c>
      <c r="H146" s="56">
        <v>49140.480000000003</v>
      </c>
      <c r="I146" s="20">
        <v>45681</v>
      </c>
      <c r="J146" s="18"/>
      <c r="K146" s="18" t="s">
        <v>19</v>
      </c>
      <c r="L146" s="61">
        <v>192</v>
      </c>
      <c r="M146" s="61">
        <v>8</v>
      </c>
      <c r="N146" s="19">
        <v>45681</v>
      </c>
      <c r="O146" s="18" t="s">
        <v>21</v>
      </c>
      <c r="P146" s="18" t="s">
        <v>25</v>
      </c>
      <c r="Q146" s="18" t="s">
        <v>101</v>
      </c>
      <c r="R146" s="18" t="s">
        <v>102</v>
      </c>
      <c r="S146" s="18">
        <v>6935</v>
      </c>
      <c r="T146" s="18" t="s">
        <v>22</v>
      </c>
      <c r="U146" s="18" t="s">
        <v>19</v>
      </c>
      <c r="V146" s="17"/>
    </row>
    <row r="147" spans="1:22" x14ac:dyDescent="0.3">
      <c r="A147" s="18" t="e">
        <f t="shared" si="3"/>
        <v>#REF!</v>
      </c>
      <c r="B147" s="17">
        <v>61</v>
      </c>
      <c r="C147" s="22" t="s">
        <v>23</v>
      </c>
      <c r="D147" s="20" t="s">
        <v>349</v>
      </c>
      <c r="E147" s="20" t="s">
        <v>19</v>
      </c>
      <c r="F147" s="21" t="s">
        <v>350</v>
      </c>
      <c r="G147" s="49" t="s">
        <v>351</v>
      </c>
      <c r="H147" s="56">
        <v>138311.28</v>
      </c>
      <c r="I147" s="20">
        <v>45681</v>
      </c>
      <c r="J147" s="18"/>
      <c r="K147" s="18" t="s">
        <v>19</v>
      </c>
      <c r="L147" s="61">
        <v>336</v>
      </c>
      <c r="M147" s="61">
        <v>16</v>
      </c>
      <c r="N147" s="19">
        <v>45681</v>
      </c>
      <c r="O147" s="18" t="s">
        <v>21</v>
      </c>
      <c r="P147" s="18" t="s">
        <v>25</v>
      </c>
      <c r="Q147" s="18" t="s">
        <v>101</v>
      </c>
      <c r="R147" s="18" t="s">
        <v>102</v>
      </c>
      <c r="S147" s="18">
        <v>6937</v>
      </c>
      <c r="T147" s="18" t="s">
        <v>22</v>
      </c>
      <c r="U147" s="18" t="s">
        <v>19</v>
      </c>
      <c r="V147" s="17"/>
    </row>
    <row r="148" spans="1:22" x14ac:dyDescent="0.3">
      <c r="A148" s="18" t="e">
        <f t="shared" si="3"/>
        <v>#REF!</v>
      </c>
      <c r="B148" s="17">
        <v>61</v>
      </c>
      <c r="C148" s="22" t="s">
        <v>23</v>
      </c>
      <c r="D148" s="20" t="s">
        <v>352</v>
      </c>
      <c r="E148" s="20" t="s">
        <v>19</v>
      </c>
      <c r="F148" s="21" t="s">
        <v>35</v>
      </c>
      <c r="G148" s="49" t="s">
        <v>353</v>
      </c>
      <c r="H148" s="56">
        <v>22132.799999999999</v>
      </c>
      <c r="I148" s="20">
        <v>45681</v>
      </c>
      <c r="J148" s="18"/>
      <c r="K148" s="18" t="s">
        <v>19</v>
      </c>
      <c r="L148" s="61">
        <v>48</v>
      </c>
      <c r="M148" s="61">
        <v>2</v>
      </c>
      <c r="N148" s="19">
        <v>45681</v>
      </c>
      <c r="O148" s="18" t="s">
        <v>21</v>
      </c>
      <c r="P148" s="18" t="s">
        <v>25</v>
      </c>
      <c r="Q148" s="18" t="s">
        <v>101</v>
      </c>
      <c r="R148" s="18" t="s">
        <v>102</v>
      </c>
      <c r="S148" s="18">
        <v>6931</v>
      </c>
      <c r="T148" s="18" t="s">
        <v>22</v>
      </c>
      <c r="U148" s="18" t="s">
        <v>19</v>
      </c>
      <c r="V148" s="17"/>
    </row>
    <row r="149" spans="1:22" x14ac:dyDescent="0.3">
      <c r="A149" s="18" t="e">
        <f t="shared" si="3"/>
        <v>#REF!</v>
      </c>
      <c r="B149" s="17">
        <v>62</v>
      </c>
      <c r="C149" s="22" t="s">
        <v>23</v>
      </c>
      <c r="D149" s="20" t="s">
        <v>354</v>
      </c>
      <c r="E149" s="20">
        <v>45679</v>
      </c>
      <c r="F149" s="21" t="s">
        <v>64</v>
      </c>
      <c r="G149" s="49" t="s">
        <v>355</v>
      </c>
      <c r="H149" s="56">
        <v>481363.20000000001</v>
      </c>
      <c r="I149" s="20">
        <v>45681</v>
      </c>
      <c r="J149" s="18"/>
      <c r="K149" s="18" t="s">
        <v>19</v>
      </c>
      <c r="L149" s="61">
        <v>330</v>
      </c>
      <c r="M149" s="61">
        <v>34</v>
      </c>
      <c r="N149" s="19">
        <v>45686</v>
      </c>
      <c r="O149" s="18" t="s">
        <v>21</v>
      </c>
      <c r="P149" s="18" t="s">
        <v>25</v>
      </c>
      <c r="Q149" s="18" t="s">
        <v>127</v>
      </c>
      <c r="R149" s="18" t="s">
        <v>102</v>
      </c>
      <c r="S149" s="18">
        <v>6944</v>
      </c>
      <c r="T149" s="18" t="s">
        <v>22</v>
      </c>
      <c r="U149" s="18" t="s">
        <v>19</v>
      </c>
      <c r="V149" s="17"/>
    </row>
    <row r="150" spans="1:22" x14ac:dyDescent="0.3">
      <c r="A150" s="18" t="e">
        <f t="shared" si="3"/>
        <v>#REF!</v>
      </c>
      <c r="B150" s="17">
        <v>62</v>
      </c>
      <c r="C150" s="22" t="s">
        <v>23</v>
      </c>
      <c r="D150" s="20" t="s">
        <v>356</v>
      </c>
      <c r="E150" s="20" t="s">
        <v>19</v>
      </c>
      <c r="F150" s="24" t="s">
        <v>51</v>
      </c>
      <c r="G150" s="49" t="s">
        <v>357</v>
      </c>
      <c r="H150" s="56">
        <v>61456.32</v>
      </c>
      <c r="I150" s="20">
        <v>45686</v>
      </c>
      <c r="J150" s="18"/>
      <c r="K150" s="18" t="s">
        <v>19</v>
      </c>
      <c r="L150" s="61">
        <v>168</v>
      </c>
      <c r="M150" s="61">
        <v>7</v>
      </c>
      <c r="N150" s="19">
        <v>45686</v>
      </c>
      <c r="O150" s="18" t="s">
        <v>21</v>
      </c>
      <c r="P150" s="18" t="s">
        <v>25</v>
      </c>
      <c r="Q150" s="18" t="s">
        <v>127</v>
      </c>
      <c r="R150" s="18" t="s">
        <v>102</v>
      </c>
      <c r="S150" s="18">
        <v>6946</v>
      </c>
      <c r="T150" s="18" t="s">
        <v>22</v>
      </c>
      <c r="U150" s="18" t="s">
        <v>19</v>
      </c>
      <c r="V150" s="17"/>
    </row>
    <row r="151" spans="1:22" x14ac:dyDescent="0.3">
      <c r="A151" s="18" t="e">
        <f t="shared" si="3"/>
        <v>#REF!</v>
      </c>
      <c r="B151" s="17">
        <v>62</v>
      </c>
      <c r="C151" s="22" t="s">
        <v>23</v>
      </c>
      <c r="D151" s="20" t="s">
        <v>358</v>
      </c>
      <c r="E151" s="20" t="s">
        <v>19</v>
      </c>
      <c r="F151" s="21" t="s">
        <v>28</v>
      </c>
      <c r="G151" s="49" t="s">
        <v>359</v>
      </c>
      <c r="H151" s="56">
        <v>497862</v>
      </c>
      <c r="I151" s="20">
        <v>45686</v>
      </c>
      <c r="J151" s="18"/>
      <c r="K151" s="18" t="s">
        <v>19</v>
      </c>
      <c r="L151" s="61">
        <v>1320</v>
      </c>
      <c r="M151" s="61">
        <v>55</v>
      </c>
      <c r="N151" s="19">
        <v>45686</v>
      </c>
      <c r="O151" s="18" t="s">
        <v>21</v>
      </c>
      <c r="P151" s="18" t="s">
        <v>25</v>
      </c>
      <c r="Q151" s="18" t="s">
        <v>127</v>
      </c>
      <c r="R151" s="18" t="s">
        <v>102</v>
      </c>
      <c r="S151" s="18">
        <v>6945</v>
      </c>
      <c r="T151" s="18" t="s">
        <v>22</v>
      </c>
      <c r="U151" s="18" t="s">
        <v>19</v>
      </c>
      <c r="V151" s="17"/>
    </row>
    <row r="152" spans="1:22" x14ac:dyDescent="0.3">
      <c r="A152" s="18" t="e">
        <f t="shared" si="3"/>
        <v>#REF!</v>
      </c>
      <c r="B152" s="17">
        <v>62</v>
      </c>
      <c r="C152" s="22" t="s">
        <v>23</v>
      </c>
      <c r="D152" s="20" t="s">
        <v>360</v>
      </c>
      <c r="E152" s="20" t="s">
        <v>19</v>
      </c>
      <c r="F152" s="21" t="s">
        <v>24</v>
      </c>
      <c r="G152" s="49" t="s">
        <v>361</v>
      </c>
      <c r="H152" s="56">
        <v>36855.360000000001</v>
      </c>
      <c r="I152" s="20">
        <v>45684</v>
      </c>
      <c r="J152" s="18"/>
      <c r="K152" s="18" t="s">
        <v>19</v>
      </c>
      <c r="L152" s="61">
        <v>144</v>
      </c>
      <c r="M152" s="61">
        <v>6</v>
      </c>
      <c r="N152" s="19">
        <v>45686</v>
      </c>
      <c r="O152" s="18" t="s">
        <v>21</v>
      </c>
      <c r="P152" s="18" t="s">
        <v>25</v>
      </c>
      <c r="Q152" s="18" t="s">
        <v>127</v>
      </c>
      <c r="R152" s="18" t="s">
        <v>102</v>
      </c>
      <c r="S152" s="18">
        <v>6943</v>
      </c>
      <c r="T152" s="18" t="s">
        <v>22</v>
      </c>
      <c r="U152" s="18" t="s">
        <v>19</v>
      </c>
      <c r="V152" s="17"/>
    </row>
    <row r="153" spans="1:22" x14ac:dyDescent="0.3">
      <c r="A153" s="18" t="e">
        <f t="shared" si="3"/>
        <v>#REF!</v>
      </c>
      <c r="B153" s="17">
        <v>62</v>
      </c>
      <c r="C153" s="22" t="s">
        <v>23</v>
      </c>
      <c r="D153" s="20" t="s">
        <v>362</v>
      </c>
      <c r="E153" s="20" t="s">
        <v>19</v>
      </c>
      <c r="F153" s="23" t="s">
        <v>43</v>
      </c>
      <c r="G153" s="49" t="s">
        <v>363</v>
      </c>
      <c r="H153" s="56">
        <v>29502.720000000001</v>
      </c>
      <c r="I153" s="20">
        <v>45684</v>
      </c>
      <c r="J153" s="18"/>
      <c r="K153" s="18" t="s">
        <v>19</v>
      </c>
      <c r="L153" s="61">
        <v>72</v>
      </c>
      <c r="M153" s="61">
        <v>3</v>
      </c>
      <c r="N153" s="19">
        <v>45686</v>
      </c>
      <c r="O153" s="18" t="s">
        <v>21</v>
      </c>
      <c r="P153" s="18" t="s">
        <v>25</v>
      </c>
      <c r="Q153" s="18" t="s">
        <v>127</v>
      </c>
      <c r="R153" s="18" t="s">
        <v>102</v>
      </c>
      <c r="S153" s="18">
        <v>6942</v>
      </c>
      <c r="T153" s="18" t="s">
        <v>22</v>
      </c>
      <c r="U153" s="18" t="s">
        <v>19</v>
      </c>
      <c r="V153" s="17"/>
    </row>
    <row r="154" spans="1:22" x14ac:dyDescent="0.3">
      <c r="A154" s="18" t="e">
        <f t="shared" si="3"/>
        <v>#REF!</v>
      </c>
      <c r="B154" s="17">
        <v>62</v>
      </c>
      <c r="C154" s="22" t="s">
        <v>23</v>
      </c>
      <c r="D154" s="20" t="s">
        <v>364</v>
      </c>
      <c r="E154" s="20" t="s">
        <v>19</v>
      </c>
      <c r="F154" s="23" t="s">
        <v>68</v>
      </c>
      <c r="G154" s="49" t="s">
        <v>365</v>
      </c>
      <c r="H154" s="56">
        <v>98342.399999999994</v>
      </c>
      <c r="I154" s="20">
        <v>45684</v>
      </c>
      <c r="J154" s="18"/>
      <c r="K154" s="18" t="s">
        <v>19</v>
      </c>
      <c r="L154" s="61">
        <v>240</v>
      </c>
      <c r="M154" s="61">
        <v>10</v>
      </c>
      <c r="N154" s="19">
        <v>45686</v>
      </c>
      <c r="O154" s="18" t="s">
        <v>21</v>
      </c>
      <c r="P154" s="18" t="s">
        <v>25</v>
      </c>
      <c r="Q154" s="18" t="s">
        <v>127</v>
      </c>
      <c r="R154" s="18" t="s">
        <v>102</v>
      </c>
      <c r="S154" s="18">
        <v>6941</v>
      </c>
      <c r="T154" s="18" t="s">
        <v>22</v>
      </c>
      <c r="U154" s="18" t="s">
        <v>19</v>
      </c>
      <c r="V154" s="17"/>
    </row>
    <row r="155" spans="1:22" x14ac:dyDescent="0.3">
      <c r="A155" s="18" t="e">
        <f t="shared" si="3"/>
        <v>#REF!</v>
      </c>
      <c r="B155" s="17">
        <v>62</v>
      </c>
      <c r="C155" s="22" t="s">
        <v>23</v>
      </c>
      <c r="D155" s="20" t="s">
        <v>366</v>
      </c>
      <c r="E155" s="20" t="s">
        <v>19</v>
      </c>
      <c r="F155" s="21" t="s">
        <v>130</v>
      </c>
      <c r="G155" s="49" t="s">
        <v>367</v>
      </c>
      <c r="H155" s="56">
        <v>76209.119999999995</v>
      </c>
      <c r="I155" s="20">
        <v>45686</v>
      </c>
      <c r="J155" s="18"/>
      <c r="K155" s="18" t="s">
        <v>19</v>
      </c>
      <c r="L155" s="61">
        <v>216</v>
      </c>
      <c r="M155" s="61">
        <v>9</v>
      </c>
      <c r="N155" s="19">
        <v>45686</v>
      </c>
      <c r="O155" s="18" t="s">
        <v>21</v>
      </c>
      <c r="P155" s="18" t="s">
        <v>25</v>
      </c>
      <c r="Q155" s="18" t="s">
        <v>127</v>
      </c>
      <c r="R155" s="18" t="s">
        <v>102</v>
      </c>
      <c r="S155" s="18">
        <v>6940</v>
      </c>
      <c r="T155" s="18" t="s">
        <v>22</v>
      </c>
      <c r="U155" s="18" t="s">
        <v>19</v>
      </c>
      <c r="V155" s="17"/>
    </row>
    <row r="156" spans="1:22" x14ac:dyDescent="0.3">
      <c r="A156" s="18" t="e">
        <f t="shared" si="3"/>
        <v>#REF!</v>
      </c>
      <c r="B156" s="17">
        <v>62</v>
      </c>
      <c r="C156" s="22" t="s">
        <v>23</v>
      </c>
      <c r="D156" s="20" t="s">
        <v>368</v>
      </c>
      <c r="E156" s="20" t="s">
        <v>19</v>
      </c>
      <c r="F156" s="21" t="s">
        <v>35</v>
      </c>
      <c r="G156" s="49" t="s">
        <v>369</v>
      </c>
      <c r="H156" s="56">
        <v>93369.36</v>
      </c>
      <c r="I156" s="20">
        <v>45685</v>
      </c>
      <c r="J156" s="18"/>
      <c r="K156" s="18" t="s">
        <v>19</v>
      </c>
      <c r="L156" s="61">
        <v>360</v>
      </c>
      <c r="M156" s="61">
        <v>16</v>
      </c>
      <c r="N156" s="19">
        <v>45686</v>
      </c>
      <c r="O156" s="18" t="s">
        <v>21</v>
      </c>
      <c r="P156" s="18" t="s">
        <v>25</v>
      </c>
      <c r="Q156" s="18" t="s">
        <v>127</v>
      </c>
      <c r="R156" s="18" t="s">
        <v>102</v>
      </c>
      <c r="S156" s="18">
        <v>6939</v>
      </c>
      <c r="T156" s="18" t="s">
        <v>22</v>
      </c>
      <c r="U156" s="18" t="s">
        <v>19</v>
      </c>
      <c r="V156" s="17"/>
    </row>
    <row r="157" spans="1:22" x14ac:dyDescent="0.3">
      <c r="A157" s="18" t="e">
        <f t="shared" si="3"/>
        <v>#REF!</v>
      </c>
      <c r="B157" s="17">
        <v>62</v>
      </c>
      <c r="C157" s="22" t="s">
        <v>23</v>
      </c>
      <c r="D157" s="20" t="s">
        <v>370</v>
      </c>
      <c r="E157" s="20" t="s">
        <v>19</v>
      </c>
      <c r="F157" s="21" t="s">
        <v>35</v>
      </c>
      <c r="G157" s="49" t="s">
        <v>371</v>
      </c>
      <c r="H157" s="56">
        <v>98342.399999999994</v>
      </c>
      <c r="I157" s="20">
        <v>45684</v>
      </c>
      <c r="J157" s="18"/>
      <c r="K157" s="18" t="s">
        <v>19</v>
      </c>
      <c r="L157" s="61">
        <v>240</v>
      </c>
      <c r="M157" s="61">
        <v>10</v>
      </c>
      <c r="N157" s="19">
        <v>45686</v>
      </c>
      <c r="O157" s="18" t="s">
        <v>21</v>
      </c>
      <c r="P157" s="18" t="s">
        <v>25</v>
      </c>
      <c r="Q157" s="18" t="s">
        <v>127</v>
      </c>
      <c r="R157" s="18" t="s">
        <v>102</v>
      </c>
      <c r="S157" s="18">
        <v>6939</v>
      </c>
      <c r="T157" s="18" t="s">
        <v>22</v>
      </c>
      <c r="U157" s="18" t="s">
        <v>19</v>
      </c>
      <c r="V157" s="17"/>
    </row>
    <row r="158" spans="1:22" x14ac:dyDescent="0.3">
      <c r="A158" s="18" t="e">
        <f t="shared" si="3"/>
        <v>#REF!</v>
      </c>
      <c r="B158" s="17">
        <v>62</v>
      </c>
      <c r="C158" s="22" t="s">
        <v>23</v>
      </c>
      <c r="D158" s="20" t="s">
        <v>372</v>
      </c>
      <c r="E158" s="20" t="s">
        <v>19</v>
      </c>
      <c r="F158" s="21" t="s">
        <v>35</v>
      </c>
      <c r="G158" s="49" t="s">
        <v>373</v>
      </c>
      <c r="H158" s="56">
        <v>103376.16</v>
      </c>
      <c r="I158" s="20">
        <v>45681</v>
      </c>
      <c r="J158" s="18"/>
      <c r="K158" s="18" t="s">
        <v>19</v>
      </c>
      <c r="L158" s="61">
        <v>288</v>
      </c>
      <c r="M158" s="61">
        <v>12</v>
      </c>
      <c r="N158" s="19">
        <v>45686</v>
      </c>
      <c r="O158" s="18" t="s">
        <v>21</v>
      </c>
      <c r="P158" s="18" t="s">
        <v>25</v>
      </c>
      <c r="Q158" s="18" t="s">
        <v>127</v>
      </c>
      <c r="R158" s="18" t="s">
        <v>102</v>
      </c>
      <c r="S158" s="18">
        <v>6939</v>
      </c>
      <c r="T158" s="18" t="s">
        <v>22</v>
      </c>
      <c r="U158" s="18" t="s">
        <v>19</v>
      </c>
      <c r="V158" s="17"/>
    </row>
    <row r="159" spans="1:22" x14ac:dyDescent="0.3">
      <c r="A159" s="18" t="e">
        <f t="shared" si="3"/>
        <v>#REF!</v>
      </c>
      <c r="B159" s="17">
        <v>62</v>
      </c>
      <c r="C159" s="22" t="s">
        <v>23</v>
      </c>
      <c r="D159" s="20" t="s">
        <v>374</v>
      </c>
      <c r="E159" s="20" t="s">
        <v>19</v>
      </c>
      <c r="F159" s="21" t="s">
        <v>35</v>
      </c>
      <c r="G159" s="49" t="s">
        <v>375</v>
      </c>
      <c r="H159" s="56">
        <v>49140.480000000003</v>
      </c>
      <c r="I159" s="20">
        <v>45681</v>
      </c>
      <c r="J159" s="18"/>
      <c r="K159" s="18" t="s">
        <v>19</v>
      </c>
      <c r="L159" s="61">
        <v>192</v>
      </c>
      <c r="M159" s="61">
        <v>8</v>
      </c>
      <c r="N159" s="19">
        <v>45686</v>
      </c>
      <c r="O159" s="18" t="s">
        <v>21</v>
      </c>
      <c r="P159" s="18" t="s">
        <v>25</v>
      </c>
      <c r="Q159" s="18" t="s">
        <v>127</v>
      </c>
      <c r="R159" s="18" t="s">
        <v>102</v>
      </c>
      <c r="S159" s="18">
        <v>6939</v>
      </c>
      <c r="T159" s="18" t="s">
        <v>22</v>
      </c>
      <c r="U159" s="18" t="s">
        <v>19</v>
      </c>
      <c r="V159" s="17"/>
    </row>
    <row r="160" spans="1:22" x14ac:dyDescent="0.3">
      <c r="A160" s="18" t="e">
        <f t="shared" si="3"/>
        <v>#REF!</v>
      </c>
      <c r="B160" s="17">
        <v>63</v>
      </c>
      <c r="C160" s="22" t="s">
        <v>23</v>
      </c>
      <c r="D160" s="20" t="s">
        <v>376</v>
      </c>
      <c r="E160" s="20" t="s">
        <v>19</v>
      </c>
      <c r="F160" s="21" t="s">
        <v>58</v>
      </c>
      <c r="G160" s="49" t="s">
        <v>377</v>
      </c>
      <c r="H160" s="56">
        <v>12297.36</v>
      </c>
      <c r="I160" s="20">
        <v>45686</v>
      </c>
      <c r="J160" s="18"/>
      <c r="K160" s="18" t="s">
        <v>19</v>
      </c>
      <c r="L160" s="61">
        <v>24</v>
      </c>
      <c r="M160" s="61">
        <v>1</v>
      </c>
      <c r="N160" s="19">
        <v>45687</v>
      </c>
      <c r="O160" s="18" t="s">
        <v>21</v>
      </c>
      <c r="P160" s="18" t="s">
        <v>25</v>
      </c>
      <c r="Q160" s="18" t="s">
        <v>378</v>
      </c>
      <c r="R160" s="18" t="s">
        <v>102</v>
      </c>
      <c r="S160" s="18">
        <v>6957</v>
      </c>
      <c r="T160" s="18" t="s">
        <v>22</v>
      </c>
      <c r="U160" s="18" t="s">
        <v>19</v>
      </c>
      <c r="V160" s="17"/>
    </row>
    <row r="161" spans="1:22" x14ac:dyDescent="0.3">
      <c r="A161" s="18" t="e">
        <f t="shared" si="3"/>
        <v>#REF!</v>
      </c>
      <c r="B161" s="17">
        <v>63</v>
      </c>
      <c r="C161" s="22" t="s">
        <v>23</v>
      </c>
      <c r="D161" s="20" t="s">
        <v>376</v>
      </c>
      <c r="E161" s="20" t="s">
        <v>19</v>
      </c>
      <c r="F161" s="21" t="s">
        <v>58</v>
      </c>
      <c r="G161" s="49" t="s">
        <v>379</v>
      </c>
      <c r="H161" s="56">
        <v>70091.039999999994</v>
      </c>
      <c r="I161" s="20">
        <v>45687</v>
      </c>
      <c r="J161" s="18"/>
      <c r="K161" s="18" t="s">
        <v>19</v>
      </c>
      <c r="L161" s="61">
        <v>144</v>
      </c>
      <c r="M161" s="61">
        <v>6</v>
      </c>
      <c r="N161" s="19">
        <v>45687</v>
      </c>
      <c r="O161" s="18" t="s">
        <v>21</v>
      </c>
      <c r="P161" s="18" t="s">
        <v>25</v>
      </c>
      <c r="Q161" s="18" t="s">
        <v>378</v>
      </c>
      <c r="R161" s="18" t="s">
        <v>102</v>
      </c>
      <c r="S161" s="18">
        <v>6956</v>
      </c>
      <c r="T161" s="18" t="s">
        <v>22</v>
      </c>
      <c r="U161" s="18" t="s">
        <v>19</v>
      </c>
      <c r="V161" s="17"/>
    </row>
    <row r="162" spans="1:22" x14ac:dyDescent="0.3">
      <c r="A162" s="18" t="e">
        <f t="shared" si="3"/>
        <v>#REF!</v>
      </c>
      <c r="B162" s="17">
        <v>63</v>
      </c>
      <c r="C162" s="22" t="s">
        <v>23</v>
      </c>
      <c r="D162" s="20" t="s">
        <v>380</v>
      </c>
      <c r="E162" s="20" t="s">
        <v>19</v>
      </c>
      <c r="F162" s="21" t="s">
        <v>24</v>
      </c>
      <c r="G162" s="49" t="s">
        <v>381</v>
      </c>
      <c r="H162" s="56">
        <v>65155.199999999997</v>
      </c>
      <c r="I162" s="20">
        <v>45687</v>
      </c>
      <c r="J162" s="18"/>
      <c r="K162" s="18" t="s">
        <v>19</v>
      </c>
      <c r="L162" s="61">
        <v>168</v>
      </c>
      <c r="M162" s="61">
        <v>7</v>
      </c>
      <c r="N162" s="19">
        <v>45687</v>
      </c>
      <c r="O162" s="18" t="s">
        <v>21</v>
      </c>
      <c r="P162" s="18" t="s">
        <v>25</v>
      </c>
      <c r="Q162" s="18" t="s">
        <v>378</v>
      </c>
      <c r="R162" s="18" t="s">
        <v>102</v>
      </c>
      <c r="S162" s="18">
        <v>6954</v>
      </c>
      <c r="T162" s="18" t="s">
        <v>22</v>
      </c>
      <c r="U162" s="18" t="s">
        <v>19</v>
      </c>
      <c r="V162" s="17"/>
    </row>
    <row r="163" spans="1:22" x14ac:dyDescent="0.3">
      <c r="A163" s="18" t="e">
        <f t="shared" si="3"/>
        <v>#REF!</v>
      </c>
      <c r="B163" s="17">
        <v>63</v>
      </c>
      <c r="C163" s="22" t="s">
        <v>23</v>
      </c>
      <c r="D163" s="20" t="s">
        <v>382</v>
      </c>
      <c r="E163" s="20" t="s">
        <v>19</v>
      </c>
      <c r="F163" s="21" t="s">
        <v>35</v>
      </c>
      <c r="G163" s="49" t="s">
        <v>383</v>
      </c>
      <c r="H163" s="56">
        <v>51626.879999999997</v>
      </c>
      <c r="I163" s="20">
        <v>45687</v>
      </c>
      <c r="J163" s="18"/>
      <c r="K163" s="18" t="s">
        <v>19</v>
      </c>
      <c r="L163" s="61">
        <v>144</v>
      </c>
      <c r="M163" s="61">
        <v>6</v>
      </c>
      <c r="N163" s="19">
        <v>45687</v>
      </c>
      <c r="O163" s="18" t="s">
        <v>21</v>
      </c>
      <c r="P163" s="18" t="s">
        <v>25</v>
      </c>
      <c r="Q163" s="18" t="s">
        <v>378</v>
      </c>
      <c r="R163" s="18" t="s">
        <v>102</v>
      </c>
      <c r="S163" s="18">
        <v>6953</v>
      </c>
      <c r="T163" s="18" t="s">
        <v>22</v>
      </c>
      <c r="U163" s="18" t="s">
        <v>19</v>
      </c>
      <c r="V163" s="17"/>
    </row>
    <row r="164" spans="1:22" x14ac:dyDescent="0.3">
      <c r="A164" s="18" t="e">
        <f t="shared" si="3"/>
        <v>#REF!</v>
      </c>
      <c r="B164" s="17">
        <v>63</v>
      </c>
      <c r="C164" s="22" t="s">
        <v>23</v>
      </c>
      <c r="D164" s="20" t="s">
        <v>139</v>
      </c>
      <c r="E164" s="20" t="s">
        <v>19</v>
      </c>
      <c r="F164" s="21" t="s">
        <v>28</v>
      </c>
      <c r="G164" s="49" t="s">
        <v>384</v>
      </c>
      <c r="H164" s="56">
        <v>95879.52</v>
      </c>
      <c r="I164" s="20">
        <v>45686</v>
      </c>
      <c r="J164" s="18"/>
      <c r="K164" s="18" t="s">
        <v>19</v>
      </c>
      <c r="L164" s="61">
        <v>264</v>
      </c>
      <c r="M164" s="61">
        <v>11</v>
      </c>
      <c r="N164" s="19">
        <v>45687</v>
      </c>
      <c r="O164" s="18" t="s">
        <v>21</v>
      </c>
      <c r="P164" s="18" t="s">
        <v>25</v>
      </c>
      <c r="Q164" s="18" t="s">
        <v>378</v>
      </c>
      <c r="R164" s="18" t="s">
        <v>102</v>
      </c>
      <c r="S164" s="18">
        <v>6952</v>
      </c>
      <c r="T164" s="18" t="s">
        <v>22</v>
      </c>
      <c r="U164" s="18" t="s">
        <v>19</v>
      </c>
      <c r="V164" s="17"/>
    </row>
    <row r="165" spans="1:22" x14ac:dyDescent="0.3">
      <c r="A165" s="18" t="e">
        <f t="shared" si="3"/>
        <v>#REF!</v>
      </c>
      <c r="B165" s="17">
        <v>63</v>
      </c>
      <c r="C165" s="22" t="s">
        <v>23</v>
      </c>
      <c r="D165" s="20" t="s">
        <v>72</v>
      </c>
      <c r="E165" s="20" t="s">
        <v>19</v>
      </c>
      <c r="F165" s="24" t="s">
        <v>41</v>
      </c>
      <c r="G165" s="49" t="s">
        <v>385</v>
      </c>
      <c r="H165" s="56">
        <v>73784.160000000003</v>
      </c>
      <c r="I165" s="20">
        <v>45686</v>
      </c>
      <c r="J165" s="18"/>
      <c r="K165" s="18" t="s">
        <v>19</v>
      </c>
      <c r="L165" s="61">
        <v>144</v>
      </c>
      <c r="M165" s="61">
        <v>7</v>
      </c>
      <c r="N165" s="19">
        <v>45687</v>
      </c>
      <c r="O165" s="18" t="s">
        <v>21</v>
      </c>
      <c r="P165" s="18" t="s">
        <v>25</v>
      </c>
      <c r="Q165" s="18" t="s">
        <v>378</v>
      </c>
      <c r="R165" s="18" t="s">
        <v>102</v>
      </c>
      <c r="S165" s="18">
        <v>6951</v>
      </c>
      <c r="T165" s="18" t="s">
        <v>22</v>
      </c>
      <c r="U165" s="18" t="s">
        <v>19</v>
      </c>
      <c r="V165" s="17"/>
    </row>
    <row r="166" spans="1:22" x14ac:dyDescent="0.3">
      <c r="A166" s="18" t="e">
        <f t="shared" si="3"/>
        <v>#REF!</v>
      </c>
      <c r="B166" s="17">
        <v>63</v>
      </c>
      <c r="C166" s="22" t="s">
        <v>23</v>
      </c>
      <c r="D166" s="20" t="s">
        <v>386</v>
      </c>
      <c r="E166" s="20" t="s">
        <v>19</v>
      </c>
      <c r="F166" s="24" t="s">
        <v>41</v>
      </c>
      <c r="G166" s="49" t="s">
        <v>387</v>
      </c>
      <c r="H166" s="56">
        <v>49189.440000000002</v>
      </c>
      <c r="I166" s="20">
        <v>45686</v>
      </c>
      <c r="J166" s="18"/>
      <c r="K166" s="18" t="s">
        <v>19</v>
      </c>
      <c r="L166" s="61">
        <v>96</v>
      </c>
      <c r="M166" s="61">
        <v>4</v>
      </c>
      <c r="N166" s="19">
        <v>45687</v>
      </c>
      <c r="O166" s="18" t="s">
        <v>21</v>
      </c>
      <c r="P166" s="18" t="s">
        <v>25</v>
      </c>
      <c r="Q166" s="18" t="s">
        <v>378</v>
      </c>
      <c r="R166" s="18" t="s">
        <v>102</v>
      </c>
      <c r="S166" s="18">
        <v>6950</v>
      </c>
      <c r="T166" s="18" t="s">
        <v>22</v>
      </c>
      <c r="U166" s="18" t="s">
        <v>19</v>
      </c>
      <c r="V166" s="17"/>
    </row>
    <row r="167" spans="1:22" x14ac:dyDescent="0.3">
      <c r="A167" s="18" t="e">
        <f t="shared" si="3"/>
        <v>#REF!</v>
      </c>
      <c r="B167" s="17">
        <v>63</v>
      </c>
      <c r="C167" s="22" t="s">
        <v>23</v>
      </c>
      <c r="D167" s="20" t="s">
        <v>388</v>
      </c>
      <c r="E167" s="20" t="s">
        <v>19</v>
      </c>
      <c r="F167" s="21" t="s">
        <v>53</v>
      </c>
      <c r="G167" s="49" t="s">
        <v>389</v>
      </c>
      <c r="H167" s="56">
        <v>215087.76</v>
      </c>
      <c r="I167" s="20">
        <v>45686</v>
      </c>
      <c r="J167" s="18"/>
      <c r="K167" s="18" t="s">
        <v>19</v>
      </c>
      <c r="L167" s="61">
        <v>624</v>
      </c>
      <c r="M167" s="61">
        <v>26</v>
      </c>
      <c r="N167" s="19">
        <v>45687</v>
      </c>
      <c r="O167" s="18" t="s">
        <v>21</v>
      </c>
      <c r="P167" s="18" t="s">
        <v>25</v>
      </c>
      <c r="Q167" s="18" t="s">
        <v>378</v>
      </c>
      <c r="R167" s="18" t="s">
        <v>102</v>
      </c>
      <c r="S167" s="18">
        <v>6949</v>
      </c>
      <c r="T167" s="18" t="s">
        <v>22</v>
      </c>
      <c r="U167" s="18" t="s">
        <v>19</v>
      </c>
      <c r="V167" s="17"/>
    </row>
    <row r="168" spans="1:22" x14ac:dyDescent="0.3">
      <c r="A168" s="18" t="e">
        <f t="shared" si="3"/>
        <v>#REF!</v>
      </c>
      <c r="B168" s="17">
        <v>63</v>
      </c>
      <c r="C168" s="22" t="s">
        <v>23</v>
      </c>
      <c r="D168" s="20" t="s">
        <v>390</v>
      </c>
      <c r="E168" s="20" t="s">
        <v>19</v>
      </c>
      <c r="F168" s="21" t="s">
        <v>24</v>
      </c>
      <c r="G168" s="49" t="s">
        <v>391</v>
      </c>
      <c r="H168" s="56">
        <v>24570.240000000002</v>
      </c>
      <c r="I168" s="20">
        <v>45686</v>
      </c>
      <c r="J168" s="18"/>
      <c r="K168" s="18" t="s">
        <v>19</v>
      </c>
      <c r="L168" s="61">
        <v>96</v>
      </c>
      <c r="M168" s="61">
        <v>4</v>
      </c>
      <c r="N168" s="19">
        <v>45687</v>
      </c>
      <c r="O168" s="18" t="s">
        <v>21</v>
      </c>
      <c r="P168" s="18" t="s">
        <v>25</v>
      </c>
      <c r="Q168" s="18" t="s">
        <v>378</v>
      </c>
      <c r="R168" s="18" t="s">
        <v>102</v>
      </c>
      <c r="S168" s="18">
        <v>6948</v>
      </c>
      <c r="T168" s="18" t="s">
        <v>22</v>
      </c>
      <c r="U168" s="18" t="s">
        <v>19</v>
      </c>
      <c r="V168" s="17"/>
    </row>
    <row r="169" spans="1:22" x14ac:dyDescent="0.3">
      <c r="A169" s="18" t="e">
        <f t="shared" si="3"/>
        <v>#REF!</v>
      </c>
      <c r="B169" s="17">
        <v>63</v>
      </c>
      <c r="C169" s="22" t="s">
        <v>23</v>
      </c>
      <c r="D169" s="20" t="s">
        <v>392</v>
      </c>
      <c r="E169" s="20" t="s">
        <v>19</v>
      </c>
      <c r="F169" s="21" t="s">
        <v>35</v>
      </c>
      <c r="G169" s="49" t="s">
        <v>393</v>
      </c>
      <c r="H169" s="56">
        <v>51626.400000000001</v>
      </c>
      <c r="I169" s="20">
        <v>45686</v>
      </c>
      <c r="J169" s="18"/>
      <c r="K169" s="18" t="s">
        <v>19</v>
      </c>
      <c r="L169" s="61">
        <v>144</v>
      </c>
      <c r="M169" s="61">
        <v>6</v>
      </c>
      <c r="N169" s="19">
        <v>45687</v>
      </c>
      <c r="O169" s="18" t="s">
        <v>21</v>
      </c>
      <c r="P169" s="18" t="s">
        <v>25</v>
      </c>
      <c r="Q169" s="18" t="s">
        <v>378</v>
      </c>
      <c r="R169" s="18" t="s">
        <v>102</v>
      </c>
      <c r="S169" s="18">
        <v>6947</v>
      </c>
      <c r="T169" s="18" t="s">
        <v>22</v>
      </c>
      <c r="U169" s="18" t="s">
        <v>19</v>
      </c>
      <c r="V169" s="17"/>
    </row>
    <row r="170" spans="1:22" x14ac:dyDescent="0.3">
      <c r="A170" s="18" t="e">
        <f t="shared" si="3"/>
        <v>#REF!</v>
      </c>
      <c r="B170" s="17">
        <v>63</v>
      </c>
      <c r="C170" s="22" t="s">
        <v>23</v>
      </c>
      <c r="D170" s="20" t="s">
        <v>394</v>
      </c>
      <c r="E170" s="20" t="s">
        <v>19</v>
      </c>
      <c r="F170" s="21" t="s">
        <v>58</v>
      </c>
      <c r="G170" s="49" t="s">
        <v>395</v>
      </c>
      <c r="H170" s="56">
        <v>51626.879999999997</v>
      </c>
      <c r="I170" s="20">
        <v>45687</v>
      </c>
      <c r="J170" s="18"/>
      <c r="K170" s="18" t="s">
        <v>19</v>
      </c>
      <c r="L170" s="61">
        <v>144</v>
      </c>
      <c r="M170" s="61">
        <v>6</v>
      </c>
      <c r="N170" s="19">
        <v>45687</v>
      </c>
      <c r="O170" s="18" t="s">
        <v>21</v>
      </c>
      <c r="P170" s="18" t="s">
        <v>25</v>
      </c>
      <c r="Q170" s="18" t="s">
        <v>378</v>
      </c>
      <c r="R170" s="18" t="s">
        <v>102</v>
      </c>
      <c r="S170" s="18">
        <v>6955</v>
      </c>
      <c r="T170" s="18" t="s">
        <v>22</v>
      </c>
      <c r="U170" s="18" t="s">
        <v>19</v>
      </c>
      <c r="V170" s="17"/>
    </row>
    <row r="171" spans="1:22" x14ac:dyDescent="0.3">
      <c r="A171" s="18" t="e">
        <f t="shared" si="3"/>
        <v>#REF!</v>
      </c>
      <c r="B171" s="17">
        <v>64</v>
      </c>
      <c r="C171" s="22" t="s">
        <v>23</v>
      </c>
      <c r="D171" s="20" t="s">
        <v>396</v>
      </c>
      <c r="E171" s="20" t="s">
        <v>19</v>
      </c>
      <c r="F171" s="21" t="s">
        <v>84</v>
      </c>
      <c r="G171" s="50" t="s">
        <v>397</v>
      </c>
      <c r="H171" s="56">
        <v>148757.51999999999</v>
      </c>
      <c r="I171" s="20">
        <v>45688</v>
      </c>
      <c r="J171" s="18"/>
      <c r="K171" s="18" t="s">
        <v>19</v>
      </c>
      <c r="L171" s="61">
        <v>360</v>
      </c>
      <c r="M171" s="61">
        <v>15</v>
      </c>
      <c r="N171" s="19">
        <v>45689</v>
      </c>
      <c r="O171" s="18" t="s">
        <v>21</v>
      </c>
      <c r="P171" s="18" t="s">
        <v>25</v>
      </c>
      <c r="Q171" s="18" t="s">
        <v>141</v>
      </c>
      <c r="R171" s="18" t="s">
        <v>102</v>
      </c>
      <c r="S171" s="18">
        <v>6970</v>
      </c>
      <c r="T171" s="18" t="s">
        <v>22</v>
      </c>
      <c r="U171" s="18" t="s">
        <v>19</v>
      </c>
      <c r="V171" s="17" t="s">
        <v>1019</v>
      </c>
    </row>
    <row r="172" spans="1:22" x14ac:dyDescent="0.3">
      <c r="A172" s="18" t="e">
        <f t="shared" si="3"/>
        <v>#REF!</v>
      </c>
      <c r="B172" s="17">
        <v>64</v>
      </c>
      <c r="C172" s="22" t="s">
        <v>23</v>
      </c>
      <c r="D172" s="20" t="s">
        <v>398</v>
      </c>
      <c r="E172" s="20" t="s">
        <v>19</v>
      </c>
      <c r="F172" s="21" t="s">
        <v>49</v>
      </c>
      <c r="G172" s="50" t="s">
        <v>399</v>
      </c>
      <c r="H172" s="56">
        <v>199727.28</v>
      </c>
      <c r="I172" s="20">
        <v>45688</v>
      </c>
      <c r="J172" s="18"/>
      <c r="K172" s="18" t="s">
        <v>19</v>
      </c>
      <c r="L172" s="61">
        <v>576</v>
      </c>
      <c r="M172" s="61">
        <v>24</v>
      </c>
      <c r="N172" s="19">
        <v>45689</v>
      </c>
      <c r="O172" s="18" t="s">
        <v>21</v>
      </c>
      <c r="P172" s="18" t="s">
        <v>25</v>
      </c>
      <c r="Q172" s="18" t="s">
        <v>141</v>
      </c>
      <c r="R172" s="18" t="s">
        <v>102</v>
      </c>
      <c r="S172" s="18">
        <v>6969</v>
      </c>
      <c r="T172" s="18" t="s">
        <v>22</v>
      </c>
      <c r="U172" s="18" t="s">
        <v>19</v>
      </c>
      <c r="V172" s="17" t="s">
        <v>1019</v>
      </c>
    </row>
    <row r="173" spans="1:22" x14ac:dyDescent="0.3">
      <c r="A173" s="18" t="e">
        <f t="shared" si="3"/>
        <v>#REF!</v>
      </c>
      <c r="B173" s="17">
        <v>64</v>
      </c>
      <c r="C173" s="22" t="s">
        <v>23</v>
      </c>
      <c r="D173" s="20" t="s">
        <v>400</v>
      </c>
      <c r="E173" s="20" t="s">
        <v>19</v>
      </c>
      <c r="F173" s="21" t="s">
        <v>53</v>
      </c>
      <c r="G173" s="49" t="s">
        <v>401</v>
      </c>
      <c r="H173" s="56">
        <v>269963.52000000002</v>
      </c>
      <c r="I173" s="20">
        <v>45688</v>
      </c>
      <c r="J173" s="18"/>
      <c r="K173" s="18" t="s">
        <v>19</v>
      </c>
      <c r="L173" s="61">
        <v>696</v>
      </c>
      <c r="M173" s="61">
        <v>29</v>
      </c>
      <c r="N173" s="19">
        <v>45689</v>
      </c>
      <c r="O173" s="18" t="s">
        <v>21</v>
      </c>
      <c r="P173" s="18" t="s">
        <v>25</v>
      </c>
      <c r="Q173" s="18" t="s">
        <v>141</v>
      </c>
      <c r="R173" s="18" t="s">
        <v>102</v>
      </c>
      <c r="S173" s="18">
        <v>6968</v>
      </c>
      <c r="T173" s="18" t="s">
        <v>22</v>
      </c>
      <c r="U173" s="18" t="s">
        <v>19</v>
      </c>
      <c r="V173" s="17"/>
    </row>
    <row r="174" spans="1:22" x14ac:dyDescent="0.3">
      <c r="A174" s="18" t="e">
        <f t="shared" si="3"/>
        <v>#REF!</v>
      </c>
      <c r="B174" s="17">
        <v>64</v>
      </c>
      <c r="C174" s="22" t="s">
        <v>23</v>
      </c>
      <c r="D174" s="20" t="s">
        <v>402</v>
      </c>
      <c r="E174" s="20" t="s">
        <v>19</v>
      </c>
      <c r="F174" s="21" t="s">
        <v>35</v>
      </c>
      <c r="G174" s="50" t="s">
        <v>403</v>
      </c>
      <c r="H174" s="56">
        <v>46099.199999999997</v>
      </c>
      <c r="I174" s="20">
        <v>45688</v>
      </c>
      <c r="J174" s="18"/>
      <c r="K174" s="18" t="s">
        <v>19</v>
      </c>
      <c r="L174" s="61">
        <v>120</v>
      </c>
      <c r="M174" s="61">
        <v>5</v>
      </c>
      <c r="N174" s="19">
        <v>45689</v>
      </c>
      <c r="O174" s="18" t="s">
        <v>21</v>
      </c>
      <c r="P174" s="18" t="s">
        <v>25</v>
      </c>
      <c r="Q174" s="18" t="s">
        <v>141</v>
      </c>
      <c r="R174" s="18" t="s">
        <v>102</v>
      </c>
      <c r="S174" s="18">
        <v>6967</v>
      </c>
      <c r="T174" s="18" t="s">
        <v>22</v>
      </c>
      <c r="U174" s="18" t="s">
        <v>19</v>
      </c>
      <c r="V174" s="17" t="s">
        <v>1019</v>
      </c>
    </row>
    <row r="175" spans="1:22" x14ac:dyDescent="0.3">
      <c r="A175" s="18" t="e">
        <f t="shared" si="3"/>
        <v>#REF!</v>
      </c>
      <c r="B175" s="17">
        <v>64</v>
      </c>
      <c r="C175" s="22" t="s">
        <v>23</v>
      </c>
      <c r="D175" s="20" t="s">
        <v>404</v>
      </c>
      <c r="E175" s="20" t="s">
        <v>19</v>
      </c>
      <c r="F175" s="21" t="s">
        <v>64</v>
      </c>
      <c r="G175" s="49" t="s">
        <v>405</v>
      </c>
      <c r="H175" s="56">
        <v>319386.23999999999</v>
      </c>
      <c r="I175" s="20">
        <v>45688</v>
      </c>
      <c r="J175" s="18"/>
      <c r="K175" s="18" t="s">
        <v>19</v>
      </c>
      <c r="L175" s="61">
        <v>816</v>
      </c>
      <c r="M175" s="61">
        <v>34</v>
      </c>
      <c r="N175" s="19">
        <v>45689</v>
      </c>
      <c r="O175" s="18" t="s">
        <v>21</v>
      </c>
      <c r="P175" s="18" t="s">
        <v>25</v>
      </c>
      <c r="Q175" s="18" t="s">
        <v>141</v>
      </c>
      <c r="R175" s="18" t="s">
        <v>102</v>
      </c>
      <c r="S175" s="18">
        <v>6966</v>
      </c>
      <c r="T175" s="18" t="s">
        <v>22</v>
      </c>
      <c r="U175" s="18" t="s">
        <v>19</v>
      </c>
      <c r="V175" s="17"/>
    </row>
    <row r="176" spans="1:22" x14ac:dyDescent="0.3">
      <c r="A176" s="18" t="e">
        <f t="shared" si="3"/>
        <v>#REF!</v>
      </c>
      <c r="B176" s="17">
        <v>64</v>
      </c>
      <c r="C176" s="22" t="s">
        <v>23</v>
      </c>
      <c r="D176" s="20" t="s">
        <v>406</v>
      </c>
      <c r="E176" s="20" t="s">
        <v>19</v>
      </c>
      <c r="F176" s="24" t="s">
        <v>121</v>
      </c>
      <c r="G176" s="50" t="s">
        <v>407</v>
      </c>
      <c r="H176" s="56">
        <v>198971.04</v>
      </c>
      <c r="I176" s="20">
        <v>45688</v>
      </c>
      <c r="J176" s="18"/>
      <c r="K176" s="18" t="s">
        <v>19</v>
      </c>
      <c r="L176" s="61">
        <v>528</v>
      </c>
      <c r="M176" s="61">
        <v>22</v>
      </c>
      <c r="N176" s="19">
        <v>45689</v>
      </c>
      <c r="O176" s="18" t="s">
        <v>21</v>
      </c>
      <c r="P176" s="18" t="s">
        <v>25</v>
      </c>
      <c r="Q176" s="18" t="s">
        <v>141</v>
      </c>
      <c r="R176" s="18" t="s">
        <v>102</v>
      </c>
      <c r="S176" s="18">
        <v>6965</v>
      </c>
      <c r="T176" s="18" t="s">
        <v>22</v>
      </c>
      <c r="U176" s="18" t="s">
        <v>19</v>
      </c>
      <c r="V176" s="17" t="s">
        <v>1019</v>
      </c>
    </row>
    <row r="177" spans="1:22" x14ac:dyDescent="0.3">
      <c r="A177" s="18" t="e">
        <f t="shared" si="3"/>
        <v>#REF!</v>
      </c>
      <c r="B177" s="17">
        <v>64</v>
      </c>
      <c r="C177" s="22" t="s">
        <v>23</v>
      </c>
      <c r="D177" s="20" t="s">
        <v>408</v>
      </c>
      <c r="E177" s="20" t="s">
        <v>19</v>
      </c>
      <c r="F177" s="21" t="s">
        <v>53</v>
      </c>
      <c r="G177" s="49" t="s">
        <v>409</v>
      </c>
      <c r="H177" s="56">
        <v>290131.68</v>
      </c>
      <c r="I177" s="20">
        <v>45688</v>
      </c>
      <c r="J177" s="18"/>
      <c r="K177" s="18" t="s">
        <v>19</v>
      </c>
      <c r="L177" s="61">
        <v>732</v>
      </c>
      <c r="M177" s="61">
        <v>32</v>
      </c>
      <c r="N177" s="19">
        <v>45689</v>
      </c>
      <c r="O177" s="18" t="s">
        <v>21</v>
      </c>
      <c r="P177" s="18" t="s">
        <v>25</v>
      </c>
      <c r="Q177" s="18" t="s">
        <v>141</v>
      </c>
      <c r="R177" s="18" t="s">
        <v>102</v>
      </c>
      <c r="S177" s="18">
        <v>6964</v>
      </c>
      <c r="T177" s="18" t="s">
        <v>22</v>
      </c>
      <c r="U177" s="18" t="s">
        <v>19</v>
      </c>
      <c r="V177" s="17"/>
    </row>
    <row r="178" spans="1:22" x14ac:dyDescent="0.3">
      <c r="A178" s="18" t="e">
        <f t="shared" si="3"/>
        <v>#REF!</v>
      </c>
      <c r="B178" s="17">
        <v>64</v>
      </c>
      <c r="C178" s="22" t="s">
        <v>23</v>
      </c>
      <c r="D178" s="20" t="s">
        <v>410</v>
      </c>
      <c r="E178" s="20" t="s">
        <v>19</v>
      </c>
      <c r="F178" s="21" t="s">
        <v>24</v>
      </c>
      <c r="G178" s="50" t="s">
        <v>411</v>
      </c>
      <c r="H178" s="56">
        <v>466769.28</v>
      </c>
      <c r="I178" s="20">
        <v>45688</v>
      </c>
      <c r="J178" s="18"/>
      <c r="K178" s="18" t="s">
        <v>19</v>
      </c>
      <c r="L178" s="61">
        <v>1200</v>
      </c>
      <c r="M178" s="61">
        <v>50</v>
      </c>
      <c r="N178" s="19">
        <v>45689</v>
      </c>
      <c r="O178" s="18" t="s">
        <v>21</v>
      </c>
      <c r="P178" s="18" t="s">
        <v>25</v>
      </c>
      <c r="Q178" s="18" t="s">
        <v>141</v>
      </c>
      <c r="R178" s="18" t="s">
        <v>102</v>
      </c>
      <c r="S178" s="18">
        <v>6963</v>
      </c>
      <c r="T178" s="18" t="s">
        <v>22</v>
      </c>
      <c r="U178" s="18" t="s">
        <v>19</v>
      </c>
      <c r="V178" s="17" t="s">
        <v>1019</v>
      </c>
    </row>
    <row r="179" spans="1:22" x14ac:dyDescent="0.3">
      <c r="A179" s="18" t="e">
        <f t="shared" si="3"/>
        <v>#REF!</v>
      </c>
      <c r="B179" s="17">
        <v>64</v>
      </c>
      <c r="C179" s="22" t="s">
        <v>23</v>
      </c>
      <c r="D179" s="20" t="s">
        <v>412</v>
      </c>
      <c r="E179" s="20" t="s">
        <v>19</v>
      </c>
      <c r="F179" s="25" t="s">
        <v>119</v>
      </c>
      <c r="G179" s="50" t="s">
        <v>413</v>
      </c>
      <c r="H179" s="56">
        <v>11066.4</v>
      </c>
      <c r="I179" s="20">
        <v>45688</v>
      </c>
      <c r="J179" s="18"/>
      <c r="K179" s="18" t="s">
        <v>19</v>
      </c>
      <c r="L179" s="61">
        <v>24</v>
      </c>
      <c r="M179" s="61">
        <v>1</v>
      </c>
      <c r="N179" s="19">
        <v>45689</v>
      </c>
      <c r="O179" s="18" t="s">
        <v>21</v>
      </c>
      <c r="P179" s="18" t="s">
        <v>25</v>
      </c>
      <c r="Q179" s="18" t="s">
        <v>141</v>
      </c>
      <c r="R179" s="18" t="s">
        <v>102</v>
      </c>
      <c r="S179" s="18">
        <v>6962</v>
      </c>
      <c r="T179" s="18" t="s">
        <v>22</v>
      </c>
      <c r="U179" s="18" t="s">
        <v>19</v>
      </c>
      <c r="V179" s="17" t="s">
        <v>1019</v>
      </c>
    </row>
    <row r="180" spans="1:22" x14ac:dyDescent="0.3">
      <c r="A180" s="18" t="e">
        <f t="shared" si="3"/>
        <v>#REF!</v>
      </c>
      <c r="B180" s="17">
        <v>64</v>
      </c>
      <c r="C180" s="22" t="s">
        <v>23</v>
      </c>
      <c r="D180" s="20" t="s">
        <v>414</v>
      </c>
      <c r="E180" s="20" t="s">
        <v>19</v>
      </c>
      <c r="F180" s="25" t="s">
        <v>119</v>
      </c>
      <c r="G180" s="50" t="s">
        <v>415</v>
      </c>
      <c r="H180" s="56">
        <v>95898.72</v>
      </c>
      <c r="I180" s="20">
        <v>45688</v>
      </c>
      <c r="J180" s="18"/>
      <c r="K180" s="18" t="s">
        <v>19</v>
      </c>
      <c r="L180" s="61">
        <v>216</v>
      </c>
      <c r="M180" s="61">
        <v>9</v>
      </c>
      <c r="N180" s="19">
        <v>45689</v>
      </c>
      <c r="O180" s="18" t="s">
        <v>21</v>
      </c>
      <c r="P180" s="18" t="s">
        <v>25</v>
      </c>
      <c r="Q180" s="18" t="s">
        <v>141</v>
      </c>
      <c r="R180" s="18" t="s">
        <v>102</v>
      </c>
      <c r="S180" s="18">
        <v>6962</v>
      </c>
      <c r="T180" s="18" t="s">
        <v>22</v>
      </c>
      <c r="U180" s="18" t="s">
        <v>19</v>
      </c>
      <c r="V180" s="17" t="s">
        <v>1019</v>
      </c>
    </row>
    <row r="181" spans="1:22" x14ac:dyDescent="0.3">
      <c r="A181" s="18" t="e">
        <f t="shared" si="3"/>
        <v>#REF!</v>
      </c>
      <c r="B181" s="17">
        <v>65</v>
      </c>
      <c r="C181" s="22" t="s">
        <v>23</v>
      </c>
      <c r="D181" s="20" t="s">
        <v>416</v>
      </c>
      <c r="E181" s="20">
        <v>45685</v>
      </c>
      <c r="F181" s="21" t="s">
        <v>1204</v>
      </c>
      <c r="G181" s="49" t="s">
        <v>417</v>
      </c>
      <c r="H181" s="56"/>
      <c r="I181" s="20">
        <v>45685</v>
      </c>
      <c r="J181" s="18"/>
      <c r="K181" s="18" t="s">
        <v>19</v>
      </c>
      <c r="L181" s="61">
        <v>72</v>
      </c>
      <c r="M181" s="61">
        <v>3</v>
      </c>
      <c r="N181" s="19">
        <v>45689</v>
      </c>
      <c r="O181" s="18" t="s">
        <v>21</v>
      </c>
      <c r="P181" s="18" t="s">
        <v>25</v>
      </c>
      <c r="Q181" s="18" t="s">
        <v>418</v>
      </c>
      <c r="R181" s="18" t="s">
        <v>102</v>
      </c>
      <c r="S181" s="18">
        <v>6961</v>
      </c>
      <c r="T181" s="18" t="s">
        <v>22</v>
      </c>
      <c r="U181" s="18" t="s">
        <v>19</v>
      </c>
      <c r="V181" s="17"/>
    </row>
    <row r="182" spans="1:22" x14ac:dyDescent="0.3">
      <c r="A182" s="18" t="e">
        <f t="shared" si="3"/>
        <v>#REF!</v>
      </c>
      <c r="B182" s="17">
        <v>65</v>
      </c>
      <c r="C182" s="22" t="s">
        <v>20</v>
      </c>
      <c r="D182" s="20" t="s">
        <v>419</v>
      </c>
      <c r="E182" s="20">
        <v>45685</v>
      </c>
      <c r="F182" s="21" t="s">
        <v>1204</v>
      </c>
      <c r="G182" s="49" t="s">
        <v>420</v>
      </c>
      <c r="H182" s="56">
        <v>482436</v>
      </c>
      <c r="I182" s="20">
        <v>45688</v>
      </c>
      <c r="J182" s="18"/>
      <c r="K182" s="18" t="s">
        <v>19</v>
      </c>
      <c r="L182" s="61">
        <v>540</v>
      </c>
      <c r="M182" s="61">
        <v>54</v>
      </c>
      <c r="N182" s="19">
        <v>45689</v>
      </c>
      <c r="O182" s="18" t="s">
        <v>21</v>
      </c>
      <c r="P182" s="18" t="s">
        <v>25</v>
      </c>
      <c r="Q182" s="18" t="s">
        <v>418</v>
      </c>
      <c r="R182" s="18" t="s">
        <v>102</v>
      </c>
      <c r="S182" s="18">
        <v>6960</v>
      </c>
      <c r="T182" s="18" t="s">
        <v>22</v>
      </c>
      <c r="U182" s="18" t="s">
        <v>19</v>
      </c>
      <c r="V182" s="17"/>
    </row>
    <row r="183" spans="1:22" x14ac:dyDescent="0.3">
      <c r="A183" s="18" t="e">
        <f t="shared" ref="A183:A246" si="4">A182+1</f>
        <v>#REF!</v>
      </c>
      <c r="B183" s="17">
        <v>65</v>
      </c>
      <c r="C183" s="22" t="s">
        <v>23</v>
      </c>
      <c r="D183" s="20" t="s">
        <v>421</v>
      </c>
      <c r="E183" s="20">
        <v>45685</v>
      </c>
      <c r="F183" s="21" t="s">
        <v>1204</v>
      </c>
      <c r="G183" s="49" t="s">
        <v>422</v>
      </c>
      <c r="H183" s="57">
        <v>3035479</v>
      </c>
      <c r="I183" s="20">
        <v>45689</v>
      </c>
      <c r="J183" s="18"/>
      <c r="K183" s="18" t="s">
        <v>19</v>
      </c>
      <c r="L183" s="61">
        <v>984</v>
      </c>
      <c r="M183" s="61">
        <v>41</v>
      </c>
      <c r="N183" s="19">
        <v>45689</v>
      </c>
      <c r="O183" s="18" t="s">
        <v>21</v>
      </c>
      <c r="P183" s="18" t="s">
        <v>25</v>
      </c>
      <c r="Q183" s="18" t="s">
        <v>418</v>
      </c>
      <c r="R183" s="18" t="s">
        <v>102</v>
      </c>
      <c r="S183" s="18">
        <v>6959</v>
      </c>
      <c r="T183" s="18" t="s">
        <v>22</v>
      </c>
      <c r="U183" s="18" t="s">
        <v>19</v>
      </c>
      <c r="V183" s="17"/>
    </row>
    <row r="184" spans="1:22" x14ac:dyDescent="0.3">
      <c r="A184" s="18" t="e">
        <f t="shared" si="4"/>
        <v>#REF!</v>
      </c>
      <c r="B184" s="17">
        <v>65</v>
      </c>
      <c r="C184" s="22" t="s">
        <v>20</v>
      </c>
      <c r="D184" s="20" t="s">
        <v>423</v>
      </c>
      <c r="E184" s="20">
        <v>45688</v>
      </c>
      <c r="F184" s="21" t="s">
        <v>1204</v>
      </c>
      <c r="G184" s="49" t="s">
        <v>424</v>
      </c>
      <c r="H184" s="57">
        <v>133333.20000000001</v>
      </c>
      <c r="I184" s="20">
        <v>45689</v>
      </c>
      <c r="J184" s="18"/>
      <c r="K184" s="18" t="s">
        <v>19</v>
      </c>
      <c r="L184" s="61">
        <v>168</v>
      </c>
      <c r="M184" s="61">
        <v>17</v>
      </c>
      <c r="N184" s="19">
        <v>45689</v>
      </c>
      <c r="O184" s="18" t="s">
        <v>21</v>
      </c>
      <c r="P184" s="18" t="s">
        <v>25</v>
      </c>
      <c r="Q184" s="18" t="s">
        <v>418</v>
      </c>
      <c r="R184" s="18" t="s">
        <v>102</v>
      </c>
      <c r="S184" s="18">
        <v>6958</v>
      </c>
      <c r="T184" s="18" t="s">
        <v>22</v>
      </c>
      <c r="U184" s="18" t="s">
        <v>19</v>
      </c>
      <c r="V184" s="17"/>
    </row>
    <row r="185" spans="1:22" x14ac:dyDescent="0.3">
      <c r="A185" s="18" t="e">
        <f t="shared" si="4"/>
        <v>#REF!</v>
      </c>
      <c r="B185" s="17">
        <v>66</v>
      </c>
      <c r="C185" s="22" t="s">
        <v>23</v>
      </c>
      <c r="D185" s="20" t="s">
        <v>425</v>
      </c>
      <c r="E185" s="20">
        <v>45688</v>
      </c>
      <c r="F185" s="21" t="s">
        <v>132</v>
      </c>
      <c r="G185" s="50" t="s">
        <v>426</v>
      </c>
      <c r="H185" s="57">
        <v>259152.7</v>
      </c>
      <c r="I185" s="20">
        <v>45691</v>
      </c>
      <c r="J185" s="18"/>
      <c r="K185" s="18" t="s">
        <v>19</v>
      </c>
      <c r="L185" s="61">
        <v>210</v>
      </c>
      <c r="M185" s="61">
        <v>21</v>
      </c>
      <c r="N185" s="19">
        <v>45692</v>
      </c>
      <c r="O185" s="18" t="s">
        <v>21</v>
      </c>
      <c r="P185" s="18" t="s">
        <v>25</v>
      </c>
      <c r="Q185" s="18" t="s">
        <v>127</v>
      </c>
      <c r="R185" s="18" t="s">
        <v>102</v>
      </c>
      <c r="S185" s="18">
        <v>6972</v>
      </c>
      <c r="T185" s="18" t="s">
        <v>22</v>
      </c>
      <c r="U185" s="18" t="s">
        <v>19</v>
      </c>
      <c r="V185" s="17" t="s">
        <v>1019</v>
      </c>
    </row>
    <row r="186" spans="1:22" x14ac:dyDescent="0.3">
      <c r="A186" s="18" t="e">
        <f t="shared" si="4"/>
        <v>#REF!</v>
      </c>
      <c r="B186" s="17">
        <v>66</v>
      </c>
      <c r="C186" s="22" t="s">
        <v>20</v>
      </c>
      <c r="D186" s="20" t="s">
        <v>427</v>
      </c>
      <c r="E186" s="20">
        <v>45688</v>
      </c>
      <c r="F186" s="21" t="s">
        <v>64</v>
      </c>
      <c r="G186" s="49" t="s">
        <v>428</v>
      </c>
      <c r="H186" s="57">
        <v>577265.5</v>
      </c>
      <c r="I186" s="20">
        <v>45691</v>
      </c>
      <c r="J186" s="18"/>
      <c r="K186" s="18" t="s">
        <v>19</v>
      </c>
      <c r="L186" s="61">
        <v>450</v>
      </c>
      <c r="M186" s="61">
        <v>45</v>
      </c>
      <c r="N186" s="19">
        <v>45692</v>
      </c>
      <c r="O186" s="18" t="s">
        <v>21</v>
      </c>
      <c r="P186" s="18" t="s">
        <v>25</v>
      </c>
      <c r="Q186" s="18" t="s">
        <v>127</v>
      </c>
      <c r="R186" s="18" t="s">
        <v>102</v>
      </c>
      <c r="S186" s="18">
        <v>6982</v>
      </c>
      <c r="T186" s="18" t="s">
        <v>22</v>
      </c>
      <c r="U186" s="18" t="s">
        <v>19</v>
      </c>
      <c r="V186" s="17"/>
    </row>
    <row r="187" spans="1:22" x14ac:dyDescent="0.3">
      <c r="A187" s="18" t="e">
        <f t="shared" si="4"/>
        <v>#REF!</v>
      </c>
      <c r="B187" s="17">
        <v>66</v>
      </c>
      <c r="C187" s="22" t="s">
        <v>20</v>
      </c>
      <c r="D187" s="20" t="s">
        <v>429</v>
      </c>
      <c r="E187" s="20">
        <v>45688</v>
      </c>
      <c r="F187" s="21" t="s">
        <v>64</v>
      </c>
      <c r="G187" s="49" t="s">
        <v>430</v>
      </c>
      <c r="H187" s="57">
        <v>229642</v>
      </c>
      <c r="I187" s="20">
        <v>45691</v>
      </c>
      <c r="J187" s="18"/>
      <c r="K187" s="18" t="s">
        <v>19</v>
      </c>
      <c r="L187" s="61">
        <v>150</v>
      </c>
      <c r="M187" s="61">
        <v>15</v>
      </c>
      <c r="N187" s="19">
        <v>45692</v>
      </c>
      <c r="O187" s="18" t="s">
        <v>21</v>
      </c>
      <c r="P187" s="18" t="s">
        <v>25</v>
      </c>
      <c r="Q187" s="18" t="s">
        <v>127</v>
      </c>
      <c r="R187" s="18" t="s">
        <v>102</v>
      </c>
      <c r="S187" s="18">
        <v>6974</v>
      </c>
      <c r="T187" s="18" t="s">
        <v>22</v>
      </c>
      <c r="U187" s="18" t="s">
        <v>19</v>
      </c>
      <c r="V187" s="17"/>
    </row>
    <row r="188" spans="1:22" x14ac:dyDescent="0.3">
      <c r="A188" s="18" t="e">
        <f t="shared" si="4"/>
        <v>#REF!</v>
      </c>
      <c r="B188" s="17">
        <v>66</v>
      </c>
      <c r="C188" s="22" t="s">
        <v>20</v>
      </c>
      <c r="D188" s="20" t="s">
        <v>431</v>
      </c>
      <c r="E188" s="20">
        <v>45688</v>
      </c>
      <c r="F188" s="21" t="s">
        <v>113</v>
      </c>
      <c r="G188" s="50" t="s">
        <v>432</v>
      </c>
      <c r="H188" s="57">
        <v>213364</v>
      </c>
      <c r="I188" s="20">
        <v>45691</v>
      </c>
      <c r="J188" s="18"/>
      <c r="K188" s="18" t="s">
        <v>19</v>
      </c>
      <c r="L188" s="61">
        <v>140</v>
      </c>
      <c r="M188" s="61">
        <v>14</v>
      </c>
      <c r="N188" s="19">
        <v>45692</v>
      </c>
      <c r="O188" s="18" t="s">
        <v>21</v>
      </c>
      <c r="P188" s="18" t="s">
        <v>25</v>
      </c>
      <c r="Q188" s="18" t="s">
        <v>127</v>
      </c>
      <c r="R188" s="18" t="s">
        <v>102</v>
      </c>
      <c r="S188" s="18">
        <v>6978</v>
      </c>
      <c r="T188" s="18" t="s">
        <v>22</v>
      </c>
      <c r="U188" s="18" t="s">
        <v>19</v>
      </c>
      <c r="V188" s="17" t="s">
        <v>1019</v>
      </c>
    </row>
    <row r="189" spans="1:22" x14ac:dyDescent="0.3">
      <c r="A189" s="18" t="e">
        <f t="shared" si="4"/>
        <v>#REF!</v>
      </c>
      <c r="B189" s="17">
        <v>66</v>
      </c>
      <c r="C189" s="22" t="s">
        <v>20</v>
      </c>
      <c r="D189" s="20" t="s">
        <v>433</v>
      </c>
      <c r="E189" s="20">
        <v>45688</v>
      </c>
      <c r="F189" s="21" t="s">
        <v>24</v>
      </c>
      <c r="G189" s="50" t="s">
        <v>434</v>
      </c>
      <c r="H189" s="57">
        <v>417799.8</v>
      </c>
      <c r="I189" s="20">
        <v>45691</v>
      </c>
      <c r="J189" s="18"/>
      <c r="K189" s="18" t="s">
        <v>19</v>
      </c>
      <c r="L189" s="61">
        <v>320</v>
      </c>
      <c r="M189" s="61">
        <v>32</v>
      </c>
      <c r="N189" s="19">
        <v>45692</v>
      </c>
      <c r="O189" s="18" t="s">
        <v>21</v>
      </c>
      <c r="P189" s="18" t="s">
        <v>25</v>
      </c>
      <c r="Q189" s="18" t="s">
        <v>127</v>
      </c>
      <c r="R189" s="18" t="s">
        <v>102</v>
      </c>
      <c r="S189" s="18">
        <v>6979</v>
      </c>
      <c r="T189" s="18" t="s">
        <v>22</v>
      </c>
      <c r="U189" s="18" t="s">
        <v>19</v>
      </c>
      <c r="V189" s="17" t="s">
        <v>1019</v>
      </c>
    </row>
    <row r="190" spans="1:22" x14ac:dyDescent="0.3">
      <c r="A190" s="18" t="e">
        <f t="shared" si="4"/>
        <v>#REF!</v>
      </c>
      <c r="B190" s="17">
        <v>66</v>
      </c>
      <c r="C190" s="22" t="s">
        <v>20</v>
      </c>
      <c r="D190" s="20" t="s">
        <v>435</v>
      </c>
      <c r="E190" s="20">
        <v>45688</v>
      </c>
      <c r="F190" s="21" t="s">
        <v>28</v>
      </c>
      <c r="G190" s="50" t="s">
        <v>436</v>
      </c>
      <c r="H190" s="57">
        <v>3794550</v>
      </c>
      <c r="I190" s="20">
        <v>45689</v>
      </c>
      <c r="J190" s="18"/>
      <c r="K190" s="18" t="s">
        <v>19</v>
      </c>
      <c r="L190" s="61">
        <v>450</v>
      </c>
      <c r="M190" s="61">
        <v>45</v>
      </c>
      <c r="N190" s="19">
        <v>45692</v>
      </c>
      <c r="O190" s="18" t="s">
        <v>21</v>
      </c>
      <c r="P190" s="18" t="s">
        <v>25</v>
      </c>
      <c r="Q190" s="18" t="s">
        <v>127</v>
      </c>
      <c r="R190" s="18" t="s">
        <v>102</v>
      </c>
      <c r="S190" s="18">
        <v>6981</v>
      </c>
      <c r="T190" s="18" t="s">
        <v>22</v>
      </c>
      <c r="U190" s="18" t="s">
        <v>19</v>
      </c>
      <c r="V190" s="17" t="s">
        <v>1019</v>
      </c>
    </row>
    <row r="191" spans="1:22" x14ac:dyDescent="0.3">
      <c r="A191" s="18" t="e">
        <f t="shared" si="4"/>
        <v>#REF!</v>
      </c>
      <c r="B191" s="17">
        <v>66</v>
      </c>
      <c r="C191" s="22" t="s">
        <v>20</v>
      </c>
      <c r="D191" s="20" t="s">
        <v>437</v>
      </c>
      <c r="E191" s="20">
        <v>45688</v>
      </c>
      <c r="F191" s="21" t="s">
        <v>28</v>
      </c>
      <c r="G191" s="50" t="s">
        <v>438</v>
      </c>
      <c r="H191" s="57">
        <v>2943630</v>
      </c>
      <c r="I191" s="20">
        <v>45689</v>
      </c>
      <c r="J191" s="18"/>
      <c r="K191" s="18" t="s">
        <v>19</v>
      </c>
      <c r="L191" s="61">
        <v>370</v>
      </c>
      <c r="M191" s="61">
        <v>37</v>
      </c>
      <c r="N191" s="19">
        <v>45692</v>
      </c>
      <c r="O191" s="18" t="s">
        <v>21</v>
      </c>
      <c r="P191" s="18" t="s">
        <v>25</v>
      </c>
      <c r="Q191" s="18" t="s">
        <v>127</v>
      </c>
      <c r="R191" s="18" t="s">
        <v>102</v>
      </c>
      <c r="S191" s="18">
        <v>6977</v>
      </c>
      <c r="T191" s="18" t="s">
        <v>22</v>
      </c>
      <c r="U191" s="18" t="s">
        <v>19</v>
      </c>
      <c r="V191" s="17" t="s">
        <v>1019</v>
      </c>
    </row>
    <row r="192" spans="1:22" x14ac:dyDescent="0.3">
      <c r="A192" s="18" t="e">
        <f t="shared" si="4"/>
        <v>#REF!</v>
      </c>
      <c r="B192" s="17">
        <v>66</v>
      </c>
      <c r="C192" s="22" t="s">
        <v>20</v>
      </c>
      <c r="D192" s="20" t="s">
        <v>439</v>
      </c>
      <c r="E192" s="20">
        <v>45688</v>
      </c>
      <c r="F192" s="21" t="s">
        <v>28</v>
      </c>
      <c r="G192" s="50" t="s">
        <v>440</v>
      </c>
      <c r="H192" s="57">
        <v>339793</v>
      </c>
      <c r="I192" s="20">
        <v>45691</v>
      </c>
      <c r="J192" s="18"/>
      <c r="K192" s="18" t="s">
        <v>19</v>
      </c>
      <c r="L192" s="61">
        <v>40</v>
      </c>
      <c r="M192" s="61">
        <v>4</v>
      </c>
      <c r="N192" s="19">
        <v>45692</v>
      </c>
      <c r="O192" s="18" t="s">
        <v>21</v>
      </c>
      <c r="P192" s="18" t="s">
        <v>25</v>
      </c>
      <c r="Q192" s="18" t="s">
        <v>127</v>
      </c>
      <c r="R192" s="18" t="s">
        <v>102</v>
      </c>
      <c r="S192" s="18">
        <v>6980</v>
      </c>
      <c r="T192" s="18" t="s">
        <v>22</v>
      </c>
      <c r="U192" s="18" t="s">
        <v>19</v>
      </c>
      <c r="V192" s="17" t="s">
        <v>1019</v>
      </c>
    </row>
    <row r="193" spans="1:22" s="2" customFormat="1" x14ac:dyDescent="0.3">
      <c r="A193" s="18" t="e">
        <f t="shared" si="4"/>
        <v>#REF!</v>
      </c>
      <c r="B193" s="17">
        <v>66</v>
      </c>
      <c r="C193" s="22" t="s">
        <v>20</v>
      </c>
      <c r="D193" s="20" t="s">
        <v>441</v>
      </c>
      <c r="E193" s="20">
        <v>45688</v>
      </c>
      <c r="F193" s="21" t="s">
        <v>47</v>
      </c>
      <c r="G193" s="49" t="s">
        <v>442</v>
      </c>
      <c r="H193" s="57">
        <v>160456</v>
      </c>
      <c r="I193" s="20">
        <v>45691</v>
      </c>
      <c r="J193" s="18"/>
      <c r="K193" s="18" t="s">
        <v>19</v>
      </c>
      <c r="L193" s="61">
        <v>44</v>
      </c>
      <c r="M193" s="61">
        <v>5</v>
      </c>
      <c r="N193" s="19">
        <v>45692</v>
      </c>
      <c r="O193" s="18" t="s">
        <v>21</v>
      </c>
      <c r="P193" s="18" t="s">
        <v>25</v>
      </c>
      <c r="Q193" s="18" t="s">
        <v>127</v>
      </c>
      <c r="R193" s="18" t="s">
        <v>102</v>
      </c>
      <c r="S193" s="18">
        <v>6976</v>
      </c>
      <c r="T193" s="18" t="s">
        <v>22</v>
      </c>
      <c r="U193" s="18" t="s">
        <v>19</v>
      </c>
      <c r="V193" s="17" t="s">
        <v>1019</v>
      </c>
    </row>
    <row r="194" spans="1:22" x14ac:dyDescent="0.3">
      <c r="A194" s="18" t="e">
        <f t="shared" si="4"/>
        <v>#REF!</v>
      </c>
      <c r="B194" s="17">
        <v>66</v>
      </c>
      <c r="C194" s="22" t="s">
        <v>20</v>
      </c>
      <c r="D194" s="20" t="s">
        <v>443</v>
      </c>
      <c r="E194" s="20">
        <v>45688</v>
      </c>
      <c r="F194" s="21" t="s">
        <v>58</v>
      </c>
      <c r="G194" s="49" t="s">
        <v>444</v>
      </c>
      <c r="H194" s="57">
        <v>108063.4</v>
      </c>
      <c r="I194" s="20">
        <v>45691</v>
      </c>
      <c r="J194" s="18"/>
      <c r="K194" s="18" t="s">
        <v>19</v>
      </c>
      <c r="L194" s="61">
        <v>80</v>
      </c>
      <c r="M194" s="61">
        <v>8</v>
      </c>
      <c r="N194" s="19">
        <v>45692</v>
      </c>
      <c r="O194" s="18" t="s">
        <v>21</v>
      </c>
      <c r="P194" s="18" t="s">
        <v>25</v>
      </c>
      <c r="Q194" s="18" t="s">
        <v>127</v>
      </c>
      <c r="R194" s="18" t="s">
        <v>102</v>
      </c>
      <c r="S194" s="18">
        <v>6975</v>
      </c>
      <c r="T194" s="18" t="s">
        <v>22</v>
      </c>
      <c r="U194" s="18" t="s">
        <v>19</v>
      </c>
      <c r="V194" s="17"/>
    </row>
    <row r="195" spans="1:22" x14ac:dyDescent="0.3">
      <c r="A195" s="18" t="e">
        <f t="shared" si="4"/>
        <v>#REF!</v>
      </c>
      <c r="B195" s="17">
        <v>66</v>
      </c>
      <c r="C195" s="22" t="s">
        <v>23</v>
      </c>
      <c r="D195" s="20" t="s">
        <v>445</v>
      </c>
      <c r="E195" s="20">
        <v>45688</v>
      </c>
      <c r="F195" s="21" t="s">
        <v>33</v>
      </c>
      <c r="G195" s="50" t="s">
        <v>446</v>
      </c>
      <c r="H195" s="57">
        <v>123638.39999999999</v>
      </c>
      <c r="I195" s="20">
        <v>45689</v>
      </c>
      <c r="J195" s="18"/>
      <c r="K195" s="18" t="s">
        <v>19</v>
      </c>
      <c r="L195" s="61">
        <v>384</v>
      </c>
      <c r="M195" s="61">
        <v>16</v>
      </c>
      <c r="N195" s="19">
        <v>45692</v>
      </c>
      <c r="O195" s="18" t="s">
        <v>21</v>
      </c>
      <c r="P195" s="18" t="s">
        <v>25</v>
      </c>
      <c r="Q195" s="18" t="s">
        <v>127</v>
      </c>
      <c r="R195" s="18" t="s">
        <v>102</v>
      </c>
      <c r="S195" s="18">
        <v>6973</v>
      </c>
      <c r="T195" s="18" t="s">
        <v>22</v>
      </c>
      <c r="U195" s="18" t="s">
        <v>19</v>
      </c>
      <c r="V195" s="17" t="s">
        <v>1019</v>
      </c>
    </row>
    <row r="196" spans="1:22" x14ac:dyDescent="0.3">
      <c r="A196" s="18" t="e">
        <f t="shared" si="4"/>
        <v>#REF!</v>
      </c>
      <c r="B196" s="17">
        <v>66</v>
      </c>
      <c r="C196" s="22" t="s">
        <v>23</v>
      </c>
      <c r="D196" s="20" t="s">
        <v>447</v>
      </c>
      <c r="E196" s="20">
        <v>45688</v>
      </c>
      <c r="F196" s="21" t="s">
        <v>130</v>
      </c>
      <c r="G196" s="50" t="s">
        <v>448</v>
      </c>
      <c r="H196" s="57">
        <v>37482.720000000001</v>
      </c>
      <c r="I196" s="20">
        <v>45689</v>
      </c>
      <c r="J196" s="18"/>
      <c r="K196" s="18" t="s">
        <v>19</v>
      </c>
      <c r="L196" s="61">
        <v>120</v>
      </c>
      <c r="M196" s="61">
        <v>5</v>
      </c>
      <c r="N196" s="19">
        <v>45692</v>
      </c>
      <c r="O196" s="18" t="s">
        <v>21</v>
      </c>
      <c r="P196" s="18" t="s">
        <v>25</v>
      </c>
      <c r="Q196" s="18" t="s">
        <v>127</v>
      </c>
      <c r="R196" s="18" t="s">
        <v>102</v>
      </c>
      <c r="S196" s="18">
        <v>6971</v>
      </c>
      <c r="T196" s="18" t="s">
        <v>22</v>
      </c>
      <c r="U196" s="18" t="s">
        <v>19</v>
      </c>
      <c r="V196" s="17" t="s">
        <v>1019</v>
      </c>
    </row>
    <row r="197" spans="1:22" x14ac:dyDescent="0.3">
      <c r="A197" s="18" t="e">
        <f t="shared" si="4"/>
        <v>#REF!</v>
      </c>
      <c r="B197" s="17">
        <v>67</v>
      </c>
      <c r="C197" s="22" t="s">
        <v>20</v>
      </c>
      <c r="D197" s="20" t="s">
        <v>449</v>
      </c>
      <c r="E197" s="20">
        <v>45689</v>
      </c>
      <c r="F197" s="21" t="s">
        <v>64</v>
      </c>
      <c r="G197" s="50" t="s">
        <v>450</v>
      </c>
      <c r="H197" s="57">
        <v>567587.44999999995</v>
      </c>
      <c r="I197" s="20">
        <v>45693</v>
      </c>
      <c r="J197" s="18"/>
      <c r="K197" s="18" t="s">
        <v>19</v>
      </c>
      <c r="L197" s="61">
        <v>480</v>
      </c>
      <c r="M197" s="61">
        <v>48</v>
      </c>
      <c r="N197" s="19">
        <v>45693</v>
      </c>
      <c r="O197" s="18" t="s">
        <v>21</v>
      </c>
      <c r="P197" s="18" t="s">
        <v>25</v>
      </c>
      <c r="Q197" s="18" t="s">
        <v>127</v>
      </c>
      <c r="R197" s="18" t="s">
        <v>102</v>
      </c>
      <c r="S197" s="18">
        <v>6990</v>
      </c>
      <c r="T197" s="18" t="s">
        <v>22</v>
      </c>
      <c r="U197" s="18" t="s">
        <v>19</v>
      </c>
      <c r="V197" s="17" t="s">
        <v>1019</v>
      </c>
    </row>
    <row r="198" spans="1:22" x14ac:dyDescent="0.3">
      <c r="A198" s="18" t="e">
        <f t="shared" si="4"/>
        <v>#REF!</v>
      </c>
      <c r="B198" s="17">
        <v>67</v>
      </c>
      <c r="C198" s="22" t="s">
        <v>20</v>
      </c>
      <c r="D198" s="20" t="s">
        <v>451</v>
      </c>
      <c r="E198" s="20">
        <v>45688</v>
      </c>
      <c r="F198" s="21" t="s">
        <v>53</v>
      </c>
      <c r="G198" s="49" t="s">
        <v>452</v>
      </c>
      <c r="H198" s="57">
        <v>445882</v>
      </c>
      <c r="I198" s="20">
        <v>45691</v>
      </c>
      <c r="J198" s="18"/>
      <c r="K198" s="18" t="s">
        <v>19</v>
      </c>
      <c r="L198" s="61">
        <v>350</v>
      </c>
      <c r="M198" s="61">
        <v>35</v>
      </c>
      <c r="N198" s="19">
        <v>45693</v>
      </c>
      <c r="O198" s="18" t="s">
        <v>21</v>
      </c>
      <c r="P198" s="18" t="s">
        <v>25</v>
      </c>
      <c r="Q198" s="18" t="s">
        <v>127</v>
      </c>
      <c r="R198" s="18" t="s">
        <v>102</v>
      </c>
      <c r="S198" s="18">
        <v>6989</v>
      </c>
      <c r="T198" s="18" t="s">
        <v>22</v>
      </c>
      <c r="U198" s="18" t="s">
        <v>19</v>
      </c>
      <c r="V198" s="17"/>
    </row>
    <row r="199" spans="1:22" x14ac:dyDescent="0.3">
      <c r="A199" s="18" t="e">
        <f t="shared" si="4"/>
        <v>#REF!</v>
      </c>
      <c r="B199" s="17">
        <v>67</v>
      </c>
      <c r="C199" s="22" t="s">
        <v>20</v>
      </c>
      <c r="D199" s="20" t="s">
        <v>453</v>
      </c>
      <c r="E199" s="20">
        <v>45688</v>
      </c>
      <c r="F199" s="24" t="s">
        <v>121</v>
      </c>
      <c r="G199" s="50" t="s">
        <v>454</v>
      </c>
      <c r="H199" s="57">
        <v>3477570</v>
      </c>
      <c r="I199" s="20">
        <v>45691</v>
      </c>
      <c r="J199" s="18"/>
      <c r="K199" s="18" t="s">
        <v>19</v>
      </c>
      <c r="L199" s="61">
        <v>430</v>
      </c>
      <c r="M199" s="61">
        <v>43</v>
      </c>
      <c r="N199" s="19">
        <v>45693</v>
      </c>
      <c r="O199" s="18" t="s">
        <v>21</v>
      </c>
      <c r="P199" s="18" t="s">
        <v>25</v>
      </c>
      <c r="Q199" s="18" t="s">
        <v>127</v>
      </c>
      <c r="R199" s="18" t="s">
        <v>102</v>
      </c>
      <c r="S199" s="18">
        <v>6988</v>
      </c>
      <c r="T199" s="18" t="s">
        <v>22</v>
      </c>
      <c r="U199" s="18" t="s">
        <v>19</v>
      </c>
      <c r="V199" s="17" t="s">
        <v>1019</v>
      </c>
    </row>
    <row r="200" spans="1:22" x14ac:dyDescent="0.3">
      <c r="A200" s="18" t="e">
        <f t="shared" si="4"/>
        <v>#REF!</v>
      </c>
      <c r="B200" s="17">
        <v>67</v>
      </c>
      <c r="C200" s="22" t="s">
        <v>20</v>
      </c>
      <c r="D200" s="20" t="s">
        <v>455</v>
      </c>
      <c r="E200" s="20">
        <v>45689</v>
      </c>
      <c r="F200" s="21" t="s">
        <v>43</v>
      </c>
      <c r="G200" s="49" t="s">
        <v>456</v>
      </c>
      <c r="H200" s="57">
        <v>216970</v>
      </c>
      <c r="I200" s="20">
        <v>45692</v>
      </c>
      <c r="J200" s="18"/>
      <c r="K200" s="18" t="s">
        <v>19</v>
      </c>
      <c r="L200" s="61">
        <v>30</v>
      </c>
      <c r="M200" s="61">
        <v>3</v>
      </c>
      <c r="N200" s="19">
        <v>45693</v>
      </c>
      <c r="O200" s="18" t="s">
        <v>21</v>
      </c>
      <c r="P200" s="18" t="s">
        <v>25</v>
      </c>
      <c r="Q200" s="18" t="s">
        <v>127</v>
      </c>
      <c r="R200" s="18" t="s">
        <v>102</v>
      </c>
      <c r="S200" s="18">
        <v>6986</v>
      </c>
      <c r="T200" s="18" t="s">
        <v>22</v>
      </c>
      <c r="U200" s="18" t="s">
        <v>19</v>
      </c>
      <c r="V200" s="17"/>
    </row>
    <row r="201" spans="1:22" x14ac:dyDescent="0.3">
      <c r="A201" s="18" t="e">
        <f t="shared" si="4"/>
        <v>#REF!</v>
      </c>
      <c r="B201" s="17">
        <v>67</v>
      </c>
      <c r="C201" s="22" t="s">
        <v>20</v>
      </c>
      <c r="D201" s="20" t="s">
        <v>457</v>
      </c>
      <c r="E201" s="20">
        <v>45688</v>
      </c>
      <c r="F201" s="26" t="s">
        <v>129</v>
      </c>
      <c r="G201" s="50" t="s">
        <v>458</v>
      </c>
      <c r="H201" s="57">
        <v>491940</v>
      </c>
      <c r="I201" s="20">
        <v>45691</v>
      </c>
      <c r="J201" s="18"/>
      <c r="K201" s="18" t="s">
        <v>19</v>
      </c>
      <c r="L201" s="61">
        <v>60</v>
      </c>
      <c r="M201" s="61">
        <v>6</v>
      </c>
      <c r="N201" s="19">
        <v>45693</v>
      </c>
      <c r="O201" s="18" t="s">
        <v>21</v>
      </c>
      <c r="P201" s="18" t="s">
        <v>25</v>
      </c>
      <c r="Q201" s="18" t="s">
        <v>127</v>
      </c>
      <c r="R201" s="18" t="s">
        <v>102</v>
      </c>
      <c r="S201" s="18">
        <v>6985</v>
      </c>
      <c r="T201" s="18" t="s">
        <v>22</v>
      </c>
      <c r="U201" s="18" t="s">
        <v>19</v>
      </c>
      <c r="V201" s="17" t="s">
        <v>1019</v>
      </c>
    </row>
    <row r="202" spans="1:22" x14ac:dyDescent="0.3">
      <c r="A202" s="18" t="e">
        <f t="shared" si="4"/>
        <v>#REF!</v>
      </c>
      <c r="B202" s="17">
        <v>67</v>
      </c>
      <c r="C202" s="22" t="s">
        <v>20</v>
      </c>
      <c r="D202" s="20" t="s">
        <v>459</v>
      </c>
      <c r="E202" s="20">
        <v>45689</v>
      </c>
      <c r="F202" s="21" t="s">
        <v>64</v>
      </c>
      <c r="G202" s="50" t="s">
        <v>460</v>
      </c>
      <c r="H202" s="57">
        <v>2709650</v>
      </c>
      <c r="I202" s="20">
        <v>45692</v>
      </c>
      <c r="J202" s="18"/>
      <c r="K202" s="18" t="s">
        <v>19</v>
      </c>
      <c r="L202" s="61">
        <v>350</v>
      </c>
      <c r="M202" s="61">
        <v>35</v>
      </c>
      <c r="N202" s="19">
        <v>45693</v>
      </c>
      <c r="O202" s="18" t="s">
        <v>21</v>
      </c>
      <c r="P202" s="18" t="s">
        <v>25</v>
      </c>
      <c r="Q202" s="18" t="s">
        <v>127</v>
      </c>
      <c r="R202" s="18" t="s">
        <v>102</v>
      </c>
      <c r="S202" s="18">
        <v>6984</v>
      </c>
      <c r="T202" s="18" t="s">
        <v>22</v>
      </c>
      <c r="U202" s="18" t="s">
        <v>19</v>
      </c>
      <c r="V202" s="17" t="s">
        <v>1019</v>
      </c>
    </row>
    <row r="203" spans="1:22" x14ac:dyDescent="0.3">
      <c r="A203" s="18" t="e">
        <f t="shared" si="4"/>
        <v>#REF!</v>
      </c>
      <c r="B203" s="17">
        <v>67</v>
      </c>
      <c r="C203" s="22" t="s">
        <v>20</v>
      </c>
      <c r="D203" s="20" t="s">
        <v>461</v>
      </c>
      <c r="E203" s="20">
        <v>45689</v>
      </c>
      <c r="F203" s="21" t="s">
        <v>123</v>
      </c>
      <c r="G203" s="50" t="s">
        <v>462</v>
      </c>
      <c r="H203" s="57">
        <v>1545810</v>
      </c>
      <c r="I203" s="20">
        <v>45691</v>
      </c>
      <c r="J203" s="18"/>
      <c r="K203" s="18" t="s">
        <v>19</v>
      </c>
      <c r="L203" s="61">
        <v>190</v>
      </c>
      <c r="M203" s="61">
        <v>19</v>
      </c>
      <c r="N203" s="19">
        <v>45693</v>
      </c>
      <c r="O203" s="18" t="s">
        <v>21</v>
      </c>
      <c r="P203" s="18" t="s">
        <v>25</v>
      </c>
      <c r="Q203" s="18" t="s">
        <v>127</v>
      </c>
      <c r="R203" s="18" t="s">
        <v>102</v>
      </c>
      <c r="S203" s="18">
        <v>6983</v>
      </c>
      <c r="T203" s="18" t="s">
        <v>22</v>
      </c>
      <c r="U203" s="18" t="s">
        <v>19</v>
      </c>
      <c r="V203" s="17" t="s">
        <v>1019</v>
      </c>
    </row>
    <row r="204" spans="1:22" x14ac:dyDescent="0.3">
      <c r="A204" s="18" t="e">
        <f t="shared" si="4"/>
        <v>#REF!</v>
      </c>
      <c r="B204" s="17">
        <v>67</v>
      </c>
      <c r="C204" s="22" t="s">
        <v>20</v>
      </c>
      <c r="D204" s="20" t="s">
        <v>463</v>
      </c>
      <c r="E204" s="20">
        <v>45691</v>
      </c>
      <c r="F204" s="21" t="s">
        <v>24</v>
      </c>
      <c r="G204" s="50" t="s">
        <v>464</v>
      </c>
      <c r="H204" s="57">
        <v>191326.5</v>
      </c>
      <c r="I204" s="20">
        <v>45693</v>
      </c>
      <c r="J204" s="18"/>
      <c r="K204" s="18" t="s">
        <v>19</v>
      </c>
      <c r="L204" s="61">
        <v>150</v>
      </c>
      <c r="M204" s="61">
        <v>15</v>
      </c>
      <c r="N204" s="19">
        <v>45693</v>
      </c>
      <c r="O204" s="18" t="s">
        <v>21</v>
      </c>
      <c r="P204" s="18" t="s">
        <v>25</v>
      </c>
      <c r="Q204" s="18" t="s">
        <v>127</v>
      </c>
      <c r="R204" s="18" t="s">
        <v>102</v>
      </c>
      <c r="S204" s="18">
        <v>6991</v>
      </c>
      <c r="T204" s="18" t="s">
        <v>22</v>
      </c>
      <c r="U204" s="18" t="s">
        <v>19</v>
      </c>
      <c r="V204" s="17" t="s">
        <v>1019</v>
      </c>
    </row>
    <row r="205" spans="1:22" x14ac:dyDescent="0.3">
      <c r="A205" s="18" t="e">
        <f t="shared" si="4"/>
        <v>#REF!</v>
      </c>
      <c r="B205" s="17">
        <v>67</v>
      </c>
      <c r="C205" s="22" t="s">
        <v>20</v>
      </c>
      <c r="D205" s="20" t="s">
        <v>465</v>
      </c>
      <c r="E205" s="20">
        <v>45691</v>
      </c>
      <c r="F205" s="21" t="s">
        <v>58</v>
      </c>
      <c r="G205" s="50" t="s">
        <v>466</v>
      </c>
      <c r="H205" s="57">
        <v>103464.4</v>
      </c>
      <c r="I205" s="20">
        <v>45693</v>
      </c>
      <c r="J205" s="18"/>
      <c r="K205" s="18" t="s">
        <v>19</v>
      </c>
      <c r="L205" s="61">
        <v>80</v>
      </c>
      <c r="M205" s="61">
        <v>8</v>
      </c>
      <c r="N205" s="19">
        <v>45693</v>
      </c>
      <c r="O205" s="18" t="s">
        <v>21</v>
      </c>
      <c r="P205" s="18" t="s">
        <v>25</v>
      </c>
      <c r="Q205" s="18" t="s">
        <v>127</v>
      </c>
      <c r="R205" s="18" t="s">
        <v>102</v>
      </c>
      <c r="S205" s="18">
        <v>6992</v>
      </c>
      <c r="T205" s="18" t="s">
        <v>22</v>
      </c>
      <c r="U205" s="18" t="s">
        <v>19</v>
      </c>
      <c r="V205" s="17" t="s">
        <v>1019</v>
      </c>
    </row>
    <row r="206" spans="1:22" x14ac:dyDescent="0.3">
      <c r="A206" s="18" t="e">
        <f t="shared" si="4"/>
        <v>#REF!</v>
      </c>
      <c r="B206" s="17">
        <v>67</v>
      </c>
      <c r="C206" s="22" t="s">
        <v>20</v>
      </c>
      <c r="D206" s="20" t="s">
        <v>467</v>
      </c>
      <c r="E206" s="20">
        <v>45689</v>
      </c>
      <c r="F206" s="21" t="s">
        <v>64</v>
      </c>
      <c r="G206" s="50" t="s">
        <v>468</v>
      </c>
      <c r="H206" s="57">
        <v>739558.2</v>
      </c>
      <c r="I206" s="20">
        <v>45693</v>
      </c>
      <c r="J206" s="18"/>
      <c r="K206" s="18" t="s">
        <v>19</v>
      </c>
      <c r="L206" s="61">
        <v>560</v>
      </c>
      <c r="M206" s="61">
        <v>56</v>
      </c>
      <c r="N206" s="19">
        <v>45693</v>
      </c>
      <c r="O206" s="18" t="s">
        <v>21</v>
      </c>
      <c r="P206" s="18" t="s">
        <v>25</v>
      </c>
      <c r="Q206" s="18" t="s">
        <v>127</v>
      </c>
      <c r="R206" s="18" t="s">
        <v>102</v>
      </c>
      <c r="S206" s="18">
        <v>6993</v>
      </c>
      <c r="T206" s="18" t="s">
        <v>22</v>
      </c>
      <c r="U206" s="18" t="s">
        <v>19</v>
      </c>
      <c r="V206" s="17" t="s">
        <v>1019</v>
      </c>
    </row>
    <row r="207" spans="1:22" s="2" customFormat="1" x14ac:dyDescent="0.3">
      <c r="A207" s="18" t="e">
        <f t="shared" si="4"/>
        <v>#REF!</v>
      </c>
      <c r="B207" s="17">
        <v>67</v>
      </c>
      <c r="C207" s="22" t="s">
        <v>20</v>
      </c>
      <c r="D207" s="20" t="s">
        <v>469</v>
      </c>
      <c r="E207" s="20">
        <v>45689</v>
      </c>
      <c r="F207" s="24" t="s">
        <v>41</v>
      </c>
      <c r="G207" s="49" t="s">
        <v>442</v>
      </c>
      <c r="H207" s="57">
        <v>160456</v>
      </c>
      <c r="I207" s="20">
        <v>45691</v>
      </c>
      <c r="J207" s="18"/>
      <c r="K207" s="18" t="s">
        <v>19</v>
      </c>
      <c r="L207" s="61">
        <v>20</v>
      </c>
      <c r="M207" s="61">
        <v>2</v>
      </c>
      <c r="N207" s="19">
        <v>45693</v>
      </c>
      <c r="O207" s="18" t="s">
        <v>21</v>
      </c>
      <c r="P207" s="18" t="s">
        <v>25</v>
      </c>
      <c r="Q207" s="18" t="s">
        <v>127</v>
      </c>
      <c r="R207" s="18" t="s">
        <v>102</v>
      </c>
      <c r="S207" s="18">
        <v>6987</v>
      </c>
      <c r="T207" s="18" t="s">
        <v>22</v>
      </c>
      <c r="U207" s="18" t="s">
        <v>19</v>
      </c>
      <c r="V207" s="17"/>
    </row>
    <row r="208" spans="1:22" x14ac:dyDescent="0.3">
      <c r="A208" s="18" t="e">
        <f t="shared" si="4"/>
        <v>#REF!</v>
      </c>
      <c r="B208" s="17">
        <v>68</v>
      </c>
      <c r="C208" s="22" t="s">
        <v>20</v>
      </c>
      <c r="D208" s="20" t="s">
        <v>470</v>
      </c>
      <c r="E208" s="20">
        <v>45688</v>
      </c>
      <c r="F208" s="21" t="s">
        <v>35</v>
      </c>
      <c r="G208" s="50" t="s">
        <v>471</v>
      </c>
      <c r="H208" s="57">
        <v>313706.17</v>
      </c>
      <c r="I208" s="20">
        <v>45694</v>
      </c>
      <c r="J208" s="18"/>
      <c r="K208" s="18" t="s">
        <v>19</v>
      </c>
      <c r="L208" s="61">
        <v>271</v>
      </c>
      <c r="M208" s="61">
        <v>27</v>
      </c>
      <c r="N208" s="19">
        <v>45693</v>
      </c>
      <c r="O208" s="18" t="s">
        <v>21</v>
      </c>
      <c r="P208" s="18" t="s">
        <v>25</v>
      </c>
      <c r="Q208" s="18" t="s">
        <v>135</v>
      </c>
      <c r="R208" s="18" t="s">
        <v>102</v>
      </c>
      <c r="S208" s="18">
        <v>7003</v>
      </c>
      <c r="T208" s="18" t="s">
        <v>22</v>
      </c>
      <c r="U208" s="18" t="s">
        <v>19</v>
      </c>
      <c r="V208" s="17" t="s">
        <v>1019</v>
      </c>
    </row>
    <row r="209" spans="1:22" x14ac:dyDescent="0.3">
      <c r="A209" s="18" t="e">
        <f t="shared" si="4"/>
        <v>#REF!</v>
      </c>
      <c r="B209" s="17">
        <v>68</v>
      </c>
      <c r="C209" s="22" t="s">
        <v>23</v>
      </c>
      <c r="D209" s="20" t="s">
        <v>472</v>
      </c>
      <c r="E209" s="20">
        <v>45689</v>
      </c>
      <c r="F209" s="21" t="s">
        <v>43</v>
      </c>
      <c r="G209" s="49" t="s">
        <v>473</v>
      </c>
      <c r="H209" s="57">
        <v>28272.959999999999</v>
      </c>
      <c r="I209" s="20">
        <v>45693</v>
      </c>
      <c r="J209" s="18"/>
      <c r="K209" s="18" t="s">
        <v>19</v>
      </c>
      <c r="L209" s="61">
        <v>72</v>
      </c>
      <c r="M209" s="61">
        <v>3</v>
      </c>
      <c r="N209" s="19">
        <v>45693</v>
      </c>
      <c r="O209" s="18" t="s">
        <v>21</v>
      </c>
      <c r="P209" s="18" t="s">
        <v>25</v>
      </c>
      <c r="Q209" s="18" t="s">
        <v>135</v>
      </c>
      <c r="R209" s="18" t="s">
        <v>102</v>
      </c>
      <c r="S209" s="18">
        <v>6999</v>
      </c>
      <c r="T209" s="18" t="s">
        <v>22</v>
      </c>
      <c r="U209" s="18" t="s">
        <v>19</v>
      </c>
      <c r="V209" s="17"/>
    </row>
    <row r="210" spans="1:22" x14ac:dyDescent="0.3">
      <c r="A210" s="18" t="e">
        <f t="shared" si="4"/>
        <v>#REF!</v>
      </c>
      <c r="B210" s="17">
        <v>68</v>
      </c>
      <c r="C210" s="22" t="s">
        <v>23</v>
      </c>
      <c r="D210" s="20" t="s">
        <v>474</v>
      </c>
      <c r="E210" s="20">
        <v>45688</v>
      </c>
      <c r="F210" s="21" t="s">
        <v>35</v>
      </c>
      <c r="G210" s="50" t="s">
        <v>475</v>
      </c>
      <c r="H210" s="57">
        <v>55922.400000000001</v>
      </c>
      <c r="I210" s="20">
        <v>45693</v>
      </c>
      <c r="J210" s="18"/>
      <c r="K210" s="18" t="s">
        <v>19</v>
      </c>
      <c r="L210" s="61">
        <v>168</v>
      </c>
      <c r="M210" s="61">
        <v>7</v>
      </c>
      <c r="N210" s="19">
        <v>45693</v>
      </c>
      <c r="O210" s="18" t="s">
        <v>21</v>
      </c>
      <c r="P210" s="18" t="s">
        <v>25</v>
      </c>
      <c r="Q210" s="18" t="s">
        <v>135</v>
      </c>
      <c r="R210" s="18" t="s">
        <v>102</v>
      </c>
      <c r="S210" s="18">
        <v>6998</v>
      </c>
      <c r="T210" s="18" t="s">
        <v>22</v>
      </c>
      <c r="U210" s="18" t="s">
        <v>19</v>
      </c>
      <c r="V210" s="17" t="s">
        <v>1019</v>
      </c>
    </row>
    <row r="211" spans="1:22" x14ac:dyDescent="0.3">
      <c r="A211" s="18" t="e">
        <f t="shared" si="4"/>
        <v>#REF!</v>
      </c>
      <c r="B211" s="17">
        <v>68</v>
      </c>
      <c r="C211" s="22" t="s">
        <v>20</v>
      </c>
      <c r="D211" s="20" t="s">
        <v>476</v>
      </c>
      <c r="E211" s="20">
        <v>45691</v>
      </c>
      <c r="F211" s="21" t="s">
        <v>49</v>
      </c>
      <c r="G211" s="50" t="s">
        <v>477</v>
      </c>
      <c r="H211" s="57">
        <v>324026.09999999998</v>
      </c>
      <c r="I211" s="20">
        <v>45693</v>
      </c>
      <c r="J211" s="18"/>
      <c r="K211" s="18" t="s">
        <v>19</v>
      </c>
      <c r="L211" s="61">
        <v>240</v>
      </c>
      <c r="M211" s="61">
        <v>24</v>
      </c>
      <c r="N211" s="19">
        <v>45693</v>
      </c>
      <c r="O211" s="18" t="s">
        <v>21</v>
      </c>
      <c r="P211" s="18" t="s">
        <v>25</v>
      </c>
      <c r="Q211" s="18" t="s">
        <v>135</v>
      </c>
      <c r="R211" s="18" t="s">
        <v>102</v>
      </c>
      <c r="S211" s="18">
        <v>6997</v>
      </c>
      <c r="T211" s="18" t="s">
        <v>22</v>
      </c>
      <c r="U211" s="18" t="s">
        <v>19</v>
      </c>
      <c r="V211" s="17" t="s">
        <v>1019</v>
      </c>
    </row>
    <row r="212" spans="1:22" x14ac:dyDescent="0.3">
      <c r="A212" s="18" t="e">
        <f t="shared" si="4"/>
        <v>#REF!</v>
      </c>
      <c r="B212" s="17">
        <v>68</v>
      </c>
      <c r="C212" s="22" t="s">
        <v>23</v>
      </c>
      <c r="D212" s="20" t="s">
        <v>478</v>
      </c>
      <c r="E212" s="20">
        <v>45691</v>
      </c>
      <c r="F212" s="21" t="s">
        <v>35</v>
      </c>
      <c r="G212" s="50" t="s">
        <v>479</v>
      </c>
      <c r="H212" s="57">
        <v>63308.4</v>
      </c>
      <c r="I212" s="20">
        <v>45693</v>
      </c>
      <c r="J212" s="18"/>
      <c r="K212" s="18" t="s">
        <v>19</v>
      </c>
      <c r="L212" s="61">
        <v>168</v>
      </c>
      <c r="M212" s="61">
        <v>7</v>
      </c>
      <c r="N212" s="19">
        <v>45693</v>
      </c>
      <c r="O212" s="18" t="s">
        <v>21</v>
      </c>
      <c r="P212" s="18" t="s">
        <v>25</v>
      </c>
      <c r="Q212" s="18" t="s">
        <v>135</v>
      </c>
      <c r="R212" s="18" t="s">
        <v>102</v>
      </c>
      <c r="S212" s="18">
        <v>6996</v>
      </c>
      <c r="T212" s="18" t="s">
        <v>22</v>
      </c>
      <c r="U212" s="18" t="s">
        <v>19</v>
      </c>
      <c r="V212" s="17" t="s">
        <v>1019</v>
      </c>
    </row>
    <row r="213" spans="1:22" x14ac:dyDescent="0.3">
      <c r="A213" s="18" t="e">
        <f t="shared" si="4"/>
        <v>#REF!</v>
      </c>
      <c r="B213" s="17">
        <v>68</v>
      </c>
      <c r="C213" s="22" t="s">
        <v>20</v>
      </c>
      <c r="D213" s="20" t="s">
        <v>480</v>
      </c>
      <c r="E213" s="20">
        <v>45691</v>
      </c>
      <c r="F213" s="21" t="s">
        <v>35</v>
      </c>
      <c r="G213" s="50" t="s">
        <v>481</v>
      </c>
      <c r="H213" s="57">
        <v>427255.24</v>
      </c>
      <c r="I213" s="20">
        <v>45693</v>
      </c>
      <c r="J213" s="18"/>
      <c r="K213" s="18" t="s">
        <v>19</v>
      </c>
      <c r="L213" s="61">
        <v>356</v>
      </c>
      <c r="M213" s="61">
        <v>34</v>
      </c>
      <c r="N213" s="19">
        <v>45693</v>
      </c>
      <c r="O213" s="18" t="s">
        <v>21</v>
      </c>
      <c r="P213" s="18" t="s">
        <v>25</v>
      </c>
      <c r="Q213" s="18" t="s">
        <v>135</v>
      </c>
      <c r="R213" s="18" t="s">
        <v>102</v>
      </c>
      <c r="S213" s="18">
        <v>6995</v>
      </c>
      <c r="T213" s="18" t="s">
        <v>22</v>
      </c>
      <c r="U213" s="18" t="s">
        <v>19</v>
      </c>
      <c r="V213" s="17" t="s">
        <v>1019</v>
      </c>
    </row>
    <row r="214" spans="1:22" x14ac:dyDescent="0.3">
      <c r="A214" s="18" t="e">
        <f t="shared" si="4"/>
        <v>#REF!</v>
      </c>
      <c r="B214" s="17">
        <v>68</v>
      </c>
      <c r="C214" s="22" t="s">
        <v>23</v>
      </c>
      <c r="D214" s="20" t="s">
        <v>482</v>
      </c>
      <c r="E214" s="20">
        <v>45690</v>
      </c>
      <c r="F214" s="21" t="s">
        <v>28</v>
      </c>
      <c r="G214" s="49" t="s">
        <v>483</v>
      </c>
      <c r="H214" s="57">
        <v>188682.23999999999</v>
      </c>
      <c r="I214" s="20">
        <v>45693</v>
      </c>
      <c r="J214" s="18"/>
      <c r="K214" s="18" t="s">
        <v>19</v>
      </c>
      <c r="L214" s="61">
        <v>528</v>
      </c>
      <c r="M214" s="61">
        <v>22</v>
      </c>
      <c r="N214" s="19">
        <v>45693</v>
      </c>
      <c r="O214" s="18" t="s">
        <v>21</v>
      </c>
      <c r="P214" s="18" t="s">
        <v>25</v>
      </c>
      <c r="Q214" s="18" t="s">
        <v>135</v>
      </c>
      <c r="R214" s="18" t="s">
        <v>102</v>
      </c>
      <c r="S214" s="18">
        <v>6994</v>
      </c>
      <c r="T214" s="18" t="s">
        <v>22</v>
      </c>
      <c r="U214" s="18" t="s">
        <v>19</v>
      </c>
      <c r="V214" s="17"/>
    </row>
    <row r="215" spans="1:22" x14ac:dyDescent="0.3">
      <c r="A215" s="18" t="e">
        <f t="shared" si="4"/>
        <v>#REF!</v>
      </c>
      <c r="B215" s="17">
        <v>68</v>
      </c>
      <c r="C215" s="22" t="s">
        <v>20</v>
      </c>
      <c r="D215" s="20" t="s">
        <v>484</v>
      </c>
      <c r="E215" s="20">
        <v>45688</v>
      </c>
      <c r="F215" s="21" t="s">
        <v>35</v>
      </c>
      <c r="G215" s="50" t="s">
        <v>485</v>
      </c>
      <c r="H215" s="57">
        <v>406926.9</v>
      </c>
      <c r="I215" s="20">
        <v>45693</v>
      </c>
      <c r="J215" s="18"/>
      <c r="K215" s="18" t="s">
        <v>19</v>
      </c>
      <c r="L215" s="61">
        <v>320</v>
      </c>
      <c r="M215" s="61">
        <v>28</v>
      </c>
      <c r="N215" s="19">
        <v>45693</v>
      </c>
      <c r="O215" s="18" t="s">
        <v>21</v>
      </c>
      <c r="P215" s="18" t="s">
        <v>25</v>
      </c>
      <c r="Q215" s="18" t="s">
        <v>135</v>
      </c>
      <c r="R215" s="18" t="s">
        <v>102</v>
      </c>
      <c r="S215" s="18">
        <v>7002</v>
      </c>
      <c r="T215" s="18" t="s">
        <v>22</v>
      </c>
      <c r="U215" s="18" t="s">
        <v>19</v>
      </c>
      <c r="V215" s="17" t="s">
        <v>1019</v>
      </c>
    </row>
    <row r="216" spans="1:22" x14ac:dyDescent="0.3">
      <c r="A216" s="18" t="e">
        <f t="shared" si="4"/>
        <v>#REF!</v>
      </c>
      <c r="B216" s="17">
        <v>68</v>
      </c>
      <c r="C216" s="22" t="s">
        <v>23</v>
      </c>
      <c r="D216" s="20" t="s">
        <v>486</v>
      </c>
      <c r="E216" s="20">
        <v>45690</v>
      </c>
      <c r="F216" s="21" t="s">
        <v>28</v>
      </c>
      <c r="G216" s="49" t="s">
        <v>487</v>
      </c>
      <c r="H216" s="57">
        <v>366425.28</v>
      </c>
      <c r="I216" s="20">
        <v>45693</v>
      </c>
      <c r="J216" s="18"/>
      <c r="K216" s="18" t="s">
        <v>19</v>
      </c>
      <c r="L216" s="61">
        <v>960</v>
      </c>
      <c r="M216" s="61">
        <v>40</v>
      </c>
      <c r="N216" s="19">
        <v>45693</v>
      </c>
      <c r="O216" s="18" t="s">
        <v>21</v>
      </c>
      <c r="P216" s="18" t="s">
        <v>25</v>
      </c>
      <c r="Q216" s="18" t="s">
        <v>135</v>
      </c>
      <c r="R216" s="18" t="s">
        <v>102</v>
      </c>
      <c r="S216" s="18">
        <v>7001</v>
      </c>
      <c r="T216" s="18" t="s">
        <v>22</v>
      </c>
      <c r="U216" s="18" t="s">
        <v>19</v>
      </c>
      <c r="V216" s="17"/>
    </row>
    <row r="217" spans="1:22" x14ac:dyDescent="0.3">
      <c r="A217" s="18" t="e">
        <f t="shared" si="4"/>
        <v>#REF!</v>
      </c>
      <c r="B217" s="17">
        <v>69</v>
      </c>
      <c r="C217" s="22" t="s">
        <v>20</v>
      </c>
      <c r="D217" s="20" t="s">
        <v>488</v>
      </c>
      <c r="E217" s="20">
        <v>45691</v>
      </c>
      <c r="F217" s="21" t="s">
        <v>130</v>
      </c>
      <c r="G217" s="50" t="s">
        <v>489</v>
      </c>
      <c r="H217" s="57">
        <v>76530.600000000006</v>
      </c>
      <c r="I217" s="20">
        <v>45694</v>
      </c>
      <c r="J217" s="18"/>
      <c r="K217" s="18" t="s">
        <v>19</v>
      </c>
      <c r="L217" s="61">
        <v>60</v>
      </c>
      <c r="M217" s="61">
        <v>6</v>
      </c>
      <c r="N217" s="19">
        <v>45696</v>
      </c>
      <c r="O217" s="18" t="s">
        <v>21</v>
      </c>
      <c r="P217" s="18" t="s">
        <v>25</v>
      </c>
      <c r="Q217" s="18" t="s">
        <v>135</v>
      </c>
      <c r="R217" s="18" t="s">
        <v>102</v>
      </c>
      <c r="S217" s="18">
        <v>7015</v>
      </c>
      <c r="T217" s="18" t="s">
        <v>22</v>
      </c>
      <c r="U217" s="18" t="s">
        <v>19</v>
      </c>
      <c r="V217" s="17" t="s">
        <v>1019</v>
      </c>
    </row>
    <row r="218" spans="1:22" x14ac:dyDescent="0.3">
      <c r="A218" s="18" t="e">
        <f t="shared" si="4"/>
        <v>#REF!</v>
      </c>
      <c r="B218" s="17">
        <v>69</v>
      </c>
      <c r="C218" s="22" t="s">
        <v>20</v>
      </c>
      <c r="D218" s="20" t="s">
        <v>490</v>
      </c>
      <c r="E218" s="20">
        <v>45688</v>
      </c>
      <c r="F218" s="21" t="s">
        <v>130</v>
      </c>
      <c r="G218" s="50" t="s">
        <v>491</v>
      </c>
      <c r="H218" s="57">
        <v>152583.54</v>
      </c>
      <c r="I218" s="20">
        <v>45695</v>
      </c>
      <c r="J218" s="18"/>
      <c r="K218" s="18" t="s">
        <v>19</v>
      </c>
      <c r="L218" s="61">
        <v>129</v>
      </c>
      <c r="M218" s="61">
        <v>13</v>
      </c>
      <c r="N218" s="19">
        <v>45696</v>
      </c>
      <c r="O218" s="18" t="s">
        <v>21</v>
      </c>
      <c r="P218" s="18" t="s">
        <v>25</v>
      </c>
      <c r="Q218" s="18" t="s">
        <v>135</v>
      </c>
      <c r="R218" s="18" t="s">
        <v>102</v>
      </c>
      <c r="S218" s="18">
        <v>7011</v>
      </c>
      <c r="T218" s="18" t="s">
        <v>22</v>
      </c>
      <c r="U218" s="18" t="s">
        <v>19</v>
      </c>
      <c r="V218" s="17" t="s">
        <v>1019</v>
      </c>
    </row>
    <row r="219" spans="1:22" x14ac:dyDescent="0.3">
      <c r="A219" s="18" t="e">
        <f t="shared" si="4"/>
        <v>#REF!</v>
      </c>
      <c r="B219" s="17">
        <v>69</v>
      </c>
      <c r="C219" s="22" t="s">
        <v>20</v>
      </c>
      <c r="D219" s="20" t="s">
        <v>492</v>
      </c>
      <c r="E219" s="20">
        <v>45691</v>
      </c>
      <c r="F219" s="21" t="s">
        <v>28</v>
      </c>
      <c r="G219" s="50" t="s">
        <v>493</v>
      </c>
      <c r="H219" s="57">
        <v>410695.52</v>
      </c>
      <c r="I219" s="20">
        <v>45695</v>
      </c>
      <c r="J219" s="18"/>
      <c r="K219" s="18" t="s">
        <v>19</v>
      </c>
      <c r="L219" s="61">
        <v>378</v>
      </c>
      <c r="M219" s="61">
        <v>35</v>
      </c>
      <c r="N219" s="19">
        <v>45696</v>
      </c>
      <c r="O219" s="18" t="s">
        <v>21</v>
      </c>
      <c r="P219" s="18" t="s">
        <v>25</v>
      </c>
      <c r="Q219" s="18" t="s">
        <v>135</v>
      </c>
      <c r="R219" s="18" t="s">
        <v>102</v>
      </c>
      <c r="S219" s="18">
        <v>7012</v>
      </c>
      <c r="T219" s="18" t="s">
        <v>22</v>
      </c>
      <c r="U219" s="18" t="s">
        <v>19</v>
      </c>
      <c r="V219" s="17" t="s">
        <v>1019</v>
      </c>
    </row>
    <row r="220" spans="1:22" x14ac:dyDescent="0.3">
      <c r="A220" s="18" t="e">
        <f t="shared" si="4"/>
        <v>#REF!</v>
      </c>
      <c r="B220" s="17">
        <v>69</v>
      </c>
      <c r="C220" s="22" t="s">
        <v>23</v>
      </c>
      <c r="D220" s="20" t="s">
        <v>494</v>
      </c>
      <c r="E220" s="20">
        <v>45694</v>
      </c>
      <c r="F220" s="21" t="s">
        <v>130</v>
      </c>
      <c r="G220" s="50" t="s">
        <v>495</v>
      </c>
      <c r="H220" s="57">
        <v>59628</v>
      </c>
      <c r="I220" s="20">
        <v>45695</v>
      </c>
      <c r="J220" s="18"/>
      <c r="K220" s="18" t="s">
        <v>19</v>
      </c>
      <c r="L220" s="61">
        <v>144</v>
      </c>
      <c r="M220" s="61">
        <v>8</v>
      </c>
      <c r="N220" s="19">
        <v>45696</v>
      </c>
      <c r="O220" s="18" t="s">
        <v>21</v>
      </c>
      <c r="P220" s="18" t="s">
        <v>25</v>
      </c>
      <c r="Q220" s="18" t="s">
        <v>135</v>
      </c>
      <c r="R220" s="18" t="s">
        <v>102</v>
      </c>
      <c r="S220" s="18">
        <v>7013</v>
      </c>
      <c r="T220" s="18" t="s">
        <v>22</v>
      </c>
      <c r="U220" s="18" t="s">
        <v>19</v>
      </c>
      <c r="V220" s="17" t="s">
        <v>1019</v>
      </c>
    </row>
    <row r="221" spans="1:22" x14ac:dyDescent="0.3">
      <c r="A221" s="18" t="e">
        <f t="shared" si="4"/>
        <v>#REF!</v>
      </c>
      <c r="B221" s="17">
        <v>69</v>
      </c>
      <c r="C221" s="22" t="s">
        <v>20</v>
      </c>
      <c r="D221" s="20" t="s">
        <v>496</v>
      </c>
      <c r="E221" s="20">
        <v>45691</v>
      </c>
      <c r="F221" s="21" t="s">
        <v>64</v>
      </c>
      <c r="G221" s="49" t="s">
        <v>497</v>
      </c>
      <c r="H221" s="57">
        <v>314062.56</v>
      </c>
      <c r="I221" s="20">
        <v>45694</v>
      </c>
      <c r="J221" s="18"/>
      <c r="K221" s="18" t="s">
        <v>19</v>
      </c>
      <c r="L221" s="61">
        <v>304</v>
      </c>
      <c r="M221" s="61">
        <v>27</v>
      </c>
      <c r="N221" s="19">
        <v>45696</v>
      </c>
      <c r="O221" s="18" t="s">
        <v>21</v>
      </c>
      <c r="P221" s="18" t="s">
        <v>25</v>
      </c>
      <c r="Q221" s="18" t="s">
        <v>135</v>
      </c>
      <c r="R221" s="18" t="s">
        <v>102</v>
      </c>
      <c r="S221" s="18">
        <v>7014</v>
      </c>
      <c r="T221" s="18" t="s">
        <v>22</v>
      </c>
      <c r="U221" s="18" t="s">
        <v>19</v>
      </c>
      <c r="V221" s="17"/>
    </row>
    <row r="222" spans="1:22" x14ac:dyDescent="0.3">
      <c r="A222" s="18" t="e">
        <f t="shared" si="4"/>
        <v>#REF!</v>
      </c>
      <c r="B222" s="17">
        <v>69</v>
      </c>
      <c r="C222" s="22" t="s">
        <v>20</v>
      </c>
      <c r="D222" s="20" t="s">
        <v>498</v>
      </c>
      <c r="E222" s="20">
        <v>45688</v>
      </c>
      <c r="F222" s="21" t="s">
        <v>28</v>
      </c>
      <c r="G222" s="50" t="s">
        <v>499</v>
      </c>
      <c r="H222" s="57">
        <v>202196.28</v>
      </c>
      <c r="I222" s="20">
        <v>45696</v>
      </c>
      <c r="J222" s="18"/>
      <c r="K222" s="18" t="s">
        <v>19</v>
      </c>
      <c r="L222" s="61">
        <v>177</v>
      </c>
      <c r="M222" s="61">
        <v>18</v>
      </c>
      <c r="N222" s="19">
        <v>45696</v>
      </c>
      <c r="O222" s="18" t="s">
        <v>21</v>
      </c>
      <c r="P222" s="18" t="s">
        <v>25</v>
      </c>
      <c r="Q222" s="18" t="s">
        <v>135</v>
      </c>
      <c r="R222" s="18" t="s">
        <v>102</v>
      </c>
      <c r="S222" s="18">
        <v>7010</v>
      </c>
      <c r="T222" s="18" t="s">
        <v>22</v>
      </c>
      <c r="U222" s="18" t="s">
        <v>19</v>
      </c>
      <c r="V222" s="17" t="s">
        <v>1019</v>
      </c>
    </row>
    <row r="223" spans="1:22" x14ac:dyDescent="0.3">
      <c r="A223" s="18" t="e">
        <f t="shared" si="4"/>
        <v>#REF!</v>
      </c>
      <c r="B223" s="17">
        <v>69</v>
      </c>
      <c r="C223" s="22" t="s">
        <v>23</v>
      </c>
      <c r="D223" s="20" t="s">
        <v>500</v>
      </c>
      <c r="E223" s="20">
        <v>45694</v>
      </c>
      <c r="F223" s="23" t="s">
        <v>68</v>
      </c>
      <c r="G223" s="50" t="s">
        <v>501</v>
      </c>
      <c r="H223" s="57">
        <v>7988.88</v>
      </c>
      <c r="I223" s="20">
        <v>45695</v>
      </c>
      <c r="J223" s="18"/>
      <c r="K223" s="18" t="s">
        <v>19</v>
      </c>
      <c r="L223" s="61">
        <v>24</v>
      </c>
      <c r="M223" s="61">
        <v>1</v>
      </c>
      <c r="N223" s="19">
        <v>45696</v>
      </c>
      <c r="O223" s="18" t="s">
        <v>21</v>
      </c>
      <c r="P223" s="18" t="s">
        <v>25</v>
      </c>
      <c r="Q223" s="18" t="s">
        <v>135</v>
      </c>
      <c r="R223" s="18" t="s">
        <v>102</v>
      </c>
      <c r="S223" s="18">
        <v>7008</v>
      </c>
      <c r="T223" s="18" t="s">
        <v>22</v>
      </c>
      <c r="U223" s="18" t="s">
        <v>19</v>
      </c>
      <c r="V223" s="17" t="s">
        <v>1019</v>
      </c>
    </row>
    <row r="224" spans="1:22" x14ac:dyDescent="0.3">
      <c r="A224" s="18" t="e">
        <f t="shared" si="4"/>
        <v>#REF!</v>
      </c>
      <c r="B224" s="17">
        <v>69</v>
      </c>
      <c r="C224" s="22" t="s">
        <v>23</v>
      </c>
      <c r="D224" s="20" t="s">
        <v>502</v>
      </c>
      <c r="E224" s="20">
        <v>45694</v>
      </c>
      <c r="F224" s="21" t="s">
        <v>123</v>
      </c>
      <c r="G224" s="50" t="s">
        <v>503</v>
      </c>
      <c r="H224" s="57">
        <v>108786.48</v>
      </c>
      <c r="I224" s="20">
        <v>45695</v>
      </c>
      <c r="J224" s="18"/>
      <c r="K224" s="18" t="s">
        <v>19</v>
      </c>
      <c r="L224" s="61">
        <v>288</v>
      </c>
      <c r="M224" s="61">
        <v>12</v>
      </c>
      <c r="N224" s="19">
        <v>45696</v>
      </c>
      <c r="O224" s="18" t="s">
        <v>21</v>
      </c>
      <c r="P224" s="18" t="s">
        <v>25</v>
      </c>
      <c r="Q224" s="18" t="s">
        <v>135</v>
      </c>
      <c r="R224" s="18" t="s">
        <v>102</v>
      </c>
      <c r="S224" s="18">
        <v>7009</v>
      </c>
      <c r="T224" s="18" t="s">
        <v>22</v>
      </c>
      <c r="U224" s="18" t="s">
        <v>19</v>
      </c>
      <c r="V224" s="17" t="s">
        <v>1019</v>
      </c>
    </row>
    <row r="225" spans="1:22" x14ac:dyDescent="0.3">
      <c r="A225" s="18" t="e">
        <f t="shared" si="4"/>
        <v>#REF!</v>
      </c>
      <c r="B225" s="17">
        <v>69</v>
      </c>
      <c r="C225" s="22" t="s">
        <v>23</v>
      </c>
      <c r="D225" s="20" t="s">
        <v>504</v>
      </c>
      <c r="E225" s="20">
        <v>45694</v>
      </c>
      <c r="F225" s="23" t="s">
        <v>68</v>
      </c>
      <c r="G225" s="50" t="s">
        <v>505</v>
      </c>
      <c r="H225" s="57">
        <v>50395.68</v>
      </c>
      <c r="I225" s="20">
        <v>45695</v>
      </c>
      <c r="J225" s="18"/>
      <c r="K225" s="18" t="s">
        <v>19</v>
      </c>
      <c r="L225" s="61">
        <v>144</v>
      </c>
      <c r="M225" s="61">
        <v>6</v>
      </c>
      <c r="N225" s="19">
        <v>45696</v>
      </c>
      <c r="O225" s="18" t="s">
        <v>21</v>
      </c>
      <c r="P225" s="18" t="s">
        <v>25</v>
      </c>
      <c r="Q225" s="18" t="s">
        <v>135</v>
      </c>
      <c r="R225" s="18" t="s">
        <v>102</v>
      </c>
      <c r="S225" s="18">
        <v>7007</v>
      </c>
      <c r="T225" s="18" t="s">
        <v>22</v>
      </c>
      <c r="U225" s="18" t="s">
        <v>19</v>
      </c>
      <c r="V225" s="17" t="s">
        <v>1019</v>
      </c>
    </row>
    <row r="226" spans="1:22" x14ac:dyDescent="0.3">
      <c r="A226" s="18" t="e">
        <f t="shared" si="4"/>
        <v>#REF!</v>
      </c>
      <c r="B226" s="17">
        <v>69</v>
      </c>
      <c r="C226" s="22" t="s">
        <v>23</v>
      </c>
      <c r="D226" s="20" t="s">
        <v>506</v>
      </c>
      <c r="E226" s="20">
        <v>45691</v>
      </c>
      <c r="F226" s="21" t="s">
        <v>58</v>
      </c>
      <c r="G226" s="50" t="s">
        <v>507</v>
      </c>
      <c r="H226" s="57">
        <v>306509.76</v>
      </c>
      <c r="I226" s="20">
        <v>45693</v>
      </c>
      <c r="J226" s="18"/>
      <c r="K226" s="18" t="s">
        <v>19</v>
      </c>
      <c r="L226" s="61">
        <v>720</v>
      </c>
      <c r="M226" s="61">
        <v>30</v>
      </c>
      <c r="N226" s="19">
        <v>45696</v>
      </c>
      <c r="O226" s="18" t="s">
        <v>21</v>
      </c>
      <c r="P226" s="18" t="s">
        <v>25</v>
      </c>
      <c r="Q226" s="18" t="s">
        <v>135</v>
      </c>
      <c r="R226" s="18" t="s">
        <v>102</v>
      </c>
      <c r="S226" s="18">
        <v>7006</v>
      </c>
      <c r="T226" s="18" t="s">
        <v>22</v>
      </c>
      <c r="U226" s="18" t="s">
        <v>19</v>
      </c>
      <c r="V226" s="17" t="s">
        <v>1019</v>
      </c>
    </row>
    <row r="227" spans="1:22" x14ac:dyDescent="0.3">
      <c r="A227" s="18" t="e">
        <f t="shared" si="4"/>
        <v>#REF!</v>
      </c>
      <c r="B227" s="17">
        <v>69</v>
      </c>
      <c r="C227" s="22" t="s">
        <v>23</v>
      </c>
      <c r="D227" s="20" t="s">
        <v>508</v>
      </c>
      <c r="E227" s="20">
        <v>45694</v>
      </c>
      <c r="F227" s="21" t="s">
        <v>123</v>
      </c>
      <c r="G227" s="50" t="s">
        <v>509</v>
      </c>
      <c r="H227" s="57">
        <v>135824.88</v>
      </c>
      <c r="I227" s="20">
        <v>45695</v>
      </c>
      <c r="J227" s="18"/>
      <c r="K227" s="18" t="s">
        <v>19</v>
      </c>
      <c r="L227" s="61">
        <v>384</v>
      </c>
      <c r="M227" s="61">
        <v>16</v>
      </c>
      <c r="N227" s="19">
        <v>45696</v>
      </c>
      <c r="O227" s="18" t="s">
        <v>21</v>
      </c>
      <c r="P227" s="18" t="s">
        <v>25</v>
      </c>
      <c r="Q227" s="18" t="s">
        <v>135</v>
      </c>
      <c r="R227" s="18" t="s">
        <v>102</v>
      </c>
      <c r="S227" s="18">
        <v>7005</v>
      </c>
      <c r="T227" s="18" t="s">
        <v>22</v>
      </c>
      <c r="U227" s="18" t="s">
        <v>19</v>
      </c>
      <c r="V227" s="17" t="s">
        <v>1019</v>
      </c>
    </row>
    <row r="228" spans="1:22" x14ac:dyDescent="0.3">
      <c r="A228" s="18" t="e">
        <f t="shared" si="4"/>
        <v>#REF!</v>
      </c>
      <c r="B228" s="17">
        <v>69</v>
      </c>
      <c r="C228" s="22" t="s">
        <v>23</v>
      </c>
      <c r="D228" s="20" t="s">
        <v>510</v>
      </c>
      <c r="E228" s="20">
        <v>45690</v>
      </c>
      <c r="F228" s="21" t="s">
        <v>28</v>
      </c>
      <c r="G228" s="50" t="s">
        <v>511</v>
      </c>
      <c r="H228" s="57">
        <v>319632.96000000002</v>
      </c>
      <c r="I228" s="20">
        <v>45693</v>
      </c>
      <c r="J228" s="18"/>
      <c r="K228" s="18" t="s">
        <v>19</v>
      </c>
      <c r="L228" s="61">
        <v>720</v>
      </c>
      <c r="M228" s="61">
        <v>30</v>
      </c>
      <c r="N228" s="19">
        <v>45696</v>
      </c>
      <c r="O228" s="18" t="s">
        <v>21</v>
      </c>
      <c r="P228" s="18" t="s">
        <v>25</v>
      </c>
      <c r="Q228" s="18" t="s">
        <v>135</v>
      </c>
      <c r="R228" s="18" t="s">
        <v>102</v>
      </c>
      <c r="S228" s="18">
        <v>7000</v>
      </c>
      <c r="T228" s="18" t="s">
        <v>22</v>
      </c>
      <c r="U228" s="18" t="s">
        <v>19</v>
      </c>
      <c r="V228" s="17" t="s">
        <v>1019</v>
      </c>
    </row>
    <row r="229" spans="1:22" x14ac:dyDescent="0.3">
      <c r="A229" s="18" t="e">
        <f t="shared" si="4"/>
        <v>#REF!</v>
      </c>
      <c r="B229" s="17">
        <v>70</v>
      </c>
      <c r="C229" s="22" t="s">
        <v>20</v>
      </c>
      <c r="D229" s="20" t="s">
        <v>512</v>
      </c>
      <c r="E229" s="20">
        <v>45691</v>
      </c>
      <c r="F229" s="21" t="s">
        <v>28</v>
      </c>
      <c r="G229" s="50" t="s">
        <v>513</v>
      </c>
      <c r="H229" s="57">
        <v>382653</v>
      </c>
      <c r="I229" s="20">
        <v>45694</v>
      </c>
      <c r="J229" s="18"/>
      <c r="K229" s="18" t="s">
        <v>19</v>
      </c>
      <c r="L229" s="61">
        <v>300</v>
      </c>
      <c r="M229" s="61">
        <v>30</v>
      </c>
      <c r="N229" s="19">
        <v>45698</v>
      </c>
      <c r="O229" s="18" t="s">
        <v>21</v>
      </c>
      <c r="P229" s="18" t="s">
        <v>25</v>
      </c>
      <c r="Q229" s="18" t="s">
        <v>138</v>
      </c>
      <c r="R229" s="18" t="s">
        <v>102</v>
      </c>
      <c r="S229" s="18">
        <v>7032</v>
      </c>
      <c r="T229" s="18" t="s">
        <v>22</v>
      </c>
      <c r="U229" s="18" t="s">
        <v>19</v>
      </c>
      <c r="V229" s="17" t="s">
        <v>1019</v>
      </c>
    </row>
    <row r="230" spans="1:22" x14ac:dyDescent="0.3">
      <c r="A230" s="18" t="e">
        <f t="shared" si="4"/>
        <v>#REF!</v>
      </c>
      <c r="B230" s="17">
        <v>70</v>
      </c>
      <c r="C230" s="22" t="s">
        <v>20</v>
      </c>
      <c r="D230" s="20" t="s">
        <v>514</v>
      </c>
      <c r="E230" s="20">
        <v>45688</v>
      </c>
      <c r="F230" s="21" t="s">
        <v>118</v>
      </c>
      <c r="G230" s="50" t="s">
        <v>515</v>
      </c>
      <c r="H230" s="57">
        <v>458263.82</v>
      </c>
      <c r="I230" s="20">
        <v>45698</v>
      </c>
      <c r="J230" s="18"/>
      <c r="K230" s="18" t="s">
        <v>19</v>
      </c>
      <c r="L230" s="61">
        <v>365</v>
      </c>
      <c r="M230" s="61">
        <v>38</v>
      </c>
      <c r="N230" s="19">
        <v>45698</v>
      </c>
      <c r="O230" s="18" t="s">
        <v>21</v>
      </c>
      <c r="P230" s="18" t="s">
        <v>25</v>
      </c>
      <c r="Q230" s="18" t="s">
        <v>138</v>
      </c>
      <c r="R230" s="18" t="s">
        <v>102</v>
      </c>
      <c r="S230" s="18">
        <v>7028</v>
      </c>
      <c r="T230" s="18" t="s">
        <v>22</v>
      </c>
      <c r="U230" s="18" t="s">
        <v>19</v>
      </c>
      <c r="V230" s="17" t="s">
        <v>1019</v>
      </c>
    </row>
    <row r="231" spans="1:22" x14ac:dyDescent="0.3">
      <c r="A231" s="18" t="e">
        <f t="shared" si="4"/>
        <v>#REF!</v>
      </c>
      <c r="B231" s="17">
        <v>70</v>
      </c>
      <c r="C231" s="22" t="s">
        <v>20</v>
      </c>
      <c r="D231" s="20" t="s">
        <v>516</v>
      </c>
      <c r="E231" s="20">
        <v>45688</v>
      </c>
      <c r="F231" s="21" t="s">
        <v>33</v>
      </c>
      <c r="G231" s="50" t="s">
        <v>517</v>
      </c>
      <c r="H231" s="57">
        <v>176054.8</v>
      </c>
      <c r="I231" s="20">
        <v>45697</v>
      </c>
      <c r="J231" s="18"/>
      <c r="K231" s="18" t="s">
        <v>19</v>
      </c>
      <c r="L231" s="61">
        <v>130</v>
      </c>
      <c r="M231" s="61">
        <v>13</v>
      </c>
      <c r="N231" s="19">
        <v>45698</v>
      </c>
      <c r="O231" s="18" t="s">
        <v>21</v>
      </c>
      <c r="P231" s="18" t="s">
        <v>25</v>
      </c>
      <c r="Q231" s="18" t="s">
        <v>138</v>
      </c>
      <c r="R231" s="18" t="s">
        <v>102</v>
      </c>
      <c r="S231" s="18">
        <v>7030</v>
      </c>
      <c r="T231" s="18" t="s">
        <v>22</v>
      </c>
      <c r="U231" s="18" t="s">
        <v>19</v>
      </c>
      <c r="V231" s="17" t="s">
        <v>1019</v>
      </c>
    </row>
    <row r="232" spans="1:22" x14ac:dyDescent="0.3">
      <c r="A232" s="18" t="e">
        <f t="shared" si="4"/>
        <v>#REF!</v>
      </c>
      <c r="B232" s="17">
        <v>70</v>
      </c>
      <c r="C232" s="22" t="s">
        <v>20</v>
      </c>
      <c r="D232" s="20" t="s">
        <v>518</v>
      </c>
      <c r="E232" s="20">
        <v>45689</v>
      </c>
      <c r="F232" s="21" t="s">
        <v>49</v>
      </c>
      <c r="G232" s="50" t="s">
        <v>519</v>
      </c>
      <c r="H232" s="57">
        <v>402477.43</v>
      </c>
      <c r="I232" s="20">
        <v>45698</v>
      </c>
      <c r="J232" s="18"/>
      <c r="K232" s="18" t="s">
        <v>19</v>
      </c>
      <c r="L232" s="61">
        <v>305</v>
      </c>
      <c r="M232" s="61">
        <v>31</v>
      </c>
      <c r="N232" s="19">
        <v>45698</v>
      </c>
      <c r="O232" s="18" t="s">
        <v>21</v>
      </c>
      <c r="P232" s="18" t="s">
        <v>25</v>
      </c>
      <c r="Q232" s="18" t="s">
        <v>138</v>
      </c>
      <c r="R232" s="18" t="s">
        <v>102</v>
      </c>
      <c r="S232" s="18">
        <v>7029</v>
      </c>
      <c r="T232" s="18" t="s">
        <v>22</v>
      </c>
      <c r="U232" s="18" t="s">
        <v>19</v>
      </c>
      <c r="V232" s="17" t="s">
        <v>1019</v>
      </c>
    </row>
    <row r="233" spans="1:22" x14ac:dyDescent="0.3">
      <c r="A233" s="18" t="e">
        <f t="shared" si="4"/>
        <v>#REF!</v>
      </c>
      <c r="B233" s="17">
        <v>70</v>
      </c>
      <c r="C233" s="22" t="s">
        <v>23</v>
      </c>
      <c r="D233" s="20" t="s">
        <v>520</v>
      </c>
      <c r="E233" s="20">
        <v>45694</v>
      </c>
      <c r="F233" s="21" t="s">
        <v>41</v>
      </c>
      <c r="G233" s="50" t="s">
        <v>521</v>
      </c>
      <c r="H233" s="57">
        <v>36892.080000000002</v>
      </c>
      <c r="I233" s="20">
        <v>45695</v>
      </c>
      <c r="J233" s="18"/>
      <c r="K233" s="18" t="s">
        <v>19</v>
      </c>
      <c r="L233" s="61">
        <v>72</v>
      </c>
      <c r="M233" s="61">
        <v>3</v>
      </c>
      <c r="N233" s="19">
        <v>45698</v>
      </c>
      <c r="O233" s="18" t="s">
        <v>21</v>
      </c>
      <c r="P233" s="18" t="s">
        <v>25</v>
      </c>
      <c r="Q233" s="18" t="s">
        <v>138</v>
      </c>
      <c r="R233" s="18" t="s">
        <v>102</v>
      </c>
      <c r="S233" s="18">
        <v>7022</v>
      </c>
      <c r="T233" s="18" t="s">
        <v>22</v>
      </c>
      <c r="U233" s="18" t="s">
        <v>19</v>
      </c>
      <c r="V233" s="17" t="s">
        <v>1019</v>
      </c>
    </row>
    <row r="234" spans="1:22" x14ac:dyDescent="0.3">
      <c r="A234" s="18" t="e">
        <f t="shared" si="4"/>
        <v>#REF!</v>
      </c>
      <c r="B234" s="17">
        <v>70</v>
      </c>
      <c r="C234" s="22" t="s">
        <v>23</v>
      </c>
      <c r="D234" s="20" t="s">
        <v>522</v>
      </c>
      <c r="E234" s="20">
        <v>45694</v>
      </c>
      <c r="F234" s="21" t="s">
        <v>58</v>
      </c>
      <c r="G234" s="50" t="s">
        <v>523</v>
      </c>
      <c r="H234" s="57">
        <v>75002.399999999994</v>
      </c>
      <c r="I234" s="20">
        <v>45695</v>
      </c>
      <c r="J234" s="18"/>
      <c r="K234" s="18" t="s">
        <v>19</v>
      </c>
      <c r="L234" s="61">
        <v>168</v>
      </c>
      <c r="M234" s="61">
        <v>7</v>
      </c>
      <c r="N234" s="19">
        <v>45698</v>
      </c>
      <c r="O234" s="18" t="s">
        <v>21</v>
      </c>
      <c r="P234" s="18" t="s">
        <v>25</v>
      </c>
      <c r="Q234" s="18" t="s">
        <v>138</v>
      </c>
      <c r="R234" s="18" t="s">
        <v>102</v>
      </c>
      <c r="S234" s="18">
        <v>7023</v>
      </c>
      <c r="T234" s="18" t="s">
        <v>22</v>
      </c>
      <c r="U234" s="18" t="s">
        <v>19</v>
      </c>
      <c r="V234" s="17" t="s">
        <v>1019</v>
      </c>
    </row>
    <row r="235" spans="1:22" x14ac:dyDescent="0.3">
      <c r="A235" s="18" t="e">
        <f t="shared" si="4"/>
        <v>#REF!</v>
      </c>
      <c r="B235" s="17">
        <v>70</v>
      </c>
      <c r="C235" s="22" t="s">
        <v>23</v>
      </c>
      <c r="D235" s="20" t="s">
        <v>524</v>
      </c>
      <c r="E235" s="20">
        <v>45694</v>
      </c>
      <c r="F235" s="21" t="s">
        <v>28</v>
      </c>
      <c r="G235" s="50" t="s">
        <v>525</v>
      </c>
      <c r="H235" s="57">
        <v>58434</v>
      </c>
      <c r="I235" s="20">
        <v>45695</v>
      </c>
      <c r="J235" s="18"/>
      <c r="K235" s="18" t="s">
        <v>19</v>
      </c>
      <c r="L235" s="61">
        <v>120</v>
      </c>
      <c r="M235" s="61">
        <v>5</v>
      </c>
      <c r="N235" s="19">
        <v>45698</v>
      </c>
      <c r="O235" s="18" t="s">
        <v>21</v>
      </c>
      <c r="P235" s="18" t="s">
        <v>25</v>
      </c>
      <c r="Q235" s="18" t="s">
        <v>138</v>
      </c>
      <c r="R235" s="18" t="s">
        <v>102</v>
      </c>
      <c r="S235" s="18">
        <v>7024</v>
      </c>
      <c r="T235" s="18" t="s">
        <v>22</v>
      </c>
      <c r="U235" s="18" t="s">
        <v>19</v>
      </c>
      <c r="V235" s="17" t="s">
        <v>1019</v>
      </c>
    </row>
    <row r="236" spans="1:22" x14ac:dyDescent="0.3">
      <c r="A236" s="18" t="e">
        <f t="shared" si="4"/>
        <v>#REF!</v>
      </c>
      <c r="B236" s="17">
        <v>70</v>
      </c>
      <c r="C236" s="22" t="s">
        <v>23</v>
      </c>
      <c r="D236" s="20" t="s">
        <v>526</v>
      </c>
      <c r="E236" s="20">
        <v>45694</v>
      </c>
      <c r="F236" s="21" t="s">
        <v>84</v>
      </c>
      <c r="G236" s="50" t="s">
        <v>527</v>
      </c>
      <c r="H236" s="57">
        <v>52266.720000000001</v>
      </c>
      <c r="I236" s="20">
        <v>45695</v>
      </c>
      <c r="J236" s="18"/>
      <c r="K236" s="18" t="s">
        <v>19</v>
      </c>
      <c r="L236" s="61">
        <v>96</v>
      </c>
      <c r="M236" s="61">
        <v>4</v>
      </c>
      <c r="N236" s="19">
        <v>45698</v>
      </c>
      <c r="O236" s="18" t="s">
        <v>21</v>
      </c>
      <c r="P236" s="18" t="s">
        <v>25</v>
      </c>
      <c r="Q236" s="18" t="s">
        <v>138</v>
      </c>
      <c r="R236" s="18" t="s">
        <v>102</v>
      </c>
      <c r="S236" s="18">
        <v>7025</v>
      </c>
      <c r="T236" s="18" t="s">
        <v>22</v>
      </c>
      <c r="U236" s="18" t="s">
        <v>19</v>
      </c>
      <c r="V236" s="17" t="s">
        <v>1019</v>
      </c>
    </row>
    <row r="237" spans="1:22" x14ac:dyDescent="0.3">
      <c r="A237" s="18" t="e">
        <f t="shared" si="4"/>
        <v>#REF!</v>
      </c>
      <c r="B237" s="17">
        <v>70</v>
      </c>
      <c r="C237" s="22" t="s">
        <v>20</v>
      </c>
      <c r="D237" s="20" t="s">
        <v>528</v>
      </c>
      <c r="E237" s="20">
        <v>45691</v>
      </c>
      <c r="F237" s="21" t="s">
        <v>24</v>
      </c>
      <c r="G237" s="50" t="s">
        <v>529</v>
      </c>
      <c r="H237" s="57">
        <v>615538.80000000005</v>
      </c>
      <c r="I237" s="20">
        <v>45697</v>
      </c>
      <c r="J237" s="18"/>
      <c r="K237" s="18" t="s">
        <v>19</v>
      </c>
      <c r="L237" s="61">
        <v>430</v>
      </c>
      <c r="M237" s="61">
        <v>43</v>
      </c>
      <c r="N237" s="19">
        <v>45698</v>
      </c>
      <c r="O237" s="18" t="s">
        <v>21</v>
      </c>
      <c r="P237" s="18" t="s">
        <v>25</v>
      </c>
      <c r="Q237" s="18" t="s">
        <v>138</v>
      </c>
      <c r="R237" s="18" t="s">
        <v>102</v>
      </c>
      <c r="S237" s="18">
        <v>7027</v>
      </c>
      <c r="T237" s="18" t="s">
        <v>22</v>
      </c>
      <c r="U237" s="18" t="s">
        <v>19</v>
      </c>
      <c r="V237" s="17" t="s">
        <v>1019</v>
      </c>
    </row>
    <row r="238" spans="1:22" x14ac:dyDescent="0.3">
      <c r="A238" s="18" t="e">
        <f t="shared" si="4"/>
        <v>#REF!</v>
      </c>
      <c r="B238" s="17">
        <v>70</v>
      </c>
      <c r="C238" s="22" t="s">
        <v>23</v>
      </c>
      <c r="D238" s="20" t="s">
        <v>530</v>
      </c>
      <c r="E238" s="20">
        <v>45694</v>
      </c>
      <c r="F238" s="21" t="s">
        <v>35</v>
      </c>
      <c r="G238" s="50" t="s">
        <v>531</v>
      </c>
      <c r="H238" s="57">
        <v>48302.64</v>
      </c>
      <c r="I238" s="20">
        <v>45695</v>
      </c>
      <c r="J238" s="18"/>
      <c r="K238" s="18" t="s">
        <v>19</v>
      </c>
      <c r="L238" s="61">
        <v>144</v>
      </c>
      <c r="M238" s="61">
        <v>6</v>
      </c>
      <c r="N238" s="19">
        <v>45698</v>
      </c>
      <c r="O238" s="18" t="s">
        <v>21</v>
      </c>
      <c r="P238" s="18" t="s">
        <v>25</v>
      </c>
      <c r="Q238" s="18" t="s">
        <v>138</v>
      </c>
      <c r="R238" s="18" t="s">
        <v>102</v>
      </c>
      <c r="S238" s="18">
        <v>7026</v>
      </c>
      <c r="T238" s="18" t="s">
        <v>22</v>
      </c>
      <c r="U238" s="18" t="s">
        <v>19</v>
      </c>
      <c r="V238" s="17" t="s">
        <v>1019</v>
      </c>
    </row>
    <row r="239" spans="1:22" x14ac:dyDescent="0.3">
      <c r="A239" s="18" t="e">
        <f t="shared" si="4"/>
        <v>#REF!</v>
      </c>
      <c r="B239" s="17">
        <v>70</v>
      </c>
      <c r="C239" s="22" t="s">
        <v>20</v>
      </c>
      <c r="D239" s="20" t="s">
        <v>532</v>
      </c>
      <c r="E239" s="20">
        <v>45689</v>
      </c>
      <c r="F239" s="21" t="s">
        <v>84</v>
      </c>
      <c r="G239" s="50" t="s">
        <v>533</v>
      </c>
      <c r="H239" s="57">
        <v>235636.97</v>
      </c>
      <c r="I239" s="20">
        <v>45696</v>
      </c>
      <c r="J239" s="18"/>
      <c r="K239" s="18" t="s">
        <v>19</v>
      </c>
      <c r="L239" s="61">
        <v>178</v>
      </c>
      <c r="M239" s="61">
        <v>18</v>
      </c>
      <c r="N239" s="19">
        <v>45698</v>
      </c>
      <c r="O239" s="18" t="s">
        <v>21</v>
      </c>
      <c r="P239" s="18" t="s">
        <v>25</v>
      </c>
      <c r="Q239" s="18" t="s">
        <v>138</v>
      </c>
      <c r="R239" s="18" t="s">
        <v>102</v>
      </c>
      <c r="S239" s="18">
        <v>7031</v>
      </c>
      <c r="T239" s="18" t="s">
        <v>22</v>
      </c>
      <c r="U239" s="18" t="s">
        <v>19</v>
      </c>
      <c r="V239" s="17" t="s">
        <v>1019</v>
      </c>
    </row>
    <row r="240" spans="1:22" x14ac:dyDescent="0.3">
      <c r="A240" s="18" t="e">
        <f t="shared" si="4"/>
        <v>#REF!</v>
      </c>
      <c r="B240" s="17">
        <v>70</v>
      </c>
      <c r="C240" s="22" t="s">
        <v>23</v>
      </c>
      <c r="D240" s="20" t="s">
        <v>134</v>
      </c>
      <c r="E240" s="20">
        <v>45694</v>
      </c>
      <c r="F240" s="24" t="s">
        <v>121</v>
      </c>
      <c r="G240" s="50" t="s">
        <v>534</v>
      </c>
      <c r="H240" s="57">
        <v>5533.2</v>
      </c>
      <c r="I240" s="20">
        <v>45695</v>
      </c>
      <c r="J240" s="18"/>
      <c r="K240" s="18" t="s">
        <v>19</v>
      </c>
      <c r="L240" s="61">
        <v>12</v>
      </c>
      <c r="M240" s="61">
        <v>1</v>
      </c>
      <c r="N240" s="19">
        <v>45698</v>
      </c>
      <c r="O240" s="18" t="s">
        <v>21</v>
      </c>
      <c r="P240" s="18" t="s">
        <v>25</v>
      </c>
      <c r="Q240" s="18" t="s">
        <v>138</v>
      </c>
      <c r="R240" s="18" t="s">
        <v>102</v>
      </c>
      <c r="S240" s="18">
        <v>7019</v>
      </c>
      <c r="T240" s="18" t="s">
        <v>22</v>
      </c>
      <c r="U240" s="18" t="s">
        <v>19</v>
      </c>
      <c r="V240" s="17" t="s">
        <v>1019</v>
      </c>
    </row>
    <row r="241" spans="1:22" x14ac:dyDescent="0.3">
      <c r="A241" s="18" t="e">
        <f t="shared" si="4"/>
        <v>#REF!</v>
      </c>
      <c r="B241" s="17">
        <v>70</v>
      </c>
      <c r="C241" s="22" t="s">
        <v>23</v>
      </c>
      <c r="D241" s="20" t="s">
        <v>115</v>
      </c>
      <c r="E241" s="20">
        <v>45694</v>
      </c>
      <c r="F241" s="21" t="s">
        <v>33</v>
      </c>
      <c r="G241" s="50" t="s">
        <v>535</v>
      </c>
      <c r="H241" s="57">
        <v>10450.799999999999</v>
      </c>
      <c r="I241" s="20">
        <v>45695</v>
      </c>
      <c r="J241" s="18"/>
      <c r="K241" s="18" t="s">
        <v>19</v>
      </c>
      <c r="L241" s="61">
        <v>24</v>
      </c>
      <c r="M241" s="61">
        <v>1</v>
      </c>
      <c r="N241" s="19">
        <v>45698</v>
      </c>
      <c r="O241" s="18" t="s">
        <v>21</v>
      </c>
      <c r="P241" s="18" t="s">
        <v>25</v>
      </c>
      <c r="Q241" s="18" t="s">
        <v>138</v>
      </c>
      <c r="R241" s="18" t="s">
        <v>102</v>
      </c>
      <c r="S241" s="18">
        <v>7017</v>
      </c>
      <c r="T241" s="18" t="s">
        <v>22</v>
      </c>
      <c r="U241" s="18" t="s">
        <v>19</v>
      </c>
      <c r="V241" s="17" t="s">
        <v>1019</v>
      </c>
    </row>
    <row r="242" spans="1:22" x14ac:dyDescent="0.3">
      <c r="A242" s="18" t="e">
        <f t="shared" si="4"/>
        <v>#REF!</v>
      </c>
      <c r="B242" s="17">
        <v>70</v>
      </c>
      <c r="C242" s="22" t="s">
        <v>20</v>
      </c>
      <c r="D242" s="20" t="s">
        <v>536</v>
      </c>
      <c r="E242" s="20">
        <v>45691</v>
      </c>
      <c r="F242" s="21" t="s">
        <v>64</v>
      </c>
      <c r="G242" s="50" t="s">
        <v>537</v>
      </c>
      <c r="H242" s="57">
        <v>453273</v>
      </c>
      <c r="I242" s="20">
        <v>45694</v>
      </c>
      <c r="J242" s="18"/>
      <c r="K242" s="18" t="s">
        <v>19</v>
      </c>
      <c r="L242" s="61">
        <v>350</v>
      </c>
      <c r="M242" s="61">
        <v>35</v>
      </c>
      <c r="N242" s="19">
        <v>45698</v>
      </c>
      <c r="O242" s="18" t="s">
        <v>21</v>
      </c>
      <c r="P242" s="18" t="s">
        <v>25</v>
      </c>
      <c r="Q242" s="18" t="s">
        <v>138</v>
      </c>
      <c r="R242" s="18" t="s">
        <v>102</v>
      </c>
      <c r="S242" s="18">
        <v>7016</v>
      </c>
      <c r="T242" s="18" t="s">
        <v>22</v>
      </c>
      <c r="U242" s="18" t="s">
        <v>19</v>
      </c>
      <c r="V242" s="17" t="s">
        <v>1019</v>
      </c>
    </row>
    <row r="243" spans="1:22" x14ac:dyDescent="0.3">
      <c r="A243" s="18" t="e">
        <f t="shared" si="4"/>
        <v>#REF!</v>
      </c>
      <c r="B243" s="17">
        <v>70</v>
      </c>
      <c r="C243" s="22" t="s">
        <v>23</v>
      </c>
      <c r="D243" s="20" t="s">
        <v>538</v>
      </c>
      <c r="E243" s="20">
        <v>45694</v>
      </c>
      <c r="F243" s="21" t="s">
        <v>123</v>
      </c>
      <c r="G243" s="50" t="s">
        <v>539</v>
      </c>
      <c r="H243" s="57">
        <v>33186.720000000001</v>
      </c>
      <c r="I243" s="20">
        <v>45695</v>
      </c>
      <c r="J243" s="18"/>
      <c r="K243" s="18" t="s">
        <v>19</v>
      </c>
      <c r="L243" s="61">
        <v>96</v>
      </c>
      <c r="M243" s="61">
        <v>4</v>
      </c>
      <c r="N243" s="19">
        <v>45698</v>
      </c>
      <c r="O243" s="18" t="s">
        <v>21</v>
      </c>
      <c r="P243" s="18" t="s">
        <v>25</v>
      </c>
      <c r="Q243" s="18" t="s">
        <v>138</v>
      </c>
      <c r="R243" s="18" t="s">
        <v>102</v>
      </c>
      <c r="S243" s="18">
        <v>7018</v>
      </c>
      <c r="T243" s="18" t="s">
        <v>22</v>
      </c>
      <c r="U243" s="18" t="s">
        <v>19</v>
      </c>
      <c r="V243" s="17" t="s">
        <v>1019</v>
      </c>
    </row>
    <row r="244" spans="1:22" x14ac:dyDescent="0.3">
      <c r="A244" s="18" t="e">
        <f t="shared" si="4"/>
        <v>#REF!</v>
      </c>
      <c r="B244" s="17">
        <v>70</v>
      </c>
      <c r="C244" s="22" t="s">
        <v>23</v>
      </c>
      <c r="D244" s="20" t="s">
        <v>540</v>
      </c>
      <c r="E244" s="20">
        <v>45694</v>
      </c>
      <c r="F244" s="23" t="s">
        <v>66</v>
      </c>
      <c r="G244" s="50" t="s">
        <v>541</v>
      </c>
      <c r="H244" s="57">
        <v>6142.56</v>
      </c>
      <c r="I244" s="20">
        <v>45695</v>
      </c>
      <c r="J244" s="18"/>
      <c r="K244" s="18" t="s">
        <v>19</v>
      </c>
      <c r="L244" s="61">
        <v>24</v>
      </c>
      <c r="M244" s="61">
        <v>1</v>
      </c>
      <c r="N244" s="19">
        <v>45698</v>
      </c>
      <c r="O244" s="18" t="s">
        <v>21</v>
      </c>
      <c r="P244" s="18" t="s">
        <v>25</v>
      </c>
      <c r="Q244" s="18" t="s">
        <v>138</v>
      </c>
      <c r="R244" s="18" t="s">
        <v>102</v>
      </c>
      <c r="S244" s="18">
        <v>7020</v>
      </c>
      <c r="T244" s="18" t="s">
        <v>22</v>
      </c>
      <c r="U244" s="18" t="s">
        <v>19</v>
      </c>
      <c r="V244" s="17" t="s">
        <v>1019</v>
      </c>
    </row>
    <row r="245" spans="1:22" x14ac:dyDescent="0.3">
      <c r="A245" s="18" t="e">
        <f t="shared" si="4"/>
        <v>#REF!</v>
      </c>
      <c r="B245" s="17">
        <v>70</v>
      </c>
      <c r="C245" s="22" t="s">
        <v>23</v>
      </c>
      <c r="D245" s="20" t="s">
        <v>542</v>
      </c>
      <c r="E245" s="20">
        <v>45694</v>
      </c>
      <c r="F245" s="21" t="s">
        <v>53</v>
      </c>
      <c r="G245" s="49" t="s">
        <v>543</v>
      </c>
      <c r="H245" s="57">
        <v>11066.4</v>
      </c>
      <c r="I245" s="20">
        <v>45695</v>
      </c>
      <c r="J245" s="18"/>
      <c r="K245" s="18" t="s">
        <v>19</v>
      </c>
      <c r="L245" s="61">
        <v>24</v>
      </c>
      <c r="M245" s="61">
        <v>2</v>
      </c>
      <c r="N245" s="19">
        <v>45698</v>
      </c>
      <c r="O245" s="18" t="s">
        <v>21</v>
      </c>
      <c r="P245" s="18" t="s">
        <v>25</v>
      </c>
      <c r="Q245" s="18" t="s">
        <v>138</v>
      </c>
      <c r="R245" s="18" t="s">
        <v>102</v>
      </c>
      <c r="S245" s="18">
        <v>7021</v>
      </c>
      <c r="T245" s="18" t="s">
        <v>22</v>
      </c>
      <c r="U245" s="18" t="s">
        <v>19</v>
      </c>
      <c r="V245" s="17"/>
    </row>
    <row r="246" spans="1:22" x14ac:dyDescent="0.3">
      <c r="A246" s="18" t="e">
        <f t="shared" si="4"/>
        <v>#REF!</v>
      </c>
      <c r="B246" s="17">
        <v>71</v>
      </c>
      <c r="C246" s="22" t="s">
        <v>20</v>
      </c>
      <c r="D246" s="20" t="s">
        <v>544</v>
      </c>
      <c r="E246" s="20">
        <v>45688</v>
      </c>
      <c r="F246" s="21" t="s">
        <v>64</v>
      </c>
      <c r="G246" s="50" t="s">
        <v>545</v>
      </c>
      <c r="H246" s="57">
        <v>298482.74</v>
      </c>
      <c r="I246" s="20">
        <v>45696</v>
      </c>
      <c r="J246" s="18"/>
      <c r="K246" s="18" t="s">
        <v>19</v>
      </c>
      <c r="L246" s="61">
        <v>257</v>
      </c>
      <c r="M246" s="61">
        <v>26</v>
      </c>
      <c r="N246" s="19">
        <v>45700</v>
      </c>
      <c r="O246" s="18" t="s">
        <v>21</v>
      </c>
      <c r="P246" s="18" t="s">
        <v>25</v>
      </c>
      <c r="Q246" s="18" t="s">
        <v>124</v>
      </c>
      <c r="R246" s="18" t="s">
        <v>102</v>
      </c>
      <c r="S246" s="18">
        <v>7033</v>
      </c>
      <c r="T246" s="18" t="s">
        <v>22</v>
      </c>
      <c r="U246" s="18" t="s">
        <v>19</v>
      </c>
      <c r="V246" s="17" t="s">
        <v>1019</v>
      </c>
    </row>
    <row r="247" spans="1:22" x14ac:dyDescent="0.3">
      <c r="A247" s="18" t="e">
        <f t="shared" ref="A247:A310" si="5">A246+1</f>
        <v>#REF!</v>
      </c>
      <c r="B247" s="17">
        <v>71</v>
      </c>
      <c r="C247" s="22" t="s">
        <v>20</v>
      </c>
      <c r="D247" s="20" t="s">
        <v>546</v>
      </c>
      <c r="E247" s="20">
        <v>45689</v>
      </c>
      <c r="F247" s="21" t="s">
        <v>28</v>
      </c>
      <c r="G247" s="50" t="s">
        <v>547</v>
      </c>
      <c r="H247" s="57">
        <v>673638.73</v>
      </c>
      <c r="I247" s="20">
        <v>45697</v>
      </c>
      <c r="J247" s="18"/>
      <c r="K247" s="18" t="s">
        <v>19</v>
      </c>
      <c r="L247" s="61">
        <v>503</v>
      </c>
      <c r="M247" s="61">
        <v>52</v>
      </c>
      <c r="N247" s="19">
        <v>45700</v>
      </c>
      <c r="O247" s="18" t="s">
        <v>21</v>
      </c>
      <c r="P247" s="18" t="s">
        <v>25</v>
      </c>
      <c r="Q247" s="18" t="s">
        <v>124</v>
      </c>
      <c r="R247" s="18" t="s">
        <v>102</v>
      </c>
      <c r="S247" s="18">
        <v>7034</v>
      </c>
      <c r="T247" s="18" t="s">
        <v>22</v>
      </c>
      <c r="U247" s="18" t="s">
        <v>19</v>
      </c>
      <c r="V247" s="17" t="s">
        <v>1019</v>
      </c>
    </row>
    <row r="248" spans="1:22" x14ac:dyDescent="0.3">
      <c r="A248" s="18" t="e">
        <f t="shared" si="5"/>
        <v>#REF!</v>
      </c>
      <c r="B248" s="17">
        <v>71</v>
      </c>
      <c r="C248" s="22" t="s">
        <v>20</v>
      </c>
      <c r="D248" s="20" t="s">
        <v>548</v>
      </c>
      <c r="E248" s="20">
        <v>45687</v>
      </c>
      <c r="F248" s="26" t="s">
        <v>129</v>
      </c>
      <c r="G248" s="50" t="s">
        <v>549</v>
      </c>
      <c r="H248" s="57">
        <v>520616.25</v>
      </c>
      <c r="I248" s="20">
        <v>45699</v>
      </c>
      <c r="J248" s="18"/>
      <c r="K248" s="18" t="s">
        <v>19</v>
      </c>
      <c r="L248" s="61">
        <v>450</v>
      </c>
      <c r="M248" s="61">
        <v>46</v>
      </c>
      <c r="N248" s="19">
        <v>45700</v>
      </c>
      <c r="O248" s="18" t="s">
        <v>21</v>
      </c>
      <c r="P248" s="18" t="s">
        <v>25</v>
      </c>
      <c r="Q248" s="18" t="s">
        <v>124</v>
      </c>
      <c r="R248" s="18" t="s">
        <v>102</v>
      </c>
      <c r="S248" s="18">
        <v>7035</v>
      </c>
      <c r="T248" s="18" t="s">
        <v>22</v>
      </c>
      <c r="U248" s="18" t="s">
        <v>19</v>
      </c>
      <c r="V248" s="17" t="s">
        <v>1019</v>
      </c>
    </row>
    <row r="249" spans="1:22" x14ac:dyDescent="0.3">
      <c r="A249" s="18" t="e">
        <f t="shared" si="5"/>
        <v>#REF!</v>
      </c>
      <c r="B249" s="17">
        <v>71</v>
      </c>
      <c r="C249" s="22" t="s">
        <v>20</v>
      </c>
      <c r="D249" s="20" t="s">
        <v>550</v>
      </c>
      <c r="E249" s="20">
        <v>45694</v>
      </c>
      <c r="F249" s="23" t="s">
        <v>68</v>
      </c>
      <c r="G249" s="50" t="s">
        <v>551</v>
      </c>
      <c r="H249" s="57">
        <v>316204.36</v>
      </c>
      <c r="I249" s="20">
        <v>45699</v>
      </c>
      <c r="J249" s="18"/>
      <c r="K249" s="18" t="s">
        <v>19</v>
      </c>
      <c r="L249" s="61">
        <v>261</v>
      </c>
      <c r="M249" s="61">
        <v>26</v>
      </c>
      <c r="N249" s="19">
        <v>45700</v>
      </c>
      <c r="O249" s="18" t="s">
        <v>21</v>
      </c>
      <c r="P249" s="18" t="s">
        <v>25</v>
      </c>
      <c r="Q249" s="18" t="s">
        <v>124</v>
      </c>
      <c r="R249" s="18" t="s">
        <v>102</v>
      </c>
      <c r="S249" s="18">
        <v>7036</v>
      </c>
      <c r="T249" s="18" t="s">
        <v>22</v>
      </c>
      <c r="U249" s="18" t="s">
        <v>19</v>
      </c>
      <c r="V249" s="17" t="s">
        <v>1019</v>
      </c>
    </row>
    <row r="250" spans="1:22" x14ac:dyDescent="0.3">
      <c r="A250" s="18" t="e">
        <f t="shared" si="5"/>
        <v>#REF!</v>
      </c>
      <c r="B250" s="17">
        <v>71</v>
      </c>
      <c r="C250" s="22" t="s">
        <v>23</v>
      </c>
      <c r="D250" s="20" t="s">
        <v>552</v>
      </c>
      <c r="E250" s="20">
        <v>45696</v>
      </c>
      <c r="F250" s="21" t="s">
        <v>132</v>
      </c>
      <c r="G250" s="50" t="s">
        <v>553</v>
      </c>
      <c r="H250" s="57">
        <v>82978.8</v>
      </c>
      <c r="I250" s="20">
        <v>45699</v>
      </c>
      <c r="J250" s="18"/>
      <c r="K250" s="18" t="s">
        <v>19</v>
      </c>
      <c r="L250" s="61">
        <v>216</v>
      </c>
      <c r="M250" s="61">
        <v>9</v>
      </c>
      <c r="N250" s="19">
        <v>45700</v>
      </c>
      <c r="O250" s="18" t="s">
        <v>21</v>
      </c>
      <c r="P250" s="18" t="s">
        <v>25</v>
      </c>
      <c r="Q250" s="18" t="s">
        <v>124</v>
      </c>
      <c r="R250" s="18" t="s">
        <v>102</v>
      </c>
      <c r="S250" s="18">
        <v>7037</v>
      </c>
      <c r="T250" s="18" t="s">
        <v>22</v>
      </c>
      <c r="U250" s="18" t="s">
        <v>19</v>
      </c>
      <c r="V250" s="17" t="s">
        <v>1019</v>
      </c>
    </row>
    <row r="251" spans="1:22" x14ac:dyDescent="0.3">
      <c r="A251" s="18" t="e">
        <f t="shared" si="5"/>
        <v>#REF!</v>
      </c>
      <c r="B251" s="17">
        <v>71</v>
      </c>
      <c r="C251" s="22" t="s">
        <v>23</v>
      </c>
      <c r="D251" s="20" t="s">
        <v>554</v>
      </c>
      <c r="E251" s="20">
        <v>45698</v>
      </c>
      <c r="F251" s="21" t="s">
        <v>28</v>
      </c>
      <c r="G251" s="50" t="s">
        <v>555</v>
      </c>
      <c r="H251" s="57">
        <v>526791</v>
      </c>
      <c r="I251" s="20">
        <v>45700</v>
      </c>
      <c r="J251" s="18"/>
      <c r="K251" s="18" t="s">
        <v>19</v>
      </c>
      <c r="L251" s="61">
        <v>1200</v>
      </c>
      <c r="M251" s="61">
        <v>50</v>
      </c>
      <c r="N251" s="19">
        <v>45700</v>
      </c>
      <c r="O251" s="18" t="s">
        <v>21</v>
      </c>
      <c r="P251" s="18" t="s">
        <v>25</v>
      </c>
      <c r="Q251" s="18" t="s">
        <v>124</v>
      </c>
      <c r="R251" s="18" t="s">
        <v>102</v>
      </c>
      <c r="S251" s="18">
        <v>7038</v>
      </c>
      <c r="T251" s="18" t="s">
        <v>22</v>
      </c>
      <c r="U251" s="18" t="s">
        <v>19</v>
      </c>
      <c r="V251" s="17" t="s">
        <v>1019</v>
      </c>
    </row>
    <row r="252" spans="1:22" x14ac:dyDescent="0.3">
      <c r="A252" s="18" t="e">
        <f t="shared" si="5"/>
        <v>#REF!</v>
      </c>
      <c r="B252" s="17">
        <v>71</v>
      </c>
      <c r="C252" s="22" t="s">
        <v>20</v>
      </c>
      <c r="D252" s="20" t="s">
        <v>556</v>
      </c>
      <c r="E252" s="20">
        <v>45688</v>
      </c>
      <c r="F252" s="21" t="s">
        <v>53</v>
      </c>
      <c r="G252" s="49" t="s">
        <v>557</v>
      </c>
      <c r="H252" s="57">
        <v>243438.81</v>
      </c>
      <c r="I252" s="20">
        <v>45696</v>
      </c>
      <c r="J252" s="18"/>
      <c r="K252" s="18" t="s">
        <v>19</v>
      </c>
      <c r="L252" s="61">
        <v>178</v>
      </c>
      <c r="M252" s="61">
        <v>18</v>
      </c>
      <c r="N252" s="19">
        <v>45700</v>
      </c>
      <c r="O252" s="18" t="s">
        <v>21</v>
      </c>
      <c r="P252" s="18" t="s">
        <v>25</v>
      </c>
      <c r="Q252" s="18" t="s">
        <v>124</v>
      </c>
      <c r="R252" s="18" t="s">
        <v>102</v>
      </c>
      <c r="S252" s="18">
        <v>7050</v>
      </c>
      <c r="T252" s="18" t="s">
        <v>22</v>
      </c>
      <c r="U252" s="18" t="s">
        <v>19</v>
      </c>
      <c r="V252" s="17"/>
    </row>
    <row r="253" spans="1:22" x14ac:dyDescent="0.3">
      <c r="A253" s="18" t="e">
        <f t="shared" si="5"/>
        <v>#REF!</v>
      </c>
      <c r="B253" s="17">
        <v>71</v>
      </c>
      <c r="C253" s="22" t="s">
        <v>23</v>
      </c>
      <c r="D253" s="20" t="s">
        <v>558</v>
      </c>
      <c r="E253" s="20">
        <v>45695</v>
      </c>
      <c r="F253" s="21" t="s">
        <v>35</v>
      </c>
      <c r="G253" s="50" t="s">
        <v>559</v>
      </c>
      <c r="H253" s="57">
        <v>105331</v>
      </c>
      <c r="I253" s="20">
        <v>45699</v>
      </c>
      <c r="J253" s="18"/>
      <c r="K253" s="18" t="s">
        <v>19</v>
      </c>
      <c r="L253" s="61">
        <v>240</v>
      </c>
      <c r="M253" s="61">
        <v>10</v>
      </c>
      <c r="N253" s="19">
        <v>45700</v>
      </c>
      <c r="O253" s="18" t="s">
        <v>21</v>
      </c>
      <c r="P253" s="18" t="s">
        <v>25</v>
      </c>
      <c r="Q253" s="18" t="s">
        <v>124</v>
      </c>
      <c r="R253" s="18" t="s">
        <v>102</v>
      </c>
      <c r="S253" s="18">
        <v>7051</v>
      </c>
      <c r="T253" s="18" t="s">
        <v>22</v>
      </c>
      <c r="U253" s="18" t="s">
        <v>19</v>
      </c>
      <c r="V253" s="17" t="s">
        <v>1019</v>
      </c>
    </row>
    <row r="254" spans="1:22" x14ac:dyDescent="0.3">
      <c r="A254" s="18" t="e">
        <f t="shared" si="5"/>
        <v>#REF!</v>
      </c>
      <c r="B254" s="17">
        <v>72</v>
      </c>
      <c r="C254" s="22" t="s">
        <v>20</v>
      </c>
      <c r="D254" s="20" t="s">
        <v>560</v>
      </c>
      <c r="E254" s="20">
        <v>45699</v>
      </c>
      <c r="F254" s="21" t="s">
        <v>47</v>
      </c>
      <c r="G254" s="50" t="s">
        <v>561</v>
      </c>
      <c r="H254" s="57">
        <v>38593.94</v>
      </c>
      <c r="I254" s="20">
        <v>45701</v>
      </c>
      <c r="J254" s="18"/>
      <c r="K254" s="18" t="s">
        <v>19</v>
      </c>
      <c r="L254" s="61">
        <v>30</v>
      </c>
      <c r="M254" s="61">
        <v>3</v>
      </c>
      <c r="N254" s="19">
        <v>45701</v>
      </c>
      <c r="O254" s="18" t="s">
        <v>21</v>
      </c>
      <c r="P254" s="18" t="s">
        <v>25</v>
      </c>
      <c r="Q254" s="18" t="s">
        <v>124</v>
      </c>
      <c r="R254" s="18" t="s">
        <v>102</v>
      </c>
      <c r="S254" s="18">
        <v>7039</v>
      </c>
      <c r="T254" s="18" t="s">
        <v>22</v>
      </c>
      <c r="U254" s="18" t="s">
        <v>19</v>
      </c>
      <c r="V254" s="17" t="s">
        <v>1019</v>
      </c>
    </row>
    <row r="255" spans="1:22" x14ac:dyDescent="0.3">
      <c r="A255" s="18" t="e">
        <f t="shared" si="5"/>
        <v>#REF!</v>
      </c>
      <c r="B255" s="17">
        <v>72</v>
      </c>
      <c r="C255" s="22" t="s">
        <v>20</v>
      </c>
      <c r="D255" s="20" t="s">
        <v>562</v>
      </c>
      <c r="E255" s="20">
        <v>45691</v>
      </c>
      <c r="F255" s="23" t="s">
        <v>133</v>
      </c>
      <c r="G255" s="49" t="s">
        <v>563</v>
      </c>
      <c r="H255" s="57">
        <v>332432.08</v>
      </c>
      <c r="I255" s="20">
        <v>45699</v>
      </c>
      <c r="J255" s="18"/>
      <c r="K255" s="18" t="s">
        <v>19</v>
      </c>
      <c r="L255" s="61">
        <v>262</v>
      </c>
      <c r="M255" s="61">
        <v>26</v>
      </c>
      <c r="N255" s="19">
        <v>45701</v>
      </c>
      <c r="O255" s="18" t="s">
        <v>21</v>
      </c>
      <c r="P255" s="18" t="s">
        <v>25</v>
      </c>
      <c r="Q255" s="18" t="s">
        <v>124</v>
      </c>
      <c r="R255" s="18" t="s">
        <v>102</v>
      </c>
      <c r="S255" s="18">
        <v>7045</v>
      </c>
      <c r="T255" s="18" t="s">
        <v>22</v>
      </c>
      <c r="U255" s="18" t="s">
        <v>19</v>
      </c>
      <c r="V255" s="17"/>
    </row>
    <row r="256" spans="1:22" x14ac:dyDescent="0.3">
      <c r="A256" s="18" t="e">
        <f t="shared" si="5"/>
        <v>#REF!</v>
      </c>
      <c r="B256" s="17">
        <v>72</v>
      </c>
      <c r="C256" s="22" t="s">
        <v>20</v>
      </c>
      <c r="D256" s="20" t="s">
        <v>564</v>
      </c>
      <c r="E256" s="20">
        <v>45700</v>
      </c>
      <c r="F256" s="21" t="s">
        <v>84</v>
      </c>
      <c r="G256" s="50" t="s">
        <v>565</v>
      </c>
      <c r="H256" s="57">
        <v>8408.32</v>
      </c>
      <c r="I256" s="20">
        <v>45701</v>
      </c>
      <c r="J256" s="18"/>
      <c r="K256" s="18" t="s">
        <v>19</v>
      </c>
      <c r="L256" s="61">
        <v>8</v>
      </c>
      <c r="M256" s="61">
        <v>1</v>
      </c>
      <c r="N256" s="19">
        <v>45701</v>
      </c>
      <c r="O256" s="18" t="s">
        <v>21</v>
      </c>
      <c r="P256" s="18" t="s">
        <v>25</v>
      </c>
      <c r="Q256" s="18" t="s">
        <v>124</v>
      </c>
      <c r="R256" s="18" t="s">
        <v>102</v>
      </c>
      <c r="S256" s="18">
        <v>7043</v>
      </c>
      <c r="T256" s="18" t="s">
        <v>22</v>
      </c>
      <c r="U256" s="18" t="s">
        <v>19</v>
      </c>
      <c r="V256" s="17" t="s">
        <v>1019</v>
      </c>
    </row>
    <row r="257" spans="1:22" x14ac:dyDescent="0.3">
      <c r="A257" s="18" t="e">
        <f t="shared" si="5"/>
        <v>#REF!</v>
      </c>
      <c r="B257" s="17">
        <v>72</v>
      </c>
      <c r="C257" s="22" t="s">
        <v>20</v>
      </c>
      <c r="D257" s="20" t="s">
        <v>566</v>
      </c>
      <c r="E257" s="20">
        <v>45689</v>
      </c>
      <c r="F257" s="21" t="s">
        <v>64</v>
      </c>
      <c r="G257" s="49" t="s">
        <v>567</v>
      </c>
      <c r="H257" s="57">
        <v>565540</v>
      </c>
      <c r="I257" s="20">
        <v>45701</v>
      </c>
      <c r="J257" s="18"/>
      <c r="K257" s="18" t="s">
        <v>19</v>
      </c>
      <c r="L257" s="61">
        <v>370</v>
      </c>
      <c r="M257" s="61">
        <v>37</v>
      </c>
      <c r="N257" s="19">
        <v>45701</v>
      </c>
      <c r="O257" s="18" t="s">
        <v>21</v>
      </c>
      <c r="P257" s="18" t="s">
        <v>25</v>
      </c>
      <c r="Q257" s="18" t="s">
        <v>124</v>
      </c>
      <c r="R257" s="18" t="s">
        <v>102</v>
      </c>
      <c r="S257" s="18">
        <v>7040</v>
      </c>
      <c r="T257" s="18" t="s">
        <v>22</v>
      </c>
      <c r="U257" s="18" t="s">
        <v>19</v>
      </c>
      <c r="V257" s="17"/>
    </row>
    <row r="258" spans="1:22" x14ac:dyDescent="0.3">
      <c r="A258" s="18" t="e">
        <f t="shared" si="5"/>
        <v>#REF!</v>
      </c>
      <c r="B258" s="17">
        <v>72</v>
      </c>
      <c r="C258" s="22" t="s">
        <v>20</v>
      </c>
      <c r="D258" s="20" t="s">
        <v>568</v>
      </c>
      <c r="E258" s="20">
        <v>45698</v>
      </c>
      <c r="F258" s="21" t="s">
        <v>35</v>
      </c>
      <c r="G258" s="50" t="s">
        <v>569</v>
      </c>
      <c r="H258" s="57">
        <v>33107.040000000001</v>
      </c>
      <c r="I258" s="20">
        <v>45701</v>
      </c>
      <c r="J258" s="18"/>
      <c r="K258" s="18" t="s">
        <v>19</v>
      </c>
      <c r="L258" s="61">
        <v>36</v>
      </c>
      <c r="M258" s="61">
        <v>3</v>
      </c>
      <c r="N258" s="19">
        <v>45701</v>
      </c>
      <c r="O258" s="18" t="s">
        <v>21</v>
      </c>
      <c r="P258" s="18" t="s">
        <v>25</v>
      </c>
      <c r="Q258" s="18" t="s">
        <v>124</v>
      </c>
      <c r="R258" s="18" t="s">
        <v>102</v>
      </c>
      <c r="S258" s="18">
        <v>7048</v>
      </c>
      <c r="T258" s="18" t="s">
        <v>22</v>
      </c>
      <c r="U258" s="18" t="s">
        <v>19</v>
      </c>
      <c r="V258" s="17" t="s">
        <v>1019</v>
      </c>
    </row>
    <row r="259" spans="1:22" x14ac:dyDescent="0.3">
      <c r="A259" s="18" t="e">
        <f t="shared" si="5"/>
        <v>#REF!</v>
      </c>
      <c r="B259" s="17">
        <v>72</v>
      </c>
      <c r="C259" s="22" t="s">
        <v>20</v>
      </c>
      <c r="D259" s="20" t="s">
        <v>570</v>
      </c>
      <c r="E259" s="20">
        <v>45699</v>
      </c>
      <c r="F259" s="21" t="s">
        <v>118</v>
      </c>
      <c r="G259" s="50" t="s">
        <v>571</v>
      </c>
      <c r="H259" s="57">
        <v>104778.4</v>
      </c>
      <c r="I259" s="20">
        <v>45701</v>
      </c>
      <c r="J259" s="18"/>
      <c r="K259" s="18" t="s">
        <v>19</v>
      </c>
      <c r="L259" s="61">
        <v>80</v>
      </c>
      <c r="M259" s="61">
        <v>8</v>
      </c>
      <c r="N259" s="19">
        <v>45701</v>
      </c>
      <c r="O259" s="18" t="s">
        <v>21</v>
      </c>
      <c r="P259" s="18" t="s">
        <v>25</v>
      </c>
      <c r="Q259" s="18" t="s">
        <v>124</v>
      </c>
      <c r="R259" s="18" t="s">
        <v>102</v>
      </c>
      <c r="S259" s="18">
        <v>7049</v>
      </c>
      <c r="T259" s="18" t="s">
        <v>22</v>
      </c>
      <c r="U259" s="18" t="s">
        <v>19</v>
      </c>
      <c r="V259" s="17" t="s">
        <v>1019</v>
      </c>
    </row>
    <row r="260" spans="1:22" x14ac:dyDescent="0.3">
      <c r="A260" s="18" t="e">
        <f t="shared" si="5"/>
        <v>#REF!</v>
      </c>
      <c r="B260" s="17">
        <v>72</v>
      </c>
      <c r="C260" s="22" t="s">
        <v>23</v>
      </c>
      <c r="D260" s="20" t="s">
        <v>572</v>
      </c>
      <c r="E260" s="20">
        <v>45696</v>
      </c>
      <c r="F260" s="21" t="s">
        <v>113</v>
      </c>
      <c r="G260" s="50" t="s">
        <v>573</v>
      </c>
      <c r="H260" s="57">
        <v>194267.51999999999</v>
      </c>
      <c r="I260" s="20">
        <v>45699</v>
      </c>
      <c r="J260" s="18"/>
      <c r="K260" s="18" t="s">
        <v>19</v>
      </c>
      <c r="L260" s="61">
        <v>432</v>
      </c>
      <c r="M260" s="61">
        <v>18</v>
      </c>
      <c r="N260" s="19">
        <v>45701</v>
      </c>
      <c r="O260" s="18" t="s">
        <v>21</v>
      </c>
      <c r="P260" s="18" t="s">
        <v>25</v>
      </c>
      <c r="Q260" s="18" t="s">
        <v>124</v>
      </c>
      <c r="R260" s="18" t="s">
        <v>102</v>
      </c>
      <c r="S260" s="18">
        <v>7047</v>
      </c>
      <c r="T260" s="18" t="s">
        <v>22</v>
      </c>
      <c r="U260" s="18" t="s">
        <v>19</v>
      </c>
      <c r="V260" s="17" t="s">
        <v>1019</v>
      </c>
    </row>
    <row r="261" spans="1:22" x14ac:dyDescent="0.3">
      <c r="A261" s="18" t="e">
        <f t="shared" si="5"/>
        <v>#REF!</v>
      </c>
      <c r="B261" s="17">
        <v>72</v>
      </c>
      <c r="C261" s="22" t="s">
        <v>23</v>
      </c>
      <c r="D261" s="20" t="s">
        <v>574</v>
      </c>
      <c r="E261" s="20">
        <v>45696</v>
      </c>
      <c r="F261" s="21" t="s">
        <v>575</v>
      </c>
      <c r="G261" s="50" t="s">
        <v>576</v>
      </c>
      <c r="H261" s="57">
        <v>304730</v>
      </c>
      <c r="I261" s="20">
        <v>45699</v>
      </c>
      <c r="J261" s="18"/>
      <c r="K261" s="18" t="s">
        <v>19</v>
      </c>
      <c r="L261" s="61">
        <v>600</v>
      </c>
      <c r="M261" s="61">
        <v>25</v>
      </c>
      <c r="N261" s="19">
        <v>45701</v>
      </c>
      <c r="O261" s="18" t="s">
        <v>21</v>
      </c>
      <c r="P261" s="18" t="s">
        <v>25</v>
      </c>
      <c r="Q261" s="18" t="s">
        <v>124</v>
      </c>
      <c r="R261" s="18" t="s">
        <v>102</v>
      </c>
      <c r="S261" s="18">
        <v>7041</v>
      </c>
      <c r="T261" s="18" t="s">
        <v>22</v>
      </c>
      <c r="U261" s="18" t="s">
        <v>19</v>
      </c>
      <c r="V261" s="17" t="s">
        <v>1019</v>
      </c>
    </row>
    <row r="262" spans="1:22" x14ac:dyDescent="0.3">
      <c r="A262" s="18" t="e">
        <f t="shared" si="5"/>
        <v>#REF!</v>
      </c>
      <c r="B262" s="17">
        <v>72</v>
      </c>
      <c r="C262" s="22" t="s">
        <v>23</v>
      </c>
      <c r="D262" s="20" t="s">
        <v>577</v>
      </c>
      <c r="E262" s="20">
        <v>45698</v>
      </c>
      <c r="F262" s="21" t="s">
        <v>575</v>
      </c>
      <c r="G262" s="50" t="s">
        <v>578</v>
      </c>
      <c r="H262" s="57">
        <v>195485.04</v>
      </c>
      <c r="I262" s="20">
        <v>45701</v>
      </c>
      <c r="J262" s="18"/>
      <c r="K262" s="18" t="s">
        <v>19</v>
      </c>
      <c r="L262" s="61">
        <v>456</v>
      </c>
      <c r="M262" s="61">
        <v>20</v>
      </c>
      <c r="N262" s="19">
        <v>45701</v>
      </c>
      <c r="O262" s="18" t="s">
        <v>21</v>
      </c>
      <c r="P262" s="18" t="s">
        <v>25</v>
      </c>
      <c r="Q262" s="18" t="s">
        <v>124</v>
      </c>
      <c r="R262" s="18" t="s">
        <v>102</v>
      </c>
      <c r="S262" s="18">
        <v>7044</v>
      </c>
      <c r="T262" s="18" t="s">
        <v>22</v>
      </c>
      <c r="U262" s="18" t="s">
        <v>19</v>
      </c>
      <c r="V262" s="17" t="s">
        <v>1019</v>
      </c>
    </row>
    <row r="263" spans="1:22" x14ac:dyDescent="0.3">
      <c r="A263" s="18" t="e">
        <f t="shared" si="5"/>
        <v>#REF!</v>
      </c>
      <c r="B263" s="17">
        <v>72</v>
      </c>
      <c r="C263" s="22" t="s">
        <v>23</v>
      </c>
      <c r="D263" s="20" t="s">
        <v>579</v>
      </c>
      <c r="E263" s="20">
        <v>45698</v>
      </c>
      <c r="F263" s="23" t="s">
        <v>580</v>
      </c>
      <c r="G263" s="49" t="s">
        <v>581</v>
      </c>
      <c r="H263" s="57">
        <v>435423</v>
      </c>
      <c r="I263" s="20">
        <v>45701</v>
      </c>
      <c r="J263" s="18"/>
      <c r="K263" s="18" t="s">
        <v>19</v>
      </c>
      <c r="L263" s="61">
        <v>1092</v>
      </c>
      <c r="M263" s="61">
        <v>47</v>
      </c>
      <c r="N263" s="19">
        <v>45701</v>
      </c>
      <c r="O263" s="18" t="s">
        <v>21</v>
      </c>
      <c r="P263" s="18" t="s">
        <v>25</v>
      </c>
      <c r="Q263" s="18" t="s">
        <v>124</v>
      </c>
      <c r="R263" s="18" t="s">
        <v>102</v>
      </c>
      <c r="S263" s="18">
        <v>7042</v>
      </c>
      <c r="T263" s="18" t="s">
        <v>22</v>
      </c>
      <c r="U263" s="18" t="s">
        <v>19</v>
      </c>
      <c r="V263" s="17"/>
    </row>
    <row r="264" spans="1:22" x14ac:dyDescent="0.3">
      <c r="A264" s="18" t="e">
        <f t="shared" si="5"/>
        <v>#REF!</v>
      </c>
      <c r="B264" s="17">
        <v>72</v>
      </c>
      <c r="C264" s="22" t="s">
        <v>20</v>
      </c>
      <c r="D264" s="20" t="s">
        <v>582</v>
      </c>
      <c r="E264" s="20">
        <v>45691</v>
      </c>
      <c r="F264" s="21" t="s">
        <v>84</v>
      </c>
      <c r="G264" s="50" t="s">
        <v>583</v>
      </c>
      <c r="H264" s="57">
        <v>2384256.4</v>
      </c>
      <c r="I264" s="20">
        <v>45701</v>
      </c>
      <c r="J264" s="18"/>
      <c r="K264" s="18" t="s">
        <v>19</v>
      </c>
      <c r="L264" s="61">
        <v>292</v>
      </c>
      <c r="M264" s="61">
        <v>30</v>
      </c>
      <c r="N264" s="19">
        <v>45701</v>
      </c>
      <c r="O264" s="18" t="s">
        <v>21</v>
      </c>
      <c r="P264" s="18" t="s">
        <v>25</v>
      </c>
      <c r="Q264" s="18" t="s">
        <v>124</v>
      </c>
      <c r="R264" s="18" t="s">
        <v>102</v>
      </c>
      <c r="S264" s="18">
        <v>7046</v>
      </c>
      <c r="T264" s="18" t="s">
        <v>22</v>
      </c>
      <c r="U264" s="18" t="s">
        <v>584</v>
      </c>
      <c r="V264" s="17" t="s">
        <v>1019</v>
      </c>
    </row>
    <row r="265" spans="1:22" x14ac:dyDescent="0.3">
      <c r="A265" s="18" t="e">
        <f t="shared" si="5"/>
        <v>#REF!</v>
      </c>
      <c r="B265" s="17">
        <v>73</v>
      </c>
      <c r="C265" s="22" t="s">
        <v>20</v>
      </c>
      <c r="D265" s="17" t="s">
        <v>585</v>
      </c>
      <c r="E265" s="20">
        <v>45688</v>
      </c>
      <c r="F265" s="21" t="s">
        <v>28</v>
      </c>
      <c r="G265" s="49" t="s">
        <v>586</v>
      </c>
      <c r="H265" s="57">
        <v>109647</v>
      </c>
      <c r="I265" s="20">
        <v>45699</v>
      </c>
      <c r="J265" s="18"/>
      <c r="K265" s="17">
        <v>69</v>
      </c>
      <c r="L265" s="61">
        <v>69</v>
      </c>
      <c r="M265" s="61">
        <v>7</v>
      </c>
      <c r="N265" s="27">
        <v>45703</v>
      </c>
      <c r="O265" s="18" t="s">
        <v>21</v>
      </c>
      <c r="P265" s="18" t="s">
        <v>25</v>
      </c>
      <c r="Q265" s="18" t="s">
        <v>144</v>
      </c>
      <c r="R265" s="18" t="s">
        <v>136</v>
      </c>
      <c r="S265" s="18">
        <v>7057</v>
      </c>
      <c r="T265" s="18" t="s">
        <v>22</v>
      </c>
      <c r="U265" s="18" t="s">
        <v>19</v>
      </c>
      <c r="V265" s="17"/>
    </row>
    <row r="266" spans="1:22" x14ac:dyDescent="0.3">
      <c r="A266" s="18" t="e">
        <f t="shared" si="5"/>
        <v>#REF!</v>
      </c>
      <c r="B266" s="17">
        <v>73</v>
      </c>
      <c r="C266" s="22" t="s">
        <v>20</v>
      </c>
      <c r="D266" s="17" t="s">
        <v>587</v>
      </c>
      <c r="E266" s="20">
        <v>45689</v>
      </c>
      <c r="F266" s="21" t="s">
        <v>53</v>
      </c>
      <c r="G266" s="49" t="s">
        <v>588</v>
      </c>
      <c r="H266" s="57">
        <v>380186.8</v>
      </c>
      <c r="I266" s="20">
        <v>45698</v>
      </c>
      <c r="J266" s="18"/>
      <c r="K266" s="17">
        <v>320</v>
      </c>
      <c r="L266" s="61">
        <v>320</v>
      </c>
      <c r="M266" s="61">
        <v>32</v>
      </c>
      <c r="N266" s="27">
        <v>45703</v>
      </c>
      <c r="O266" s="18" t="s">
        <v>21</v>
      </c>
      <c r="P266" s="18" t="s">
        <v>25</v>
      </c>
      <c r="Q266" s="18" t="s">
        <v>144</v>
      </c>
      <c r="R266" s="18" t="s">
        <v>136</v>
      </c>
      <c r="S266" s="18">
        <v>7052</v>
      </c>
      <c r="T266" s="18" t="s">
        <v>22</v>
      </c>
      <c r="U266" s="18" t="s">
        <v>19</v>
      </c>
      <c r="V266" s="17"/>
    </row>
    <row r="267" spans="1:22" x14ac:dyDescent="0.3">
      <c r="A267" s="18" t="e">
        <f t="shared" si="5"/>
        <v>#REF!</v>
      </c>
      <c r="B267" s="17">
        <v>73</v>
      </c>
      <c r="C267" s="22" t="s">
        <v>20</v>
      </c>
      <c r="D267" s="17" t="s">
        <v>589</v>
      </c>
      <c r="E267" s="20">
        <v>45691</v>
      </c>
      <c r="F267" s="21" t="s">
        <v>24</v>
      </c>
      <c r="G267" s="49" t="s">
        <v>590</v>
      </c>
      <c r="H267" s="57">
        <v>373092.36</v>
      </c>
      <c r="I267" s="20">
        <v>45701</v>
      </c>
      <c r="J267" s="18"/>
      <c r="K267" s="17">
        <v>350</v>
      </c>
      <c r="L267" s="61">
        <v>317</v>
      </c>
      <c r="M267" s="61">
        <v>32</v>
      </c>
      <c r="N267" s="27">
        <v>45703</v>
      </c>
      <c r="O267" s="18" t="s">
        <v>21</v>
      </c>
      <c r="P267" s="18" t="s">
        <v>25</v>
      </c>
      <c r="Q267" s="18" t="s">
        <v>144</v>
      </c>
      <c r="R267" s="18" t="s">
        <v>136</v>
      </c>
      <c r="S267" s="18">
        <v>7056</v>
      </c>
      <c r="T267" s="18" t="s">
        <v>22</v>
      </c>
      <c r="U267" s="18" t="s">
        <v>19</v>
      </c>
      <c r="V267" s="17"/>
    </row>
    <row r="268" spans="1:22" x14ac:dyDescent="0.3">
      <c r="A268" s="18" t="e">
        <f t="shared" si="5"/>
        <v>#REF!</v>
      </c>
      <c r="B268" s="17">
        <v>73</v>
      </c>
      <c r="C268" s="22" t="s">
        <v>20</v>
      </c>
      <c r="D268" s="17" t="s">
        <v>591</v>
      </c>
      <c r="E268" s="20">
        <v>45694</v>
      </c>
      <c r="F268" s="21" t="s">
        <v>47</v>
      </c>
      <c r="G268" s="49" t="s">
        <v>592</v>
      </c>
      <c r="H268" s="57">
        <v>35406.28</v>
      </c>
      <c r="I268" s="20">
        <v>45698</v>
      </c>
      <c r="J268" s="18"/>
      <c r="K268" s="17">
        <v>40</v>
      </c>
      <c r="L268" s="61">
        <v>37</v>
      </c>
      <c r="M268" s="61">
        <v>4</v>
      </c>
      <c r="N268" s="27">
        <v>45703</v>
      </c>
      <c r="O268" s="18" t="s">
        <v>21</v>
      </c>
      <c r="P268" s="18" t="s">
        <v>25</v>
      </c>
      <c r="Q268" s="18" t="s">
        <v>144</v>
      </c>
      <c r="R268" s="18" t="s">
        <v>136</v>
      </c>
      <c r="S268" s="18">
        <v>7062</v>
      </c>
      <c r="T268" s="18" t="s">
        <v>22</v>
      </c>
      <c r="U268" s="18" t="s">
        <v>19</v>
      </c>
      <c r="V268" s="17"/>
    </row>
    <row r="269" spans="1:22" x14ac:dyDescent="0.3">
      <c r="A269" s="18" t="e">
        <f t="shared" si="5"/>
        <v>#REF!</v>
      </c>
      <c r="B269" s="17">
        <v>73</v>
      </c>
      <c r="C269" s="22" t="s">
        <v>20</v>
      </c>
      <c r="D269" s="17" t="s">
        <v>593</v>
      </c>
      <c r="E269" s="20">
        <v>45698</v>
      </c>
      <c r="F269" s="21" t="s">
        <v>132</v>
      </c>
      <c r="G269" s="49" t="s">
        <v>594</v>
      </c>
      <c r="H269" s="57">
        <v>103096</v>
      </c>
      <c r="I269" s="20">
        <v>45701</v>
      </c>
      <c r="J269" s="18"/>
      <c r="K269" s="17">
        <v>70</v>
      </c>
      <c r="L269" s="61">
        <v>70</v>
      </c>
      <c r="M269" s="61">
        <v>7</v>
      </c>
      <c r="N269" s="27">
        <v>45703</v>
      </c>
      <c r="O269" s="18" t="s">
        <v>21</v>
      </c>
      <c r="P269" s="18" t="s">
        <v>25</v>
      </c>
      <c r="Q269" s="18" t="s">
        <v>144</v>
      </c>
      <c r="R269" s="18" t="s">
        <v>136</v>
      </c>
      <c r="S269" s="18">
        <v>7061</v>
      </c>
      <c r="T269" s="18" t="s">
        <v>22</v>
      </c>
      <c r="U269" s="18" t="s">
        <v>19</v>
      </c>
      <c r="V269" s="17"/>
    </row>
    <row r="270" spans="1:22" x14ac:dyDescent="0.3">
      <c r="A270" s="18" t="e">
        <f t="shared" si="5"/>
        <v>#REF!</v>
      </c>
      <c r="B270" s="17">
        <v>73</v>
      </c>
      <c r="C270" s="22" t="s">
        <v>20</v>
      </c>
      <c r="D270" s="17" t="s">
        <v>595</v>
      </c>
      <c r="E270" s="20">
        <v>45700</v>
      </c>
      <c r="F270" s="21" t="s">
        <v>24</v>
      </c>
      <c r="G270" s="49" t="s">
        <v>596</v>
      </c>
      <c r="H270" s="57">
        <v>478892.7</v>
      </c>
      <c r="I270" s="16">
        <v>45702</v>
      </c>
      <c r="J270" s="18"/>
      <c r="K270" s="17">
        <v>370</v>
      </c>
      <c r="L270" s="61">
        <v>370</v>
      </c>
      <c r="M270" s="61">
        <v>37</v>
      </c>
      <c r="N270" s="27">
        <v>45703</v>
      </c>
      <c r="O270" s="18" t="s">
        <v>21</v>
      </c>
      <c r="P270" s="18" t="s">
        <v>25</v>
      </c>
      <c r="Q270" s="18" t="s">
        <v>144</v>
      </c>
      <c r="R270" s="18" t="s">
        <v>136</v>
      </c>
      <c r="S270" s="18">
        <v>7055</v>
      </c>
      <c r="T270" s="18" t="s">
        <v>22</v>
      </c>
      <c r="U270" s="18" t="s">
        <v>19</v>
      </c>
      <c r="V270" s="17"/>
    </row>
    <row r="271" spans="1:22" x14ac:dyDescent="0.3">
      <c r="A271" s="18" t="e">
        <f t="shared" si="5"/>
        <v>#REF!</v>
      </c>
      <c r="B271" s="17">
        <v>73</v>
      </c>
      <c r="C271" s="22" t="s">
        <v>20</v>
      </c>
      <c r="D271" s="17" t="s">
        <v>597</v>
      </c>
      <c r="E271" s="16">
        <v>45701</v>
      </c>
      <c r="F271" s="21" t="s">
        <v>118</v>
      </c>
      <c r="G271" s="49" t="s">
        <v>598</v>
      </c>
      <c r="H271" s="57">
        <v>93771.9</v>
      </c>
      <c r="I271" s="16">
        <v>45702</v>
      </c>
      <c r="J271" s="18"/>
      <c r="K271" s="17">
        <v>90</v>
      </c>
      <c r="L271" s="61">
        <v>90</v>
      </c>
      <c r="M271" s="61">
        <v>9</v>
      </c>
      <c r="N271" s="27">
        <v>45703</v>
      </c>
      <c r="O271" s="18" t="s">
        <v>21</v>
      </c>
      <c r="P271" s="18" t="s">
        <v>25</v>
      </c>
      <c r="Q271" s="18" t="s">
        <v>144</v>
      </c>
      <c r="R271" s="18" t="s">
        <v>136</v>
      </c>
      <c r="S271" s="18">
        <v>7058</v>
      </c>
      <c r="T271" s="18" t="s">
        <v>22</v>
      </c>
      <c r="U271" s="18" t="s">
        <v>19</v>
      </c>
      <c r="V271" s="17"/>
    </row>
    <row r="272" spans="1:22" x14ac:dyDescent="0.3">
      <c r="A272" s="18" t="e">
        <f t="shared" si="5"/>
        <v>#REF!</v>
      </c>
      <c r="B272" s="17">
        <v>73</v>
      </c>
      <c r="C272" s="22" t="s">
        <v>23</v>
      </c>
      <c r="D272" s="17" t="s">
        <v>599</v>
      </c>
      <c r="E272" s="20">
        <v>45696</v>
      </c>
      <c r="F272" s="21" t="s">
        <v>575</v>
      </c>
      <c r="G272" s="50" t="s">
        <v>600</v>
      </c>
      <c r="H272" s="57">
        <v>19670.88</v>
      </c>
      <c r="I272" s="16">
        <v>45702</v>
      </c>
      <c r="J272" s="18"/>
      <c r="K272" s="17">
        <v>4</v>
      </c>
      <c r="L272" s="61">
        <v>48</v>
      </c>
      <c r="M272" s="61">
        <v>4</v>
      </c>
      <c r="N272" s="27">
        <v>45703</v>
      </c>
      <c r="O272" s="18" t="s">
        <v>21</v>
      </c>
      <c r="P272" s="18" t="s">
        <v>25</v>
      </c>
      <c r="Q272" s="18" t="s">
        <v>144</v>
      </c>
      <c r="R272" s="18" t="s">
        <v>136</v>
      </c>
      <c r="S272" s="18">
        <v>7059</v>
      </c>
      <c r="T272" s="18" t="s">
        <v>22</v>
      </c>
      <c r="U272" s="18" t="s">
        <v>19</v>
      </c>
      <c r="V272" s="17" t="s">
        <v>1019</v>
      </c>
    </row>
    <row r="273" spans="1:22" x14ac:dyDescent="0.3">
      <c r="A273" s="18" t="e">
        <f t="shared" si="5"/>
        <v>#REF!</v>
      </c>
      <c r="B273" s="17">
        <v>73</v>
      </c>
      <c r="C273" s="22" t="s">
        <v>23</v>
      </c>
      <c r="D273" s="17" t="s">
        <v>601</v>
      </c>
      <c r="E273" s="20">
        <v>45698</v>
      </c>
      <c r="F273" s="21" t="s">
        <v>28</v>
      </c>
      <c r="G273" s="49" t="s">
        <v>602</v>
      </c>
      <c r="H273" s="57">
        <v>529919.52</v>
      </c>
      <c r="I273" s="16">
        <v>45702</v>
      </c>
      <c r="J273" s="18"/>
      <c r="K273" s="17">
        <v>52</v>
      </c>
      <c r="L273" s="61">
        <v>1224</v>
      </c>
      <c r="M273" s="61">
        <v>52</v>
      </c>
      <c r="N273" s="27">
        <v>45703</v>
      </c>
      <c r="O273" s="18" t="s">
        <v>21</v>
      </c>
      <c r="P273" s="18" t="s">
        <v>25</v>
      </c>
      <c r="Q273" s="18" t="s">
        <v>144</v>
      </c>
      <c r="R273" s="18" t="s">
        <v>136</v>
      </c>
      <c r="S273" s="18">
        <v>7053</v>
      </c>
      <c r="T273" s="18" t="s">
        <v>22</v>
      </c>
      <c r="U273" s="18" t="s">
        <v>19</v>
      </c>
      <c r="V273" s="17"/>
    </row>
    <row r="274" spans="1:22" x14ac:dyDescent="0.3">
      <c r="A274" s="18" t="e">
        <f t="shared" si="5"/>
        <v>#REF!</v>
      </c>
      <c r="B274" s="17">
        <v>73</v>
      </c>
      <c r="C274" s="22" t="s">
        <v>23</v>
      </c>
      <c r="D274" s="17" t="s">
        <v>603</v>
      </c>
      <c r="E274" s="20">
        <v>45698</v>
      </c>
      <c r="F274" s="21" t="s">
        <v>35</v>
      </c>
      <c r="G274" s="49" t="s">
        <v>604</v>
      </c>
      <c r="H274" s="57">
        <v>41995</v>
      </c>
      <c r="I274" s="16">
        <v>45702</v>
      </c>
      <c r="J274" s="18"/>
      <c r="K274" s="17">
        <v>4</v>
      </c>
      <c r="L274" s="61">
        <v>96</v>
      </c>
      <c r="M274" s="61">
        <v>4</v>
      </c>
      <c r="N274" s="27">
        <v>45703</v>
      </c>
      <c r="O274" s="18" t="s">
        <v>21</v>
      </c>
      <c r="P274" s="18" t="s">
        <v>25</v>
      </c>
      <c r="Q274" s="18" t="s">
        <v>144</v>
      </c>
      <c r="R274" s="18" t="s">
        <v>136</v>
      </c>
      <c r="S274" s="18">
        <v>7063</v>
      </c>
      <c r="T274" s="18" t="s">
        <v>22</v>
      </c>
      <c r="U274" s="18" t="s">
        <v>19</v>
      </c>
      <c r="V274" s="17"/>
    </row>
    <row r="275" spans="1:22" x14ac:dyDescent="0.3">
      <c r="A275" s="18" t="e">
        <f t="shared" si="5"/>
        <v>#REF!</v>
      </c>
      <c r="B275" s="17">
        <v>73</v>
      </c>
      <c r="C275" s="22" t="s">
        <v>23</v>
      </c>
      <c r="D275" s="17" t="s">
        <v>605</v>
      </c>
      <c r="E275" s="20">
        <v>45670</v>
      </c>
      <c r="F275" s="21" t="s">
        <v>118</v>
      </c>
      <c r="G275" s="49" t="s">
        <v>606</v>
      </c>
      <c r="H275" s="57">
        <v>78670.8</v>
      </c>
      <c r="I275" s="16">
        <v>45702</v>
      </c>
      <c r="J275" s="18"/>
      <c r="K275" s="17">
        <v>9</v>
      </c>
      <c r="L275" s="61">
        <v>216</v>
      </c>
      <c r="M275" s="61">
        <v>9</v>
      </c>
      <c r="N275" s="27">
        <v>45703</v>
      </c>
      <c r="O275" s="18" t="s">
        <v>21</v>
      </c>
      <c r="P275" s="18" t="s">
        <v>25</v>
      </c>
      <c r="Q275" s="18" t="s">
        <v>144</v>
      </c>
      <c r="R275" s="18" t="s">
        <v>136</v>
      </c>
      <c r="S275" s="18">
        <v>7064</v>
      </c>
      <c r="T275" s="18" t="s">
        <v>22</v>
      </c>
      <c r="U275" s="18" t="s">
        <v>19</v>
      </c>
      <c r="V275" s="17"/>
    </row>
    <row r="276" spans="1:22" x14ac:dyDescent="0.3">
      <c r="A276" s="18" t="e">
        <f t="shared" si="5"/>
        <v>#REF!</v>
      </c>
      <c r="B276" s="17">
        <v>73</v>
      </c>
      <c r="C276" s="22" t="s">
        <v>23</v>
      </c>
      <c r="D276" s="17" t="s">
        <v>607</v>
      </c>
      <c r="E276" s="20">
        <v>45670</v>
      </c>
      <c r="F276" s="21" t="s">
        <v>84</v>
      </c>
      <c r="G276" s="49" t="s">
        <v>608</v>
      </c>
      <c r="H276" s="57">
        <v>39944.400000000001</v>
      </c>
      <c r="I276" s="16">
        <v>45702</v>
      </c>
      <c r="J276" s="18"/>
      <c r="K276" s="17">
        <v>5</v>
      </c>
      <c r="L276" s="61">
        <v>120</v>
      </c>
      <c r="M276" s="61">
        <v>5</v>
      </c>
      <c r="N276" s="27">
        <v>45703</v>
      </c>
      <c r="O276" s="18" t="s">
        <v>21</v>
      </c>
      <c r="P276" s="18" t="s">
        <v>25</v>
      </c>
      <c r="Q276" s="18" t="s">
        <v>144</v>
      </c>
      <c r="R276" s="18" t="s">
        <v>136</v>
      </c>
      <c r="S276" s="18">
        <v>7054</v>
      </c>
      <c r="T276" s="18" t="s">
        <v>22</v>
      </c>
      <c r="U276" s="18" t="s">
        <v>19</v>
      </c>
      <c r="V276" s="17"/>
    </row>
    <row r="277" spans="1:22" x14ac:dyDescent="0.3">
      <c r="A277" s="18" t="e">
        <f t="shared" si="5"/>
        <v>#REF!</v>
      </c>
      <c r="B277" s="17">
        <v>73</v>
      </c>
      <c r="C277" s="22" t="s">
        <v>23</v>
      </c>
      <c r="D277" s="17" t="s">
        <v>486</v>
      </c>
      <c r="E277" s="20">
        <v>45690</v>
      </c>
      <c r="F277" s="21" t="s">
        <v>28</v>
      </c>
      <c r="G277" s="49" t="s">
        <v>609</v>
      </c>
      <c r="H277" s="57">
        <v>28644.48</v>
      </c>
      <c r="I277" s="16">
        <v>45703</v>
      </c>
      <c r="J277" s="18"/>
      <c r="K277" s="17" t="s">
        <v>19</v>
      </c>
      <c r="L277" s="61">
        <v>72</v>
      </c>
      <c r="M277" s="61">
        <v>3</v>
      </c>
      <c r="N277" s="27">
        <v>45703</v>
      </c>
      <c r="O277" s="18" t="s">
        <v>21</v>
      </c>
      <c r="P277" s="18" t="s">
        <v>25</v>
      </c>
      <c r="Q277" s="18" t="s">
        <v>144</v>
      </c>
      <c r="R277" s="18" t="s">
        <v>136</v>
      </c>
      <c r="S277" s="18">
        <v>7060</v>
      </c>
      <c r="T277" s="18" t="s">
        <v>22</v>
      </c>
      <c r="U277" s="18" t="s">
        <v>19</v>
      </c>
      <c r="V277" s="17"/>
    </row>
    <row r="278" spans="1:22" x14ac:dyDescent="0.3">
      <c r="A278" s="18" t="e">
        <f t="shared" si="5"/>
        <v>#REF!</v>
      </c>
      <c r="B278" s="17">
        <v>74</v>
      </c>
      <c r="C278" s="22" t="s">
        <v>20</v>
      </c>
      <c r="D278" s="17" t="s">
        <v>610</v>
      </c>
      <c r="E278" s="20">
        <v>45691</v>
      </c>
      <c r="F278" s="21" t="s">
        <v>53</v>
      </c>
      <c r="G278" s="49" t="s">
        <v>611</v>
      </c>
      <c r="H278" s="57">
        <v>449101.62</v>
      </c>
      <c r="I278" s="16">
        <v>45702</v>
      </c>
      <c r="J278" s="18"/>
      <c r="K278" s="17">
        <v>350</v>
      </c>
      <c r="L278" s="61">
        <v>348</v>
      </c>
      <c r="M278" s="61">
        <v>35</v>
      </c>
      <c r="N278" s="27">
        <v>45704</v>
      </c>
      <c r="O278" s="18" t="s">
        <v>21</v>
      </c>
      <c r="P278" s="18" t="s">
        <v>25</v>
      </c>
      <c r="Q278" s="18" t="s">
        <v>144</v>
      </c>
      <c r="R278" s="18" t="s">
        <v>136</v>
      </c>
      <c r="S278" s="18">
        <v>7066</v>
      </c>
      <c r="T278" s="18" t="s">
        <v>22</v>
      </c>
      <c r="U278" s="18" t="s">
        <v>19</v>
      </c>
      <c r="V278" s="17"/>
    </row>
    <row r="279" spans="1:22" x14ac:dyDescent="0.3">
      <c r="A279" s="18" t="e">
        <f t="shared" si="5"/>
        <v>#REF!</v>
      </c>
      <c r="B279" s="17">
        <v>74</v>
      </c>
      <c r="C279" s="22" t="s">
        <v>23</v>
      </c>
      <c r="D279" s="17" t="s">
        <v>612</v>
      </c>
      <c r="E279" s="20">
        <v>45698</v>
      </c>
      <c r="F279" s="24" t="s">
        <v>41</v>
      </c>
      <c r="G279" s="49" t="s">
        <v>613</v>
      </c>
      <c r="H279" s="57">
        <v>253296.24</v>
      </c>
      <c r="I279" s="16">
        <v>45702</v>
      </c>
      <c r="J279" s="18"/>
      <c r="K279" s="17">
        <v>24</v>
      </c>
      <c r="L279" s="61">
        <v>552</v>
      </c>
      <c r="M279" s="61">
        <v>23</v>
      </c>
      <c r="N279" s="27">
        <v>45704</v>
      </c>
      <c r="O279" s="18" t="s">
        <v>21</v>
      </c>
      <c r="P279" s="18" t="s">
        <v>25</v>
      </c>
      <c r="Q279" s="18" t="s">
        <v>144</v>
      </c>
      <c r="R279" s="18" t="s">
        <v>136</v>
      </c>
      <c r="S279" s="18">
        <v>7068</v>
      </c>
      <c r="T279" s="18" t="s">
        <v>22</v>
      </c>
      <c r="U279" s="18" t="s">
        <v>19</v>
      </c>
      <c r="V279" s="17"/>
    </row>
    <row r="280" spans="1:22" x14ac:dyDescent="0.3">
      <c r="A280" s="18" t="e">
        <f t="shared" si="5"/>
        <v>#REF!</v>
      </c>
      <c r="B280" s="17">
        <v>74</v>
      </c>
      <c r="C280" s="22" t="s">
        <v>23</v>
      </c>
      <c r="D280" s="17" t="s">
        <v>614</v>
      </c>
      <c r="E280" s="20">
        <v>45698</v>
      </c>
      <c r="F280" s="21" t="s">
        <v>28</v>
      </c>
      <c r="G280" s="49" t="s">
        <v>615</v>
      </c>
      <c r="H280" s="57">
        <v>332017.2</v>
      </c>
      <c r="I280" s="16">
        <v>45702</v>
      </c>
      <c r="J280" s="18"/>
      <c r="K280" s="17">
        <v>36</v>
      </c>
      <c r="L280" s="61">
        <v>840</v>
      </c>
      <c r="M280" s="61">
        <v>35</v>
      </c>
      <c r="N280" s="27">
        <v>45704</v>
      </c>
      <c r="O280" s="18" t="s">
        <v>21</v>
      </c>
      <c r="P280" s="18" t="s">
        <v>25</v>
      </c>
      <c r="Q280" s="18" t="s">
        <v>144</v>
      </c>
      <c r="R280" s="18" t="s">
        <v>136</v>
      </c>
      <c r="S280" s="18">
        <v>7067</v>
      </c>
      <c r="T280" s="18" t="s">
        <v>22</v>
      </c>
      <c r="U280" s="18" t="s">
        <v>19</v>
      </c>
      <c r="V280" s="17"/>
    </row>
    <row r="281" spans="1:22" x14ac:dyDescent="0.3">
      <c r="A281" s="18" t="e">
        <f t="shared" si="5"/>
        <v>#REF!</v>
      </c>
      <c r="B281" s="17">
        <v>74</v>
      </c>
      <c r="C281" s="22" t="s">
        <v>23</v>
      </c>
      <c r="D281" s="17" t="s">
        <v>616</v>
      </c>
      <c r="E281" s="16">
        <v>45702</v>
      </c>
      <c r="F281" s="21" t="s">
        <v>64</v>
      </c>
      <c r="G281" s="49" t="s">
        <v>617</v>
      </c>
      <c r="H281" s="57">
        <v>719797.2</v>
      </c>
      <c r="I281" s="16">
        <v>45704</v>
      </c>
      <c r="J281" s="18"/>
      <c r="K281" s="17">
        <v>86</v>
      </c>
      <c r="L281" s="61">
        <v>1896</v>
      </c>
      <c r="M281" s="61">
        <v>79</v>
      </c>
      <c r="N281" s="27">
        <v>45704</v>
      </c>
      <c r="O281" s="18" t="s">
        <v>21</v>
      </c>
      <c r="P281" s="18" t="s">
        <v>25</v>
      </c>
      <c r="Q281" s="18" t="s">
        <v>144</v>
      </c>
      <c r="R281" s="18" t="s">
        <v>136</v>
      </c>
      <c r="S281" s="18">
        <v>7065</v>
      </c>
      <c r="T281" s="18" t="s">
        <v>22</v>
      </c>
      <c r="U281" s="18" t="s">
        <v>19</v>
      </c>
      <c r="V281" s="17"/>
    </row>
    <row r="282" spans="1:22" x14ac:dyDescent="0.3">
      <c r="A282" s="18" t="e">
        <f t="shared" si="5"/>
        <v>#REF!</v>
      </c>
      <c r="B282" s="17">
        <v>75</v>
      </c>
      <c r="C282" s="22" t="s">
        <v>20</v>
      </c>
      <c r="D282" s="28" t="s">
        <v>618</v>
      </c>
      <c r="E282" s="20">
        <v>45699</v>
      </c>
      <c r="F282" s="21" t="s">
        <v>128</v>
      </c>
      <c r="G282" s="49" t="s">
        <v>619</v>
      </c>
      <c r="H282" s="57">
        <v>240398.07999999999</v>
      </c>
      <c r="I282" s="16">
        <v>45702</v>
      </c>
      <c r="J282" s="18"/>
      <c r="K282" s="28">
        <v>192</v>
      </c>
      <c r="L282" s="61">
        <v>192</v>
      </c>
      <c r="M282" s="61">
        <v>19</v>
      </c>
      <c r="N282" s="27">
        <v>45705</v>
      </c>
      <c r="O282" s="18" t="s">
        <v>21</v>
      </c>
      <c r="P282" s="18" t="s">
        <v>25</v>
      </c>
      <c r="Q282" s="18" t="s">
        <v>127</v>
      </c>
      <c r="R282" s="18" t="s">
        <v>136</v>
      </c>
      <c r="S282" s="18">
        <v>7070</v>
      </c>
      <c r="T282" s="18" t="s">
        <v>22</v>
      </c>
      <c r="U282" s="18" t="s">
        <v>19</v>
      </c>
      <c r="V282" s="17"/>
    </row>
    <row r="283" spans="1:22" x14ac:dyDescent="0.3">
      <c r="A283" s="18" t="e">
        <f t="shared" si="5"/>
        <v>#REF!</v>
      </c>
      <c r="B283" s="17">
        <v>75</v>
      </c>
      <c r="C283" s="22" t="s">
        <v>20</v>
      </c>
      <c r="D283" s="17" t="s">
        <v>620</v>
      </c>
      <c r="E283" s="20">
        <v>45700</v>
      </c>
      <c r="F283" s="25" t="s">
        <v>89</v>
      </c>
      <c r="G283" s="49" t="s">
        <v>621</v>
      </c>
      <c r="H283" s="57">
        <v>431431.2</v>
      </c>
      <c r="I283" s="16">
        <v>45702</v>
      </c>
      <c r="J283" s="18"/>
      <c r="K283" s="17">
        <v>330</v>
      </c>
      <c r="L283" s="61">
        <v>330</v>
      </c>
      <c r="M283" s="61">
        <v>33</v>
      </c>
      <c r="N283" s="27">
        <v>45705</v>
      </c>
      <c r="O283" s="18" t="s">
        <v>21</v>
      </c>
      <c r="P283" s="18" t="s">
        <v>25</v>
      </c>
      <c r="Q283" s="18" t="s">
        <v>127</v>
      </c>
      <c r="R283" s="18" t="s">
        <v>136</v>
      </c>
      <c r="S283" s="18">
        <v>7077</v>
      </c>
      <c r="T283" s="18" t="s">
        <v>22</v>
      </c>
      <c r="U283" s="18" t="s">
        <v>19</v>
      </c>
      <c r="V283" s="17"/>
    </row>
    <row r="284" spans="1:22" x14ac:dyDescent="0.3">
      <c r="A284" s="18" t="e">
        <f t="shared" si="5"/>
        <v>#REF!</v>
      </c>
      <c r="B284" s="17">
        <v>75</v>
      </c>
      <c r="C284" s="22" t="s">
        <v>20</v>
      </c>
      <c r="D284" s="17" t="s">
        <v>622</v>
      </c>
      <c r="E284" s="16">
        <v>45701</v>
      </c>
      <c r="F284" s="21" t="s">
        <v>123</v>
      </c>
      <c r="G284" s="49" t="s">
        <v>623</v>
      </c>
      <c r="H284" s="57">
        <v>284773.40000000002</v>
      </c>
      <c r="I284" s="16">
        <v>45702</v>
      </c>
      <c r="J284" s="18"/>
      <c r="K284" s="17">
        <v>220</v>
      </c>
      <c r="L284" s="61">
        <v>220</v>
      </c>
      <c r="M284" s="61">
        <v>22</v>
      </c>
      <c r="N284" s="27">
        <v>45705</v>
      </c>
      <c r="O284" s="18" t="s">
        <v>21</v>
      </c>
      <c r="P284" s="18" t="s">
        <v>25</v>
      </c>
      <c r="Q284" s="18" t="s">
        <v>127</v>
      </c>
      <c r="R284" s="18" t="s">
        <v>136</v>
      </c>
      <c r="S284" s="18">
        <v>7072</v>
      </c>
      <c r="T284" s="17" t="s">
        <v>22</v>
      </c>
      <c r="U284" s="18" t="s">
        <v>19</v>
      </c>
      <c r="V284" s="17"/>
    </row>
    <row r="285" spans="1:22" x14ac:dyDescent="0.3">
      <c r="A285" s="18" t="e">
        <f t="shared" si="5"/>
        <v>#REF!</v>
      </c>
      <c r="B285" s="17">
        <v>75</v>
      </c>
      <c r="C285" s="22" t="s">
        <v>20</v>
      </c>
      <c r="D285" s="17" t="s">
        <v>624</v>
      </c>
      <c r="E285" s="16">
        <v>45701</v>
      </c>
      <c r="F285" s="21" t="s">
        <v>35</v>
      </c>
      <c r="G285" s="49" t="s">
        <v>625</v>
      </c>
      <c r="H285" s="57">
        <v>175325.94</v>
      </c>
      <c r="I285" s="16">
        <v>45703</v>
      </c>
      <c r="J285" s="18"/>
      <c r="K285" s="17">
        <v>176</v>
      </c>
      <c r="L285" s="61">
        <v>170</v>
      </c>
      <c r="M285" s="61">
        <v>17</v>
      </c>
      <c r="N285" s="27">
        <v>45705</v>
      </c>
      <c r="O285" s="18" t="s">
        <v>21</v>
      </c>
      <c r="P285" s="18" t="s">
        <v>25</v>
      </c>
      <c r="Q285" s="18" t="s">
        <v>127</v>
      </c>
      <c r="R285" s="18" t="s">
        <v>136</v>
      </c>
      <c r="S285" s="18">
        <v>7071</v>
      </c>
      <c r="T285" s="17" t="s">
        <v>22</v>
      </c>
      <c r="U285" s="18" t="s">
        <v>19</v>
      </c>
      <c r="V285" s="17"/>
    </row>
    <row r="286" spans="1:22" x14ac:dyDescent="0.3">
      <c r="A286" s="18" t="e">
        <f t="shared" si="5"/>
        <v>#REF!</v>
      </c>
      <c r="B286" s="17">
        <v>75</v>
      </c>
      <c r="C286" s="22" t="s">
        <v>20</v>
      </c>
      <c r="D286" s="17" t="s">
        <v>626</v>
      </c>
      <c r="E286" s="16">
        <v>45702</v>
      </c>
      <c r="F286" s="21" t="s">
        <v>35</v>
      </c>
      <c r="G286" s="49" t="s">
        <v>627</v>
      </c>
      <c r="H286" s="57">
        <v>67170.100000000006</v>
      </c>
      <c r="I286" s="16">
        <v>45703</v>
      </c>
      <c r="J286" s="18"/>
      <c r="K286" s="17">
        <v>50</v>
      </c>
      <c r="L286" s="61">
        <v>50</v>
      </c>
      <c r="M286" s="61">
        <v>5</v>
      </c>
      <c r="N286" s="27">
        <v>45705</v>
      </c>
      <c r="O286" s="18" t="s">
        <v>21</v>
      </c>
      <c r="P286" s="18" t="s">
        <v>25</v>
      </c>
      <c r="Q286" s="18" t="s">
        <v>127</v>
      </c>
      <c r="R286" s="18" t="s">
        <v>136</v>
      </c>
      <c r="S286" s="18">
        <v>7096</v>
      </c>
      <c r="T286" s="17" t="s">
        <v>22</v>
      </c>
      <c r="U286" s="18" t="s">
        <v>19</v>
      </c>
      <c r="V286" s="17"/>
    </row>
    <row r="287" spans="1:22" x14ac:dyDescent="0.3">
      <c r="A287" s="18" t="e">
        <f t="shared" si="5"/>
        <v>#REF!</v>
      </c>
      <c r="B287" s="17">
        <v>75</v>
      </c>
      <c r="C287" s="22" t="s">
        <v>23</v>
      </c>
      <c r="D287" s="17" t="s">
        <v>628</v>
      </c>
      <c r="E287" s="16">
        <v>45701</v>
      </c>
      <c r="F287" s="21" t="s">
        <v>350</v>
      </c>
      <c r="G287" s="49" t="s">
        <v>629</v>
      </c>
      <c r="H287" s="57">
        <v>164758.68</v>
      </c>
      <c r="I287" s="16">
        <v>45704</v>
      </c>
      <c r="J287" s="18"/>
      <c r="K287" s="17">
        <v>27</v>
      </c>
      <c r="L287" s="61">
        <v>420</v>
      </c>
      <c r="M287" s="61">
        <v>23</v>
      </c>
      <c r="N287" s="27">
        <v>45705</v>
      </c>
      <c r="O287" s="18" t="s">
        <v>21</v>
      </c>
      <c r="P287" s="18" t="s">
        <v>25</v>
      </c>
      <c r="Q287" s="18" t="s">
        <v>127</v>
      </c>
      <c r="R287" s="18" t="s">
        <v>136</v>
      </c>
      <c r="S287" s="18">
        <v>7089</v>
      </c>
      <c r="T287" s="17" t="s">
        <v>22</v>
      </c>
      <c r="U287" s="18" t="s">
        <v>19</v>
      </c>
      <c r="V287" s="17"/>
    </row>
    <row r="288" spans="1:22" x14ac:dyDescent="0.3">
      <c r="A288" s="18" t="e">
        <f t="shared" si="5"/>
        <v>#REF!</v>
      </c>
      <c r="B288" s="17">
        <v>75</v>
      </c>
      <c r="C288" s="22" t="s">
        <v>23</v>
      </c>
      <c r="D288" s="17" t="s">
        <v>630</v>
      </c>
      <c r="E288" s="20">
        <v>45670</v>
      </c>
      <c r="F288" s="21" t="s">
        <v>35</v>
      </c>
      <c r="G288" s="49" t="s">
        <v>631</v>
      </c>
      <c r="H288" s="57">
        <v>97233.36</v>
      </c>
      <c r="I288" s="16">
        <v>45704</v>
      </c>
      <c r="J288" s="18"/>
      <c r="K288" s="17">
        <v>14</v>
      </c>
      <c r="L288" s="61">
        <v>264</v>
      </c>
      <c r="M288" s="61">
        <v>11</v>
      </c>
      <c r="N288" s="27">
        <v>45705</v>
      </c>
      <c r="O288" s="18" t="s">
        <v>21</v>
      </c>
      <c r="P288" s="18" t="s">
        <v>25</v>
      </c>
      <c r="Q288" s="18" t="s">
        <v>127</v>
      </c>
      <c r="R288" s="18" t="s">
        <v>136</v>
      </c>
      <c r="S288" s="18">
        <v>7088</v>
      </c>
      <c r="T288" s="17" t="s">
        <v>22</v>
      </c>
      <c r="U288" s="18" t="s">
        <v>19</v>
      </c>
      <c r="V288" s="17"/>
    </row>
    <row r="289" spans="1:22" x14ac:dyDescent="0.3">
      <c r="A289" s="18" t="e">
        <f t="shared" si="5"/>
        <v>#REF!</v>
      </c>
      <c r="B289" s="17">
        <v>75</v>
      </c>
      <c r="C289" s="22" t="s">
        <v>23</v>
      </c>
      <c r="D289" s="17" t="s">
        <v>632</v>
      </c>
      <c r="E289" s="16">
        <v>45702</v>
      </c>
      <c r="F289" s="21" t="s">
        <v>49</v>
      </c>
      <c r="G289" s="49" t="s">
        <v>633</v>
      </c>
      <c r="H289" s="57">
        <v>121717.68</v>
      </c>
      <c r="I289" s="16">
        <v>45703</v>
      </c>
      <c r="J289" s="18"/>
      <c r="K289" s="17">
        <v>12</v>
      </c>
      <c r="L289" s="61">
        <v>288</v>
      </c>
      <c r="M289" s="61">
        <v>12</v>
      </c>
      <c r="N289" s="27">
        <v>45705</v>
      </c>
      <c r="O289" s="18" t="s">
        <v>21</v>
      </c>
      <c r="P289" s="18" t="s">
        <v>25</v>
      </c>
      <c r="Q289" s="18" t="s">
        <v>127</v>
      </c>
      <c r="R289" s="18" t="s">
        <v>136</v>
      </c>
      <c r="S289" s="18">
        <v>7091</v>
      </c>
      <c r="T289" s="17" t="s">
        <v>22</v>
      </c>
      <c r="U289" s="18" t="s">
        <v>19</v>
      </c>
      <c r="V289" s="17"/>
    </row>
    <row r="290" spans="1:22" x14ac:dyDescent="0.3">
      <c r="A290" s="18" t="e">
        <f t="shared" si="5"/>
        <v>#REF!</v>
      </c>
      <c r="B290" s="17">
        <v>75</v>
      </c>
      <c r="C290" s="22" t="s">
        <v>23</v>
      </c>
      <c r="D290" s="17" t="s">
        <v>634</v>
      </c>
      <c r="E290" s="16">
        <v>45702</v>
      </c>
      <c r="F290" s="24" t="s">
        <v>51</v>
      </c>
      <c r="G290" s="49" t="s">
        <v>635</v>
      </c>
      <c r="H290" s="57">
        <v>90968.16</v>
      </c>
      <c r="I290" s="16">
        <v>45704</v>
      </c>
      <c r="J290" s="18"/>
      <c r="K290" s="17">
        <v>10</v>
      </c>
      <c r="L290" s="61">
        <v>240</v>
      </c>
      <c r="M290" s="61">
        <v>10</v>
      </c>
      <c r="N290" s="27">
        <v>45705</v>
      </c>
      <c r="O290" s="18" t="s">
        <v>21</v>
      </c>
      <c r="P290" s="18" t="s">
        <v>25</v>
      </c>
      <c r="Q290" s="18" t="s">
        <v>127</v>
      </c>
      <c r="R290" s="18" t="s">
        <v>136</v>
      </c>
      <c r="S290" s="18">
        <v>7092</v>
      </c>
      <c r="T290" s="17" t="s">
        <v>22</v>
      </c>
      <c r="U290" s="18" t="s">
        <v>19</v>
      </c>
      <c r="V290" s="17"/>
    </row>
    <row r="291" spans="1:22" x14ac:dyDescent="0.3">
      <c r="A291" s="18" t="e">
        <f t="shared" si="5"/>
        <v>#REF!</v>
      </c>
      <c r="B291" s="17">
        <v>75</v>
      </c>
      <c r="C291" s="22" t="s">
        <v>20</v>
      </c>
      <c r="D291" s="17" t="s">
        <v>636</v>
      </c>
      <c r="E291" s="16">
        <v>45703</v>
      </c>
      <c r="F291" s="21" t="s">
        <v>35</v>
      </c>
      <c r="G291" s="49" t="s">
        <v>637</v>
      </c>
      <c r="H291" s="57">
        <v>102643.2</v>
      </c>
      <c r="I291" s="16">
        <v>45705</v>
      </c>
      <c r="J291" s="18"/>
      <c r="K291" s="17">
        <v>80</v>
      </c>
      <c r="L291" s="61">
        <v>80</v>
      </c>
      <c r="M291" s="61">
        <v>8</v>
      </c>
      <c r="N291" s="27">
        <v>45705</v>
      </c>
      <c r="O291" s="18" t="s">
        <v>21</v>
      </c>
      <c r="P291" s="18" t="s">
        <v>25</v>
      </c>
      <c r="Q291" s="18" t="s">
        <v>127</v>
      </c>
      <c r="R291" s="18" t="s">
        <v>136</v>
      </c>
      <c r="S291" s="18">
        <v>7095</v>
      </c>
      <c r="T291" s="17" t="s">
        <v>22</v>
      </c>
      <c r="U291" s="18" t="s">
        <v>19</v>
      </c>
      <c r="V291" s="17"/>
    </row>
    <row r="292" spans="1:22" x14ac:dyDescent="0.3">
      <c r="A292" s="18" t="e">
        <f t="shared" si="5"/>
        <v>#REF!</v>
      </c>
      <c r="B292" s="17">
        <v>75</v>
      </c>
      <c r="C292" s="22" t="s">
        <v>23</v>
      </c>
      <c r="D292" s="17" t="s">
        <v>474</v>
      </c>
      <c r="E292" s="20">
        <v>45688</v>
      </c>
      <c r="F292" s="21" t="s">
        <v>35</v>
      </c>
      <c r="G292" s="49" t="s">
        <v>638</v>
      </c>
      <c r="H292" s="57">
        <v>18439.68</v>
      </c>
      <c r="I292" s="16">
        <v>45704</v>
      </c>
      <c r="J292" s="18"/>
      <c r="K292" s="17">
        <v>2</v>
      </c>
      <c r="L292" s="61">
        <v>48</v>
      </c>
      <c r="M292" s="61">
        <v>2</v>
      </c>
      <c r="N292" s="27">
        <v>45705</v>
      </c>
      <c r="O292" s="18" t="s">
        <v>21</v>
      </c>
      <c r="P292" s="18" t="s">
        <v>25</v>
      </c>
      <c r="Q292" s="18" t="s">
        <v>127</v>
      </c>
      <c r="R292" s="18" t="s">
        <v>136</v>
      </c>
      <c r="S292" s="18">
        <v>7074</v>
      </c>
      <c r="T292" s="17" t="s">
        <v>22</v>
      </c>
      <c r="U292" s="18" t="s">
        <v>19</v>
      </c>
      <c r="V292" s="17"/>
    </row>
    <row r="293" spans="1:22" x14ac:dyDescent="0.3">
      <c r="A293" s="18" t="e">
        <f t="shared" si="5"/>
        <v>#REF!</v>
      </c>
      <c r="B293" s="17">
        <v>75</v>
      </c>
      <c r="C293" s="22" t="s">
        <v>23</v>
      </c>
      <c r="D293" s="20" t="s">
        <v>410</v>
      </c>
      <c r="E293" s="16">
        <v>45686</v>
      </c>
      <c r="F293" s="21" t="s">
        <v>24</v>
      </c>
      <c r="G293" s="49" t="s">
        <v>639</v>
      </c>
      <c r="H293" s="57">
        <v>12297.36</v>
      </c>
      <c r="I293" s="16">
        <v>45704</v>
      </c>
      <c r="J293" s="18"/>
      <c r="K293" s="17">
        <v>1</v>
      </c>
      <c r="L293" s="61">
        <v>24</v>
      </c>
      <c r="M293" s="61">
        <v>1</v>
      </c>
      <c r="N293" s="27">
        <v>45705</v>
      </c>
      <c r="O293" s="18" t="s">
        <v>21</v>
      </c>
      <c r="P293" s="18" t="s">
        <v>25</v>
      </c>
      <c r="Q293" s="18" t="s">
        <v>127</v>
      </c>
      <c r="R293" s="18" t="s">
        <v>136</v>
      </c>
      <c r="S293" s="18">
        <v>7073</v>
      </c>
      <c r="T293" s="17" t="s">
        <v>22</v>
      </c>
      <c r="U293" s="18" t="s">
        <v>19</v>
      </c>
      <c r="V293" s="17"/>
    </row>
    <row r="294" spans="1:22" x14ac:dyDescent="0.3">
      <c r="A294" s="18" t="e">
        <f t="shared" si="5"/>
        <v>#REF!</v>
      </c>
      <c r="B294" s="17">
        <v>75</v>
      </c>
      <c r="C294" s="22" t="s">
        <v>23</v>
      </c>
      <c r="D294" s="20" t="s">
        <v>472</v>
      </c>
      <c r="E294" s="20">
        <v>45689</v>
      </c>
      <c r="F294" s="21" t="s">
        <v>43</v>
      </c>
      <c r="G294" s="49" t="s">
        <v>640</v>
      </c>
      <c r="H294" s="57">
        <v>12297.36</v>
      </c>
      <c r="I294" s="16">
        <v>45704</v>
      </c>
      <c r="J294" s="18"/>
      <c r="K294" s="17">
        <v>1</v>
      </c>
      <c r="L294" s="61">
        <v>24</v>
      </c>
      <c r="M294" s="61">
        <v>1</v>
      </c>
      <c r="N294" s="27">
        <v>45705</v>
      </c>
      <c r="O294" s="18" t="s">
        <v>21</v>
      </c>
      <c r="P294" s="18" t="s">
        <v>25</v>
      </c>
      <c r="Q294" s="18" t="s">
        <v>127</v>
      </c>
      <c r="R294" s="18" t="s">
        <v>136</v>
      </c>
      <c r="S294" s="18">
        <v>7076</v>
      </c>
      <c r="T294" s="17" t="s">
        <v>22</v>
      </c>
      <c r="U294" s="18" t="s">
        <v>19</v>
      </c>
      <c r="V294" s="17"/>
    </row>
    <row r="295" spans="1:22" x14ac:dyDescent="0.3">
      <c r="A295" s="18" t="e">
        <f t="shared" si="5"/>
        <v>#REF!</v>
      </c>
      <c r="B295" s="17">
        <v>75</v>
      </c>
      <c r="C295" s="22" t="s">
        <v>23</v>
      </c>
      <c r="D295" s="20" t="s">
        <v>506</v>
      </c>
      <c r="E295" s="20">
        <v>45691</v>
      </c>
      <c r="F295" s="21" t="s">
        <v>58</v>
      </c>
      <c r="G295" s="49" t="s">
        <v>641</v>
      </c>
      <c r="H295" s="57">
        <v>50777.04</v>
      </c>
      <c r="I295" s="16">
        <v>45704</v>
      </c>
      <c r="J295" s="18"/>
      <c r="K295" s="17">
        <v>5</v>
      </c>
      <c r="L295" s="61">
        <v>120</v>
      </c>
      <c r="M295" s="61">
        <v>5</v>
      </c>
      <c r="N295" s="27">
        <v>45705</v>
      </c>
      <c r="O295" s="18" t="s">
        <v>21</v>
      </c>
      <c r="P295" s="18" t="s">
        <v>25</v>
      </c>
      <c r="Q295" s="18" t="s">
        <v>127</v>
      </c>
      <c r="R295" s="18" t="s">
        <v>136</v>
      </c>
      <c r="S295" s="18">
        <v>7075</v>
      </c>
      <c r="T295" s="17" t="s">
        <v>22</v>
      </c>
      <c r="U295" s="18" t="s">
        <v>19</v>
      </c>
      <c r="V295" s="17"/>
    </row>
    <row r="296" spans="1:22" x14ac:dyDescent="0.3">
      <c r="A296" s="18" t="e">
        <f t="shared" si="5"/>
        <v>#REF!</v>
      </c>
      <c r="B296" s="17">
        <v>75</v>
      </c>
      <c r="C296" s="22" t="s">
        <v>23</v>
      </c>
      <c r="D296" s="20" t="s">
        <v>482</v>
      </c>
      <c r="E296" s="20">
        <v>45690</v>
      </c>
      <c r="F296" s="21" t="s">
        <v>28</v>
      </c>
      <c r="G296" s="49" t="s">
        <v>642</v>
      </c>
      <c r="H296" s="57">
        <v>6142.56</v>
      </c>
      <c r="I296" s="16">
        <v>45704</v>
      </c>
      <c r="J296" s="18"/>
      <c r="K296" s="17">
        <v>1</v>
      </c>
      <c r="L296" s="61">
        <v>24</v>
      </c>
      <c r="M296" s="61">
        <v>1</v>
      </c>
      <c r="N296" s="27">
        <v>45705</v>
      </c>
      <c r="O296" s="18" t="s">
        <v>21</v>
      </c>
      <c r="P296" s="18" t="s">
        <v>25</v>
      </c>
      <c r="Q296" s="18" t="s">
        <v>127</v>
      </c>
      <c r="R296" s="18" t="s">
        <v>136</v>
      </c>
      <c r="S296" s="18">
        <v>7078</v>
      </c>
      <c r="T296" s="17" t="s">
        <v>22</v>
      </c>
      <c r="U296" s="18" t="s">
        <v>19</v>
      </c>
      <c r="V296" s="17"/>
    </row>
    <row r="297" spans="1:22" x14ac:dyDescent="0.3">
      <c r="A297" s="18" t="e">
        <f t="shared" si="5"/>
        <v>#REF!</v>
      </c>
      <c r="B297" s="17">
        <v>75</v>
      </c>
      <c r="C297" s="22" t="s">
        <v>23</v>
      </c>
      <c r="D297" s="17" t="s">
        <v>643</v>
      </c>
      <c r="E297" s="20">
        <v>45699</v>
      </c>
      <c r="F297" s="21" t="s">
        <v>350</v>
      </c>
      <c r="G297" s="49" t="s">
        <v>644</v>
      </c>
      <c r="H297" s="57">
        <v>36892.080000000002</v>
      </c>
      <c r="I297" s="16">
        <v>45704</v>
      </c>
      <c r="J297" s="18"/>
      <c r="K297" s="17">
        <v>3</v>
      </c>
      <c r="L297" s="61">
        <v>72</v>
      </c>
      <c r="M297" s="61">
        <v>3</v>
      </c>
      <c r="N297" s="27">
        <v>45705</v>
      </c>
      <c r="O297" s="18" t="s">
        <v>21</v>
      </c>
      <c r="P297" s="18" t="s">
        <v>25</v>
      </c>
      <c r="Q297" s="18" t="s">
        <v>127</v>
      </c>
      <c r="R297" s="18" t="s">
        <v>136</v>
      </c>
      <c r="S297" s="18">
        <v>7086</v>
      </c>
      <c r="T297" s="17" t="s">
        <v>22</v>
      </c>
      <c r="U297" s="18" t="s">
        <v>19</v>
      </c>
      <c r="V297" s="17"/>
    </row>
    <row r="298" spans="1:22" x14ac:dyDescent="0.3">
      <c r="A298" s="18" t="e">
        <f t="shared" si="5"/>
        <v>#REF!</v>
      </c>
      <c r="B298" s="17">
        <v>75</v>
      </c>
      <c r="C298" s="22" t="s">
        <v>23</v>
      </c>
      <c r="D298" s="17" t="s">
        <v>645</v>
      </c>
      <c r="E298" s="16">
        <v>45703</v>
      </c>
      <c r="F298" s="21" t="s">
        <v>58</v>
      </c>
      <c r="G298" s="49" t="s">
        <v>646</v>
      </c>
      <c r="H298" s="57">
        <v>68835.839999999997</v>
      </c>
      <c r="I298" s="16">
        <v>45704</v>
      </c>
      <c r="J298" s="18"/>
      <c r="K298" s="17">
        <v>8</v>
      </c>
      <c r="L298" s="61">
        <v>192</v>
      </c>
      <c r="M298" s="61">
        <v>8</v>
      </c>
      <c r="N298" s="27">
        <v>45705</v>
      </c>
      <c r="O298" s="18" t="s">
        <v>21</v>
      </c>
      <c r="P298" s="18" t="s">
        <v>25</v>
      </c>
      <c r="Q298" s="18" t="s">
        <v>127</v>
      </c>
      <c r="R298" s="18" t="s">
        <v>136</v>
      </c>
      <c r="S298" s="18">
        <v>7093</v>
      </c>
      <c r="T298" s="17" t="s">
        <v>22</v>
      </c>
      <c r="U298" s="18" t="s">
        <v>19</v>
      </c>
      <c r="V298" s="17"/>
    </row>
    <row r="299" spans="1:22" x14ac:dyDescent="0.3">
      <c r="A299" s="18" t="e">
        <f t="shared" si="5"/>
        <v>#REF!</v>
      </c>
      <c r="B299" s="17">
        <v>75</v>
      </c>
      <c r="C299" s="22" t="s">
        <v>23</v>
      </c>
      <c r="D299" s="20" t="s">
        <v>408</v>
      </c>
      <c r="E299" s="20">
        <v>45687</v>
      </c>
      <c r="F299" s="21" t="s">
        <v>53</v>
      </c>
      <c r="G299" s="49" t="s">
        <v>647</v>
      </c>
      <c r="H299" s="57">
        <v>9219.84</v>
      </c>
      <c r="I299" s="16">
        <v>45704</v>
      </c>
      <c r="J299" s="18"/>
      <c r="K299" s="17">
        <v>1</v>
      </c>
      <c r="L299" s="61">
        <v>24</v>
      </c>
      <c r="M299" s="61">
        <v>1</v>
      </c>
      <c r="N299" s="27">
        <v>45705</v>
      </c>
      <c r="O299" s="18" t="s">
        <v>21</v>
      </c>
      <c r="P299" s="18" t="s">
        <v>25</v>
      </c>
      <c r="Q299" s="18" t="s">
        <v>127</v>
      </c>
      <c r="R299" s="18" t="s">
        <v>136</v>
      </c>
      <c r="S299" s="18">
        <v>7084</v>
      </c>
      <c r="T299" s="17" t="s">
        <v>22</v>
      </c>
      <c r="U299" s="18" t="s">
        <v>19</v>
      </c>
      <c r="V299" s="17"/>
    </row>
    <row r="300" spans="1:22" x14ac:dyDescent="0.3">
      <c r="A300" s="18" t="e">
        <f t="shared" si="5"/>
        <v>#REF!</v>
      </c>
      <c r="B300" s="17">
        <v>75</v>
      </c>
      <c r="C300" s="22" t="s">
        <v>23</v>
      </c>
      <c r="D300" s="20" t="s">
        <v>400</v>
      </c>
      <c r="E300" s="20">
        <v>45687</v>
      </c>
      <c r="F300" s="21" t="s">
        <v>53</v>
      </c>
      <c r="G300" s="49" t="s">
        <v>648</v>
      </c>
      <c r="H300" s="57">
        <v>20655.599999999999</v>
      </c>
      <c r="I300" s="16">
        <v>45704</v>
      </c>
      <c r="J300" s="18"/>
      <c r="K300" s="17">
        <v>2</v>
      </c>
      <c r="L300" s="61">
        <v>48</v>
      </c>
      <c r="M300" s="61">
        <v>2</v>
      </c>
      <c r="N300" s="27">
        <v>45705</v>
      </c>
      <c r="O300" s="18" t="s">
        <v>21</v>
      </c>
      <c r="P300" s="18" t="s">
        <v>25</v>
      </c>
      <c r="Q300" s="18" t="s">
        <v>127</v>
      </c>
      <c r="R300" s="18" t="s">
        <v>136</v>
      </c>
      <c r="S300" s="18">
        <v>7087</v>
      </c>
      <c r="T300" s="17" t="s">
        <v>22</v>
      </c>
      <c r="U300" s="18" t="s">
        <v>19</v>
      </c>
      <c r="V300" s="17"/>
    </row>
    <row r="301" spans="1:22" x14ac:dyDescent="0.3">
      <c r="A301" s="18" t="e">
        <f t="shared" si="5"/>
        <v>#REF!</v>
      </c>
      <c r="B301" s="17">
        <v>75</v>
      </c>
      <c r="C301" s="22" t="s">
        <v>23</v>
      </c>
      <c r="D301" s="20" t="s">
        <v>649</v>
      </c>
      <c r="E301" s="16">
        <v>45684</v>
      </c>
      <c r="F301" s="21" t="s">
        <v>58</v>
      </c>
      <c r="G301" s="49" t="s">
        <v>650</v>
      </c>
      <c r="H301" s="57">
        <v>12297.36</v>
      </c>
      <c r="I301" s="16">
        <v>45704</v>
      </c>
      <c r="J301" s="18"/>
      <c r="K301" s="17">
        <v>1</v>
      </c>
      <c r="L301" s="61">
        <v>24</v>
      </c>
      <c r="M301" s="61">
        <v>1</v>
      </c>
      <c r="N301" s="27">
        <v>45705</v>
      </c>
      <c r="O301" s="18" t="s">
        <v>21</v>
      </c>
      <c r="P301" s="18" t="s">
        <v>25</v>
      </c>
      <c r="Q301" s="18" t="s">
        <v>127</v>
      </c>
      <c r="R301" s="18" t="s">
        <v>136</v>
      </c>
      <c r="S301" s="18">
        <v>7082</v>
      </c>
      <c r="T301" s="17" t="s">
        <v>22</v>
      </c>
      <c r="U301" s="18" t="s">
        <v>19</v>
      </c>
      <c r="V301" s="17"/>
    </row>
    <row r="302" spans="1:22" x14ac:dyDescent="0.3">
      <c r="A302" s="18" t="e">
        <f t="shared" si="5"/>
        <v>#REF!</v>
      </c>
      <c r="B302" s="17">
        <v>75</v>
      </c>
      <c r="C302" s="22" t="s">
        <v>23</v>
      </c>
      <c r="D302" s="17" t="s">
        <v>651</v>
      </c>
      <c r="E302" s="16">
        <v>45703</v>
      </c>
      <c r="F302" s="24" t="s">
        <v>41</v>
      </c>
      <c r="G302" s="49" t="s">
        <v>652</v>
      </c>
      <c r="H302" s="57">
        <v>59012.639999999999</v>
      </c>
      <c r="I302" s="16">
        <v>45704</v>
      </c>
      <c r="J302" s="18"/>
      <c r="K302" s="17">
        <v>10</v>
      </c>
      <c r="L302" s="61">
        <v>144</v>
      </c>
      <c r="M302" s="61">
        <v>10</v>
      </c>
      <c r="N302" s="27">
        <v>45705</v>
      </c>
      <c r="O302" s="18" t="s">
        <v>21</v>
      </c>
      <c r="P302" s="18" t="s">
        <v>25</v>
      </c>
      <c r="Q302" s="18" t="s">
        <v>127</v>
      </c>
      <c r="R302" s="18" t="s">
        <v>136</v>
      </c>
      <c r="S302" s="18">
        <v>7090</v>
      </c>
      <c r="T302" s="17" t="s">
        <v>22</v>
      </c>
      <c r="U302" s="18" t="s">
        <v>19</v>
      </c>
      <c r="V302" s="17"/>
    </row>
    <row r="303" spans="1:22" x14ac:dyDescent="0.3">
      <c r="A303" s="18" t="e">
        <f t="shared" si="5"/>
        <v>#REF!</v>
      </c>
      <c r="B303" s="17">
        <v>75</v>
      </c>
      <c r="C303" s="22" t="s">
        <v>23</v>
      </c>
      <c r="D303" s="17" t="s">
        <v>653</v>
      </c>
      <c r="E303" s="20">
        <v>45699</v>
      </c>
      <c r="F303" s="21" t="s">
        <v>35</v>
      </c>
      <c r="G303" s="49" t="s">
        <v>654</v>
      </c>
      <c r="H303" s="57">
        <v>12297.36</v>
      </c>
      <c r="I303" s="16">
        <v>45704</v>
      </c>
      <c r="J303" s="18"/>
      <c r="K303" s="17">
        <v>1</v>
      </c>
      <c r="L303" s="61">
        <v>24</v>
      </c>
      <c r="M303" s="61">
        <v>1</v>
      </c>
      <c r="N303" s="27">
        <v>45705</v>
      </c>
      <c r="O303" s="18" t="s">
        <v>21</v>
      </c>
      <c r="P303" s="18" t="s">
        <v>25</v>
      </c>
      <c r="Q303" s="18" t="s">
        <v>127</v>
      </c>
      <c r="R303" s="18" t="s">
        <v>136</v>
      </c>
      <c r="S303" s="18">
        <v>7081</v>
      </c>
      <c r="T303" s="17" t="s">
        <v>22</v>
      </c>
      <c r="U303" s="18" t="s">
        <v>19</v>
      </c>
      <c r="V303" s="17"/>
    </row>
    <row r="304" spans="1:22" x14ac:dyDescent="0.3">
      <c r="A304" s="18" t="e">
        <f t="shared" si="5"/>
        <v>#REF!</v>
      </c>
      <c r="B304" s="17">
        <v>75</v>
      </c>
      <c r="C304" s="22" t="s">
        <v>23</v>
      </c>
      <c r="D304" s="20" t="s">
        <v>398</v>
      </c>
      <c r="E304" s="20">
        <v>45687</v>
      </c>
      <c r="F304" s="21" t="s">
        <v>49</v>
      </c>
      <c r="G304" s="49" t="s">
        <v>655</v>
      </c>
      <c r="H304" s="57">
        <v>35033.040000000001</v>
      </c>
      <c r="I304" s="16">
        <v>45704</v>
      </c>
      <c r="J304" s="18"/>
      <c r="K304" s="17">
        <v>4</v>
      </c>
      <c r="L304" s="61">
        <v>96</v>
      </c>
      <c r="M304" s="61">
        <v>4</v>
      </c>
      <c r="N304" s="27">
        <v>45705</v>
      </c>
      <c r="O304" s="18" t="s">
        <v>21</v>
      </c>
      <c r="P304" s="18" t="s">
        <v>25</v>
      </c>
      <c r="Q304" s="18" t="s">
        <v>127</v>
      </c>
      <c r="R304" s="18" t="s">
        <v>136</v>
      </c>
      <c r="S304" s="18">
        <v>7085</v>
      </c>
      <c r="T304" s="17" t="s">
        <v>22</v>
      </c>
      <c r="U304" s="18" t="s">
        <v>19</v>
      </c>
      <c r="V304" s="17"/>
    </row>
    <row r="305" spans="1:22" x14ac:dyDescent="0.3">
      <c r="A305" s="18" t="e">
        <f t="shared" si="5"/>
        <v>#REF!</v>
      </c>
      <c r="B305" s="17">
        <v>75</v>
      </c>
      <c r="C305" s="22" t="s">
        <v>23</v>
      </c>
      <c r="D305" s="20" t="s">
        <v>404</v>
      </c>
      <c r="E305" s="20">
        <v>45687</v>
      </c>
      <c r="F305" s="21" t="s">
        <v>64</v>
      </c>
      <c r="G305" s="49" t="s">
        <v>656</v>
      </c>
      <c r="H305" s="57">
        <v>69845.039999999994</v>
      </c>
      <c r="I305" s="16">
        <v>45704</v>
      </c>
      <c r="J305" s="18"/>
      <c r="K305" s="17">
        <v>6</v>
      </c>
      <c r="L305" s="61">
        <v>144</v>
      </c>
      <c r="M305" s="61">
        <v>6</v>
      </c>
      <c r="N305" s="27">
        <v>45705</v>
      </c>
      <c r="O305" s="18" t="s">
        <v>21</v>
      </c>
      <c r="P305" s="18" t="s">
        <v>25</v>
      </c>
      <c r="Q305" s="18" t="s">
        <v>127</v>
      </c>
      <c r="R305" s="18" t="s">
        <v>136</v>
      </c>
      <c r="S305" s="18">
        <v>7083</v>
      </c>
      <c r="T305" s="17" t="s">
        <v>22</v>
      </c>
      <c r="U305" s="18" t="s">
        <v>19</v>
      </c>
      <c r="V305" s="17"/>
    </row>
    <row r="306" spans="1:22" x14ac:dyDescent="0.3">
      <c r="A306" s="18" t="e">
        <f t="shared" si="5"/>
        <v>#REF!</v>
      </c>
      <c r="B306" s="17">
        <v>75</v>
      </c>
      <c r="C306" s="22" t="s">
        <v>23</v>
      </c>
      <c r="D306" s="17" t="s">
        <v>657</v>
      </c>
      <c r="E306" s="16">
        <v>45703</v>
      </c>
      <c r="F306" s="23" t="s">
        <v>68</v>
      </c>
      <c r="G306" s="49" t="s">
        <v>658</v>
      </c>
      <c r="H306" s="57">
        <v>304773.84000000003</v>
      </c>
      <c r="I306" s="16">
        <v>45704</v>
      </c>
      <c r="J306" s="18"/>
      <c r="K306" s="17">
        <v>31</v>
      </c>
      <c r="L306" s="61">
        <v>744</v>
      </c>
      <c r="M306" s="61">
        <v>31</v>
      </c>
      <c r="N306" s="27">
        <v>45705</v>
      </c>
      <c r="O306" s="18" t="s">
        <v>21</v>
      </c>
      <c r="P306" s="18" t="s">
        <v>25</v>
      </c>
      <c r="Q306" s="18" t="s">
        <v>127</v>
      </c>
      <c r="R306" s="18" t="s">
        <v>136</v>
      </c>
      <c r="S306" s="18">
        <v>7094</v>
      </c>
      <c r="T306" s="17" t="s">
        <v>22</v>
      </c>
      <c r="U306" s="18" t="s">
        <v>19</v>
      </c>
      <c r="V306" s="17"/>
    </row>
    <row r="307" spans="1:22" x14ac:dyDescent="0.3">
      <c r="A307" s="18" t="e">
        <f t="shared" si="5"/>
        <v>#REF!</v>
      </c>
      <c r="B307" s="17">
        <v>75</v>
      </c>
      <c r="C307" s="22" t="s">
        <v>23</v>
      </c>
      <c r="D307" s="20" t="s">
        <v>358</v>
      </c>
      <c r="E307" s="20">
        <v>45694</v>
      </c>
      <c r="F307" s="21" t="s">
        <v>28</v>
      </c>
      <c r="G307" s="49" t="s">
        <v>659</v>
      </c>
      <c r="H307" s="57">
        <v>15977.76</v>
      </c>
      <c r="I307" s="16">
        <v>45704</v>
      </c>
      <c r="J307" s="18"/>
      <c r="K307" s="17">
        <v>2</v>
      </c>
      <c r="L307" s="61">
        <v>48</v>
      </c>
      <c r="M307" s="61">
        <v>2</v>
      </c>
      <c r="N307" s="27">
        <v>45705</v>
      </c>
      <c r="O307" s="18" t="s">
        <v>21</v>
      </c>
      <c r="P307" s="18" t="s">
        <v>25</v>
      </c>
      <c r="Q307" s="18" t="s">
        <v>127</v>
      </c>
      <c r="R307" s="18" t="s">
        <v>136</v>
      </c>
      <c r="S307" s="18">
        <v>7080</v>
      </c>
      <c r="T307" s="17" t="s">
        <v>22</v>
      </c>
      <c r="U307" s="18" t="s">
        <v>19</v>
      </c>
      <c r="V307" s="17"/>
    </row>
    <row r="308" spans="1:22" x14ac:dyDescent="0.3">
      <c r="A308" s="18" t="e">
        <f t="shared" si="5"/>
        <v>#REF!</v>
      </c>
      <c r="B308" s="17">
        <v>75</v>
      </c>
      <c r="C308" s="22" t="s">
        <v>23</v>
      </c>
      <c r="D308" s="20" t="s">
        <v>510</v>
      </c>
      <c r="E308" s="20">
        <v>45690</v>
      </c>
      <c r="F308" s="21" t="s">
        <v>28</v>
      </c>
      <c r="G308" s="49" t="s">
        <v>660</v>
      </c>
      <c r="H308" s="57">
        <v>10770.96</v>
      </c>
      <c r="I308" s="16">
        <v>45704</v>
      </c>
      <c r="J308" s="18"/>
      <c r="K308" s="17">
        <v>1</v>
      </c>
      <c r="L308" s="61">
        <v>24</v>
      </c>
      <c r="M308" s="61">
        <v>1</v>
      </c>
      <c r="N308" s="27">
        <v>45705</v>
      </c>
      <c r="O308" s="18" t="s">
        <v>21</v>
      </c>
      <c r="P308" s="18" t="s">
        <v>25</v>
      </c>
      <c r="Q308" s="18" t="s">
        <v>127</v>
      </c>
      <c r="R308" s="18" t="s">
        <v>136</v>
      </c>
      <c r="S308" s="18">
        <v>7079</v>
      </c>
      <c r="T308" s="17" t="s">
        <v>22</v>
      </c>
      <c r="U308" s="18" t="s">
        <v>19</v>
      </c>
      <c r="V308" s="17"/>
    </row>
    <row r="309" spans="1:22" x14ac:dyDescent="0.3">
      <c r="A309" s="18" t="e">
        <f t="shared" si="5"/>
        <v>#REF!</v>
      </c>
      <c r="B309" s="17">
        <v>76</v>
      </c>
      <c r="C309" s="22" t="s">
        <v>23</v>
      </c>
      <c r="D309" s="20" t="s">
        <v>661</v>
      </c>
      <c r="E309" s="20">
        <v>45675</v>
      </c>
      <c r="F309" s="23" t="s">
        <v>114</v>
      </c>
      <c r="G309" s="49" t="s">
        <v>662</v>
      </c>
      <c r="H309" s="57">
        <v>111636.48</v>
      </c>
      <c r="I309" s="16">
        <v>45707</v>
      </c>
      <c r="J309" s="18"/>
      <c r="K309" s="17">
        <v>13</v>
      </c>
      <c r="L309" s="61">
        <v>312</v>
      </c>
      <c r="M309" s="61">
        <v>13</v>
      </c>
      <c r="N309" s="27">
        <v>45709</v>
      </c>
      <c r="O309" s="18" t="s">
        <v>21</v>
      </c>
      <c r="P309" s="18" t="s">
        <v>25</v>
      </c>
      <c r="Q309" s="18" t="s">
        <v>663</v>
      </c>
      <c r="R309" s="18" t="s">
        <v>136</v>
      </c>
      <c r="S309" s="18">
        <v>7098</v>
      </c>
      <c r="T309" s="17" t="s">
        <v>22</v>
      </c>
      <c r="U309" s="18" t="s">
        <v>19</v>
      </c>
      <c r="V309" s="17"/>
    </row>
    <row r="310" spans="1:22" x14ac:dyDescent="0.3">
      <c r="A310" s="18" t="e">
        <f t="shared" si="5"/>
        <v>#REF!</v>
      </c>
      <c r="B310" s="17">
        <v>76</v>
      </c>
      <c r="C310" s="22" t="s">
        <v>23</v>
      </c>
      <c r="D310" s="20" t="s">
        <v>664</v>
      </c>
      <c r="E310" s="20">
        <v>45675</v>
      </c>
      <c r="F310" s="21" t="s">
        <v>53</v>
      </c>
      <c r="G310" s="49" t="s">
        <v>665</v>
      </c>
      <c r="H310" s="57">
        <v>253861.68</v>
      </c>
      <c r="I310" s="16">
        <v>45707</v>
      </c>
      <c r="J310" s="18"/>
      <c r="K310" s="17">
        <v>27</v>
      </c>
      <c r="L310" s="61">
        <v>648</v>
      </c>
      <c r="M310" s="61">
        <v>27</v>
      </c>
      <c r="N310" s="27">
        <v>45709</v>
      </c>
      <c r="O310" s="18" t="s">
        <v>21</v>
      </c>
      <c r="P310" s="18" t="s">
        <v>25</v>
      </c>
      <c r="Q310" s="18" t="s">
        <v>663</v>
      </c>
      <c r="R310" s="18" t="s">
        <v>136</v>
      </c>
      <c r="S310" s="18">
        <v>7099</v>
      </c>
      <c r="T310" s="17" t="s">
        <v>22</v>
      </c>
      <c r="U310" s="18" t="s">
        <v>19</v>
      </c>
      <c r="V310" s="17"/>
    </row>
    <row r="311" spans="1:22" x14ac:dyDescent="0.3">
      <c r="A311" s="18" t="e">
        <f t="shared" ref="A311:A374" si="6">A310+1</f>
        <v>#REF!</v>
      </c>
      <c r="B311" s="17">
        <v>76</v>
      </c>
      <c r="C311" s="22" t="s">
        <v>23</v>
      </c>
      <c r="D311" s="20" t="s">
        <v>666</v>
      </c>
      <c r="E311" s="20">
        <v>45675</v>
      </c>
      <c r="F311" s="21" t="s">
        <v>35</v>
      </c>
      <c r="G311" s="49" t="s">
        <v>667</v>
      </c>
      <c r="H311" s="57">
        <v>45360.480000000003</v>
      </c>
      <c r="I311" s="16">
        <v>45707</v>
      </c>
      <c r="J311" s="18"/>
      <c r="K311" s="17">
        <v>5</v>
      </c>
      <c r="L311" s="61">
        <v>120</v>
      </c>
      <c r="M311" s="61">
        <v>5</v>
      </c>
      <c r="N311" s="27">
        <v>45709</v>
      </c>
      <c r="O311" s="18" t="s">
        <v>21</v>
      </c>
      <c r="P311" s="18" t="s">
        <v>25</v>
      </c>
      <c r="Q311" s="18" t="s">
        <v>663</v>
      </c>
      <c r="R311" s="18" t="s">
        <v>136</v>
      </c>
      <c r="S311" s="18">
        <v>7097</v>
      </c>
      <c r="T311" s="17" t="s">
        <v>22</v>
      </c>
      <c r="U311" s="18" t="s">
        <v>19</v>
      </c>
      <c r="V311" s="17"/>
    </row>
    <row r="312" spans="1:22" x14ac:dyDescent="0.3">
      <c r="A312" s="18" t="e">
        <f t="shared" si="6"/>
        <v>#REF!</v>
      </c>
      <c r="B312" s="17">
        <v>76</v>
      </c>
      <c r="C312" s="22" t="s">
        <v>23</v>
      </c>
      <c r="D312" s="20" t="s">
        <v>668</v>
      </c>
      <c r="E312" s="20">
        <v>45675</v>
      </c>
      <c r="F312" s="24" t="s">
        <v>51</v>
      </c>
      <c r="G312" s="49" t="s">
        <v>669</v>
      </c>
      <c r="H312" s="57">
        <v>49140.480000000003</v>
      </c>
      <c r="I312" s="16">
        <v>45707</v>
      </c>
      <c r="J312" s="18"/>
      <c r="K312" s="17">
        <v>8</v>
      </c>
      <c r="L312" s="61">
        <v>192</v>
      </c>
      <c r="M312" s="61">
        <v>8</v>
      </c>
      <c r="N312" s="27">
        <v>45709</v>
      </c>
      <c r="O312" s="18" t="s">
        <v>21</v>
      </c>
      <c r="P312" s="18" t="s">
        <v>25</v>
      </c>
      <c r="Q312" s="18" t="s">
        <v>663</v>
      </c>
      <c r="R312" s="18" t="s">
        <v>136</v>
      </c>
      <c r="S312" s="18">
        <v>7110</v>
      </c>
      <c r="T312" s="17" t="s">
        <v>22</v>
      </c>
      <c r="U312" s="18" t="s">
        <v>19</v>
      </c>
      <c r="V312" s="17"/>
    </row>
    <row r="313" spans="1:22" x14ac:dyDescent="0.3">
      <c r="A313" s="18" t="e">
        <f t="shared" si="6"/>
        <v>#REF!</v>
      </c>
      <c r="B313" s="17">
        <v>76</v>
      </c>
      <c r="C313" s="22" t="s">
        <v>20</v>
      </c>
      <c r="D313" s="20" t="s">
        <v>670</v>
      </c>
      <c r="E313" s="16">
        <v>45703</v>
      </c>
      <c r="F313" s="23" t="s">
        <v>114</v>
      </c>
      <c r="G313" s="49" t="s">
        <v>671</v>
      </c>
      <c r="H313" s="57">
        <v>140366.67000000001</v>
      </c>
      <c r="I313" s="16">
        <v>45706</v>
      </c>
      <c r="J313" s="18"/>
      <c r="K313" s="17">
        <v>110</v>
      </c>
      <c r="L313" s="61">
        <v>110</v>
      </c>
      <c r="M313" s="61">
        <v>11</v>
      </c>
      <c r="N313" s="27">
        <v>45709</v>
      </c>
      <c r="O313" s="18" t="s">
        <v>21</v>
      </c>
      <c r="P313" s="18" t="s">
        <v>25</v>
      </c>
      <c r="Q313" s="18" t="s">
        <v>663</v>
      </c>
      <c r="R313" s="18" t="s">
        <v>136</v>
      </c>
      <c r="S313" s="18">
        <v>7101</v>
      </c>
      <c r="T313" s="17" t="s">
        <v>22</v>
      </c>
      <c r="U313" s="18" t="s">
        <v>19</v>
      </c>
      <c r="V313" s="17"/>
    </row>
    <row r="314" spans="1:22" x14ac:dyDescent="0.3">
      <c r="A314" s="18" t="e">
        <f t="shared" si="6"/>
        <v>#REF!</v>
      </c>
      <c r="B314" s="17">
        <v>76</v>
      </c>
      <c r="C314" s="22" t="s">
        <v>20</v>
      </c>
      <c r="D314" s="20" t="s">
        <v>672</v>
      </c>
      <c r="E314" s="16">
        <v>45703</v>
      </c>
      <c r="F314" s="21" t="s">
        <v>123</v>
      </c>
      <c r="G314" s="49" t="s">
        <v>673</v>
      </c>
      <c r="H314" s="57">
        <v>59452</v>
      </c>
      <c r="I314" s="16">
        <v>45704</v>
      </c>
      <c r="J314" s="18"/>
      <c r="K314" s="17">
        <v>40</v>
      </c>
      <c r="L314" s="61">
        <v>40</v>
      </c>
      <c r="M314" s="61">
        <v>4</v>
      </c>
      <c r="N314" s="27">
        <v>45709</v>
      </c>
      <c r="O314" s="18" t="s">
        <v>21</v>
      </c>
      <c r="P314" s="18" t="s">
        <v>25</v>
      </c>
      <c r="Q314" s="18" t="s">
        <v>663</v>
      </c>
      <c r="R314" s="18" t="s">
        <v>136</v>
      </c>
      <c r="S314" s="18">
        <v>7102</v>
      </c>
      <c r="T314" s="17" t="s">
        <v>22</v>
      </c>
      <c r="U314" s="18" t="s">
        <v>19</v>
      </c>
      <c r="V314" s="17"/>
    </row>
    <row r="315" spans="1:22" x14ac:dyDescent="0.3">
      <c r="A315" s="18" t="e">
        <f t="shared" si="6"/>
        <v>#REF!</v>
      </c>
      <c r="B315" s="17">
        <v>76</v>
      </c>
      <c r="C315" s="22" t="s">
        <v>20</v>
      </c>
      <c r="D315" s="20" t="s">
        <v>674</v>
      </c>
      <c r="E315" s="16">
        <v>45705</v>
      </c>
      <c r="F315" s="21" t="s">
        <v>49</v>
      </c>
      <c r="G315" s="49" t="s">
        <v>675</v>
      </c>
      <c r="H315" s="57">
        <v>245750.91</v>
      </c>
      <c r="I315" s="16">
        <v>45706</v>
      </c>
      <c r="J315" s="18"/>
      <c r="K315" s="17">
        <v>200</v>
      </c>
      <c r="L315" s="61">
        <v>200</v>
      </c>
      <c r="M315" s="61">
        <v>20</v>
      </c>
      <c r="N315" s="27">
        <v>45709</v>
      </c>
      <c r="O315" s="18" t="s">
        <v>21</v>
      </c>
      <c r="P315" s="18" t="s">
        <v>25</v>
      </c>
      <c r="Q315" s="18" t="s">
        <v>663</v>
      </c>
      <c r="R315" s="18" t="s">
        <v>136</v>
      </c>
      <c r="S315" s="18">
        <v>7105</v>
      </c>
      <c r="T315" s="17" t="s">
        <v>22</v>
      </c>
      <c r="U315" s="18" t="s">
        <v>19</v>
      </c>
      <c r="V315" s="17"/>
    </row>
    <row r="316" spans="1:22" x14ac:dyDescent="0.3">
      <c r="A316" s="18" t="e">
        <f t="shared" si="6"/>
        <v>#REF!</v>
      </c>
      <c r="B316" s="17">
        <v>76</v>
      </c>
      <c r="C316" s="22" t="s">
        <v>23</v>
      </c>
      <c r="D316" s="20" t="s">
        <v>676</v>
      </c>
      <c r="E316" s="20">
        <v>45675</v>
      </c>
      <c r="F316" s="21" t="s">
        <v>24</v>
      </c>
      <c r="G316" s="49" t="s">
        <v>677</v>
      </c>
      <c r="H316" s="57">
        <v>324303.24</v>
      </c>
      <c r="I316" s="16">
        <v>45707</v>
      </c>
      <c r="J316" s="18"/>
      <c r="K316" s="17">
        <v>35</v>
      </c>
      <c r="L316" s="61">
        <v>828</v>
      </c>
      <c r="M316" s="61">
        <v>35</v>
      </c>
      <c r="N316" s="27">
        <v>45709</v>
      </c>
      <c r="O316" s="18" t="s">
        <v>21</v>
      </c>
      <c r="P316" s="18" t="s">
        <v>25</v>
      </c>
      <c r="Q316" s="18" t="s">
        <v>663</v>
      </c>
      <c r="R316" s="18" t="s">
        <v>136</v>
      </c>
      <c r="S316" s="18">
        <v>7108</v>
      </c>
      <c r="T316" s="17" t="s">
        <v>22</v>
      </c>
      <c r="U316" s="18" t="s">
        <v>19</v>
      </c>
      <c r="V316" s="17"/>
    </row>
    <row r="317" spans="1:22" x14ac:dyDescent="0.3">
      <c r="A317" s="18" t="e">
        <f t="shared" si="6"/>
        <v>#REF!</v>
      </c>
      <c r="B317" s="17">
        <v>76</v>
      </c>
      <c r="C317" s="22" t="s">
        <v>20</v>
      </c>
      <c r="D317" s="17" t="s">
        <v>678</v>
      </c>
      <c r="E317" s="20">
        <v>45699</v>
      </c>
      <c r="F317" s="21" t="s">
        <v>247</v>
      </c>
      <c r="G317" s="49" t="s">
        <v>679</v>
      </c>
      <c r="H317" s="57">
        <v>95910.6</v>
      </c>
      <c r="I317" s="20">
        <v>45701</v>
      </c>
      <c r="J317" s="18"/>
      <c r="K317" s="17">
        <v>70</v>
      </c>
      <c r="L317" s="61">
        <v>70</v>
      </c>
      <c r="M317" s="61">
        <v>7</v>
      </c>
      <c r="N317" s="27">
        <v>45709</v>
      </c>
      <c r="O317" s="18" t="s">
        <v>21</v>
      </c>
      <c r="P317" s="18" t="s">
        <v>25</v>
      </c>
      <c r="Q317" s="18" t="s">
        <v>663</v>
      </c>
      <c r="R317" s="18" t="s">
        <v>136</v>
      </c>
      <c r="S317" s="18">
        <v>7106</v>
      </c>
      <c r="T317" s="17" t="s">
        <v>22</v>
      </c>
      <c r="U317" s="18" t="s">
        <v>19</v>
      </c>
      <c r="V317" s="17"/>
    </row>
    <row r="318" spans="1:22" x14ac:dyDescent="0.3">
      <c r="A318" s="18" t="e">
        <f t="shared" si="6"/>
        <v>#REF!</v>
      </c>
      <c r="B318" s="17">
        <v>76</v>
      </c>
      <c r="C318" s="22" t="s">
        <v>23</v>
      </c>
      <c r="D318" s="17" t="s">
        <v>680</v>
      </c>
      <c r="E318" s="20">
        <v>45674</v>
      </c>
      <c r="F318" s="21" t="s">
        <v>35</v>
      </c>
      <c r="G318" s="49" t="s">
        <v>681</v>
      </c>
      <c r="H318" s="57">
        <v>90598.56</v>
      </c>
      <c r="I318" s="16">
        <v>45707</v>
      </c>
      <c r="J318" s="18"/>
      <c r="K318" s="17">
        <v>10</v>
      </c>
      <c r="L318" s="61">
        <v>240</v>
      </c>
      <c r="M318" s="61">
        <v>10</v>
      </c>
      <c r="N318" s="27">
        <v>45709</v>
      </c>
      <c r="O318" s="18" t="s">
        <v>21</v>
      </c>
      <c r="P318" s="18" t="s">
        <v>25</v>
      </c>
      <c r="Q318" s="18" t="s">
        <v>663</v>
      </c>
      <c r="R318" s="18" t="s">
        <v>136</v>
      </c>
      <c r="S318" s="18">
        <v>7109</v>
      </c>
      <c r="T318" s="17" t="s">
        <v>22</v>
      </c>
      <c r="U318" s="18" t="s">
        <v>19</v>
      </c>
      <c r="V318" s="17"/>
    </row>
    <row r="319" spans="1:22" x14ac:dyDescent="0.3">
      <c r="A319" s="18" t="e">
        <f t="shared" si="6"/>
        <v>#REF!</v>
      </c>
      <c r="B319" s="17">
        <v>76</v>
      </c>
      <c r="C319" s="22" t="s">
        <v>20</v>
      </c>
      <c r="D319" s="17" t="s">
        <v>682</v>
      </c>
      <c r="E319" s="16">
        <v>45702</v>
      </c>
      <c r="F319" s="21" t="s">
        <v>53</v>
      </c>
      <c r="G319" s="49" t="s">
        <v>683</v>
      </c>
      <c r="H319" s="57">
        <v>220713.60000000001</v>
      </c>
      <c r="I319" s="16">
        <v>45706</v>
      </c>
      <c r="J319" s="18"/>
      <c r="K319" s="17">
        <v>240</v>
      </c>
      <c r="L319" s="61">
        <v>240</v>
      </c>
      <c r="M319" s="61">
        <v>22</v>
      </c>
      <c r="N319" s="27">
        <v>45709</v>
      </c>
      <c r="O319" s="18" t="s">
        <v>21</v>
      </c>
      <c r="P319" s="18" t="s">
        <v>25</v>
      </c>
      <c r="Q319" s="18" t="s">
        <v>663</v>
      </c>
      <c r="R319" s="18" t="s">
        <v>136</v>
      </c>
      <c r="S319" s="18">
        <v>7104</v>
      </c>
      <c r="T319" s="17" t="s">
        <v>22</v>
      </c>
      <c r="U319" s="18" t="s">
        <v>19</v>
      </c>
      <c r="V319" s="17"/>
    </row>
    <row r="320" spans="1:22" x14ac:dyDescent="0.3">
      <c r="A320" s="18" t="e">
        <f t="shared" si="6"/>
        <v>#REF!</v>
      </c>
      <c r="B320" s="17">
        <v>76</v>
      </c>
      <c r="C320" s="22" t="s">
        <v>20</v>
      </c>
      <c r="D320" s="17" t="s">
        <v>684</v>
      </c>
      <c r="E320" s="16">
        <v>45702</v>
      </c>
      <c r="F320" s="21" t="s">
        <v>137</v>
      </c>
      <c r="G320" s="49" t="s">
        <v>685</v>
      </c>
      <c r="H320" s="57">
        <v>251271.5</v>
      </c>
      <c r="I320" s="16">
        <v>45706</v>
      </c>
      <c r="J320" s="18"/>
      <c r="K320" s="17">
        <v>190</v>
      </c>
      <c r="L320" s="61">
        <v>190</v>
      </c>
      <c r="M320" s="61">
        <v>19</v>
      </c>
      <c r="N320" s="27">
        <v>45709</v>
      </c>
      <c r="O320" s="18" t="s">
        <v>21</v>
      </c>
      <c r="P320" s="18" t="s">
        <v>25</v>
      </c>
      <c r="Q320" s="18" t="s">
        <v>663</v>
      </c>
      <c r="R320" s="18" t="s">
        <v>136</v>
      </c>
      <c r="S320" s="18">
        <v>7100</v>
      </c>
      <c r="T320" s="17" t="s">
        <v>22</v>
      </c>
      <c r="U320" s="18" t="s">
        <v>19</v>
      </c>
      <c r="V320" s="17"/>
    </row>
    <row r="321" spans="1:22" x14ac:dyDescent="0.3">
      <c r="A321" s="18" t="e">
        <f t="shared" si="6"/>
        <v>#REF!</v>
      </c>
      <c r="B321" s="17">
        <v>76</v>
      </c>
      <c r="C321" s="22" t="s">
        <v>20</v>
      </c>
      <c r="D321" s="17" t="s">
        <v>686</v>
      </c>
      <c r="E321" s="16">
        <v>45702</v>
      </c>
      <c r="F321" s="21" t="s">
        <v>137</v>
      </c>
      <c r="G321" s="49" t="s">
        <v>687</v>
      </c>
      <c r="H321" s="57">
        <v>53867.5</v>
      </c>
      <c r="I321" s="16">
        <v>45703</v>
      </c>
      <c r="J321" s="18"/>
      <c r="K321" s="17">
        <v>40</v>
      </c>
      <c r="L321" s="61">
        <v>40</v>
      </c>
      <c r="M321" s="61">
        <v>4</v>
      </c>
      <c r="N321" s="27">
        <v>45709</v>
      </c>
      <c r="O321" s="18" t="s">
        <v>21</v>
      </c>
      <c r="P321" s="18" t="s">
        <v>25</v>
      </c>
      <c r="Q321" s="18" t="s">
        <v>663</v>
      </c>
      <c r="R321" s="18" t="s">
        <v>136</v>
      </c>
      <c r="S321" s="18">
        <v>7103</v>
      </c>
      <c r="T321" s="17" t="s">
        <v>22</v>
      </c>
      <c r="U321" s="18" t="s">
        <v>19</v>
      </c>
      <c r="V321" s="17"/>
    </row>
    <row r="322" spans="1:22" x14ac:dyDescent="0.3">
      <c r="A322" s="18" t="e">
        <f t="shared" si="6"/>
        <v>#REF!</v>
      </c>
      <c r="B322" s="17">
        <v>76</v>
      </c>
      <c r="C322" s="22" t="s">
        <v>20</v>
      </c>
      <c r="D322" s="17" t="s">
        <v>688</v>
      </c>
      <c r="E322" s="20">
        <v>45700</v>
      </c>
      <c r="F322" s="21" t="s">
        <v>84</v>
      </c>
      <c r="G322" s="49" t="s">
        <v>689</v>
      </c>
      <c r="H322" s="57">
        <v>92789.9</v>
      </c>
      <c r="I322" s="20">
        <v>45701</v>
      </c>
      <c r="J322" s="18"/>
      <c r="K322" s="17">
        <v>70</v>
      </c>
      <c r="L322" s="61">
        <v>70</v>
      </c>
      <c r="M322" s="61">
        <v>7</v>
      </c>
      <c r="N322" s="27">
        <v>45709</v>
      </c>
      <c r="O322" s="18" t="s">
        <v>21</v>
      </c>
      <c r="P322" s="18" t="s">
        <v>25</v>
      </c>
      <c r="Q322" s="18" t="s">
        <v>663</v>
      </c>
      <c r="R322" s="18" t="s">
        <v>136</v>
      </c>
      <c r="S322" s="18">
        <v>7107</v>
      </c>
      <c r="T322" s="17" t="s">
        <v>22</v>
      </c>
      <c r="U322" s="18" t="s">
        <v>690</v>
      </c>
      <c r="V322" s="17"/>
    </row>
    <row r="323" spans="1:22" x14ac:dyDescent="0.3">
      <c r="A323" s="18" t="e">
        <f t="shared" si="6"/>
        <v>#REF!</v>
      </c>
      <c r="B323" s="17">
        <v>77</v>
      </c>
      <c r="C323" s="22" t="s">
        <v>23</v>
      </c>
      <c r="D323" s="17" t="s">
        <v>691</v>
      </c>
      <c r="E323" s="16">
        <v>45707</v>
      </c>
      <c r="F323" s="21" t="s">
        <v>35</v>
      </c>
      <c r="G323" s="49" t="s">
        <v>692</v>
      </c>
      <c r="H323" s="57">
        <v>60476.88</v>
      </c>
      <c r="I323" s="16">
        <v>45708</v>
      </c>
      <c r="J323" s="18"/>
      <c r="K323" s="17">
        <v>7</v>
      </c>
      <c r="L323" s="61">
        <v>168</v>
      </c>
      <c r="M323" s="61">
        <v>7</v>
      </c>
      <c r="N323" s="27">
        <v>45709</v>
      </c>
      <c r="O323" s="18" t="s">
        <v>21</v>
      </c>
      <c r="P323" s="18" t="s">
        <v>25</v>
      </c>
      <c r="Q323" s="18" t="s">
        <v>141</v>
      </c>
      <c r="R323" s="18" t="s">
        <v>136</v>
      </c>
      <c r="S323" s="18">
        <v>7120</v>
      </c>
      <c r="T323" s="17" t="s">
        <v>22</v>
      </c>
      <c r="U323" s="18" t="s">
        <v>19</v>
      </c>
      <c r="V323" s="17"/>
    </row>
    <row r="324" spans="1:22" x14ac:dyDescent="0.3">
      <c r="A324" s="18" t="e">
        <f t="shared" si="6"/>
        <v>#REF!</v>
      </c>
      <c r="B324" s="17">
        <v>77</v>
      </c>
      <c r="C324" s="22" t="s">
        <v>23</v>
      </c>
      <c r="D324" s="17" t="s">
        <v>693</v>
      </c>
      <c r="E324" s="16">
        <v>45707</v>
      </c>
      <c r="F324" s="21" t="s">
        <v>28</v>
      </c>
      <c r="G324" s="49" t="s">
        <v>694</v>
      </c>
      <c r="H324" s="57">
        <v>319560</v>
      </c>
      <c r="I324" s="16">
        <v>45708</v>
      </c>
      <c r="J324" s="18"/>
      <c r="K324" s="17">
        <v>40</v>
      </c>
      <c r="L324" s="61">
        <v>960</v>
      </c>
      <c r="M324" s="61">
        <v>40</v>
      </c>
      <c r="N324" s="27">
        <v>45709</v>
      </c>
      <c r="O324" s="18" t="s">
        <v>21</v>
      </c>
      <c r="P324" s="18" t="s">
        <v>25</v>
      </c>
      <c r="Q324" s="18" t="s">
        <v>141</v>
      </c>
      <c r="R324" s="18" t="s">
        <v>136</v>
      </c>
      <c r="S324" s="18">
        <v>7111</v>
      </c>
      <c r="T324" s="17" t="s">
        <v>22</v>
      </c>
      <c r="U324" s="18" t="s">
        <v>19</v>
      </c>
      <c r="V324" s="17"/>
    </row>
    <row r="325" spans="1:22" x14ac:dyDescent="0.3">
      <c r="A325" s="18" t="e">
        <f t="shared" si="6"/>
        <v>#REF!</v>
      </c>
      <c r="B325" s="17">
        <v>77</v>
      </c>
      <c r="C325" s="22" t="s">
        <v>20</v>
      </c>
      <c r="D325" s="17" t="s">
        <v>695</v>
      </c>
      <c r="E325" s="16">
        <v>45705</v>
      </c>
      <c r="F325" s="21" t="s">
        <v>131</v>
      </c>
      <c r="G325" s="49" t="s">
        <v>696</v>
      </c>
      <c r="H325" s="57">
        <v>402316.05</v>
      </c>
      <c r="I325" s="16">
        <v>45708</v>
      </c>
      <c r="J325" s="18"/>
      <c r="K325" s="17">
        <v>391</v>
      </c>
      <c r="L325" s="61">
        <v>391</v>
      </c>
      <c r="M325" s="61">
        <v>39</v>
      </c>
      <c r="N325" s="27">
        <v>45709</v>
      </c>
      <c r="O325" s="18" t="s">
        <v>21</v>
      </c>
      <c r="P325" s="18" t="s">
        <v>25</v>
      </c>
      <c r="Q325" s="18" t="s">
        <v>141</v>
      </c>
      <c r="R325" s="18" t="s">
        <v>136</v>
      </c>
      <c r="S325" s="18">
        <v>7117</v>
      </c>
      <c r="T325" s="17" t="s">
        <v>22</v>
      </c>
      <c r="U325" s="18" t="s">
        <v>19</v>
      </c>
      <c r="V325" s="17"/>
    </row>
    <row r="326" spans="1:22" x14ac:dyDescent="0.3">
      <c r="A326" s="18" t="e">
        <f t="shared" si="6"/>
        <v>#REF!</v>
      </c>
      <c r="B326" s="17">
        <v>77</v>
      </c>
      <c r="C326" s="22" t="s">
        <v>23</v>
      </c>
      <c r="D326" s="17" t="s">
        <v>697</v>
      </c>
      <c r="E326" s="16">
        <v>45708</v>
      </c>
      <c r="F326" s="24" t="s">
        <v>41</v>
      </c>
      <c r="G326" s="49" t="s">
        <v>698</v>
      </c>
      <c r="H326" s="57">
        <v>36867.599999999999</v>
      </c>
      <c r="I326" s="16">
        <v>45709</v>
      </c>
      <c r="J326" s="18"/>
      <c r="K326" s="17">
        <v>5</v>
      </c>
      <c r="L326" s="61">
        <v>120</v>
      </c>
      <c r="M326" s="61">
        <v>5</v>
      </c>
      <c r="N326" s="27">
        <v>45709</v>
      </c>
      <c r="O326" s="18" t="s">
        <v>21</v>
      </c>
      <c r="P326" s="18" t="s">
        <v>25</v>
      </c>
      <c r="Q326" s="18" t="s">
        <v>141</v>
      </c>
      <c r="R326" s="18" t="s">
        <v>136</v>
      </c>
      <c r="S326" s="18">
        <v>7123</v>
      </c>
      <c r="T326" s="17" t="s">
        <v>22</v>
      </c>
      <c r="U326" s="18" t="s">
        <v>19</v>
      </c>
      <c r="V326" s="17"/>
    </row>
    <row r="327" spans="1:22" x14ac:dyDescent="0.3">
      <c r="A327" s="18" t="e">
        <f t="shared" si="6"/>
        <v>#REF!</v>
      </c>
      <c r="B327" s="17">
        <v>77</v>
      </c>
      <c r="C327" s="22" t="s">
        <v>23</v>
      </c>
      <c r="D327" s="17" t="s">
        <v>699</v>
      </c>
      <c r="E327" s="16">
        <v>45707</v>
      </c>
      <c r="F327" s="21" t="s">
        <v>58</v>
      </c>
      <c r="G327" s="49" t="s">
        <v>700</v>
      </c>
      <c r="H327" s="57">
        <v>410638.08000000002</v>
      </c>
      <c r="I327" s="16">
        <v>45709</v>
      </c>
      <c r="J327" s="18"/>
      <c r="K327" s="17">
        <v>41</v>
      </c>
      <c r="L327" s="61">
        <v>984</v>
      </c>
      <c r="M327" s="61">
        <v>41</v>
      </c>
      <c r="N327" s="27">
        <v>45709</v>
      </c>
      <c r="O327" s="18" t="s">
        <v>21</v>
      </c>
      <c r="P327" s="18" t="s">
        <v>25</v>
      </c>
      <c r="Q327" s="18" t="s">
        <v>141</v>
      </c>
      <c r="R327" s="18" t="s">
        <v>136</v>
      </c>
      <c r="S327" s="18">
        <v>7114</v>
      </c>
      <c r="T327" s="17" t="s">
        <v>22</v>
      </c>
      <c r="U327" s="18" t="s">
        <v>19</v>
      </c>
      <c r="V327" s="17"/>
    </row>
    <row r="328" spans="1:22" x14ac:dyDescent="0.3">
      <c r="A328" s="18" t="e">
        <f t="shared" si="6"/>
        <v>#REF!</v>
      </c>
      <c r="B328" s="17">
        <v>77</v>
      </c>
      <c r="C328" s="22" t="s">
        <v>23</v>
      </c>
      <c r="D328" s="17" t="s">
        <v>701</v>
      </c>
      <c r="E328" s="16">
        <v>45707</v>
      </c>
      <c r="F328" s="21" t="s">
        <v>28</v>
      </c>
      <c r="G328" s="49" t="s">
        <v>702</v>
      </c>
      <c r="H328" s="57">
        <v>44241.120000000003</v>
      </c>
      <c r="I328" s="16">
        <v>45708</v>
      </c>
      <c r="J328" s="18"/>
      <c r="K328" s="17">
        <v>6</v>
      </c>
      <c r="L328" s="61">
        <v>144</v>
      </c>
      <c r="M328" s="61">
        <v>6</v>
      </c>
      <c r="N328" s="27">
        <v>45709</v>
      </c>
      <c r="O328" s="18" t="s">
        <v>21</v>
      </c>
      <c r="P328" s="18" t="s">
        <v>25</v>
      </c>
      <c r="Q328" s="18" t="s">
        <v>141</v>
      </c>
      <c r="R328" s="18" t="s">
        <v>136</v>
      </c>
      <c r="S328" s="18">
        <v>7118</v>
      </c>
      <c r="T328" s="17" t="s">
        <v>22</v>
      </c>
      <c r="U328" s="18" t="s">
        <v>19</v>
      </c>
      <c r="V328" s="17"/>
    </row>
    <row r="329" spans="1:22" x14ac:dyDescent="0.3">
      <c r="A329" s="18" t="e">
        <f t="shared" si="6"/>
        <v>#REF!</v>
      </c>
      <c r="B329" s="17">
        <v>77</v>
      </c>
      <c r="C329" s="22" t="s">
        <v>20</v>
      </c>
      <c r="D329" s="17" t="s">
        <v>703</v>
      </c>
      <c r="E329" s="16">
        <v>45706</v>
      </c>
      <c r="F329" s="21" t="s">
        <v>28</v>
      </c>
      <c r="G329" s="49" t="s">
        <v>704</v>
      </c>
      <c r="H329" s="57">
        <v>119560.8</v>
      </c>
      <c r="I329" s="16">
        <v>45707</v>
      </c>
      <c r="J329" s="18"/>
      <c r="K329" s="17">
        <v>80</v>
      </c>
      <c r="L329" s="61">
        <v>80</v>
      </c>
      <c r="M329" s="61">
        <v>8</v>
      </c>
      <c r="N329" s="27">
        <v>45709</v>
      </c>
      <c r="O329" s="18" t="s">
        <v>21</v>
      </c>
      <c r="P329" s="18" t="s">
        <v>25</v>
      </c>
      <c r="Q329" s="18" t="s">
        <v>141</v>
      </c>
      <c r="R329" s="18" t="s">
        <v>136</v>
      </c>
      <c r="S329" s="18">
        <v>7119</v>
      </c>
      <c r="T329" s="17" t="s">
        <v>22</v>
      </c>
      <c r="U329" s="18" t="s">
        <v>19</v>
      </c>
      <c r="V329" s="17"/>
    </row>
    <row r="330" spans="1:22" x14ac:dyDescent="0.3">
      <c r="A330" s="18" t="e">
        <f t="shared" si="6"/>
        <v>#REF!</v>
      </c>
      <c r="B330" s="17">
        <v>77</v>
      </c>
      <c r="C330" s="22" t="s">
        <v>23</v>
      </c>
      <c r="D330" s="17" t="s">
        <v>705</v>
      </c>
      <c r="E330" s="16">
        <v>45707</v>
      </c>
      <c r="F330" s="21" t="s">
        <v>24</v>
      </c>
      <c r="G330" s="49" t="s">
        <v>706</v>
      </c>
      <c r="H330" s="57">
        <v>58988.160000000003</v>
      </c>
      <c r="I330" s="16">
        <v>45708</v>
      </c>
      <c r="J330" s="18"/>
      <c r="K330" s="17">
        <v>8</v>
      </c>
      <c r="L330" s="61">
        <v>192</v>
      </c>
      <c r="M330" s="61">
        <v>8</v>
      </c>
      <c r="N330" s="27">
        <v>45709</v>
      </c>
      <c r="O330" s="18" t="s">
        <v>21</v>
      </c>
      <c r="P330" s="18" t="s">
        <v>25</v>
      </c>
      <c r="Q330" s="18" t="s">
        <v>141</v>
      </c>
      <c r="R330" s="18" t="s">
        <v>136</v>
      </c>
      <c r="S330" s="18">
        <v>7113</v>
      </c>
      <c r="T330" s="17" t="s">
        <v>22</v>
      </c>
      <c r="U330" s="18" t="s">
        <v>19</v>
      </c>
      <c r="V330" s="17"/>
    </row>
    <row r="331" spans="1:22" x14ac:dyDescent="0.3">
      <c r="A331" s="18" t="e">
        <f t="shared" si="6"/>
        <v>#REF!</v>
      </c>
      <c r="B331" s="17">
        <v>77</v>
      </c>
      <c r="C331" s="22" t="s">
        <v>23</v>
      </c>
      <c r="D331" s="17" t="s">
        <v>707</v>
      </c>
      <c r="E331" s="16">
        <v>45708</v>
      </c>
      <c r="F331" s="21" t="s">
        <v>123</v>
      </c>
      <c r="G331" s="49" t="s">
        <v>708</v>
      </c>
      <c r="H331" s="57">
        <v>36892.080000000002</v>
      </c>
      <c r="I331" s="16">
        <v>45709</v>
      </c>
      <c r="J331" s="18"/>
      <c r="K331" s="17">
        <v>3</v>
      </c>
      <c r="L331" s="61">
        <v>72</v>
      </c>
      <c r="M331" s="61">
        <v>3</v>
      </c>
      <c r="N331" s="27">
        <v>45709</v>
      </c>
      <c r="O331" s="18" t="s">
        <v>21</v>
      </c>
      <c r="P331" s="18" t="s">
        <v>25</v>
      </c>
      <c r="Q331" s="18" t="s">
        <v>141</v>
      </c>
      <c r="R331" s="18" t="s">
        <v>136</v>
      </c>
      <c r="S331" s="18">
        <v>7122</v>
      </c>
      <c r="T331" s="17" t="s">
        <v>22</v>
      </c>
      <c r="U331" s="18" t="s">
        <v>19</v>
      </c>
      <c r="V331" s="17"/>
    </row>
    <row r="332" spans="1:22" x14ac:dyDescent="0.3">
      <c r="A332" s="18" t="e">
        <f t="shared" si="6"/>
        <v>#REF!</v>
      </c>
      <c r="B332" s="17">
        <v>77</v>
      </c>
      <c r="C332" s="22" t="s">
        <v>23</v>
      </c>
      <c r="D332" s="17" t="s">
        <v>709</v>
      </c>
      <c r="E332" s="16">
        <v>45707</v>
      </c>
      <c r="F332" s="21" t="s">
        <v>64</v>
      </c>
      <c r="G332" s="49" t="s">
        <v>710</v>
      </c>
      <c r="H332" s="57">
        <v>36867.599999999999</v>
      </c>
      <c r="I332" s="16">
        <v>45708</v>
      </c>
      <c r="J332" s="18"/>
      <c r="K332" s="17">
        <v>5</v>
      </c>
      <c r="L332" s="61">
        <v>120</v>
      </c>
      <c r="M332" s="61">
        <v>5</v>
      </c>
      <c r="N332" s="27">
        <v>45709</v>
      </c>
      <c r="O332" s="18" t="s">
        <v>21</v>
      </c>
      <c r="P332" s="18" t="s">
        <v>25</v>
      </c>
      <c r="Q332" s="18" t="s">
        <v>141</v>
      </c>
      <c r="R332" s="18" t="s">
        <v>136</v>
      </c>
      <c r="S332" s="18">
        <v>7116</v>
      </c>
      <c r="T332" s="17" t="s">
        <v>22</v>
      </c>
      <c r="U332" s="18" t="s">
        <v>19</v>
      </c>
      <c r="V332" s="17"/>
    </row>
    <row r="333" spans="1:22" x14ac:dyDescent="0.3">
      <c r="A333" s="18" t="e">
        <f t="shared" si="6"/>
        <v>#REF!</v>
      </c>
      <c r="B333" s="17">
        <v>77</v>
      </c>
      <c r="C333" s="22" t="s">
        <v>23</v>
      </c>
      <c r="D333" s="17" t="s">
        <v>711</v>
      </c>
      <c r="E333" s="16">
        <v>45707</v>
      </c>
      <c r="F333" s="21" t="s">
        <v>43</v>
      </c>
      <c r="G333" s="49" t="s">
        <v>712</v>
      </c>
      <c r="H333" s="57">
        <v>140760.72</v>
      </c>
      <c r="I333" s="16">
        <v>45708</v>
      </c>
      <c r="J333" s="18"/>
      <c r="K333" s="17">
        <v>15</v>
      </c>
      <c r="L333" s="61">
        <v>360</v>
      </c>
      <c r="M333" s="61">
        <v>15</v>
      </c>
      <c r="N333" s="27">
        <v>45709</v>
      </c>
      <c r="O333" s="18" t="s">
        <v>21</v>
      </c>
      <c r="P333" s="18" t="s">
        <v>25</v>
      </c>
      <c r="Q333" s="18" t="s">
        <v>141</v>
      </c>
      <c r="R333" s="18" t="s">
        <v>136</v>
      </c>
      <c r="S333" s="18">
        <v>7115</v>
      </c>
      <c r="T333" s="17" t="s">
        <v>22</v>
      </c>
      <c r="U333" s="18" t="s">
        <v>19</v>
      </c>
      <c r="V333" s="17"/>
    </row>
    <row r="334" spans="1:22" x14ac:dyDescent="0.3">
      <c r="A334" s="18" t="e">
        <f t="shared" si="6"/>
        <v>#REF!</v>
      </c>
      <c r="B334" s="17">
        <v>77</v>
      </c>
      <c r="C334" s="22" t="s">
        <v>23</v>
      </c>
      <c r="D334" s="17" t="s">
        <v>713</v>
      </c>
      <c r="E334" s="20">
        <v>45674</v>
      </c>
      <c r="F334" s="21" t="s">
        <v>58</v>
      </c>
      <c r="G334" s="49" t="s">
        <v>714</v>
      </c>
      <c r="H334" s="57">
        <v>74990.64</v>
      </c>
      <c r="I334" s="16">
        <v>45707</v>
      </c>
      <c r="J334" s="18"/>
      <c r="K334" s="17">
        <v>8</v>
      </c>
      <c r="L334" s="61">
        <v>192</v>
      </c>
      <c r="M334" s="61">
        <v>8</v>
      </c>
      <c r="N334" s="27">
        <v>45709</v>
      </c>
      <c r="O334" s="18" t="s">
        <v>21</v>
      </c>
      <c r="P334" s="18" t="s">
        <v>25</v>
      </c>
      <c r="Q334" s="18" t="s">
        <v>141</v>
      </c>
      <c r="R334" s="18" t="s">
        <v>136</v>
      </c>
      <c r="S334" s="18">
        <v>7121</v>
      </c>
      <c r="T334" s="17" t="s">
        <v>22</v>
      </c>
      <c r="U334" s="18" t="s">
        <v>19</v>
      </c>
      <c r="V334" s="17"/>
    </row>
    <row r="335" spans="1:22" x14ac:dyDescent="0.3">
      <c r="A335" s="18" t="e">
        <f t="shared" si="6"/>
        <v>#REF!</v>
      </c>
      <c r="B335" s="17">
        <v>77</v>
      </c>
      <c r="C335" s="22" t="s">
        <v>23</v>
      </c>
      <c r="D335" s="17" t="s">
        <v>715</v>
      </c>
      <c r="E335" s="16">
        <v>45708</v>
      </c>
      <c r="F335" s="21" t="s">
        <v>53</v>
      </c>
      <c r="G335" s="49" t="s">
        <v>716</v>
      </c>
      <c r="H335" s="57">
        <v>83582.880000000005</v>
      </c>
      <c r="I335" s="16">
        <v>45709</v>
      </c>
      <c r="J335" s="18"/>
      <c r="K335" s="17">
        <v>10</v>
      </c>
      <c r="L335" s="61">
        <v>240</v>
      </c>
      <c r="M335" s="61">
        <v>10</v>
      </c>
      <c r="N335" s="27">
        <v>45709</v>
      </c>
      <c r="O335" s="18" t="s">
        <v>21</v>
      </c>
      <c r="P335" s="18" t="s">
        <v>25</v>
      </c>
      <c r="Q335" s="18" t="s">
        <v>141</v>
      </c>
      <c r="R335" s="18" t="s">
        <v>136</v>
      </c>
      <c r="S335" s="18">
        <v>7124</v>
      </c>
      <c r="T335" s="17" t="s">
        <v>22</v>
      </c>
      <c r="U335" s="18" t="s">
        <v>19</v>
      </c>
      <c r="V335" s="17"/>
    </row>
    <row r="336" spans="1:22" x14ac:dyDescent="0.3">
      <c r="A336" s="18" t="e">
        <f t="shared" si="6"/>
        <v>#REF!</v>
      </c>
      <c r="B336" s="17">
        <v>77</v>
      </c>
      <c r="C336" s="22" t="s">
        <v>23</v>
      </c>
      <c r="D336" s="17" t="s">
        <v>717</v>
      </c>
      <c r="E336" s="16">
        <v>45707</v>
      </c>
      <c r="F336" s="21" t="s">
        <v>123</v>
      </c>
      <c r="G336" s="49" t="s">
        <v>718</v>
      </c>
      <c r="H336" s="57">
        <v>277213.2</v>
      </c>
      <c r="I336" s="16">
        <v>45708</v>
      </c>
      <c r="J336" s="18"/>
      <c r="K336" s="17">
        <v>30</v>
      </c>
      <c r="L336" s="61">
        <v>720</v>
      </c>
      <c r="M336" s="61">
        <v>30</v>
      </c>
      <c r="N336" s="27">
        <v>45709</v>
      </c>
      <c r="O336" s="18" t="s">
        <v>21</v>
      </c>
      <c r="P336" s="18" t="s">
        <v>25</v>
      </c>
      <c r="Q336" s="18" t="s">
        <v>141</v>
      </c>
      <c r="R336" s="18" t="s">
        <v>136</v>
      </c>
      <c r="S336" s="18">
        <v>7112</v>
      </c>
      <c r="T336" s="17" t="s">
        <v>22</v>
      </c>
      <c r="U336" s="18" t="s">
        <v>19</v>
      </c>
      <c r="V336" s="17"/>
    </row>
    <row r="337" spans="1:22" x14ac:dyDescent="0.3">
      <c r="A337" s="18" t="e">
        <f t="shared" si="6"/>
        <v>#REF!</v>
      </c>
      <c r="B337" s="17">
        <v>78</v>
      </c>
      <c r="C337" s="22" t="s">
        <v>20</v>
      </c>
      <c r="D337" s="17" t="s">
        <v>719</v>
      </c>
      <c r="E337" s="16">
        <v>45709</v>
      </c>
      <c r="F337" s="21" t="s">
        <v>113</v>
      </c>
      <c r="G337" s="49" t="s">
        <v>720</v>
      </c>
      <c r="H337" s="57">
        <v>120561.39</v>
      </c>
      <c r="I337" s="16">
        <v>45710</v>
      </c>
      <c r="J337" s="18"/>
      <c r="K337" s="17">
        <v>89</v>
      </c>
      <c r="L337" s="61">
        <v>89</v>
      </c>
      <c r="M337" s="61">
        <v>9</v>
      </c>
      <c r="N337" s="27">
        <v>45711</v>
      </c>
      <c r="O337" s="18" t="s">
        <v>21</v>
      </c>
      <c r="P337" s="18" t="s">
        <v>25</v>
      </c>
      <c r="Q337" s="18" t="s">
        <v>663</v>
      </c>
      <c r="R337" s="18" t="s">
        <v>136</v>
      </c>
      <c r="S337" s="18">
        <v>7126</v>
      </c>
      <c r="T337" s="17" t="s">
        <v>22</v>
      </c>
      <c r="U337" s="18" t="s">
        <v>19</v>
      </c>
      <c r="V337" s="17"/>
    </row>
    <row r="338" spans="1:22" x14ac:dyDescent="0.3">
      <c r="A338" s="18" t="e">
        <f t="shared" si="6"/>
        <v>#REF!</v>
      </c>
      <c r="B338" s="17">
        <v>78</v>
      </c>
      <c r="C338" s="22" t="s">
        <v>23</v>
      </c>
      <c r="D338" s="17" t="s">
        <v>721</v>
      </c>
      <c r="E338" s="16">
        <v>45709</v>
      </c>
      <c r="F338" s="25" t="s">
        <v>122</v>
      </c>
      <c r="G338" s="49" t="s">
        <v>722</v>
      </c>
      <c r="H338" s="57">
        <v>335622.24</v>
      </c>
      <c r="I338" s="16">
        <v>45710</v>
      </c>
      <c r="J338" s="18"/>
      <c r="K338" s="17">
        <v>35</v>
      </c>
      <c r="L338" s="61">
        <v>840</v>
      </c>
      <c r="M338" s="61">
        <v>35</v>
      </c>
      <c r="N338" s="27">
        <v>45711</v>
      </c>
      <c r="O338" s="18" t="s">
        <v>21</v>
      </c>
      <c r="P338" s="18" t="s">
        <v>25</v>
      </c>
      <c r="Q338" s="18" t="s">
        <v>663</v>
      </c>
      <c r="R338" s="18" t="s">
        <v>136</v>
      </c>
      <c r="S338" s="18">
        <v>7129</v>
      </c>
      <c r="T338" s="17" t="s">
        <v>22</v>
      </c>
      <c r="U338" s="18" t="s">
        <v>19</v>
      </c>
      <c r="V338" s="17"/>
    </row>
    <row r="339" spans="1:22" x14ac:dyDescent="0.3">
      <c r="A339" s="18" t="e">
        <f t="shared" si="6"/>
        <v>#REF!</v>
      </c>
      <c r="B339" s="17">
        <v>78</v>
      </c>
      <c r="C339" s="22" t="s">
        <v>23</v>
      </c>
      <c r="D339" s="17" t="s">
        <v>723</v>
      </c>
      <c r="E339" s="16">
        <v>45708</v>
      </c>
      <c r="F339" s="24" t="s">
        <v>41</v>
      </c>
      <c r="G339" s="49" t="s">
        <v>724</v>
      </c>
      <c r="H339" s="57">
        <v>230737.2</v>
      </c>
      <c r="I339" s="16">
        <v>45710</v>
      </c>
      <c r="J339" s="18"/>
      <c r="K339" s="17">
        <v>25</v>
      </c>
      <c r="L339" s="61">
        <v>600</v>
      </c>
      <c r="M339" s="61">
        <v>25</v>
      </c>
      <c r="N339" s="27">
        <v>45711</v>
      </c>
      <c r="O339" s="18" t="s">
        <v>21</v>
      </c>
      <c r="P339" s="18" t="s">
        <v>25</v>
      </c>
      <c r="Q339" s="18" t="s">
        <v>663</v>
      </c>
      <c r="R339" s="18" t="s">
        <v>136</v>
      </c>
      <c r="S339" s="18">
        <v>7127</v>
      </c>
      <c r="T339" s="17" t="s">
        <v>22</v>
      </c>
      <c r="U339" s="18" t="s">
        <v>19</v>
      </c>
      <c r="V339" s="17"/>
    </row>
    <row r="340" spans="1:22" x14ac:dyDescent="0.3">
      <c r="A340" s="18" t="e">
        <f t="shared" si="6"/>
        <v>#REF!</v>
      </c>
      <c r="B340" s="17">
        <v>78</v>
      </c>
      <c r="C340" s="22" t="s">
        <v>23</v>
      </c>
      <c r="D340" s="17" t="s">
        <v>725</v>
      </c>
      <c r="E340" s="16">
        <v>45709</v>
      </c>
      <c r="F340" s="21" t="s">
        <v>130</v>
      </c>
      <c r="G340" s="49" t="s">
        <v>726</v>
      </c>
      <c r="H340" s="57">
        <v>188719.2</v>
      </c>
      <c r="I340" s="16">
        <v>45710</v>
      </c>
      <c r="J340" s="18"/>
      <c r="K340" s="17">
        <v>19</v>
      </c>
      <c r="L340" s="61">
        <v>456</v>
      </c>
      <c r="M340" s="61">
        <v>19</v>
      </c>
      <c r="N340" s="27">
        <v>45711</v>
      </c>
      <c r="O340" s="18" t="s">
        <v>21</v>
      </c>
      <c r="P340" s="18" t="s">
        <v>25</v>
      </c>
      <c r="Q340" s="18" t="s">
        <v>663</v>
      </c>
      <c r="R340" s="18" t="s">
        <v>136</v>
      </c>
      <c r="S340" s="18">
        <v>7128</v>
      </c>
      <c r="T340" s="17" t="s">
        <v>22</v>
      </c>
      <c r="U340" s="18" t="s">
        <v>19</v>
      </c>
      <c r="V340" s="17"/>
    </row>
    <row r="341" spans="1:22" x14ac:dyDescent="0.3">
      <c r="A341" s="18" t="e">
        <f t="shared" si="6"/>
        <v>#REF!</v>
      </c>
      <c r="B341" s="17">
        <v>78</v>
      </c>
      <c r="C341" s="22" t="s">
        <v>20</v>
      </c>
      <c r="D341" s="17" t="s">
        <v>727</v>
      </c>
      <c r="E341" s="20">
        <v>45699</v>
      </c>
      <c r="F341" s="23" t="s">
        <v>728</v>
      </c>
      <c r="G341" s="49" t="s">
        <v>729</v>
      </c>
      <c r="H341" s="57">
        <v>265067.2</v>
      </c>
      <c r="I341" s="16">
        <v>45710</v>
      </c>
      <c r="J341" s="18"/>
      <c r="K341" s="17">
        <v>200</v>
      </c>
      <c r="L341" s="61">
        <v>200</v>
      </c>
      <c r="M341" s="61">
        <v>20</v>
      </c>
      <c r="N341" s="27">
        <v>45711</v>
      </c>
      <c r="O341" s="18" t="s">
        <v>21</v>
      </c>
      <c r="P341" s="18" t="s">
        <v>25</v>
      </c>
      <c r="Q341" s="18" t="s">
        <v>663</v>
      </c>
      <c r="R341" s="18" t="s">
        <v>136</v>
      </c>
      <c r="S341" s="18">
        <v>7125</v>
      </c>
      <c r="T341" s="17" t="s">
        <v>22</v>
      </c>
      <c r="U341" s="18" t="s">
        <v>19</v>
      </c>
      <c r="V341" s="17"/>
    </row>
    <row r="342" spans="1:22" x14ac:dyDescent="0.3">
      <c r="A342" s="18" t="e">
        <f t="shared" si="6"/>
        <v>#REF!</v>
      </c>
      <c r="B342" s="17">
        <v>78</v>
      </c>
      <c r="C342" s="22" t="s">
        <v>20</v>
      </c>
      <c r="D342" s="17" t="s">
        <v>730</v>
      </c>
      <c r="E342" s="16">
        <v>45709</v>
      </c>
      <c r="F342" s="25" t="s">
        <v>122</v>
      </c>
      <c r="G342" s="49" t="s">
        <v>731</v>
      </c>
      <c r="H342" s="57">
        <v>234449.74</v>
      </c>
      <c r="I342" s="16">
        <v>45710</v>
      </c>
      <c r="J342" s="18"/>
      <c r="K342" s="17">
        <v>206</v>
      </c>
      <c r="L342" s="61">
        <v>206</v>
      </c>
      <c r="M342" s="61">
        <v>20</v>
      </c>
      <c r="N342" s="27">
        <v>45711</v>
      </c>
      <c r="O342" s="18" t="s">
        <v>21</v>
      </c>
      <c r="P342" s="18" t="s">
        <v>25</v>
      </c>
      <c r="Q342" s="18" t="s">
        <v>663</v>
      </c>
      <c r="R342" s="18" t="s">
        <v>136</v>
      </c>
      <c r="S342" s="18">
        <v>7130</v>
      </c>
      <c r="T342" s="17" t="s">
        <v>22</v>
      </c>
      <c r="U342" s="18" t="s">
        <v>19</v>
      </c>
      <c r="V342" s="17"/>
    </row>
    <row r="343" spans="1:22" x14ac:dyDescent="0.3">
      <c r="A343" s="18" t="e">
        <f t="shared" si="6"/>
        <v>#REF!</v>
      </c>
      <c r="B343" s="17">
        <v>78</v>
      </c>
      <c r="C343" s="22" t="s">
        <v>23</v>
      </c>
      <c r="D343" s="17" t="s">
        <v>732</v>
      </c>
      <c r="E343" s="16">
        <v>45708</v>
      </c>
      <c r="F343" s="21" t="s">
        <v>28</v>
      </c>
      <c r="G343" s="49" t="s">
        <v>733</v>
      </c>
      <c r="H343" s="57">
        <v>134224.32000000001</v>
      </c>
      <c r="I343" s="16">
        <v>45709</v>
      </c>
      <c r="J343" s="18"/>
      <c r="K343" s="17">
        <v>16</v>
      </c>
      <c r="L343" s="61">
        <v>384</v>
      </c>
      <c r="M343" s="61">
        <v>16</v>
      </c>
      <c r="N343" s="27">
        <v>45711</v>
      </c>
      <c r="O343" s="18" t="s">
        <v>21</v>
      </c>
      <c r="P343" s="18" t="s">
        <v>25</v>
      </c>
      <c r="Q343" s="18" t="s">
        <v>663</v>
      </c>
      <c r="R343" s="18" t="s">
        <v>136</v>
      </c>
      <c r="S343" s="18">
        <v>7131</v>
      </c>
      <c r="T343" s="17" t="s">
        <v>22</v>
      </c>
      <c r="U343" s="18" t="s">
        <v>19</v>
      </c>
      <c r="V343" s="17"/>
    </row>
    <row r="344" spans="1:22" x14ac:dyDescent="0.3">
      <c r="A344" s="18" t="e">
        <f t="shared" si="6"/>
        <v>#REF!</v>
      </c>
      <c r="B344" s="17">
        <v>78</v>
      </c>
      <c r="C344" s="22" t="s">
        <v>23</v>
      </c>
      <c r="D344" s="17" t="s">
        <v>734</v>
      </c>
      <c r="E344" s="16">
        <v>45709</v>
      </c>
      <c r="F344" s="21" t="s">
        <v>28</v>
      </c>
      <c r="G344" s="49" t="s">
        <v>735</v>
      </c>
      <c r="H344" s="57">
        <v>88555.68</v>
      </c>
      <c r="I344" s="16">
        <v>45710</v>
      </c>
      <c r="J344" s="18"/>
      <c r="K344" s="17">
        <v>6</v>
      </c>
      <c r="L344" s="61">
        <v>144</v>
      </c>
      <c r="M344" s="61">
        <v>6</v>
      </c>
      <c r="N344" s="27">
        <v>45711</v>
      </c>
      <c r="O344" s="18" t="s">
        <v>21</v>
      </c>
      <c r="P344" s="18" t="s">
        <v>25</v>
      </c>
      <c r="Q344" s="18" t="s">
        <v>663</v>
      </c>
      <c r="R344" s="18" t="s">
        <v>136</v>
      </c>
      <c r="S344" s="18">
        <v>7132</v>
      </c>
      <c r="T344" s="17" t="s">
        <v>22</v>
      </c>
      <c r="U344" s="18" t="s">
        <v>19</v>
      </c>
      <c r="V344" s="17"/>
    </row>
    <row r="345" spans="1:22" x14ac:dyDescent="0.3">
      <c r="A345" s="18" t="e">
        <f t="shared" si="6"/>
        <v>#REF!</v>
      </c>
      <c r="B345" s="17">
        <v>78</v>
      </c>
      <c r="C345" s="22" t="s">
        <v>23</v>
      </c>
      <c r="D345" s="29" t="s">
        <v>736</v>
      </c>
      <c r="E345" s="20">
        <v>45670</v>
      </c>
      <c r="F345" s="23" t="s">
        <v>66</v>
      </c>
      <c r="G345" s="49" t="s">
        <v>737</v>
      </c>
      <c r="H345" s="57">
        <v>55934.879999999997</v>
      </c>
      <c r="I345" s="16">
        <v>45710</v>
      </c>
      <c r="J345" s="18"/>
      <c r="K345" s="17">
        <v>6</v>
      </c>
      <c r="L345" s="61">
        <v>144</v>
      </c>
      <c r="M345" s="61">
        <v>6</v>
      </c>
      <c r="N345" s="27">
        <v>45711</v>
      </c>
      <c r="O345" s="18" t="s">
        <v>21</v>
      </c>
      <c r="P345" s="18" t="s">
        <v>25</v>
      </c>
      <c r="Q345" s="18" t="s">
        <v>663</v>
      </c>
      <c r="R345" s="18" t="s">
        <v>136</v>
      </c>
      <c r="S345" s="18">
        <v>7133</v>
      </c>
      <c r="T345" s="17" t="s">
        <v>22</v>
      </c>
      <c r="U345" s="18" t="s">
        <v>19</v>
      </c>
      <c r="V345" s="17"/>
    </row>
    <row r="346" spans="1:22" x14ac:dyDescent="0.3">
      <c r="A346" s="18" t="e">
        <f t="shared" si="6"/>
        <v>#REF!</v>
      </c>
      <c r="B346" s="17">
        <v>78</v>
      </c>
      <c r="C346" s="22" t="s">
        <v>23</v>
      </c>
      <c r="D346" s="29" t="s">
        <v>738</v>
      </c>
      <c r="E346" s="16">
        <v>45709</v>
      </c>
      <c r="F346" s="24" t="s">
        <v>41</v>
      </c>
      <c r="G346" s="49" t="s">
        <v>739</v>
      </c>
      <c r="H346" s="57">
        <v>49177.2</v>
      </c>
      <c r="I346" s="16">
        <v>45710</v>
      </c>
      <c r="J346" s="18"/>
      <c r="K346" s="17">
        <v>10</v>
      </c>
      <c r="L346" s="61">
        <v>120</v>
      </c>
      <c r="M346" s="61">
        <v>10</v>
      </c>
      <c r="N346" s="27">
        <v>45711</v>
      </c>
      <c r="O346" s="18" t="s">
        <v>21</v>
      </c>
      <c r="P346" s="18" t="s">
        <v>25</v>
      </c>
      <c r="Q346" s="18" t="s">
        <v>663</v>
      </c>
      <c r="R346" s="18" t="s">
        <v>136</v>
      </c>
      <c r="S346" s="18">
        <v>7134</v>
      </c>
      <c r="T346" s="17" t="s">
        <v>22</v>
      </c>
      <c r="U346" s="18" t="s">
        <v>19</v>
      </c>
      <c r="V346" s="17"/>
    </row>
    <row r="347" spans="1:22" x14ac:dyDescent="0.3">
      <c r="A347" s="18" t="e">
        <f t="shared" si="6"/>
        <v>#REF!</v>
      </c>
      <c r="B347" s="17">
        <v>79</v>
      </c>
      <c r="C347" s="22" t="s">
        <v>23</v>
      </c>
      <c r="D347" s="17" t="s">
        <v>740</v>
      </c>
      <c r="E347" s="16">
        <v>45708</v>
      </c>
      <c r="F347" s="24" t="s">
        <v>41</v>
      </c>
      <c r="G347" s="49" t="s">
        <v>741</v>
      </c>
      <c r="H347" s="57">
        <v>330120.24</v>
      </c>
      <c r="I347" s="16">
        <v>45713</v>
      </c>
      <c r="J347" s="18"/>
      <c r="K347" s="17">
        <v>32</v>
      </c>
      <c r="L347" s="61">
        <v>768</v>
      </c>
      <c r="M347" s="61">
        <v>32</v>
      </c>
      <c r="N347" s="27">
        <v>45713</v>
      </c>
      <c r="O347" s="18" t="s">
        <v>21</v>
      </c>
      <c r="P347" s="18" t="s">
        <v>25</v>
      </c>
      <c r="Q347" s="18" t="s">
        <v>663</v>
      </c>
      <c r="R347" s="18" t="s">
        <v>136</v>
      </c>
      <c r="S347" s="18">
        <v>7143</v>
      </c>
      <c r="T347" s="17" t="s">
        <v>22</v>
      </c>
      <c r="U347" s="18" t="s">
        <v>19</v>
      </c>
      <c r="V347" s="17"/>
    </row>
    <row r="348" spans="1:22" x14ac:dyDescent="0.3">
      <c r="A348" s="18" t="e">
        <f t="shared" si="6"/>
        <v>#REF!</v>
      </c>
      <c r="B348" s="17">
        <v>79</v>
      </c>
      <c r="C348" s="22" t="s">
        <v>23</v>
      </c>
      <c r="D348" s="17" t="s">
        <v>742</v>
      </c>
      <c r="E348" s="16">
        <v>45709</v>
      </c>
      <c r="F348" s="26" t="s">
        <v>129</v>
      </c>
      <c r="G348" s="49" t="s">
        <v>743</v>
      </c>
      <c r="H348" s="57">
        <v>344540.15999999997</v>
      </c>
      <c r="I348" s="16">
        <v>45713</v>
      </c>
      <c r="J348" s="18"/>
      <c r="K348" s="17">
        <v>40</v>
      </c>
      <c r="L348" s="61">
        <v>864</v>
      </c>
      <c r="M348" s="61">
        <v>39</v>
      </c>
      <c r="N348" s="27">
        <v>45713</v>
      </c>
      <c r="O348" s="18" t="s">
        <v>21</v>
      </c>
      <c r="P348" s="18" t="s">
        <v>25</v>
      </c>
      <c r="Q348" s="18" t="s">
        <v>663</v>
      </c>
      <c r="R348" s="18" t="s">
        <v>136</v>
      </c>
      <c r="S348" s="18">
        <v>7139</v>
      </c>
      <c r="T348" s="17" t="s">
        <v>22</v>
      </c>
      <c r="U348" s="18" t="s">
        <v>19</v>
      </c>
      <c r="V348" s="17"/>
    </row>
    <row r="349" spans="1:22" x14ac:dyDescent="0.3">
      <c r="A349" s="18" t="e">
        <f t="shared" si="6"/>
        <v>#REF!</v>
      </c>
      <c r="B349" s="17">
        <v>79</v>
      </c>
      <c r="C349" s="22" t="s">
        <v>23</v>
      </c>
      <c r="D349" s="17" t="s">
        <v>744</v>
      </c>
      <c r="E349" s="16">
        <v>45711</v>
      </c>
      <c r="F349" s="21" t="s">
        <v>28</v>
      </c>
      <c r="G349" s="49" t="s">
        <v>745</v>
      </c>
      <c r="H349" s="57">
        <v>55319.040000000001</v>
      </c>
      <c r="I349" s="16">
        <v>45712</v>
      </c>
      <c r="J349" s="18"/>
      <c r="K349" s="17">
        <v>6</v>
      </c>
      <c r="L349" s="61">
        <v>144</v>
      </c>
      <c r="M349" s="61">
        <v>6</v>
      </c>
      <c r="N349" s="27">
        <v>45713</v>
      </c>
      <c r="O349" s="18" t="s">
        <v>21</v>
      </c>
      <c r="P349" s="18" t="s">
        <v>25</v>
      </c>
      <c r="Q349" s="18" t="s">
        <v>663</v>
      </c>
      <c r="R349" s="18" t="s">
        <v>136</v>
      </c>
      <c r="S349" s="18">
        <v>7141</v>
      </c>
      <c r="T349" s="17" t="s">
        <v>22</v>
      </c>
      <c r="U349" s="18" t="s">
        <v>19</v>
      </c>
      <c r="V349" s="17"/>
    </row>
    <row r="350" spans="1:22" x14ac:dyDescent="0.3">
      <c r="A350" s="18" t="e">
        <f t="shared" si="6"/>
        <v>#REF!</v>
      </c>
      <c r="B350" s="17">
        <v>79</v>
      </c>
      <c r="C350" s="22" t="s">
        <v>23</v>
      </c>
      <c r="D350" s="17" t="s">
        <v>746</v>
      </c>
      <c r="E350" s="16">
        <v>45711</v>
      </c>
      <c r="F350" s="24" t="s">
        <v>41</v>
      </c>
      <c r="G350" s="49" t="s">
        <v>747</v>
      </c>
      <c r="H350" s="57">
        <v>152257.68</v>
      </c>
      <c r="I350" s="16">
        <v>45712</v>
      </c>
      <c r="J350" s="18"/>
      <c r="K350" s="17">
        <v>15</v>
      </c>
      <c r="L350" s="61">
        <v>360</v>
      </c>
      <c r="M350" s="61">
        <v>15</v>
      </c>
      <c r="N350" s="27">
        <v>45713</v>
      </c>
      <c r="O350" s="18" t="s">
        <v>21</v>
      </c>
      <c r="P350" s="18" t="s">
        <v>25</v>
      </c>
      <c r="Q350" s="18" t="s">
        <v>663</v>
      </c>
      <c r="R350" s="18" t="s">
        <v>136</v>
      </c>
      <c r="S350" s="18">
        <v>7138</v>
      </c>
      <c r="T350" s="17" t="s">
        <v>22</v>
      </c>
      <c r="U350" s="18" t="s">
        <v>19</v>
      </c>
      <c r="V350" s="17"/>
    </row>
    <row r="351" spans="1:22" x14ac:dyDescent="0.3">
      <c r="A351" s="18" t="e">
        <f t="shared" si="6"/>
        <v>#REF!</v>
      </c>
      <c r="B351" s="17">
        <v>79</v>
      </c>
      <c r="C351" s="22" t="s">
        <v>20</v>
      </c>
      <c r="D351" s="30" t="s">
        <v>748</v>
      </c>
      <c r="E351" s="16">
        <v>45703</v>
      </c>
      <c r="F351" s="21" t="s">
        <v>47</v>
      </c>
      <c r="G351" s="49" t="s">
        <v>749</v>
      </c>
      <c r="H351" s="57">
        <v>224663</v>
      </c>
      <c r="I351" s="16">
        <v>45712</v>
      </c>
      <c r="J351" s="18"/>
      <c r="K351" s="17">
        <v>190</v>
      </c>
      <c r="L351" s="61">
        <v>190</v>
      </c>
      <c r="M351" s="61">
        <v>19</v>
      </c>
      <c r="N351" s="27">
        <v>45713</v>
      </c>
      <c r="O351" s="18" t="s">
        <v>21</v>
      </c>
      <c r="P351" s="18" t="s">
        <v>25</v>
      </c>
      <c r="Q351" s="18" t="s">
        <v>663</v>
      </c>
      <c r="R351" s="18" t="s">
        <v>136</v>
      </c>
      <c r="S351" s="18">
        <v>7136</v>
      </c>
      <c r="T351" s="17" t="s">
        <v>22</v>
      </c>
      <c r="U351" s="18" t="s">
        <v>19</v>
      </c>
      <c r="V351" s="17"/>
    </row>
    <row r="352" spans="1:22" x14ac:dyDescent="0.3">
      <c r="A352" s="18" t="e">
        <f t="shared" si="6"/>
        <v>#REF!</v>
      </c>
      <c r="B352" s="17">
        <v>79</v>
      </c>
      <c r="C352" s="22" t="s">
        <v>20</v>
      </c>
      <c r="D352" s="30" t="s">
        <v>750</v>
      </c>
      <c r="E352" s="16">
        <v>45712</v>
      </c>
      <c r="F352" s="21" t="s">
        <v>131</v>
      </c>
      <c r="G352" s="49" t="s">
        <v>751</v>
      </c>
      <c r="H352" s="57">
        <v>598335.91</v>
      </c>
      <c r="I352" s="16">
        <v>45712</v>
      </c>
      <c r="J352" s="18"/>
      <c r="K352" s="17">
        <v>467</v>
      </c>
      <c r="L352" s="61">
        <v>467</v>
      </c>
      <c r="M352" s="61">
        <v>47</v>
      </c>
      <c r="N352" s="27">
        <v>45713</v>
      </c>
      <c r="O352" s="18" t="s">
        <v>21</v>
      </c>
      <c r="P352" s="18" t="s">
        <v>25</v>
      </c>
      <c r="Q352" s="18" t="s">
        <v>663</v>
      </c>
      <c r="R352" s="18" t="s">
        <v>136</v>
      </c>
      <c r="S352" s="18">
        <v>7137</v>
      </c>
      <c r="T352" s="17" t="s">
        <v>22</v>
      </c>
      <c r="U352" s="18" t="s">
        <v>19</v>
      </c>
      <c r="V352" s="17"/>
    </row>
    <row r="353" spans="1:22" x14ac:dyDescent="0.3">
      <c r="A353" s="18" t="e">
        <f t="shared" si="6"/>
        <v>#REF!</v>
      </c>
      <c r="B353" s="17">
        <v>79</v>
      </c>
      <c r="C353" s="22" t="s">
        <v>20</v>
      </c>
      <c r="D353" s="30" t="s">
        <v>752</v>
      </c>
      <c r="E353" s="16">
        <v>45707</v>
      </c>
      <c r="F353" s="21" t="s">
        <v>58</v>
      </c>
      <c r="G353" s="49" t="s">
        <v>753</v>
      </c>
      <c r="H353" s="57">
        <v>210589.54</v>
      </c>
      <c r="I353" s="16">
        <v>45710</v>
      </c>
      <c r="J353" s="18"/>
      <c r="K353" s="17">
        <v>174</v>
      </c>
      <c r="L353" s="61">
        <v>174</v>
      </c>
      <c r="M353" s="61">
        <v>17</v>
      </c>
      <c r="N353" s="27">
        <v>45713</v>
      </c>
      <c r="O353" s="18" t="s">
        <v>21</v>
      </c>
      <c r="P353" s="18" t="s">
        <v>25</v>
      </c>
      <c r="Q353" s="18" t="s">
        <v>663</v>
      </c>
      <c r="R353" s="18" t="s">
        <v>136</v>
      </c>
      <c r="S353" s="18">
        <v>7135</v>
      </c>
      <c r="T353" s="17" t="s">
        <v>22</v>
      </c>
      <c r="U353" s="18" t="s">
        <v>19</v>
      </c>
      <c r="V353" s="17"/>
    </row>
    <row r="354" spans="1:22" x14ac:dyDescent="0.3">
      <c r="A354" s="18" t="e">
        <f t="shared" si="6"/>
        <v>#REF!</v>
      </c>
      <c r="B354" s="17">
        <v>80</v>
      </c>
      <c r="C354" s="22" t="s">
        <v>23</v>
      </c>
      <c r="D354" s="17" t="s">
        <v>754</v>
      </c>
      <c r="E354" s="16">
        <v>45712</v>
      </c>
      <c r="F354" s="21" t="s">
        <v>131</v>
      </c>
      <c r="G354" s="49" t="s">
        <v>755</v>
      </c>
      <c r="H354" s="57">
        <v>82363.92</v>
      </c>
      <c r="I354" s="16">
        <v>45713</v>
      </c>
      <c r="J354" s="18"/>
      <c r="K354" s="17">
        <v>9</v>
      </c>
      <c r="L354" s="61">
        <v>216</v>
      </c>
      <c r="M354" s="61">
        <v>9</v>
      </c>
      <c r="N354" s="27">
        <v>45714</v>
      </c>
      <c r="O354" s="18" t="s">
        <v>21</v>
      </c>
      <c r="P354" s="18" t="s">
        <v>25</v>
      </c>
      <c r="Q354" s="18" t="s">
        <v>756</v>
      </c>
      <c r="R354" s="18" t="s">
        <v>136</v>
      </c>
      <c r="S354" s="18">
        <v>7147</v>
      </c>
      <c r="T354" s="17" t="s">
        <v>22</v>
      </c>
      <c r="U354" s="18" t="s">
        <v>19</v>
      </c>
      <c r="V354" s="17"/>
    </row>
    <row r="355" spans="1:22" x14ac:dyDescent="0.3">
      <c r="A355" s="18" t="e">
        <f t="shared" si="6"/>
        <v>#REF!</v>
      </c>
      <c r="B355" s="17">
        <v>80</v>
      </c>
      <c r="C355" s="22" t="s">
        <v>23</v>
      </c>
      <c r="D355" s="17" t="s">
        <v>757</v>
      </c>
      <c r="E355" s="16">
        <v>45713</v>
      </c>
      <c r="F355" s="21" t="s">
        <v>128</v>
      </c>
      <c r="G355" s="49" t="s">
        <v>758</v>
      </c>
      <c r="H355" s="57">
        <v>93427.68</v>
      </c>
      <c r="I355" s="16">
        <v>45714</v>
      </c>
      <c r="J355" s="18"/>
      <c r="K355" s="17">
        <v>10</v>
      </c>
      <c r="L355" s="61">
        <v>240</v>
      </c>
      <c r="M355" s="61">
        <v>10</v>
      </c>
      <c r="N355" s="27">
        <v>45714</v>
      </c>
      <c r="O355" s="18" t="s">
        <v>21</v>
      </c>
      <c r="P355" s="18" t="s">
        <v>25</v>
      </c>
      <c r="Q355" s="18" t="s">
        <v>756</v>
      </c>
      <c r="R355" s="18" t="s">
        <v>136</v>
      </c>
      <c r="S355" s="18">
        <v>7152</v>
      </c>
      <c r="T355" s="17" t="s">
        <v>22</v>
      </c>
      <c r="U355" s="18" t="s">
        <v>19</v>
      </c>
      <c r="V355" s="17"/>
    </row>
    <row r="356" spans="1:22" x14ac:dyDescent="0.3">
      <c r="A356" s="18" t="e">
        <f t="shared" si="6"/>
        <v>#REF!</v>
      </c>
      <c r="B356" s="17">
        <v>80</v>
      </c>
      <c r="C356" s="22" t="s">
        <v>23</v>
      </c>
      <c r="D356" s="17" t="s">
        <v>759</v>
      </c>
      <c r="E356" s="16">
        <v>45713</v>
      </c>
      <c r="F356" s="21" t="s">
        <v>128</v>
      </c>
      <c r="G356" s="49" t="s">
        <v>760</v>
      </c>
      <c r="H356" s="57">
        <v>7988.88</v>
      </c>
      <c r="I356" s="16">
        <v>45714</v>
      </c>
      <c r="J356" s="18"/>
      <c r="K356" s="17">
        <v>1</v>
      </c>
      <c r="L356" s="61">
        <v>24</v>
      </c>
      <c r="M356" s="61">
        <v>1</v>
      </c>
      <c r="N356" s="27">
        <v>45714</v>
      </c>
      <c r="O356" s="18" t="s">
        <v>21</v>
      </c>
      <c r="P356" s="18" t="s">
        <v>25</v>
      </c>
      <c r="Q356" s="18" t="s">
        <v>756</v>
      </c>
      <c r="R356" s="18" t="s">
        <v>136</v>
      </c>
      <c r="S356" s="18">
        <v>7151</v>
      </c>
      <c r="T356" s="17" t="s">
        <v>22</v>
      </c>
      <c r="U356" s="18" t="s">
        <v>19</v>
      </c>
      <c r="V356" s="17"/>
    </row>
    <row r="357" spans="1:22" x14ac:dyDescent="0.3">
      <c r="A357" s="18" t="e">
        <f t="shared" si="6"/>
        <v>#REF!</v>
      </c>
      <c r="B357" s="17">
        <v>80</v>
      </c>
      <c r="C357" s="22" t="s">
        <v>23</v>
      </c>
      <c r="D357" s="17" t="s">
        <v>761</v>
      </c>
      <c r="E357" s="16">
        <v>45712</v>
      </c>
      <c r="F357" s="23" t="s">
        <v>130</v>
      </c>
      <c r="G357" s="49" t="s">
        <v>762</v>
      </c>
      <c r="H357" s="57">
        <v>60821.279999999999</v>
      </c>
      <c r="I357" s="16">
        <v>45713</v>
      </c>
      <c r="J357" s="18"/>
      <c r="K357" s="17">
        <v>9</v>
      </c>
      <c r="L357" s="61">
        <v>216</v>
      </c>
      <c r="M357" s="61">
        <v>9</v>
      </c>
      <c r="N357" s="27">
        <v>45714</v>
      </c>
      <c r="O357" s="18" t="s">
        <v>21</v>
      </c>
      <c r="P357" s="18" t="s">
        <v>25</v>
      </c>
      <c r="Q357" s="18" t="s">
        <v>756</v>
      </c>
      <c r="R357" s="18" t="s">
        <v>136</v>
      </c>
      <c r="S357" s="18">
        <v>7148</v>
      </c>
      <c r="T357" s="17" t="s">
        <v>22</v>
      </c>
      <c r="U357" s="18" t="s">
        <v>19</v>
      </c>
      <c r="V357" s="17"/>
    </row>
    <row r="358" spans="1:22" x14ac:dyDescent="0.3">
      <c r="A358" s="18" t="e">
        <f t="shared" si="6"/>
        <v>#REF!</v>
      </c>
      <c r="B358" s="17">
        <v>80</v>
      </c>
      <c r="C358" s="22" t="s">
        <v>23</v>
      </c>
      <c r="D358" s="17" t="s">
        <v>763</v>
      </c>
      <c r="E358" s="16">
        <v>45709</v>
      </c>
      <c r="F358" s="23" t="s">
        <v>130</v>
      </c>
      <c r="G358" s="49" t="s">
        <v>764</v>
      </c>
      <c r="H358" s="57">
        <v>46690.559999999998</v>
      </c>
      <c r="I358" s="16">
        <v>45713</v>
      </c>
      <c r="J358" s="18"/>
      <c r="K358" s="17">
        <v>9</v>
      </c>
      <c r="L358" s="61">
        <v>168</v>
      </c>
      <c r="M358" s="61">
        <v>9</v>
      </c>
      <c r="N358" s="27">
        <v>45714</v>
      </c>
      <c r="O358" s="18" t="s">
        <v>21</v>
      </c>
      <c r="P358" s="18" t="s">
        <v>25</v>
      </c>
      <c r="Q358" s="18" t="s">
        <v>756</v>
      </c>
      <c r="R358" s="18" t="s">
        <v>136</v>
      </c>
      <c r="S358" s="18">
        <v>7140</v>
      </c>
      <c r="T358" s="17" t="s">
        <v>22</v>
      </c>
      <c r="U358" s="18" t="s">
        <v>19</v>
      </c>
      <c r="V358" s="17"/>
    </row>
    <row r="359" spans="1:22" x14ac:dyDescent="0.3">
      <c r="A359" s="18" t="e">
        <f t="shared" si="6"/>
        <v>#REF!</v>
      </c>
      <c r="B359" s="17">
        <v>80</v>
      </c>
      <c r="C359" s="22" t="s">
        <v>23</v>
      </c>
      <c r="D359" s="17" t="s">
        <v>765</v>
      </c>
      <c r="E359" s="16">
        <v>45712</v>
      </c>
      <c r="F359" s="25" t="s">
        <v>122</v>
      </c>
      <c r="G359" s="49" t="s">
        <v>766</v>
      </c>
      <c r="H359" s="57">
        <v>159753.35999999999</v>
      </c>
      <c r="I359" s="16">
        <v>45714</v>
      </c>
      <c r="J359" s="18"/>
      <c r="K359" s="17">
        <v>16</v>
      </c>
      <c r="L359" s="61">
        <v>396</v>
      </c>
      <c r="M359" s="61">
        <v>16</v>
      </c>
      <c r="N359" s="27">
        <v>45714</v>
      </c>
      <c r="O359" s="18" t="s">
        <v>21</v>
      </c>
      <c r="P359" s="18" t="s">
        <v>25</v>
      </c>
      <c r="Q359" s="18" t="s">
        <v>756</v>
      </c>
      <c r="R359" s="18" t="s">
        <v>136</v>
      </c>
      <c r="S359" s="18">
        <v>7144</v>
      </c>
      <c r="T359" s="17" t="s">
        <v>22</v>
      </c>
      <c r="U359" s="18" t="s">
        <v>19</v>
      </c>
      <c r="V359" s="17"/>
    </row>
    <row r="360" spans="1:22" x14ac:dyDescent="0.3">
      <c r="A360" s="18" t="e">
        <f t="shared" si="6"/>
        <v>#REF!</v>
      </c>
      <c r="B360" s="17">
        <v>80</v>
      </c>
      <c r="C360" s="22" t="s">
        <v>20</v>
      </c>
      <c r="D360" s="17" t="s">
        <v>767</v>
      </c>
      <c r="E360" s="16">
        <v>45712</v>
      </c>
      <c r="F360" s="21" t="s">
        <v>24</v>
      </c>
      <c r="G360" s="49" t="s">
        <v>768</v>
      </c>
      <c r="H360" s="57">
        <v>483650.4</v>
      </c>
      <c r="I360" s="16">
        <v>45714</v>
      </c>
      <c r="J360" s="18"/>
      <c r="K360" s="17">
        <v>410</v>
      </c>
      <c r="L360" s="61">
        <v>410</v>
      </c>
      <c r="M360" s="61">
        <v>41</v>
      </c>
      <c r="N360" s="27">
        <v>45714</v>
      </c>
      <c r="O360" s="18" t="s">
        <v>21</v>
      </c>
      <c r="P360" s="18" t="s">
        <v>25</v>
      </c>
      <c r="Q360" s="18" t="s">
        <v>756</v>
      </c>
      <c r="R360" s="18" t="s">
        <v>136</v>
      </c>
      <c r="S360" s="18">
        <v>7150</v>
      </c>
      <c r="T360" s="17" t="s">
        <v>22</v>
      </c>
      <c r="U360" s="18" t="s">
        <v>19</v>
      </c>
      <c r="V360" s="17"/>
    </row>
    <row r="361" spans="1:22" x14ac:dyDescent="0.3">
      <c r="A361" s="18" t="e">
        <f t="shared" si="6"/>
        <v>#REF!</v>
      </c>
      <c r="B361" s="17">
        <v>80</v>
      </c>
      <c r="C361" s="22" t="s">
        <v>23</v>
      </c>
      <c r="D361" s="17" t="s">
        <v>769</v>
      </c>
      <c r="E361" s="16">
        <v>45712</v>
      </c>
      <c r="F361" s="21" t="s">
        <v>24</v>
      </c>
      <c r="G361" s="49" t="s">
        <v>770</v>
      </c>
      <c r="H361" s="57">
        <v>351575.76</v>
      </c>
      <c r="I361" s="16">
        <v>45713</v>
      </c>
      <c r="J361" s="18"/>
      <c r="K361" s="17">
        <v>35</v>
      </c>
      <c r="L361" s="61">
        <v>840</v>
      </c>
      <c r="M361" s="61">
        <v>35</v>
      </c>
      <c r="N361" s="27">
        <v>45714</v>
      </c>
      <c r="O361" s="18" t="s">
        <v>21</v>
      </c>
      <c r="P361" s="18" t="s">
        <v>25</v>
      </c>
      <c r="Q361" s="18" t="s">
        <v>756</v>
      </c>
      <c r="R361" s="18" t="s">
        <v>136</v>
      </c>
      <c r="S361" s="18">
        <v>7146</v>
      </c>
      <c r="T361" s="17" t="s">
        <v>22</v>
      </c>
      <c r="U361" s="18" t="s">
        <v>19</v>
      </c>
      <c r="V361" s="17"/>
    </row>
    <row r="362" spans="1:22" x14ac:dyDescent="0.3">
      <c r="A362" s="18" t="e">
        <f t="shared" si="6"/>
        <v>#REF!</v>
      </c>
      <c r="B362" s="17">
        <v>80</v>
      </c>
      <c r="C362" s="22" t="s">
        <v>23</v>
      </c>
      <c r="D362" s="17" t="s">
        <v>771</v>
      </c>
      <c r="E362" s="16">
        <v>45712</v>
      </c>
      <c r="F362" s="23" t="s">
        <v>133</v>
      </c>
      <c r="G362" s="49" t="s">
        <v>772</v>
      </c>
      <c r="H362" s="57">
        <v>273019.32</v>
      </c>
      <c r="I362" s="16">
        <v>45714</v>
      </c>
      <c r="J362" s="18"/>
      <c r="K362" s="17">
        <v>32</v>
      </c>
      <c r="L362" s="61">
        <v>732</v>
      </c>
      <c r="M362" s="61">
        <v>32</v>
      </c>
      <c r="N362" s="27">
        <v>45714</v>
      </c>
      <c r="O362" s="18" t="s">
        <v>21</v>
      </c>
      <c r="P362" s="18" t="s">
        <v>25</v>
      </c>
      <c r="Q362" s="18" t="s">
        <v>756</v>
      </c>
      <c r="R362" s="18" t="s">
        <v>136</v>
      </c>
      <c r="S362" s="18">
        <v>7145</v>
      </c>
      <c r="T362" s="17" t="s">
        <v>22</v>
      </c>
      <c r="U362" s="18" t="s">
        <v>19</v>
      </c>
      <c r="V362" s="17"/>
    </row>
    <row r="363" spans="1:22" x14ac:dyDescent="0.3">
      <c r="A363" s="18" t="e">
        <f t="shared" si="6"/>
        <v>#REF!</v>
      </c>
      <c r="B363" s="17">
        <v>80</v>
      </c>
      <c r="C363" s="22" t="s">
        <v>23</v>
      </c>
      <c r="D363" s="17" t="s">
        <v>773</v>
      </c>
      <c r="E363" s="16">
        <v>45711</v>
      </c>
      <c r="F363" s="21" t="s">
        <v>35</v>
      </c>
      <c r="G363" s="49" t="s">
        <v>774</v>
      </c>
      <c r="H363" s="57">
        <v>31352.639999999999</v>
      </c>
      <c r="I363" s="16">
        <v>45713</v>
      </c>
      <c r="J363" s="18"/>
      <c r="K363" s="17">
        <v>3</v>
      </c>
      <c r="L363" s="61">
        <v>72</v>
      </c>
      <c r="M363" s="61">
        <v>3</v>
      </c>
      <c r="N363" s="27">
        <v>45714</v>
      </c>
      <c r="O363" s="18" t="s">
        <v>21</v>
      </c>
      <c r="P363" s="18" t="s">
        <v>25</v>
      </c>
      <c r="Q363" s="18" t="s">
        <v>756</v>
      </c>
      <c r="R363" s="18" t="s">
        <v>136</v>
      </c>
      <c r="S363" s="18">
        <v>7142</v>
      </c>
      <c r="T363" s="17" t="s">
        <v>22</v>
      </c>
      <c r="U363" s="18" t="s">
        <v>19</v>
      </c>
      <c r="V363" s="17"/>
    </row>
    <row r="364" spans="1:22" x14ac:dyDescent="0.3">
      <c r="A364" s="18" t="e">
        <f t="shared" si="6"/>
        <v>#REF!</v>
      </c>
      <c r="B364" s="17">
        <v>80</v>
      </c>
      <c r="C364" s="22" t="s">
        <v>23</v>
      </c>
      <c r="D364" s="17" t="s">
        <v>775</v>
      </c>
      <c r="E364" s="16">
        <v>45712</v>
      </c>
      <c r="F364" s="21" t="s">
        <v>35</v>
      </c>
      <c r="G364" s="49" t="s">
        <v>776</v>
      </c>
      <c r="H364" s="57">
        <v>47330.400000000001</v>
      </c>
      <c r="I364" s="16">
        <v>45713</v>
      </c>
      <c r="J364" s="18"/>
      <c r="K364" s="17">
        <v>5</v>
      </c>
      <c r="L364" s="61">
        <v>120</v>
      </c>
      <c r="M364" s="61">
        <v>5</v>
      </c>
      <c r="N364" s="27">
        <v>45714</v>
      </c>
      <c r="O364" s="18" t="s">
        <v>21</v>
      </c>
      <c r="P364" s="18" t="s">
        <v>25</v>
      </c>
      <c r="Q364" s="18" t="s">
        <v>756</v>
      </c>
      <c r="R364" s="18" t="s">
        <v>136</v>
      </c>
      <c r="S364" s="18">
        <v>7147</v>
      </c>
      <c r="T364" s="17" t="s">
        <v>22</v>
      </c>
      <c r="U364" s="18" t="s">
        <v>19</v>
      </c>
      <c r="V364" s="17"/>
    </row>
    <row r="365" spans="1:22" x14ac:dyDescent="0.3">
      <c r="A365" s="18" t="e">
        <f t="shared" si="6"/>
        <v>#REF!</v>
      </c>
      <c r="B365" s="17">
        <v>81</v>
      </c>
      <c r="C365" s="22" t="s">
        <v>20</v>
      </c>
      <c r="D365" s="17" t="s">
        <v>777</v>
      </c>
      <c r="E365" s="16">
        <v>45712</v>
      </c>
      <c r="F365" s="21" t="s">
        <v>35</v>
      </c>
      <c r="G365" s="49" t="s">
        <v>778</v>
      </c>
      <c r="H365" s="57">
        <v>61092.9</v>
      </c>
      <c r="I365" s="16">
        <v>45714</v>
      </c>
      <c r="J365" s="18"/>
      <c r="K365" s="17">
        <v>50</v>
      </c>
      <c r="L365" s="61">
        <v>50</v>
      </c>
      <c r="M365" s="61">
        <v>5</v>
      </c>
      <c r="N365" s="27">
        <v>45715</v>
      </c>
      <c r="O365" s="18" t="s">
        <v>21</v>
      </c>
      <c r="P365" s="18" t="s">
        <v>25</v>
      </c>
      <c r="Q365" s="18" t="s">
        <v>127</v>
      </c>
      <c r="R365" s="18" t="s">
        <v>136</v>
      </c>
      <c r="S365" s="18">
        <v>7153</v>
      </c>
      <c r="T365" s="17" t="s">
        <v>22</v>
      </c>
      <c r="U365" s="18" t="s">
        <v>19</v>
      </c>
      <c r="V365" s="17"/>
    </row>
    <row r="366" spans="1:22" x14ac:dyDescent="0.3">
      <c r="A366" s="18" t="e">
        <f t="shared" si="6"/>
        <v>#REF!</v>
      </c>
      <c r="B366" s="17">
        <v>81</v>
      </c>
      <c r="C366" s="22" t="s">
        <v>20</v>
      </c>
      <c r="D366" s="17" t="s">
        <v>779</v>
      </c>
      <c r="E366" s="16">
        <v>45714</v>
      </c>
      <c r="F366" s="23" t="s">
        <v>39</v>
      </c>
      <c r="G366" s="49" t="s">
        <v>780</v>
      </c>
      <c r="H366" s="57">
        <v>188897.38</v>
      </c>
      <c r="I366" s="16">
        <v>45715</v>
      </c>
      <c r="J366" s="18"/>
      <c r="K366" s="17">
        <v>142</v>
      </c>
      <c r="L366" s="61">
        <v>142</v>
      </c>
      <c r="M366" s="61">
        <v>14</v>
      </c>
      <c r="N366" s="27">
        <v>45715</v>
      </c>
      <c r="O366" s="18" t="s">
        <v>21</v>
      </c>
      <c r="P366" s="18" t="s">
        <v>25</v>
      </c>
      <c r="Q366" s="18" t="s">
        <v>127</v>
      </c>
      <c r="R366" s="18" t="s">
        <v>136</v>
      </c>
      <c r="S366" s="18">
        <v>7159</v>
      </c>
      <c r="T366" s="17" t="s">
        <v>22</v>
      </c>
      <c r="U366" s="18" t="s">
        <v>19</v>
      </c>
      <c r="V366" s="17"/>
    </row>
    <row r="367" spans="1:22" x14ac:dyDescent="0.3">
      <c r="A367" s="18" t="e">
        <f t="shared" si="6"/>
        <v>#REF!</v>
      </c>
      <c r="B367" s="17">
        <v>81</v>
      </c>
      <c r="C367" s="22" t="s">
        <v>20</v>
      </c>
      <c r="D367" s="17" t="s">
        <v>781</v>
      </c>
      <c r="E367" s="16">
        <v>45713</v>
      </c>
      <c r="F367" s="21" t="s">
        <v>35</v>
      </c>
      <c r="G367" s="49" t="s">
        <v>782</v>
      </c>
      <c r="H367" s="57">
        <v>36458.699999999997</v>
      </c>
      <c r="I367" s="16">
        <v>45715</v>
      </c>
      <c r="J367" s="18"/>
      <c r="K367" s="17">
        <v>30</v>
      </c>
      <c r="L367" s="61">
        <v>30</v>
      </c>
      <c r="M367" s="61">
        <v>3</v>
      </c>
      <c r="N367" s="27">
        <v>45715</v>
      </c>
      <c r="O367" s="18" t="s">
        <v>21</v>
      </c>
      <c r="P367" s="18" t="s">
        <v>25</v>
      </c>
      <c r="Q367" s="18" t="s">
        <v>127</v>
      </c>
      <c r="R367" s="18" t="s">
        <v>136</v>
      </c>
      <c r="S367" s="18">
        <v>7154</v>
      </c>
      <c r="T367" s="17" t="s">
        <v>22</v>
      </c>
      <c r="U367" s="18" t="s">
        <v>19</v>
      </c>
      <c r="V367" s="17"/>
    </row>
    <row r="368" spans="1:22" x14ac:dyDescent="0.3">
      <c r="A368" s="18" t="e">
        <f t="shared" si="6"/>
        <v>#REF!</v>
      </c>
      <c r="B368" s="17">
        <v>81</v>
      </c>
      <c r="C368" s="22" t="s">
        <v>23</v>
      </c>
      <c r="D368" s="17" t="s">
        <v>783</v>
      </c>
      <c r="E368" s="16">
        <v>45714</v>
      </c>
      <c r="F368" s="21" t="s">
        <v>53</v>
      </c>
      <c r="G368" s="49" t="s">
        <v>784</v>
      </c>
      <c r="H368" s="57">
        <v>55319.040000000001</v>
      </c>
      <c r="I368" s="16">
        <v>45715</v>
      </c>
      <c r="J368" s="18"/>
      <c r="K368" s="17">
        <v>6</v>
      </c>
      <c r="L368" s="61">
        <v>144</v>
      </c>
      <c r="M368" s="61">
        <v>6</v>
      </c>
      <c r="N368" s="27">
        <v>45715</v>
      </c>
      <c r="O368" s="18" t="s">
        <v>21</v>
      </c>
      <c r="P368" s="18" t="s">
        <v>25</v>
      </c>
      <c r="Q368" s="18" t="s">
        <v>127</v>
      </c>
      <c r="R368" s="18" t="s">
        <v>136</v>
      </c>
      <c r="S368" s="18">
        <v>7151</v>
      </c>
      <c r="T368" s="17" t="s">
        <v>22</v>
      </c>
      <c r="U368" s="18" t="s">
        <v>19</v>
      </c>
      <c r="V368" s="17"/>
    </row>
    <row r="369" spans="1:22" x14ac:dyDescent="0.3">
      <c r="A369" s="18" t="e">
        <f t="shared" si="6"/>
        <v>#REF!</v>
      </c>
      <c r="B369" s="17">
        <v>81</v>
      </c>
      <c r="C369" s="22" t="s">
        <v>23</v>
      </c>
      <c r="D369" s="17" t="s">
        <v>785</v>
      </c>
      <c r="E369" s="16">
        <v>45713</v>
      </c>
      <c r="F369" s="23" t="s">
        <v>786</v>
      </c>
      <c r="G369" s="49" t="s">
        <v>787</v>
      </c>
      <c r="H369" s="57">
        <v>135861.35999999999</v>
      </c>
      <c r="I369" s="16">
        <v>45715</v>
      </c>
      <c r="J369" s="18"/>
      <c r="K369" s="17">
        <v>13</v>
      </c>
      <c r="L369" s="61">
        <v>312</v>
      </c>
      <c r="M369" s="61">
        <v>13</v>
      </c>
      <c r="N369" s="27">
        <v>45715</v>
      </c>
      <c r="O369" s="18" t="s">
        <v>21</v>
      </c>
      <c r="P369" s="18" t="s">
        <v>25</v>
      </c>
      <c r="Q369" s="18" t="s">
        <v>127</v>
      </c>
      <c r="R369" s="18" t="s">
        <v>136</v>
      </c>
      <c r="S369" s="18">
        <v>7160</v>
      </c>
      <c r="T369" s="17" t="s">
        <v>22</v>
      </c>
      <c r="U369" s="18" t="s">
        <v>19</v>
      </c>
      <c r="V369" s="17"/>
    </row>
    <row r="370" spans="1:22" x14ac:dyDescent="0.3">
      <c r="A370" s="18" t="e">
        <f t="shared" si="6"/>
        <v>#REF!</v>
      </c>
      <c r="B370" s="17">
        <v>81</v>
      </c>
      <c r="C370" s="22" t="s">
        <v>20</v>
      </c>
      <c r="D370" s="17" t="s">
        <v>788</v>
      </c>
      <c r="E370" s="16">
        <v>45712</v>
      </c>
      <c r="F370" s="21" t="s">
        <v>24</v>
      </c>
      <c r="G370" s="49" t="s">
        <v>789</v>
      </c>
      <c r="H370" s="57">
        <v>568236.30000000005</v>
      </c>
      <c r="I370" s="16">
        <v>45714</v>
      </c>
      <c r="J370" s="18"/>
      <c r="K370" s="17">
        <v>420</v>
      </c>
      <c r="L370" s="61">
        <v>420</v>
      </c>
      <c r="M370" s="61">
        <v>42</v>
      </c>
      <c r="N370" s="27">
        <v>45715</v>
      </c>
      <c r="O370" s="18" t="s">
        <v>21</v>
      </c>
      <c r="P370" s="18" t="s">
        <v>25</v>
      </c>
      <c r="Q370" s="18" t="s">
        <v>127</v>
      </c>
      <c r="R370" s="18" t="s">
        <v>136</v>
      </c>
      <c r="S370" s="18">
        <v>7152</v>
      </c>
      <c r="T370" s="17" t="s">
        <v>22</v>
      </c>
      <c r="U370" s="18" t="s">
        <v>19</v>
      </c>
      <c r="V370" s="17"/>
    </row>
    <row r="371" spans="1:22" x14ac:dyDescent="0.3">
      <c r="A371" s="18" t="e">
        <f t="shared" si="6"/>
        <v>#REF!</v>
      </c>
      <c r="B371" s="17">
        <v>81</v>
      </c>
      <c r="C371" s="22" t="s">
        <v>23</v>
      </c>
      <c r="D371" s="17" t="s">
        <v>790</v>
      </c>
      <c r="E371" s="16">
        <v>45712</v>
      </c>
      <c r="F371" s="21" t="s">
        <v>24</v>
      </c>
      <c r="G371" s="49" t="s">
        <v>791</v>
      </c>
      <c r="H371" s="57">
        <v>441115.44</v>
      </c>
      <c r="I371" s="16">
        <v>45714</v>
      </c>
      <c r="J371" s="18"/>
      <c r="K371" s="17">
        <v>45</v>
      </c>
      <c r="L371" s="61">
        <v>1080</v>
      </c>
      <c r="M371" s="61">
        <v>45</v>
      </c>
      <c r="N371" s="27">
        <v>45715</v>
      </c>
      <c r="O371" s="18" t="s">
        <v>21</v>
      </c>
      <c r="P371" s="18" t="s">
        <v>25</v>
      </c>
      <c r="Q371" s="18" t="s">
        <v>127</v>
      </c>
      <c r="R371" s="18" t="s">
        <v>136</v>
      </c>
      <c r="S371" s="18">
        <v>7155</v>
      </c>
      <c r="T371" s="17" t="s">
        <v>22</v>
      </c>
      <c r="U371" s="18" t="s">
        <v>19</v>
      </c>
      <c r="V371" s="17"/>
    </row>
    <row r="372" spans="1:22" x14ac:dyDescent="0.3">
      <c r="A372" s="18" t="e">
        <f t="shared" si="6"/>
        <v>#REF!</v>
      </c>
      <c r="B372" s="17">
        <v>81</v>
      </c>
      <c r="C372" s="22" t="s">
        <v>23</v>
      </c>
      <c r="D372" s="17" t="s">
        <v>792</v>
      </c>
      <c r="E372" s="16">
        <v>45715</v>
      </c>
      <c r="F372" s="21" t="s">
        <v>28</v>
      </c>
      <c r="G372" s="49" t="s">
        <v>793</v>
      </c>
      <c r="H372" s="57">
        <v>71788.800000000003</v>
      </c>
      <c r="I372" s="16">
        <v>45715</v>
      </c>
      <c r="J372" s="18"/>
      <c r="K372" s="17">
        <v>8</v>
      </c>
      <c r="L372" s="61">
        <v>192</v>
      </c>
      <c r="M372" s="61">
        <v>8</v>
      </c>
      <c r="N372" s="27">
        <v>45715</v>
      </c>
      <c r="O372" s="18" t="s">
        <v>21</v>
      </c>
      <c r="P372" s="18" t="s">
        <v>25</v>
      </c>
      <c r="Q372" s="18" t="s">
        <v>127</v>
      </c>
      <c r="R372" s="18" t="s">
        <v>136</v>
      </c>
      <c r="S372" s="18">
        <v>7156</v>
      </c>
      <c r="T372" s="17" t="s">
        <v>22</v>
      </c>
      <c r="U372" s="18" t="s">
        <v>19</v>
      </c>
      <c r="V372" s="17"/>
    </row>
    <row r="373" spans="1:22" x14ac:dyDescent="0.3">
      <c r="A373" s="18" t="e">
        <f t="shared" si="6"/>
        <v>#REF!</v>
      </c>
      <c r="B373" s="17">
        <v>81</v>
      </c>
      <c r="C373" s="22" t="s">
        <v>23</v>
      </c>
      <c r="D373" s="17" t="s">
        <v>794</v>
      </c>
      <c r="E373" s="16">
        <v>45715</v>
      </c>
      <c r="F373" s="21" t="s">
        <v>33</v>
      </c>
      <c r="G373" s="49" t="s">
        <v>795</v>
      </c>
      <c r="H373" s="57">
        <v>142546.32</v>
      </c>
      <c r="I373" s="16">
        <v>45715</v>
      </c>
      <c r="J373" s="18"/>
      <c r="K373" s="17">
        <v>20</v>
      </c>
      <c r="L373" s="61">
        <v>480</v>
      </c>
      <c r="M373" s="61">
        <v>20</v>
      </c>
      <c r="N373" s="27">
        <v>45715</v>
      </c>
      <c r="O373" s="18" t="s">
        <v>21</v>
      </c>
      <c r="P373" s="18" t="s">
        <v>25</v>
      </c>
      <c r="Q373" s="18" t="s">
        <v>127</v>
      </c>
      <c r="R373" s="18" t="s">
        <v>136</v>
      </c>
      <c r="S373" s="18">
        <v>7157</v>
      </c>
      <c r="T373" s="17" t="s">
        <v>22</v>
      </c>
      <c r="U373" s="18" t="s">
        <v>19</v>
      </c>
      <c r="V373" s="17"/>
    </row>
    <row r="374" spans="1:22" x14ac:dyDescent="0.3">
      <c r="A374" s="18" t="e">
        <f t="shared" si="6"/>
        <v>#REF!</v>
      </c>
      <c r="B374" s="17">
        <v>81</v>
      </c>
      <c r="C374" s="22" t="s">
        <v>23</v>
      </c>
      <c r="D374" s="17" t="s">
        <v>796</v>
      </c>
      <c r="E374" s="16">
        <v>45713</v>
      </c>
      <c r="F374" s="21" t="s">
        <v>35</v>
      </c>
      <c r="G374" s="49" t="s">
        <v>797</v>
      </c>
      <c r="H374" s="57">
        <v>70657.2</v>
      </c>
      <c r="I374" s="16">
        <v>45715</v>
      </c>
      <c r="J374" s="18"/>
      <c r="K374" s="17">
        <v>10</v>
      </c>
      <c r="L374" s="61">
        <v>240</v>
      </c>
      <c r="M374" s="61">
        <v>10</v>
      </c>
      <c r="N374" s="27">
        <v>45715</v>
      </c>
      <c r="O374" s="18" t="s">
        <v>21</v>
      </c>
      <c r="P374" s="18" t="s">
        <v>25</v>
      </c>
      <c r="Q374" s="18" t="s">
        <v>127</v>
      </c>
      <c r="R374" s="18" t="s">
        <v>136</v>
      </c>
      <c r="S374" s="18">
        <v>7158</v>
      </c>
      <c r="T374" s="17" t="s">
        <v>22</v>
      </c>
      <c r="U374" s="18" t="s">
        <v>19</v>
      </c>
      <c r="V374" s="17"/>
    </row>
    <row r="375" spans="1:22" x14ac:dyDescent="0.3">
      <c r="A375" s="18" t="e">
        <f t="shared" ref="A375:A438" si="7">A374+1</f>
        <v>#REF!</v>
      </c>
      <c r="B375" s="17">
        <v>81</v>
      </c>
      <c r="C375" s="22" t="s">
        <v>23</v>
      </c>
      <c r="D375" s="17" t="s">
        <v>798</v>
      </c>
      <c r="E375" s="16">
        <v>45713</v>
      </c>
      <c r="F375" s="24" t="s">
        <v>121</v>
      </c>
      <c r="G375" s="49" t="s">
        <v>799</v>
      </c>
      <c r="H375" s="57">
        <v>117396.48</v>
      </c>
      <c r="I375" s="16">
        <v>45715</v>
      </c>
      <c r="J375" s="18"/>
      <c r="K375" s="17">
        <v>13</v>
      </c>
      <c r="L375" s="61">
        <v>312</v>
      </c>
      <c r="M375" s="61">
        <v>13</v>
      </c>
      <c r="N375" s="27">
        <v>45715</v>
      </c>
      <c r="O375" s="18" t="s">
        <v>21</v>
      </c>
      <c r="P375" s="18" t="s">
        <v>25</v>
      </c>
      <c r="Q375" s="18" t="s">
        <v>127</v>
      </c>
      <c r="R375" s="18" t="s">
        <v>136</v>
      </c>
      <c r="S375" s="18">
        <v>7150</v>
      </c>
      <c r="T375" s="17" t="s">
        <v>22</v>
      </c>
      <c r="U375" s="18" t="s">
        <v>19</v>
      </c>
      <c r="V375" s="17"/>
    </row>
    <row r="376" spans="1:22" x14ac:dyDescent="0.3">
      <c r="A376" s="18" t="e">
        <f t="shared" si="7"/>
        <v>#REF!</v>
      </c>
      <c r="B376" s="17">
        <v>84</v>
      </c>
      <c r="C376" s="22" t="s">
        <v>20</v>
      </c>
      <c r="D376" s="17" t="s">
        <v>800</v>
      </c>
      <c r="E376" s="16">
        <v>45715</v>
      </c>
      <c r="F376" s="24" t="s">
        <v>121</v>
      </c>
      <c r="G376" s="49" t="s">
        <v>801</v>
      </c>
      <c r="H376" s="57">
        <v>31531.200000000001</v>
      </c>
      <c r="I376" s="16">
        <v>45719</v>
      </c>
      <c r="J376" s="18"/>
      <c r="K376" s="17">
        <v>30</v>
      </c>
      <c r="L376" s="61">
        <v>30</v>
      </c>
      <c r="M376" s="61">
        <v>3</v>
      </c>
      <c r="N376" s="27">
        <v>45720</v>
      </c>
      <c r="O376" s="18" t="s">
        <v>21</v>
      </c>
      <c r="P376" s="18" t="s">
        <v>25</v>
      </c>
      <c r="Q376" s="18" t="s">
        <v>125</v>
      </c>
      <c r="R376" s="18" t="s">
        <v>136</v>
      </c>
      <c r="S376" s="18">
        <v>8023</v>
      </c>
      <c r="T376" s="17" t="s">
        <v>22</v>
      </c>
      <c r="U376" s="18" t="s">
        <v>19</v>
      </c>
      <c r="V376" s="17"/>
    </row>
    <row r="377" spans="1:22" x14ac:dyDescent="0.3">
      <c r="A377" s="18" t="e">
        <f t="shared" si="7"/>
        <v>#REF!</v>
      </c>
      <c r="B377" s="17">
        <v>85</v>
      </c>
      <c r="C377" s="17" t="s">
        <v>20</v>
      </c>
      <c r="D377" s="31" t="s">
        <v>802</v>
      </c>
      <c r="E377" s="16">
        <v>45716</v>
      </c>
      <c r="F377" s="21" t="s">
        <v>35</v>
      </c>
      <c r="G377" s="49" t="s">
        <v>803</v>
      </c>
      <c r="H377" s="57">
        <v>37444.1</v>
      </c>
      <c r="I377" s="16">
        <v>45716</v>
      </c>
      <c r="J377" s="18"/>
      <c r="K377" s="31">
        <v>30</v>
      </c>
      <c r="L377" s="34">
        <v>30</v>
      </c>
      <c r="M377" s="34">
        <v>3</v>
      </c>
      <c r="N377" s="27">
        <v>45721</v>
      </c>
      <c r="O377" s="18" t="s">
        <v>21</v>
      </c>
      <c r="P377" s="18" t="s">
        <v>25</v>
      </c>
      <c r="Q377" s="18" t="s">
        <v>140</v>
      </c>
      <c r="R377" s="18" t="s">
        <v>136</v>
      </c>
      <c r="S377" s="17">
        <v>8034</v>
      </c>
      <c r="T377" s="31" t="s">
        <v>804</v>
      </c>
      <c r="U377" s="18" t="s">
        <v>19</v>
      </c>
      <c r="V377" s="17"/>
    </row>
    <row r="378" spans="1:22" x14ac:dyDescent="0.3">
      <c r="A378" s="18" t="e">
        <f t="shared" si="7"/>
        <v>#REF!</v>
      </c>
      <c r="B378" s="17">
        <v>84</v>
      </c>
      <c r="C378" s="22" t="s">
        <v>20</v>
      </c>
      <c r="D378" s="31" t="s">
        <v>805</v>
      </c>
      <c r="E378" s="16">
        <v>45716</v>
      </c>
      <c r="F378" s="26" t="s">
        <v>129</v>
      </c>
      <c r="G378" s="51" t="s">
        <v>806</v>
      </c>
      <c r="H378" s="57">
        <v>523240.7</v>
      </c>
      <c r="I378" s="16">
        <v>45716</v>
      </c>
      <c r="J378" s="18"/>
      <c r="K378" s="31">
        <v>370</v>
      </c>
      <c r="L378" s="34">
        <v>370</v>
      </c>
      <c r="M378" s="34">
        <v>37</v>
      </c>
      <c r="N378" s="27">
        <v>45720</v>
      </c>
      <c r="O378" s="18" t="s">
        <v>21</v>
      </c>
      <c r="P378" s="18" t="s">
        <v>25</v>
      </c>
      <c r="Q378" s="18" t="s">
        <v>125</v>
      </c>
      <c r="R378" s="18" t="s">
        <v>136</v>
      </c>
      <c r="S378" s="17">
        <v>8022</v>
      </c>
      <c r="T378" s="17" t="s">
        <v>22</v>
      </c>
      <c r="U378" s="18" t="s">
        <v>19</v>
      </c>
      <c r="V378" s="17"/>
    </row>
    <row r="379" spans="1:22" x14ac:dyDescent="0.3">
      <c r="A379" s="18" t="e">
        <f t="shared" si="7"/>
        <v>#REF!</v>
      </c>
      <c r="B379" s="17">
        <v>86</v>
      </c>
      <c r="C379" s="17" t="s">
        <v>20</v>
      </c>
      <c r="D379" s="31" t="s">
        <v>807</v>
      </c>
      <c r="E379" s="16">
        <v>45716</v>
      </c>
      <c r="F379" s="21" t="s">
        <v>28</v>
      </c>
      <c r="G379" s="51" t="s">
        <v>808</v>
      </c>
      <c r="H379" s="57">
        <v>470821.02</v>
      </c>
      <c r="I379" s="16">
        <v>45722</v>
      </c>
      <c r="J379" s="18"/>
      <c r="K379" s="31">
        <v>420</v>
      </c>
      <c r="L379" s="34">
        <v>417</v>
      </c>
      <c r="M379" s="34">
        <v>42</v>
      </c>
      <c r="N379" s="27">
        <v>45725</v>
      </c>
      <c r="O379" s="18" t="s">
        <v>21</v>
      </c>
      <c r="P379" s="18" t="s">
        <v>25</v>
      </c>
      <c r="Q379" s="18" t="s">
        <v>125</v>
      </c>
      <c r="R379" s="18" t="s">
        <v>136</v>
      </c>
      <c r="S379" s="17">
        <v>8036</v>
      </c>
      <c r="T379" s="17" t="s">
        <v>22</v>
      </c>
      <c r="U379" s="18" t="s">
        <v>19</v>
      </c>
      <c r="V379" s="17"/>
    </row>
    <row r="380" spans="1:22" x14ac:dyDescent="0.3">
      <c r="A380" s="18" t="e">
        <f t="shared" si="7"/>
        <v>#REF!</v>
      </c>
      <c r="B380" s="17">
        <v>86</v>
      </c>
      <c r="C380" s="17" t="s">
        <v>20</v>
      </c>
      <c r="D380" s="31" t="s">
        <v>809</v>
      </c>
      <c r="E380" s="16">
        <v>45716</v>
      </c>
      <c r="F380" s="21" t="s">
        <v>28</v>
      </c>
      <c r="G380" s="51" t="s">
        <v>810</v>
      </c>
      <c r="H380" s="57">
        <v>700985</v>
      </c>
      <c r="I380" s="16">
        <v>45722</v>
      </c>
      <c r="J380" s="18"/>
      <c r="K380" s="31">
        <v>515</v>
      </c>
      <c r="L380" s="34">
        <v>515</v>
      </c>
      <c r="M380" s="34">
        <v>52</v>
      </c>
      <c r="N380" s="27">
        <v>45725</v>
      </c>
      <c r="O380" s="18" t="s">
        <v>21</v>
      </c>
      <c r="P380" s="18" t="s">
        <v>25</v>
      </c>
      <c r="Q380" s="18" t="s">
        <v>125</v>
      </c>
      <c r="R380" s="18" t="s">
        <v>136</v>
      </c>
      <c r="S380" s="17">
        <v>8035</v>
      </c>
      <c r="T380" s="17" t="s">
        <v>22</v>
      </c>
      <c r="U380" s="18" t="s">
        <v>19</v>
      </c>
      <c r="V380" s="17"/>
    </row>
    <row r="381" spans="1:22" x14ac:dyDescent="0.3">
      <c r="A381" s="18" t="e">
        <f t="shared" si="7"/>
        <v>#REF!</v>
      </c>
      <c r="B381" s="17">
        <v>85</v>
      </c>
      <c r="C381" s="17" t="s">
        <v>20</v>
      </c>
      <c r="D381" s="31" t="s">
        <v>811</v>
      </c>
      <c r="E381" s="16">
        <v>45716</v>
      </c>
      <c r="F381" s="21" t="s">
        <v>28</v>
      </c>
      <c r="G381" s="51" t="s">
        <v>812</v>
      </c>
      <c r="H381" s="57">
        <v>528820</v>
      </c>
      <c r="I381" s="16">
        <v>45716</v>
      </c>
      <c r="J381" s="18"/>
      <c r="K381" s="31">
        <v>400</v>
      </c>
      <c r="L381" s="34">
        <v>400</v>
      </c>
      <c r="M381" s="34">
        <v>40</v>
      </c>
      <c r="N381" s="27">
        <v>45721</v>
      </c>
      <c r="O381" s="18" t="s">
        <v>21</v>
      </c>
      <c r="P381" s="18" t="s">
        <v>25</v>
      </c>
      <c r="Q381" s="18" t="s">
        <v>140</v>
      </c>
      <c r="R381" s="18" t="s">
        <v>136</v>
      </c>
      <c r="S381" s="17">
        <v>8022</v>
      </c>
      <c r="T381" s="17" t="s">
        <v>22</v>
      </c>
      <c r="U381" s="18" t="s">
        <v>19</v>
      </c>
      <c r="V381" s="17"/>
    </row>
    <row r="382" spans="1:22" x14ac:dyDescent="0.3">
      <c r="A382" s="18" t="e">
        <f t="shared" si="7"/>
        <v>#REF!</v>
      </c>
      <c r="B382" s="17">
        <v>85</v>
      </c>
      <c r="C382" s="17" t="s">
        <v>20</v>
      </c>
      <c r="D382" s="31" t="s">
        <v>813</v>
      </c>
      <c r="E382" s="16">
        <v>45716</v>
      </c>
      <c r="F382" s="21" t="s">
        <v>28</v>
      </c>
      <c r="G382" s="51" t="s">
        <v>814</v>
      </c>
      <c r="H382" s="57">
        <v>527177</v>
      </c>
      <c r="I382" s="16">
        <v>45716</v>
      </c>
      <c r="J382" s="18"/>
      <c r="K382" s="31">
        <v>400</v>
      </c>
      <c r="L382" s="62">
        <v>400</v>
      </c>
      <c r="M382" s="34">
        <v>40</v>
      </c>
      <c r="N382" s="27">
        <v>45721</v>
      </c>
      <c r="O382" s="18" t="s">
        <v>21</v>
      </c>
      <c r="P382" s="18" t="s">
        <v>25</v>
      </c>
      <c r="Q382" s="18" t="s">
        <v>140</v>
      </c>
      <c r="R382" s="18" t="s">
        <v>136</v>
      </c>
      <c r="S382" s="17">
        <v>8026</v>
      </c>
      <c r="T382" s="17" t="s">
        <v>22</v>
      </c>
      <c r="U382" s="18" t="s">
        <v>19</v>
      </c>
      <c r="V382" s="17"/>
    </row>
    <row r="383" spans="1:22" x14ac:dyDescent="0.3">
      <c r="A383" s="18" t="e">
        <f t="shared" si="7"/>
        <v>#REF!</v>
      </c>
      <c r="B383" s="17">
        <v>84</v>
      </c>
      <c r="C383" s="22" t="s">
        <v>20</v>
      </c>
      <c r="D383" s="31" t="s">
        <v>815</v>
      </c>
      <c r="E383" s="16">
        <v>45716</v>
      </c>
      <c r="F383" s="21" t="s">
        <v>28</v>
      </c>
      <c r="G383" s="51" t="s">
        <v>816</v>
      </c>
      <c r="H383" s="57">
        <v>906561.5</v>
      </c>
      <c r="I383" s="16">
        <v>45716</v>
      </c>
      <c r="J383" s="18"/>
      <c r="K383" s="31">
        <v>600</v>
      </c>
      <c r="L383" s="34">
        <v>600</v>
      </c>
      <c r="M383" s="34">
        <v>60</v>
      </c>
      <c r="N383" s="27">
        <v>45720</v>
      </c>
      <c r="O383" s="18" t="s">
        <v>21</v>
      </c>
      <c r="P383" s="18" t="s">
        <v>25</v>
      </c>
      <c r="Q383" s="18" t="s">
        <v>125</v>
      </c>
      <c r="R383" s="18" t="s">
        <v>136</v>
      </c>
      <c r="S383" s="17">
        <v>8021</v>
      </c>
      <c r="T383" s="17" t="s">
        <v>22</v>
      </c>
      <c r="U383" s="18" t="s">
        <v>19</v>
      </c>
      <c r="V383" s="17"/>
    </row>
    <row r="384" spans="1:22" x14ac:dyDescent="0.3">
      <c r="A384" s="18" t="e">
        <f t="shared" si="7"/>
        <v>#REF!</v>
      </c>
      <c r="B384" s="17">
        <v>84</v>
      </c>
      <c r="C384" s="22" t="s">
        <v>20</v>
      </c>
      <c r="D384" s="31" t="s">
        <v>817</v>
      </c>
      <c r="E384" s="16">
        <v>45716</v>
      </c>
      <c r="F384" s="21" t="s">
        <v>28</v>
      </c>
      <c r="G384" s="51" t="s">
        <v>818</v>
      </c>
      <c r="H384" s="57">
        <v>763680</v>
      </c>
      <c r="I384" s="16">
        <v>45716</v>
      </c>
      <c r="J384" s="18"/>
      <c r="K384" s="31">
        <v>500</v>
      </c>
      <c r="L384" s="34">
        <v>500</v>
      </c>
      <c r="M384" s="34">
        <v>50</v>
      </c>
      <c r="N384" s="27">
        <v>45720</v>
      </c>
      <c r="O384" s="18" t="s">
        <v>21</v>
      </c>
      <c r="P384" s="18" t="s">
        <v>25</v>
      </c>
      <c r="Q384" s="18" t="s">
        <v>125</v>
      </c>
      <c r="R384" s="18" t="s">
        <v>136</v>
      </c>
      <c r="S384" s="17">
        <v>8020</v>
      </c>
      <c r="T384" s="17" t="s">
        <v>22</v>
      </c>
      <c r="U384" s="18" t="s">
        <v>19</v>
      </c>
      <c r="V384" s="17"/>
    </row>
    <row r="385" spans="1:22" x14ac:dyDescent="0.3">
      <c r="A385" s="18" t="e">
        <f t="shared" si="7"/>
        <v>#REF!</v>
      </c>
      <c r="B385" s="17">
        <v>84</v>
      </c>
      <c r="C385" s="22" t="s">
        <v>20</v>
      </c>
      <c r="D385" s="31" t="s">
        <v>819</v>
      </c>
      <c r="E385" s="16">
        <v>45716</v>
      </c>
      <c r="F385" s="21" t="s">
        <v>28</v>
      </c>
      <c r="G385" s="51" t="s">
        <v>820</v>
      </c>
      <c r="H385" s="57">
        <v>718512.5</v>
      </c>
      <c r="I385" s="16">
        <v>45716</v>
      </c>
      <c r="J385" s="18"/>
      <c r="K385" s="31">
        <v>500</v>
      </c>
      <c r="L385" s="34">
        <v>500</v>
      </c>
      <c r="M385" s="34">
        <v>50</v>
      </c>
      <c r="N385" s="27">
        <v>45720</v>
      </c>
      <c r="O385" s="18" t="s">
        <v>21</v>
      </c>
      <c r="P385" s="18" t="s">
        <v>25</v>
      </c>
      <c r="Q385" s="18" t="s">
        <v>125</v>
      </c>
      <c r="R385" s="18" t="s">
        <v>136</v>
      </c>
      <c r="S385" s="17">
        <v>8019</v>
      </c>
      <c r="T385" s="17" t="s">
        <v>22</v>
      </c>
      <c r="U385" s="18" t="s">
        <v>19</v>
      </c>
      <c r="V385" s="17"/>
    </row>
    <row r="386" spans="1:22" x14ac:dyDescent="0.3">
      <c r="A386" s="18" t="e">
        <f t="shared" si="7"/>
        <v>#REF!</v>
      </c>
      <c r="B386" s="17">
        <v>85</v>
      </c>
      <c r="C386" s="17" t="s">
        <v>20</v>
      </c>
      <c r="D386" s="31" t="s">
        <v>821</v>
      </c>
      <c r="E386" s="16">
        <v>45716</v>
      </c>
      <c r="F386" s="21" t="s">
        <v>28</v>
      </c>
      <c r="G386" s="51" t="s">
        <v>822</v>
      </c>
      <c r="H386" s="57">
        <v>574811</v>
      </c>
      <c r="I386" s="16">
        <v>45716</v>
      </c>
      <c r="J386" s="18"/>
      <c r="K386" s="31">
        <v>400</v>
      </c>
      <c r="L386" s="62">
        <v>400</v>
      </c>
      <c r="M386" s="34">
        <v>40</v>
      </c>
      <c r="N386" s="27">
        <v>45721</v>
      </c>
      <c r="O386" s="18" t="s">
        <v>21</v>
      </c>
      <c r="P386" s="18" t="s">
        <v>25</v>
      </c>
      <c r="Q386" s="18" t="s">
        <v>140</v>
      </c>
      <c r="R386" s="18" t="s">
        <v>136</v>
      </c>
      <c r="S386" s="17">
        <v>8029</v>
      </c>
      <c r="T386" s="17" t="s">
        <v>22</v>
      </c>
      <c r="U386" s="18" t="s">
        <v>19</v>
      </c>
      <c r="V386" s="17"/>
    </row>
    <row r="387" spans="1:22" x14ac:dyDescent="0.3">
      <c r="A387" s="18" t="e">
        <f t="shared" si="7"/>
        <v>#REF!</v>
      </c>
      <c r="B387" s="17">
        <v>83</v>
      </c>
      <c r="C387" s="17" t="s">
        <v>20</v>
      </c>
      <c r="D387" s="31" t="s">
        <v>823</v>
      </c>
      <c r="E387" s="16">
        <v>45716</v>
      </c>
      <c r="F387" s="21" t="s">
        <v>28</v>
      </c>
      <c r="G387" s="51" t="s">
        <v>824</v>
      </c>
      <c r="H387" s="57">
        <v>529649.5</v>
      </c>
      <c r="I387" s="16">
        <v>45716</v>
      </c>
      <c r="J387" s="18"/>
      <c r="K387" s="31">
        <v>350</v>
      </c>
      <c r="L387" s="34">
        <v>350</v>
      </c>
      <c r="M387" s="34">
        <v>35</v>
      </c>
      <c r="N387" s="27">
        <v>45718</v>
      </c>
      <c r="O387" s="18" t="s">
        <v>21</v>
      </c>
      <c r="P387" s="18" t="s">
        <v>25</v>
      </c>
      <c r="Q387" s="17" t="s">
        <v>663</v>
      </c>
      <c r="R387" s="17" t="s">
        <v>102</v>
      </c>
      <c r="S387" s="17"/>
      <c r="T387" s="31" t="s">
        <v>22</v>
      </c>
      <c r="U387" s="18" t="s">
        <v>19</v>
      </c>
      <c r="V387" s="17"/>
    </row>
    <row r="388" spans="1:22" x14ac:dyDescent="0.3">
      <c r="A388" s="18" t="e">
        <f t="shared" si="7"/>
        <v>#REF!</v>
      </c>
      <c r="B388" s="17">
        <v>85</v>
      </c>
      <c r="C388" s="17" t="s">
        <v>20</v>
      </c>
      <c r="D388" s="31" t="s">
        <v>825</v>
      </c>
      <c r="E388" s="16">
        <v>45716</v>
      </c>
      <c r="F388" s="21" t="s">
        <v>123</v>
      </c>
      <c r="G388" s="51" t="s">
        <v>826</v>
      </c>
      <c r="H388" s="57">
        <v>585811.30000000005</v>
      </c>
      <c r="I388" s="16">
        <v>45716</v>
      </c>
      <c r="J388" s="18"/>
      <c r="K388" s="31">
        <v>420</v>
      </c>
      <c r="L388" s="34">
        <v>420</v>
      </c>
      <c r="M388" s="34">
        <v>42</v>
      </c>
      <c r="N388" s="27">
        <v>45721</v>
      </c>
      <c r="O388" s="18" t="s">
        <v>21</v>
      </c>
      <c r="P388" s="18" t="s">
        <v>25</v>
      </c>
      <c r="Q388" s="18" t="s">
        <v>140</v>
      </c>
      <c r="R388" s="17" t="s">
        <v>102</v>
      </c>
      <c r="S388" s="17">
        <v>8033</v>
      </c>
      <c r="T388" s="31" t="s">
        <v>804</v>
      </c>
      <c r="U388" s="18" t="s">
        <v>19</v>
      </c>
      <c r="V388" s="17"/>
    </row>
    <row r="389" spans="1:22" x14ac:dyDescent="0.3">
      <c r="A389" s="18" t="e">
        <f t="shared" si="7"/>
        <v>#REF!</v>
      </c>
      <c r="B389" s="17">
        <v>88</v>
      </c>
      <c r="C389" s="17" t="s">
        <v>20</v>
      </c>
      <c r="D389" s="31" t="s">
        <v>827</v>
      </c>
      <c r="E389" s="16">
        <v>45716</v>
      </c>
      <c r="F389" s="21" t="s">
        <v>130</v>
      </c>
      <c r="G389" s="51" t="s">
        <v>828</v>
      </c>
      <c r="H389" s="57">
        <v>483168</v>
      </c>
      <c r="I389" s="16">
        <v>45716</v>
      </c>
      <c r="J389" s="18"/>
      <c r="K389" s="31">
        <v>340</v>
      </c>
      <c r="L389" s="34">
        <v>340</v>
      </c>
      <c r="M389" s="34">
        <v>34</v>
      </c>
      <c r="N389" s="27">
        <v>45726</v>
      </c>
      <c r="O389" s="18" t="s">
        <v>21</v>
      </c>
      <c r="P389" s="18" t="s">
        <v>25</v>
      </c>
      <c r="Q389" s="17" t="s">
        <v>125</v>
      </c>
      <c r="R389" s="17" t="s">
        <v>102</v>
      </c>
      <c r="S389" s="17">
        <v>8065</v>
      </c>
      <c r="T389" s="17" t="s">
        <v>22</v>
      </c>
      <c r="U389" s="18" t="s">
        <v>19</v>
      </c>
      <c r="V389" s="17"/>
    </row>
    <row r="390" spans="1:22" x14ac:dyDescent="0.3">
      <c r="A390" s="18" t="e">
        <f t="shared" si="7"/>
        <v>#REF!</v>
      </c>
      <c r="B390" s="17">
        <v>88</v>
      </c>
      <c r="C390" s="17" t="s">
        <v>20</v>
      </c>
      <c r="D390" s="31" t="s">
        <v>829</v>
      </c>
      <c r="E390" s="16">
        <v>45716</v>
      </c>
      <c r="F390" s="21" t="s">
        <v>64</v>
      </c>
      <c r="G390" s="51" t="s">
        <v>830</v>
      </c>
      <c r="H390" s="57">
        <v>483152.6</v>
      </c>
      <c r="I390" s="16">
        <v>45716</v>
      </c>
      <c r="J390" s="18"/>
      <c r="K390" s="31">
        <v>440</v>
      </c>
      <c r="L390" s="34">
        <v>440</v>
      </c>
      <c r="M390" s="34">
        <v>41</v>
      </c>
      <c r="N390" s="27">
        <v>45726</v>
      </c>
      <c r="O390" s="18" t="s">
        <v>21</v>
      </c>
      <c r="P390" s="18" t="s">
        <v>25</v>
      </c>
      <c r="Q390" s="17" t="s">
        <v>125</v>
      </c>
      <c r="R390" s="17" t="s">
        <v>102</v>
      </c>
      <c r="S390" s="17">
        <v>8074</v>
      </c>
      <c r="T390" s="17" t="s">
        <v>22</v>
      </c>
      <c r="U390" s="18" t="s">
        <v>831</v>
      </c>
      <c r="V390" s="17"/>
    </row>
    <row r="391" spans="1:22" x14ac:dyDescent="0.3">
      <c r="A391" s="18" t="e">
        <f t="shared" si="7"/>
        <v>#REF!</v>
      </c>
      <c r="B391" s="17">
        <v>86</v>
      </c>
      <c r="C391" s="17" t="s">
        <v>20</v>
      </c>
      <c r="D391" s="31" t="s">
        <v>832</v>
      </c>
      <c r="E391" s="16">
        <v>45716</v>
      </c>
      <c r="F391" s="21" t="s">
        <v>64</v>
      </c>
      <c r="G391" s="51" t="s">
        <v>833</v>
      </c>
      <c r="H391" s="57">
        <v>525043.4</v>
      </c>
      <c r="I391" s="16">
        <v>45723</v>
      </c>
      <c r="J391" s="18"/>
      <c r="K391" s="31">
        <v>390</v>
      </c>
      <c r="L391" s="34">
        <v>390</v>
      </c>
      <c r="M391" s="34">
        <v>39</v>
      </c>
      <c r="N391" s="27">
        <v>45725</v>
      </c>
      <c r="O391" s="18" t="s">
        <v>21</v>
      </c>
      <c r="P391" s="18" t="s">
        <v>25</v>
      </c>
      <c r="Q391" s="17" t="s">
        <v>125</v>
      </c>
      <c r="R391" s="17" t="s">
        <v>102</v>
      </c>
      <c r="S391" s="17">
        <v>8039</v>
      </c>
      <c r="T391" s="17" t="s">
        <v>22</v>
      </c>
      <c r="U391" s="18" t="s">
        <v>19</v>
      </c>
      <c r="V391" s="17"/>
    </row>
    <row r="392" spans="1:22" x14ac:dyDescent="0.3">
      <c r="A392" s="18" t="e">
        <f t="shared" si="7"/>
        <v>#REF!</v>
      </c>
      <c r="B392" s="17">
        <v>85</v>
      </c>
      <c r="C392" s="17" t="s">
        <v>20</v>
      </c>
      <c r="D392" s="31" t="s">
        <v>834</v>
      </c>
      <c r="E392" s="16">
        <v>45716</v>
      </c>
      <c r="F392" s="21" t="s">
        <v>64</v>
      </c>
      <c r="G392" s="51" t="s">
        <v>835</v>
      </c>
      <c r="H392" s="57">
        <v>562490.5</v>
      </c>
      <c r="I392" s="16">
        <v>45716</v>
      </c>
      <c r="J392" s="18"/>
      <c r="K392" s="31">
        <v>400</v>
      </c>
      <c r="L392" s="62">
        <v>400</v>
      </c>
      <c r="M392" s="34">
        <v>40</v>
      </c>
      <c r="N392" s="27">
        <v>45721</v>
      </c>
      <c r="O392" s="18" t="s">
        <v>21</v>
      </c>
      <c r="P392" s="18" t="s">
        <v>25</v>
      </c>
      <c r="Q392" s="18" t="s">
        <v>140</v>
      </c>
      <c r="R392" s="18" t="s">
        <v>136</v>
      </c>
      <c r="S392" s="17">
        <v>8025</v>
      </c>
      <c r="T392" s="17" t="s">
        <v>22</v>
      </c>
      <c r="U392" s="18" t="s">
        <v>19</v>
      </c>
      <c r="V392" s="17"/>
    </row>
    <row r="393" spans="1:22" x14ac:dyDescent="0.3">
      <c r="A393" s="18" t="e">
        <f t="shared" si="7"/>
        <v>#REF!</v>
      </c>
      <c r="B393" s="17">
        <v>84</v>
      </c>
      <c r="C393" s="22" t="s">
        <v>20</v>
      </c>
      <c r="D393" s="31" t="s">
        <v>836</v>
      </c>
      <c r="E393" s="16">
        <v>45716</v>
      </c>
      <c r="F393" s="21" t="s">
        <v>64</v>
      </c>
      <c r="G393" s="51" t="s">
        <v>837</v>
      </c>
      <c r="H393" s="57">
        <v>296439</v>
      </c>
      <c r="I393" s="16">
        <v>45716</v>
      </c>
      <c r="J393" s="18"/>
      <c r="K393" s="31">
        <v>200</v>
      </c>
      <c r="L393" s="62">
        <v>200</v>
      </c>
      <c r="M393" s="34">
        <v>20</v>
      </c>
      <c r="N393" s="27">
        <v>45720</v>
      </c>
      <c r="O393" s="18" t="s">
        <v>21</v>
      </c>
      <c r="P393" s="18" t="s">
        <v>25</v>
      </c>
      <c r="Q393" s="18" t="s">
        <v>125</v>
      </c>
      <c r="R393" s="18" t="s">
        <v>136</v>
      </c>
      <c r="S393" s="17">
        <v>8024</v>
      </c>
      <c r="T393" s="17" t="s">
        <v>22</v>
      </c>
      <c r="U393" s="18" t="s">
        <v>19</v>
      </c>
      <c r="V393" s="17"/>
    </row>
    <row r="394" spans="1:22" x14ac:dyDescent="0.3">
      <c r="A394" s="18" t="e">
        <f t="shared" si="7"/>
        <v>#REF!</v>
      </c>
      <c r="B394" s="17">
        <v>85</v>
      </c>
      <c r="C394" s="17" t="s">
        <v>20</v>
      </c>
      <c r="D394" s="31" t="s">
        <v>838</v>
      </c>
      <c r="E394" s="16">
        <v>45716</v>
      </c>
      <c r="F394" s="25" t="s">
        <v>122</v>
      </c>
      <c r="G394" s="51" t="s">
        <v>839</v>
      </c>
      <c r="H394" s="57">
        <v>314335.2</v>
      </c>
      <c r="I394" s="16">
        <v>45716</v>
      </c>
      <c r="J394" s="17"/>
      <c r="K394" s="31">
        <v>240</v>
      </c>
      <c r="L394" s="62">
        <v>240</v>
      </c>
      <c r="M394" s="34">
        <v>24</v>
      </c>
      <c r="N394" s="27">
        <v>45721</v>
      </c>
      <c r="O394" s="17" t="s">
        <v>21</v>
      </c>
      <c r="P394" s="17" t="s">
        <v>25</v>
      </c>
      <c r="Q394" s="18" t="s">
        <v>140</v>
      </c>
      <c r="R394" s="17" t="s">
        <v>102</v>
      </c>
      <c r="S394" s="17">
        <v>8027</v>
      </c>
      <c r="T394" s="31" t="s">
        <v>804</v>
      </c>
      <c r="U394" s="18" t="s">
        <v>19</v>
      </c>
      <c r="V394" s="17"/>
    </row>
    <row r="395" spans="1:22" x14ac:dyDescent="0.3">
      <c r="A395" s="18" t="e">
        <f t="shared" si="7"/>
        <v>#REF!</v>
      </c>
      <c r="B395" s="17">
        <v>85</v>
      </c>
      <c r="C395" s="17" t="s">
        <v>20</v>
      </c>
      <c r="D395" s="31" t="s">
        <v>840</v>
      </c>
      <c r="E395" s="16">
        <v>45716</v>
      </c>
      <c r="F395" s="25" t="s">
        <v>122</v>
      </c>
      <c r="G395" s="51" t="s">
        <v>841</v>
      </c>
      <c r="H395" s="57">
        <v>398755.1</v>
      </c>
      <c r="I395" s="16">
        <v>45716</v>
      </c>
      <c r="J395" s="17"/>
      <c r="K395" s="31">
        <v>270</v>
      </c>
      <c r="L395" s="62">
        <v>270</v>
      </c>
      <c r="M395" s="34">
        <v>27</v>
      </c>
      <c r="N395" s="27">
        <v>45721</v>
      </c>
      <c r="O395" s="17" t="s">
        <v>21</v>
      </c>
      <c r="P395" s="17" t="s">
        <v>25</v>
      </c>
      <c r="Q395" s="18" t="s">
        <v>140</v>
      </c>
      <c r="R395" s="17" t="s">
        <v>102</v>
      </c>
      <c r="S395" s="17">
        <v>8028</v>
      </c>
      <c r="T395" s="31" t="s">
        <v>22</v>
      </c>
      <c r="U395" s="18" t="s">
        <v>19</v>
      </c>
      <c r="V395" s="17"/>
    </row>
    <row r="396" spans="1:22" x14ac:dyDescent="0.3">
      <c r="A396" s="18" t="e">
        <f t="shared" si="7"/>
        <v>#REF!</v>
      </c>
      <c r="B396" s="17">
        <v>88</v>
      </c>
      <c r="C396" s="17" t="s">
        <v>20</v>
      </c>
      <c r="D396" s="31" t="s">
        <v>842</v>
      </c>
      <c r="E396" s="16">
        <v>45716</v>
      </c>
      <c r="F396" s="25" t="s">
        <v>786</v>
      </c>
      <c r="G396" s="51" t="s">
        <v>843</v>
      </c>
      <c r="H396" s="57">
        <v>272952.5</v>
      </c>
      <c r="I396" s="16">
        <v>45725</v>
      </c>
      <c r="J396" s="18"/>
      <c r="K396" s="31">
        <v>190</v>
      </c>
      <c r="L396" s="34">
        <v>190</v>
      </c>
      <c r="M396" s="34">
        <v>19</v>
      </c>
      <c r="N396" s="27">
        <v>45726</v>
      </c>
      <c r="O396" s="18" t="s">
        <v>21</v>
      </c>
      <c r="P396" s="18" t="s">
        <v>25</v>
      </c>
      <c r="Q396" s="17" t="s">
        <v>125</v>
      </c>
      <c r="R396" s="17" t="s">
        <v>102</v>
      </c>
      <c r="S396" s="17">
        <v>8070</v>
      </c>
      <c r="T396" s="31" t="s">
        <v>804</v>
      </c>
      <c r="U396" s="18" t="s">
        <v>19</v>
      </c>
      <c r="V396" s="17"/>
    </row>
    <row r="397" spans="1:22" x14ac:dyDescent="0.3">
      <c r="A397" s="18" t="e">
        <f t="shared" si="7"/>
        <v>#REF!</v>
      </c>
      <c r="B397" s="17">
        <v>87</v>
      </c>
      <c r="C397" s="17" t="s">
        <v>20</v>
      </c>
      <c r="D397" s="31" t="s">
        <v>844</v>
      </c>
      <c r="E397" s="16">
        <v>45716</v>
      </c>
      <c r="F397" s="25" t="s">
        <v>24</v>
      </c>
      <c r="G397" s="51" t="s">
        <v>845</v>
      </c>
      <c r="H397" s="57">
        <v>619480.80000000005</v>
      </c>
      <c r="I397" s="16">
        <v>45720</v>
      </c>
      <c r="J397" s="18"/>
      <c r="K397" s="31">
        <v>430</v>
      </c>
      <c r="L397" s="34">
        <v>430</v>
      </c>
      <c r="M397" s="34">
        <v>43</v>
      </c>
      <c r="N397" s="27">
        <v>45726</v>
      </c>
      <c r="O397" s="18" t="s">
        <v>21</v>
      </c>
      <c r="P397" s="18" t="s">
        <v>25</v>
      </c>
      <c r="Q397" s="17" t="s">
        <v>127</v>
      </c>
      <c r="R397" s="17" t="s">
        <v>102</v>
      </c>
      <c r="S397" s="17">
        <v>8058</v>
      </c>
      <c r="T397" s="31" t="s">
        <v>804</v>
      </c>
      <c r="U397" s="18" t="s">
        <v>19</v>
      </c>
      <c r="V397" s="17"/>
    </row>
    <row r="398" spans="1:22" x14ac:dyDescent="0.3">
      <c r="A398" s="18" t="e">
        <f t="shared" si="7"/>
        <v>#REF!</v>
      </c>
      <c r="B398" s="17">
        <v>83</v>
      </c>
      <c r="C398" s="17" t="s">
        <v>20</v>
      </c>
      <c r="D398" s="31" t="s">
        <v>846</v>
      </c>
      <c r="E398" s="16">
        <v>45716</v>
      </c>
      <c r="F398" s="25" t="s">
        <v>24</v>
      </c>
      <c r="G398" s="51" t="s">
        <v>847</v>
      </c>
      <c r="H398" s="57">
        <v>387423.6</v>
      </c>
      <c r="I398" s="16">
        <v>45716</v>
      </c>
      <c r="J398" s="18"/>
      <c r="K398" s="31">
        <v>260</v>
      </c>
      <c r="L398" s="34">
        <v>260</v>
      </c>
      <c r="M398" s="34">
        <v>26</v>
      </c>
      <c r="N398" s="27">
        <v>45718</v>
      </c>
      <c r="O398" s="18" t="s">
        <v>21</v>
      </c>
      <c r="P398" s="18" t="s">
        <v>25</v>
      </c>
      <c r="Q398" s="17" t="s">
        <v>663</v>
      </c>
      <c r="R398" s="17" t="s">
        <v>102</v>
      </c>
      <c r="S398" s="17">
        <v>8022</v>
      </c>
      <c r="T398" s="31" t="s">
        <v>22</v>
      </c>
      <c r="U398" s="18" t="s">
        <v>19</v>
      </c>
      <c r="V398" s="17"/>
    </row>
    <row r="399" spans="1:22" x14ac:dyDescent="0.3">
      <c r="A399" s="18" t="e">
        <f t="shared" si="7"/>
        <v>#REF!</v>
      </c>
      <c r="B399" s="17">
        <v>86</v>
      </c>
      <c r="C399" s="17" t="s">
        <v>20</v>
      </c>
      <c r="D399" s="31" t="s">
        <v>848</v>
      </c>
      <c r="E399" s="16">
        <v>45716</v>
      </c>
      <c r="F399" s="21" t="s">
        <v>132</v>
      </c>
      <c r="G399" s="51" t="s">
        <v>849</v>
      </c>
      <c r="H399" s="57">
        <v>146002</v>
      </c>
      <c r="I399" s="16">
        <v>45723</v>
      </c>
      <c r="J399" s="18"/>
      <c r="K399" s="31">
        <v>100</v>
      </c>
      <c r="L399" s="34">
        <v>100</v>
      </c>
      <c r="M399" s="34">
        <v>10</v>
      </c>
      <c r="N399" s="27">
        <v>45725</v>
      </c>
      <c r="O399" s="18" t="s">
        <v>21</v>
      </c>
      <c r="P399" s="18" t="s">
        <v>25</v>
      </c>
      <c r="Q399" s="17" t="s">
        <v>125</v>
      </c>
      <c r="R399" s="17" t="s">
        <v>102</v>
      </c>
      <c r="S399" s="17">
        <v>8037</v>
      </c>
      <c r="T399" s="31" t="s">
        <v>804</v>
      </c>
      <c r="U399" s="18" t="s">
        <v>19</v>
      </c>
      <c r="V399" s="17"/>
    </row>
    <row r="400" spans="1:22" x14ac:dyDescent="0.3">
      <c r="A400" s="18" t="e">
        <f t="shared" si="7"/>
        <v>#REF!</v>
      </c>
      <c r="B400" s="17">
        <v>85</v>
      </c>
      <c r="C400" s="17" t="s">
        <v>20</v>
      </c>
      <c r="D400" s="31" t="s">
        <v>850</v>
      </c>
      <c r="E400" s="16">
        <v>45716</v>
      </c>
      <c r="F400" s="25" t="s">
        <v>89</v>
      </c>
      <c r="G400" s="51" t="s">
        <v>851</v>
      </c>
      <c r="H400" s="57">
        <v>250617.9</v>
      </c>
      <c r="I400" s="16">
        <v>45716</v>
      </c>
      <c r="J400" s="18"/>
      <c r="K400" s="31">
        <v>170</v>
      </c>
      <c r="L400" s="34">
        <v>170</v>
      </c>
      <c r="M400" s="34">
        <v>17</v>
      </c>
      <c r="N400" s="27">
        <v>45721</v>
      </c>
      <c r="O400" s="18" t="s">
        <v>21</v>
      </c>
      <c r="P400" s="18" t="s">
        <v>25</v>
      </c>
      <c r="Q400" s="18" t="s">
        <v>140</v>
      </c>
      <c r="R400" s="17" t="s">
        <v>102</v>
      </c>
      <c r="S400" s="17">
        <v>8030</v>
      </c>
      <c r="T400" s="31" t="s">
        <v>804</v>
      </c>
      <c r="U400" s="18" t="s">
        <v>19</v>
      </c>
      <c r="V400" s="17"/>
    </row>
    <row r="401" spans="1:22" x14ac:dyDescent="0.3">
      <c r="A401" s="18" t="e">
        <f t="shared" si="7"/>
        <v>#REF!</v>
      </c>
      <c r="B401" s="17">
        <v>86</v>
      </c>
      <c r="C401" s="17" t="s">
        <v>20</v>
      </c>
      <c r="D401" s="31" t="s">
        <v>852</v>
      </c>
      <c r="E401" s="16">
        <v>45716</v>
      </c>
      <c r="F401" s="25" t="s">
        <v>119</v>
      </c>
      <c r="G401" s="51" t="s">
        <v>853</v>
      </c>
      <c r="H401" s="57">
        <v>111841.1</v>
      </c>
      <c r="I401" s="16">
        <v>45721</v>
      </c>
      <c r="J401" s="18"/>
      <c r="K401" s="31">
        <v>80</v>
      </c>
      <c r="L401" s="34">
        <v>80</v>
      </c>
      <c r="M401" s="34">
        <v>8</v>
      </c>
      <c r="N401" s="27">
        <v>45725</v>
      </c>
      <c r="O401" s="18" t="s">
        <v>21</v>
      </c>
      <c r="P401" s="18" t="s">
        <v>25</v>
      </c>
      <c r="Q401" s="17" t="s">
        <v>125</v>
      </c>
      <c r="R401" s="17" t="s">
        <v>102</v>
      </c>
      <c r="S401" s="17">
        <v>8042</v>
      </c>
      <c r="T401" s="31" t="s">
        <v>804</v>
      </c>
      <c r="U401" s="18" t="s">
        <v>19</v>
      </c>
      <c r="V401" s="17"/>
    </row>
    <row r="402" spans="1:22" x14ac:dyDescent="0.3">
      <c r="A402" s="18" t="e">
        <f t="shared" si="7"/>
        <v>#REF!</v>
      </c>
      <c r="B402" s="17">
        <v>85</v>
      </c>
      <c r="C402" s="17" t="s">
        <v>20</v>
      </c>
      <c r="D402" s="31" t="s">
        <v>854</v>
      </c>
      <c r="E402" s="16">
        <v>45716</v>
      </c>
      <c r="F402" s="21" t="s">
        <v>84</v>
      </c>
      <c r="G402" s="51" t="s">
        <v>855</v>
      </c>
      <c r="H402" s="57">
        <v>516507.7</v>
      </c>
      <c r="I402" s="16">
        <v>45720</v>
      </c>
      <c r="J402" s="18"/>
      <c r="K402" s="31">
        <v>360</v>
      </c>
      <c r="L402" s="34">
        <v>360</v>
      </c>
      <c r="M402" s="34">
        <v>36</v>
      </c>
      <c r="N402" s="27">
        <v>45721</v>
      </c>
      <c r="O402" s="18" t="s">
        <v>21</v>
      </c>
      <c r="P402" s="18" t="s">
        <v>25</v>
      </c>
      <c r="Q402" s="18" t="s">
        <v>140</v>
      </c>
      <c r="R402" s="17" t="s">
        <v>102</v>
      </c>
      <c r="S402" s="17">
        <v>8031</v>
      </c>
      <c r="T402" s="31" t="s">
        <v>804</v>
      </c>
      <c r="U402" s="18" t="s">
        <v>19</v>
      </c>
      <c r="V402" s="17"/>
    </row>
    <row r="403" spans="1:22" x14ac:dyDescent="0.3">
      <c r="A403" s="18" t="e">
        <f t="shared" si="7"/>
        <v>#REF!</v>
      </c>
      <c r="B403" s="17">
        <v>85</v>
      </c>
      <c r="C403" s="17" t="s">
        <v>20</v>
      </c>
      <c r="D403" s="31" t="s">
        <v>856</v>
      </c>
      <c r="E403" s="16">
        <v>45716</v>
      </c>
      <c r="F403" s="26" t="s">
        <v>117</v>
      </c>
      <c r="G403" s="51" t="s">
        <v>857</v>
      </c>
      <c r="H403" s="57">
        <v>117589.8</v>
      </c>
      <c r="I403" s="16">
        <v>45716</v>
      </c>
      <c r="J403" s="18"/>
      <c r="K403" s="31">
        <v>80</v>
      </c>
      <c r="L403" s="34">
        <v>80</v>
      </c>
      <c r="M403" s="34">
        <v>8</v>
      </c>
      <c r="N403" s="27">
        <v>45721</v>
      </c>
      <c r="O403" s="18" t="s">
        <v>21</v>
      </c>
      <c r="P403" s="18" t="s">
        <v>25</v>
      </c>
      <c r="Q403" s="18" t="s">
        <v>140</v>
      </c>
      <c r="R403" s="17" t="s">
        <v>102</v>
      </c>
      <c r="S403" s="17">
        <v>8024</v>
      </c>
      <c r="T403" s="31" t="s">
        <v>804</v>
      </c>
      <c r="U403" s="18" t="s">
        <v>19</v>
      </c>
      <c r="V403" s="17"/>
    </row>
    <row r="404" spans="1:22" x14ac:dyDescent="0.3">
      <c r="A404" s="18" t="e">
        <f t="shared" si="7"/>
        <v>#REF!</v>
      </c>
      <c r="B404" s="17">
        <v>86</v>
      </c>
      <c r="C404" s="17" t="s">
        <v>20</v>
      </c>
      <c r="D404" s="31" t="s">
        <v>858</v>
      </c>
      <c r="E404" s="16">
        <v>45716</v>
      </c>
      <c r="F404" s="25" t="s">
        <v>120</v>
      </c>
      <c r="G404" s="51" t="s">
        <v>859</v>
      </c>
      <c r="H404" s="57">
        <v>286910.7</v>
      </c>
      <c r="I404" s="16">
        <v>45723</v>
      </c>
      <c r="J404" s="18"/>
      <c r="K404" s="31">
        <v>210</v>
      </c>
      <c r="L404" s="34">
        <v>210</v>
      </c>
      <c r="M404" s="34">
        <v>21</v>
      </c>
      <c r="N404" s="27">
        <v>45725</v>
      </c>
      <c r="O404" s="18" t="s">
        <v>21</v>
      </c>
      <c r="P404" s="18" t="s">
        <v>25</v>
      </c>
      <c r="Q404" s="18" t="s">
        <v>125</v>
      </c>
      <c r="R404" s="17" t="s">
        <v>102</v>
      </c>
      <c r="S404" s="17">
        <v>8038</v>
      </c>
      <c r="T404" s="31" t="s">
        <v>804</v>
      </c>
      <c r="U404" s="18" t="s">
        <v>19</v>
      </c>
      <c r="V404" s="17"/>
    </row>
    <row r="405" spans="1:22" x14ac:dyDescent="0.3">
      <c r="A405" s="18" t="e">
        <f t="shared" si="7"/>
        <v>#REF!</v>
      </c>
      <c r="B405" s="17">
        <v>82</v>
      </c>
      <c r="C405" s="17" t="s">
        <v>20</v>
      </c>
      <c r="D405" s="31" t="s">
        <v>860</v>
      </c>
      <c r="E405" s="16">
        <v>45716</v>
      </c>
      <c r="F405" s="25" t="s">
        <v>120</v>
      </c>
      <c r="G405" s="52" t="s">
        <v>1126</v>
      </c>
      <c r="H405" s="57">
        <v>300873.40000000002</v>
      </c>
      <c r="I405" s="16">
        <v>45716</v>
      </c>
      <c r="J405" s="18"/>
      <c r="K405" s="31">
        <v>200</v>
      </c>
      <c r="L405" s="34">
        <v>200</v>
      </c>
      <c r="M405" s="34">
        <v>20</v>
      </c>
      <c r="N405" s="27">
        <v>45717</v>
      </c>
      <c r="O405" s="18" t="s">
        <v>21</v>
      </c>
      <c r="P405" s="18" t="s">
        <v>25</v>
      </c>
      <c r="Q405" s="17" t="s">
        <v>663</v>
      </c>
      <c r="R405" s="17" t="s">
        <v>102</v>
      </c>
      <c r="S405" s="17">
        <v>8016</v>
      </c>
      <c r="T405" s="31" t="s">
        <v>22</v>
      </c>
      <c r="U405" s="18" t="s">
        <v>19</v>
      </c>
      <c r="V405" s="17"/>
    </row>
    <row r="406" spans="1:22" x14ac:dyDescent="0.3">
      <c r="A406" s="18" t="e">
        <f t="shared" si="7"/>
        <v>#REF!</v>
      </c>
      <c r="B406" s="17">
        <v>88</v>
      </c>
      <c r="C406" s="17" t="s">
        <v>20</v>
      </c>
      <c r="D406" s="31" t="s">
        <v>861</v>
      </c>
      <c r="E406" s="16">
        <v>45717</v>
      </c>
      <c r="F406" s="21" t="s">
        <v>130</v>
      </c>
      <c r="G406" s="51" t="s">
        <v>862</v>
      </c>
      <c r="H406" s="57">
        <v>143209.60000000001</v>
      </c>
      <c r="I406" s="16">
        <v>45724</v>
      </c>
      <c r="J406" s="18"/>
      <c r="K406" s="31">
        <v>100</v>
      </c>
      <c r="L406" s="34">
        <v>100</v>
      </c>
      <c r="M406" s="34">
        <v>10</v>
      </c>
      <c r="N406" s="27">
        <v>45726</v>
      </c>
      <c r="O406" s="18" t="s">
        <v>21</v>
      </c>
      <c r="P406" s="18" t="s">
        <v>25</v>
      </c>
      <c r="Q406" s="17" t="s">
        <v>125</v>
      </c>
      <c r="R406" s="17" t="s">
        <v>102</v>
      </c>
      <c r="S406" s="17">
        <v>8067</v>
      </c>
      <c r="T406" s="17" t="s">
        <v>22</v>
      </c>
      <c r="U406" s="18" t="s">
        <v>19</v>
      </c>
      <c r="V406" s="17"/>
    </row>
    <row r="407" spans="1:22" x14ac:dyDescent="0.3">
      <c r="A407" s="18" t="e">
        <f t="shared" si="7"/>
        <v>#REF!</v>
      </c>
      <c r="B407" s="17">
        <v>88</v>
      </c>
      <c r="C407" s="17" t="s">
        <v>20</v>
      </c>
      <c r="D407" s="31" t="s">
        <v>863</v>
      </c>
      <c r="E407" s="16">
        <v>45717</v>
      </c>
      <c r="F407" s="21" t="s">
        <v>35</v>
      </c>
      <c r="G407" s="51" t="s">
        <v>864</v>
      </c>
      <c r="H407" s="57">
        <v>274327.96999999997</v>
      </c>
      <c r="I407" s="16">
        <v>45725</v>
      </c>
      <c r="J407" s="18"/>
      <c r="K407" s="31">
        <v>218</v>
      </c>
      <c r="L407" s="34">
        <v>218</v>
      </c>
      <c r="M407" s="34">
        <v>22</v>
      </c>
      <c r="N407" s="27">
        <v>45726</v>
      </c>
      <c r="O407" s="18" t="s">
        <v>21</v>
      </c>
      <c r="P407" s="18" t="s">
        <v>25</v>
      </c>
      <c r="Q407" s="17" t="s">
        <v>125</v>
      </c>
      <c r="R407" s="17" t="s">
        <v>102</v>
      </c>
      <c r="S407" s="17">
        <v>8073</v>
      </c>
      <c r="T407" s="17" t="s">
        <v>22</v>
      </c>
      <c r="U407" s="18" t="s">
        <v>19</v>
      </c>
      <c r="V407" s="17"/>
    </row>
    <row r="408" spans="1:22" x14ac:dyDescent="0.3">
      <c r="A408" s="18" t="e">
        <f t="shared" si="7"/>
        <v>#REF!</v>
      </c>
      <c r="B408" s="17">
        <v>87</v>
      </c>
      <c r="C408" s="17" t="s">
        <v>20</v>
      </c>
      <c r="D408" s="31" t="s">
        <v>865</v>
      </c>
      <c r="E408" s="16">
        <v>45717</v>
      </c>
      <c r="F408" s="21" t="s">
        <v>47</v>
      </c>
      <c r="G408" s="51" t="s">
        <v>866</v>
      </c>
      <c r="H408" s="57">
        <v>206598.9</v>
      </c>
      <c r="I408" s="16">
        <v>45725</v>
      </c>
      <c r="J408" s="18"/>
      <c r="K408" s="31">
        <v>170</v>
      </c>
      <c r="L408" s="34">
        <v>170</v>
      </c>
      <c r="M408" s="34">
        <v>17</v>
      </c>
      <c r="N408" s="27">
        <v>45726</v>
      </c>
      <c r="O408" s="18" t="s">
        <v>21</v>
      </c>
      <c r="P408" s="18" t="s">
        <v>25</v>
      </c>
      <c r="Q408" s="17" t="s">
        <v>127</v>
      </c>
      <c r="R408" s="17" t="s">
        <v>102</v>
      </c>
      <c r="S408" s="17">
        <v>8056</v>
      </c>
      <c r="T408" s="17" t="s">
        <v>22</v>
      </c>
      <c r="U408" s="18" t="s">
        <v>19</v>
      </c>
      <c r="V408" s="17"/>
    </row>
    <row r="409" spans="1:22" x14ac:dyDescent="0.3">
      <c r="A409" s="18" t="e">
        <f t="shared" si="7"/>
        <v>#REF!</v>
      </c>
      <c r="B409" s="17">
        <v>88</v>
      </c>
      <c r="C409" s="17" t="s">
        <v>20</v>
      </c>
      <c r="D409" s="31" t="s">
        <v>867</v>
      </c>
      <c r="E409" s="16">
        <v>45717</v>
      </c>
      <c r="F409" s="24" t="s">
        <v>121</v>
      </c>
      <c r="G409" s="51" t="s">
        <v>1051</v>
      </c>
      <c r="H409" s="56">
        <v>303826.59999999998</v>
      </c>
      <c r="I409" s="16">
        <v>45724</v>
      </c>
      <c r="J409" s="18"/>
      <c r="K409" s="31">
        <v>220</v>
      </c>
      <c r="L409" s="34">
        <v>220</v>
      </c>
      <c r="M409" s="34">
        <v>22</v>
      </c>
      <c r="N409" s="27">
        <v>45726</v>
      </c>
      <c r="O409" s="18" t="s">
        <v>21</v>
      </c>
      <c r="P409" s="18" t="s">
        <v>25</v>
      </c>
      <c r="Q409" s="17" t="s">
        <v>125</v>
      </c>
      <c r="R409" s="17" t="s">
        <v>102</v>
      </c>
      <c r="S409" s="17">
        <v>8068</v>
      </c>
      <c r="T409" s="17" t="s">
        <v>22</v>
      </c>
      <c r="U409" s="18" t="s">
        <v>19</v>
      </c>
      <c r="V409" s="17"/>
    </row>
    <row r="410" spans="1:22" x14ac:dyDescent="0.3">
      <c r="A410" s="18" t="e">
        <f t="shared" si="7"/>
        <v>#REF!</v>
      </c>
      <c r="B410" s="17">
        <v>82</v>
      </c>
      <c r="C410" s="17" t="s">
        <v>23</v>
      </c>
      <c r="D410" s="32" t="s">
        <v>868</v>
      </c>
      <c r="E410" s="16">
        <v>45715</v>
      </c>
      <c r="F410" s="21" t="s">
        <v>64</v>
      </c>
      <c r="G410" s="51" t="s">
        <v>869</v>
      </c>
      <c r="H410" s="57">
        <v>149733.6</v>
      </c>
      <c r="I410" s="16">
        <v>45716</v>
      </c>
      <c r="J410" s="18"/>
      <c r="K410" s="32">
        <v>25</v>
      </c>
      <c r="L410" s="34">
        <v>384</v>
      </c>
      <c r="M410" s="34">
        <v>19</v>
      </c>
      <c r="N410" s="27">
        <v>45717</v>
      </c>
      <c r="O410" s="18" t="s">
        <v>21</v>
      </c>
      <c r="P410" s="18" t="s">
        <v>25</v>
      </c>
      <c r="Q410" s="17" t="s">
        <v>663</v>
      </c>
      <c r="R410" s="17" t="s">
        <v>102</v>
      </c>
      <c r="S410" s="17">
        <v>8004</v>
      </c>
      <c r="T410" s="17" t="s">
        <v>22</v>
      </c>
      <c r="U410" s="18" t="s">
        <v>19</v>
      </c>
      <c r="V410" s="17"/>
    </row>
    <row r="411" spans="1:22" x14ac:dyDescent="0.3">
      <c r="A411" s="18" t="e">
        <f t="shared" si="7"/>
        <v>#REF!</v>
      </c>
      <c r="B411" s="17">
        <v>82</v>
      </c>
      <c r="C411" s="17" t="s">
        <v>23</v>
      </c>
      <c r="D411" s="32" t="s">
        <v>870</v>
      </c>
      <c r="E411" s="16">
        <v>45715</v>
      </c>
      <c r="F411" s="23" t="s">
        <v>68</v>
      </c>
      <c r="G411" s="51" t="s">
        <v>871</v>
      </c>
      <c r="H411" s="57">
        <v>103893.12</v>
      </c>
      <c r="I411" s="16">
        <v>45716</v>
      </c>
      <c r="J411" s="18"/>
      <c r="K411" s="32">
        <v>12</v>
      </c>
      <c r="L411" s="34">
        <v>240</v>
      </c>
      <c r="M411" s="34">
        <v>10</v>
      </c>
      <c r="N411" s="27">
        <v>45717</v>
      </c>
      <c r="O411" s="18" t="s">
        <v>21</v>
      </c>
      <c r="P411" s="18" t="s">
        <v>25</v>
      </c>
      <c r="Q411" s="17" t="s">
        <v>663</v>
      </c>
      <c r="R411" s="17" t="s">
        <v>102</v>
      </c>
      <c r="S411" s="17">
        <v>8003</v>
      </c>
      <c r="T411" s="17" t="s">
        <v>22</v>
      </c>
      <c r="U411" s="18" t="s">
        <v>19</v>
      </c>
      <c r="V411" s="17"/>
    </row>
    <row r="412" spans="1:22" x14ac:dyDescent="0.3">
      <c r="A412" s="18" t="e">
        <f t="shared" si="7"/>
        <v>#REF!</v>
      </c>
      <c r="B412" s="17">
        <v>82</v>
      </c>
      <c r="C412" s="17" t="s">
        <v>23</v>
      </c>
      <c r="D412" s="32" t="s">
        <v>872</v>
      </c>
      <c r="E412" s="16">
        <v>45715</v>
      </c>
      <c r="F412" s="24" t="s">
        <v>24</v>
      </c>
      <c r="G412" s="51" t="s">
        <v>873</v>
      </c>
      <c r="H412" s="57">
        <v>36867.599999999999</v>
      </c>
      <c r="I412" s="16">
        <v>45716</v>
      </c>
      <c r="J412" s="18"/>
      <c r="K412" s="32">
        <v>5</v>
      </c>
      <c r="L412" s="34">
        <v>120</v>
      </c>
      <c r="M412" s="34">
        <v>5</v>
      </c>
      <c r="N412" s="27">
        <v>45717</v>
      </c>
      <c r="O412" s="18" t="s">
        <v>21</v>
      </c>
      <c r="P412" s="18" t="s">
        <v>25</v>
      </c>
      <c r="Q412" s="17" t="s">
        <v>663</v>
      </c>
      <c r="R412" s="17" t="s">
        <v>102</v>
      </c>
      <c r="S412" s="17">
        <v>8002</v>
      </c>
      <c r="T412" s="17" t="s">
        <v>22</v>
      </c>
      <c r="U412" s="18" t="s">
        <v>19</v>
      </c>
      <c r="V412" s="17"/>
    </row>
    <row r="413" spans="1:22" x14ac:dyDescent="0.3">
      <c r="A413" s="18" t="e">
        <f t="shared" si="7"/>
        <v>#REF!</v>
      </c>
      <c r="B413" s="17">
        <v>82</v>
      </c>
      <c r="C413" s="17" t="s">
        <v>23</v>
      </c>
      <c r="D413" s="32" t="s">
        <v>874</v>
      </c>
      <c r="E413" s="16">
        <v>45715</v>
      </c>
      <c r="F413" s="21" t="s">
        <v>28</v>
      </c>
      <c r="G413" s="51" t="s">
        <v>875</v>
      </c>
      <c r="H413" s="57">
        <v>86044.800000000003</v>
      </c>
      <c r="I413" s="16">
        <v>45716</v>
      </c>
      <c r="J413" s="18"/>
      <c r="K413" s="32">
        <v>15</v>
      </c>
      <c r="L413" s="34">
        <v>240</v>
      </c>
      <c r="M413" s="34">
        <v>15</v>
      </c>
      <c r="N413" s="27">
        <v>45717</v>
      </c>
      <c r="O413" s="18" t="s">
        <v>21</v>
      </c>
      <c r="P413" s="18" t="s">
        <v>25</v>
      </c>
      <c r="Q413" s="17" t="s">
        <v>663</v>
      </c>
      <c r="R413" s="17" t="s">
        <v>102</v>
      </c>
      <c r="S413" s="17">
        <v>8001</v>
      </c>
      <c r="T413" s="17" t="s">
        <v>22</v>
      </c>
      <c r="U413" s="18" t="s">
        <v>19</v>
      </c>
      <c r="V413" s="17"/>
    </row>
    <row r="414" spans="1:22" x14ac:dyDescent="0.3">
      <c r="A414" s="18" t="e">
        <f t="shared" si="7"/>
        <v>#REF!</v>
      </c>
      <c r="B414" s="17">
        <v>82</v>
      </c>
      <c r="C414" s="17" t="s">
        <v>23</v>
      </c>
      <c r="D414" s="32" t="s">
        <v>876</v>
      </c>
      <c r="E414" s="16">
        <v>45715</v>
      </c>
      <c r="F414" s="24" t="s">
        <v>51</v>
      </c>
      <c r="G414" s="51" t="s">
        <v>877</v>
      </c>
      <c r="H414" s="57">
        <v>36867.599999999999</v>
      </c>
      <c r="I414" s="16">
        <v>45716</v>
      </c>
      <c r="J414" s="18"/>
      <c r="K414" s="32">
        <v>5</v>
      </c>
      <c r="L414" s="34">
        <v>120</v>
      </c>
      <c r="M414" s="34">
        <v>5</v>
      </c>
      <c r="N414" s="27">
        <v>45717</v>
      </c>
      <c r="O414" s="18" t="s">
        <v>21</v>
      </c>
      <c r="P414" s="18" t="s">
        <v>25</v>
      </c>
      <c r="Q414" s="17" t="s">
        <v>663</v>
      </c>
      <c r="R414" s="17" t="s">
        <v>102</v>
      </c>
      <c r="S414" s="17">
        <v>8008</v>
      </c>
      <c r="T414" s="17" t="s">
        <v>22</v>
      </c>
      <c r="U414" s="18" t="s">
        <v>19</v>
      </c>
      <c r="V414" s="17"/>
    </row>
    <row r="415" spans="1:22" x14ac:dyDescent="0.3">
      <c r="A415" s="18" t="e">
        <f t="shared" si="7"/>
        <v>#REF!</v>
      </c>
      <c r="B415" s="17">
        <v>82</v>
      </c>
      <c r="C415" s="17" t="s">
        <v>23</v>
      </c>
      <c r="D415" s="32" t="s">
        <v>878</v>
      </c>
      <c r="E415" s="16">
        <v>45715</v>
      </c>
      <c r="F415" s="21" t="s">
        <v>28</v>
      </c>
      <c r="G415" s="51" t="s">
        <v>879</v>
      </c>
      <c r="H415" s="57">
        <v>36867.599999999999</v>
      </c>
      <c r="I415" s="16">
        <v>45716</v>
      </c>
      <c r="J415" s="18"/>
      <c r="K415" s="32">
        <v>5</v>
      </c>
      <c r="L415" s="34">
        <v>120</v>
      </c>
      <c r="M415" s="34">
        <v>5</v>
      </c>
      <c r="N415" s="27">
        <v>45717</v>
      </c>
      <c r="O415" s="18" t="s">
        <v>21</v>
      </c>
      <c r="P415" s="18" t="s">
        <v>25</v>
      </c>
      <c r="Q415" s="17" t="s">
        <v>663</v>
      </c>
      <c r="R415" s="17" t="s">
        <v>102</v>
      </c>
      <c r="S415" s="17">
        <v>8007</v>
      </c>
      <c r="T415" s="17" t="s">
        <v>22</v>
      </c>
      <c r="U415" s="31" t="s">
        <v>804</v>
      </c>
      <c r="V415" s="17"/>
    </row>
    <row r="416" spans="1:22" x14ac:dyDescent="0.3">
      <c r="A416" s="18" t="e">
        <f t="shared" si="7"/>
        <v>#REF!</v>
      </c>
      <c r="B416" s="17">
        <v>82</v>
      </c>
      <c r="C416" s="17" t="s">
        <v>23</v>
      </c>
      <c r="D416" s="32" t="s">
        <v>880</v>
      </c>
      <c r="E416" s="16">
        <v>45715</v>
      </c>
      <c r="F416" s="24" t="s">
        <v>121</v>
      </c>
      <c r="G416" s="51" t="s">
        <v>881</v>
      </c>
      <c r="H416" s="57">
        <v>29506.32</v>
      </c>
      <c r="I416" s="16">
        <v>45716</v>
      </c>
      <c r="J416" s="18"/>
      <c r="K416" s="32">
        <v>3</v>
      </c>
      <c r="L416" s="34">
        <v>72</v>
      </c>
      <c r="M416" s="34">
        <v>3</v>
      </c>
      <c r="N416" s="27">
        <v>45717</v>
      </c>
      <c r="O416" s="18" t="s">
        <v>21</v>
      </c>
      <c r="P416" s="18" t="s">
        <v>25</v>
      </c>
      <c r="Q416" s="17" t="s">
        <v>663</v>
      </c>
      <c r="R416" s="17" t="s">
        <v>102</v>
      </c>
      <c r="S416" s="17">
        <v>8006</v>
      </c>
      <c r="T416" s="17" t="s">
        <v>22</v>
      </c>
      <c r="U416" s="18" t="s">
        <v>19</v>
      </c>
      <c r="V416" s="17"/>
    </row>
    <row r="417" spans="1:22" x14ac:dyDescent="0.3">
      <c r="A417" s="18" t="e">
        <f t="shared" si="7"/>
        <v>#REF!</v>
      </c>
      <c r="B417" s="17">
        <v>82</v>
      </c>
      <c r="C417" s="17" t="s">
        <v>23</v>
      </c>
      <c r="D417" s="32" t="s">
        <v>882</v>
      </c>
      <c r="E417" s="16">
        <v>45715</v>
      </c>
      <c r="F417" s="24" t="s">
        <v>41</v>
      </c>
      <c r="G417" s="51" t="s">
        <v>883</v>
      </c>
      <c r="H417" s="57">
        <v>133990.32</v>
      </c>
      <c r="I417" s="16">
        <v>45716</v>
      </c>
      <c r="J417" s="18"/>
      <c r="K417" s="32">
        <v>20</v>
      </c>
      <c r="L417" s="34">
        <v>360</v>
      </c>
      <c r="M417" s="34">
        <v>20</v>
      </c>
      <c r="N417" s="27">
        <v>45717</v>
      </c>
      <c r="O417" s="18" t="s">
        <v>21</v>
      </c>
      <c r="P417" s="18" t="s">
        <v>25</v>
      </c>
      <c r="Q417" s="17" t="s">
        <v>663</v>
      </c>
      <c r="R417" s="17" t="s">
        <v>102</v>
      </c>
      <c r="S417" s="17">
        <v>8005</v>
      </c>
      <c r="T417" s="17" t="s">
        <v>22</v>
      </c>
      <c r="U417" s="18" t="s">
        <v>19</v>
      </c>
      <c r="V417" s="17"/>
    </row>
    <row r="418" spans="1:22" x14ac:dyDescent="0.3">
      <c r="A418" s="18" t="e">
        <f t="shared" si="7"/>
        <v>#REF!</v>
      </c>
      <c r="B418" s="17">
        <v>82</v>
      </c>
      <c r="C418" s="17" t="s">
        <v>23</v>
      </c>
      <c r="D418" s="32" t="s">
        <v>884</v>
      </c>
      <c r="E418" s="16">
        <v>45715</v>
      </c>
      <c r="F418" s="24" t="s">
        <v>41</v>
      </c>
      <c r="G418" s="51" t="s">
        <v>885</v>
      </c>
      <c r="H418" s="57">
        <v>24588.6</v>
      </c>
      <c r="I418" s="16">
        <v>45716</v>
      </c>
      <c r="J418" s="18"/>
      <c r="K418" s="32">
        <v>5</v>
      </c>
      <c r="L418" s="34">
        <v>60</v>
      </c>
      <c r="M418" s="34">
        <v>5</v>
      </c>
      <c r="N418" s="27">
        <v>45717</v>
      </c>
      <c r="O418" s="18" t="s">
        <v>21</v>
      </c>
      <c r="P418" s="18" t="s">
        <v>25</v>
      </c>
      <c r="Q418" s="17" t="s">
        <v>663</v>
      </c>
      <c r="R418" s="17" t="s">
        <v>102</v>
      </c>
      <c r="S418" s="17">
        <v>8014</v>
      </c>
      <c r="T418" s="17" t="s">
        <v>22</v>
      </c>
      <c r="U418" s="18" t="s">
        <v>19</v>
      </c>
      <c r="V418" s="17"/>
    </row>
    <row r="419" spans="1:22" x14ac:dyDescent="0.3">
      <c r="A419" s="18" t="e">
        <f t="shared" si="7"/>
        <v>#REF!</v>
      </c>
      <c r="B419" s="17">
        <v>82</v>
      </c>
      <c r="C419" s="17" t="s">
        <v>23</v>
      </c>
      <c r="D419" s="32" t="s">
        <v>886</v>
      </c>
      <c r="E419" s="16">
        <v>45715</v>
      </c>
      <c r="F419" s="25" t="s">
        <v>119</v>
      </c>
      <c r="G419" s="51" t="s">
        <v>887</v>
      </c>
      <c r="H419" s="57">
        <v>100791.12</v>
      </c>
      <c r="I419" s="16">
        <v>45716</v>
      </c>
      <c r="J419" s="18"/>
      <c r="K419" s="32">
        <v>12</v>
      </c>
      <c r="L419" s="34">
        <v>288</v>
      </c>
      <c r="M419" s="34">
        <v>12</v>
      </c>
      <c r="N419" s="27">
        <v>45717</v>
      </c>
      <c r="O419" s="18" t="s">
        <v>21</v>
      </c>
      <c r="P419" s="18" t="s">
        <v>25</v>
      </c>
      <c r="Q419" s="17" t="s">
        <v>663</v>
      </c>
      <c r="R419" s="17" t="s">
        <v>102</v>
      </c>
      <c r="S419" s="17">
        <v>8015</v>
      </c>
      <c r="T419" s="17" t="s">
        <v>22</v>
      </c>
      <c r="U419" s="18" t="s">
        <v>19</v>
      </c>
      <c r="V419" s="17"/>
    </row>
    <row r="420" spans="1:22" x14ac:dyDescent="0.3">
      <c r="A420" s="18" t="e">
        <f t="shared" si="7"/>
        <v>#REF!</v>
      </c>
      <c r="B420" s="17">
        <v>82</v>
      </c>
      <c r="C420" s="17" t="s">
        <v>23</v>
      </c>
      <c r="D420" s="32" t="s">
        <v>888</v>
      </c>
      <c r="E420" s="16">
        <v>45715</v>
      </c>
      <c r="F420" s="21" t="s">
        <v>47</v>
      </c>
      <c r="G420" s="51" t="s">
        <v>889</v>
      </c>
      <c r="H420" s="57">
        <v>14747.04</v>
      </c>
      <c r="I420" s="16">
        <v>45716</v>
      </c>
      <c r="J420" s="18"/>
      <c r="K420" s="32">
        <v>2</v>
      </c>
      <c r="L420" s="34">
        <v>48</v>
      </c>
      <c r="M420" s="34">
        <v>2</v>
      </c>
      <c r="N420" s="27">
        <v>45717</v>
      </c>
      <c r="O420" s="18" t="s">
        <v>21</v>
      </c>
      <c r="P420" s="18" t="s">
        <v>25</v>
      </c>
      <c r="Q420" s="17" t="s">
        <v>663</v>
      </c>
      <c r="R420" s="17" t="s">
        <v>102</v>
      </c>
      <c r="S420" s="17">
        <v>8011</v>
      </c>
      <c r="T420" s="17" t="s">
        <v>22</v>
      </c>
      <c r="U420" s="18" t="s">
        <v>19</v>
      </c>
      <c r="V420" s="17"/>
    </row>
    <row r="421" spans="1:22" x14ac:dyDescent="0.3">
      <c r="A421" s="18" t="e">
        <f t="shared" si="7"/>
        <v>#REF!</v>
      </c>
      <c r="B421" s="17">
        <v>82</v>
      </c>
      <c r="C421" s="17" t="s">
        <v>23</v>
      </c>
      <c r="D421" s="32" t="s">
        <v>890</v>
      </c>
      <c r="E421" s="16">
        <v>45715</v>
      </c>
      <c r="F421" s="24" t="s">
        <v>51</v>
      </c>
      <c r="G421" s="51" t="s">
        <v>891</v>
      </c>
      <c r="H421" s="57">
        <v>29494.080000000002</v>
      </c>
      <c r="I421" s="16">
        <v>45716</v>
      </c>
      <c r="J421" s="18"/>
      <c r="K421" s="32">
        <v>4</v>
      </c>
      <c r="L421" s="34">
        <v>96</v>
      </c>
      <c r="M421" s="34">
        <v>4</v>
      </c>
      <c r="N421" s="27">
        <v>45717</v>
      </c>
      <c r="O421" s="18" t="s">
        <v>21</v>
      </c>
      <c r="P421" s="18" t="s">
        <v>25</v>
      </c>
      <c r="Q421" s="17" t="s">
        <v>663</v>
      </c>
      <c r="R421" s="17" t="s">
        <v>102</v>
      </c>
      <c r="S421" s="17">
        <v>8010</v>
      </c>
      <c r="T421" s="17" t="s">
        <v>22</v>
      </c>
      <c r="U421" s="18" t="s">
        <v>19</v>
      </c>
      <c r="V421" s="17"/>
    </row>
    <row r="422" spans="1:22" x14ac:dyDescent="0.3">
      <c r="A422" s="18" t="e">
        <f t="shared" si="7"/>
        <v>#REF!</v>
      </c>
      <c r="B422" s="17">
        <v>82</v>
      </c>
      <c r="C422" s="17" t="s">
        <v>23</v>
      </c>
      <c r="D422" s="32" t="s">
        <v>892</v>
      </c>
      <c r="E422" s="16">
        <v>45716</v>
      </c>
      <c r="F422" s="21" t="s">
        <v>350</v>
      </c>
      <c r="G422" s="51" t="s">
        <v>893</v>
      </c>
      <c r="H422" s="57">
        <v>121422.72</v>
      </c>
      <c r="I422" s="16">
        <v>45716</v>
      </c>
      <c r="J422" s="18"/>
      <c r="K422" s="32">
        <v>16</v>
      </c>
      <c r="L422" s="34">
        <v>288</v>
      </c>
      <c r="M422" s="34">
        <v>16</v>
      </c>
      <c r="N422" s="27">
        <v>45717</v>
      </c>
      <c r="O422" s="18" t="s">
        <v>21</v>
      </c>
      <c r="P422" s="18" t="s">
        <v>25</v>
      </c>
      <c r="Q422" s="17" t="s">
        <v>663</v>
      </c>
      <c r="R422" s="17" t="s">
        <v>102</v>
      </c>
      <c r="S422" s="17">
        <v>8009</v>
      </c>
      <c r="T422" s="17" t="s">
        <v>22</v>
      </c>
      <c r="U422" s="18" t="s">
        <v>19</v>
      </c>
      <c r="V422" s="17"/>
    </row>
    <row r="423" spans="1:22" x14ac:dyDescent="0.3">
      <c r="A423" s="18" t="e">
        <f t="shared" si="7"/>
        <v>#REF!</v>
      </c>
      <c r="B423" s="17">
        <v>83</v>
      </c>
      <c r="C423" s="17" t="s">
        <v>23</v>
      </c>
      <c r="D423" s="32" t="s">
        <v>894</v>
      </c>
      <c r="E423" s="16">
        <v>45716</v>
      </c>
      <c r="F423" s="21" t="s">
        <v>28</v>
      </c>
      <c r="G423" s="51" t="s">
        <v>895</v>
      </c>
      <c r="H423" s="57">
        <v>413048.64</v>
      </c>
      <c r="I423" s="16">
        <v>45716</v>
      </c>
      <c r="J423" s="18"/>
      <c r="K423" s="32">
        <v>49</v>
      </c>
      <c r="L423" s="34">
        <v>1080</v>
      </c>
      <c r="M423" s="34">
        <v>45</v>
      </c>
      <c r="N423" s="27">
        <v>45718</v>
      </c>
      <c r="O423" s="18" t="s">
        <v>21</v>
      </c>
      <c r="P423" s="18" t="s">
        <v>25</v>
      </c>
      <c r="Q423" s="17" t="s">
        <v>663</v>
      </c>
      <c r="R423" s="17" t="s">
        <v>102</v>
      </c>
      <c r="S423" s="17">
        <v>8017</v>
      </c>
      <c r="T423" s="17" t="s">
        <v>22</v>
      </c>
      <c r="U423" s="18" t="s">
        <v>19</v>
      </c>
      <c r="V423" s="17"/>
    </row>
    <row r="424" spans="1:22" x14ac:dyDescent="0.3">
      <c r="A424" s="18" t="e">
        <f t="shared" si="7"/>
        <v>#REF!</v>
      </c>
      <c r="B424" s="17">
        <v>82</v>
      </c>
      <c r="C424" s="17" t="s">
        <v>23</v>
      </c>
      <c r="D424" s="32" t="s">
        <v>896</v>
      </c>
      <c r="E424" s="16">
        <v>45716</v>
      </c>
      <c r="F424" s="21" t="s">
        <v>35</v>
      </c>
      <c r="G424" s="51" t="s">
        <v>897</v>
      </c>
      <c r="H424" s="57">
        <v>108657.12</v>
      </c>
      <c r="I424" s="16">
        <v>45716</v>
      </c>
      <c r="J424" s="18"/>
      <c r="K424" s="32">
        <v>13</v>
      </c>
      <c r="L424" s="34">
        <v>312</v>
      </c>
      <c r="M424" s="34">
        <v>13</v>
      </c>
      <c r="N424" s="27">
        <v>45717</v>
      </c>
      <c r="O424" s="18" t="s">
        <v>21</v>
      </c>
      <c r="P424" s="18" t="s">
        <v>25</v>
      </c>
      <c r="Q424" s="17" t="s">
        <v>663</v>
      </c>
      <c r="R424" s="17" t="s">
        <v>102</v>
      </c>
      <c r="S424" s="17">
        <v>8012</v>
      </c>
      <c r="T424" s="17" t="s">
        <v>22</v>
      </c>
      <c r="U424" s="18" t="s">
        <v>19</v>
      </c>
      <c r="V424" s="17"/>
    </row>
    <row r="425" spans="1:22" x14ac:dyDescent="0.3">
      <c r="A425" s="18" t="e">
        <f t="shared" si="7"/>
        <v>#REF!</v>
      </c>
      <c r="B425" s="17">
        <v>83</v>
      </c>
      <c r="C425" s="17" t="s">
        <v>23</v>
      </c>
      <c r="D425" s="32" t="s">
        <v>898</v>
      </c>
      <c r="E425" s="16">
        <v>45716</v>
      </c>
      <c r="F425" s="21" t="s">
        <v>28</v>
      </c>
      <c r="G425" s="51" t="s">
        <v>899</v>
      </c>
      <c r="H425" s="57">
        <v>325850.15999999997</v>
      </c>
      <c r="I425" s="16">
        <v>45716</v>
      </c>
      <c r="J425" s="18"/>
      <c r="K425" s="32">
        <v>37</v>
      </c>
      <c r="L425" s="34">
        <v>816</v>
      </c>
      <c r="M425" s="34">
        <v>43</v>
      </c>
      <c r="N425" s="27">
        <v>45718</v>
      </c>
      <c r="O425" s="18" t="s">
        <v>21</v>
      </c>
      <c r="P425" s="18" t="s">
        <v>25</v>
      </c>
      <c r="Q425" s="17" t="s">
        <v>663</v>
      </c>
      <c r="R425" s="17" t="s">
        <v>102</v>
      </c>
      <c r="S425" s="17">
        <v>8018</v>
      </c>
      <c r="T425" s="17" t="s">
        <v>22</v>
      </c>
      <c r="U425" s="18" t="s">
        <v>19</v>
      </c>
      <c r="V425" s="17"/>
    </row>
    <row r="426" spans="1:22" x14ac:dyDescent="0.3">
      <c r="A426" s="18" t="e">
        <f t="shared" si="7"/>
        <v>#REF!</v>
      </c>
      <c r="B426" s="17">
        <v>82</v>
      </c>
      <c r="C426" s="17" t="s">
        <v>23</v>
      </c>
      <c r="D426" s="33" t="s">
        <v>900</v>
      </c>
      <c r="E426" s="16">
        <v>45716</v>
      </c>
      <c r="F426" s="26" t="s">
        <v>117</v>
      </c>
      <c r="G426" s="51" t="s">
        <v>901</v>
      </c>
      <c r="H426" s="57">
        <v>87890.64</v>
      </c>
      <c r="I426" s="16">
        <v>45716</v>
      </c>
      <c r="J426" s="18"/>
      <c r="K426" s="32">
        <v>10</v>
      </c>
      <c r="L426" s="34">
        <v>240</v>
      </c>
      <c r="M426" s="34">
        <v>10</v>
      </c>
      <c r="N426" s="27">
        <v>45717</v>
      </c>
      <c r="O426" s="18" t="s">
        <v>21</v>
      </c>
      <c r="P426" s="18" t="s">
        <v>25</v>
      </c>
      <c r="Q426" s="17" t="s">
        <v>663</v>
      </c>
      <c r="R426" s="17" t="s">
        <v>102</v>
      </c>
      <c r="S426" s="17">
        <v>8013</v>
      </c>
      <c r="T426" s="17" t="s">
        <v>22</v>
      </c>
      <c r="U426" s="18" t="s">
        <v>19</v>
      </c>
      <c r="V426" s="17"/>
    </row>
    <row r="427" spans="1:22" x14ac:dyDescent="0.3">
      <c r="A427" s="18" t="e">
        <f t="shared" si="7"/>
        <v>#REF!</v>
      </c>
      <c r="B427" s="17">
        <v>83</v>
      </c>
      <c r="C427" s="17" t="s">
        <v>23</v>
      </c>
      <c r="D427" s="33" t="s">
        <v>902</v>
      </c>
      <c r="E427" s="16">
        <v>45716</v>
      </c>
      <c r="F427" s="24" t="s">
        <v>41</v>
      </c>
      <c r="G427" s="51" t="s">
        <v>903</v>
      </c>
      <c r="H427" s="57">
        <v>132796.79999999999</v>
      </c>
      <c r="I427" s="16">
        <v>45716</v>
      </c>
      <c r="J427" s="18"/>
      <c r="K427" s="32">
        <v>12</v>
      </c>
      <c r="L427" s="34">
        <v>288</v>
      </c>
      <c r="M427" s="34">
        <v>12</v>
      </c>
      <c r="N427" s="27">
        <v>45718</v>
      </c>
      <c r="O427" s="18" t="s">
        <v>21</v>
      </c>
      <c r="P427" s="18" t="s">
        <v>25</v>
      </c>
      <c r="Q427" s="17" t="s">
        <v>663</v>
      </c>
      <c r="R427" s="17" t="s">
        <v>102</v>
      </c>
      <c r="S427" s="17">
        <v>8019</v>
      </c>
      <c r="T427" s="17" t="s">
        <v>22</v>
      </c>
      <c r="U427" s="18" t="s">
        <v>19</v>
      </c>
      <c r="V427" s="17"/>
    </row>
    <row r="428" spans="1:22" x14ac:dyDescent="0.3">
      <c r="A428" s="18" t="e">
        <f t="shared" si="7"/>
        <v>#REF!</v>
      </c>
      <c r="B428" s="17">
        <v>87</v>
      </c>
      <c r="C428" s="17" t="s">
        <v>23</v>
      </c>
      <c r="D428" s="33" t="s">
        <v>904</v>
      </c>
      <c r="E428" s="16">
        <v>45716</v>
      </c>
      <c r="F428" s="26" t="s">
        <v>129</v>
      </c>
      <c r="G428" s="51" t="s">
        <v>905</v>
      </c>
      <c r="H428" s="57">
        <v>106348.8</v>
      </c>
      <c r="I428" s="16">
        <v>45722</v>
      </c>
      <c r="J428" s="18"/>
      <c r="K428" s="32">
        <v>240</v>
      </c>
      <c r="L428" s="34">
        <v>240</v>
      </c>
      <c r="M428" s="34">
        <v>10</v>
      </c>
      <c r="N428" s="27">
        <v>45726</v>
      </c>
      <c r="O428" s="18" t="s">
        <v>21</v>
      </c>
      <c r="P428" s="18" t="s">
        <v>25</v>
      </c>
      <c r="Q428" s="17" t="s">
        <v>127</v>
      </c>
      <c r="R428" s="17" t="s">
        <v>102</v>
      </c>
      <c r="S428" s="17">
        <v>8059</v>
      </c>
      <c r="T428" s="17" t="s">
        <v>22</v>
      </c>
      <c r="U428" s="18" t="s">
        <v>19</v>
      </c>
      <c r="V428" s="17"/>
    </row>
    <row r="429" spans="1:22" x14ac:dyDescent="0.3">
      <c r="A429" s="18" t="e">
        <f t="shared" si="7"/>
        <v>#REF!</v>
      </c>
      <c r="B429" s="17">
        <v>83</v>
      </c>
      <c r="C429" s="17" t="s">
        <v>23</v>
      </c>
      <c r="D429" s="33" t="s">
        <v>906</v>
      </c>
      <c r="E429" s="16">
        <v>45717</v>
      </c>
      <c r="F429" s="21" t="s">
        <v>35</v>
      </c>
      <c r="G429" s="51" t="s">
        <v>907</v>
      </c>
      <c r="H429" s="57">
        <v>46702.559999999998</v>
      </c>
      <c r="I429" s="16">
        <v>45718</v>
      </c>
      <c r="J429" s="18"/>
      <c r="K429" s="32">
        <v>6</v>
      </c>
      <c r="L429" s="34">
        <v>144</v>
      </c>
      <c r="M429" s="34">
        <v>6</v>
      </c>
      <c r="N429" s="27">
        <v>45718</v>
      </c>
      <c r="O429" s="18" t="s">
        <v>21</v>
      </c>
      <c r="P429" s="18" t="s">
        <v>25</v>
      </c>
      <c r="Q429" s="17" t="s">
        <v>663</v>
      </c>
      <c r="R429" s="17" t="s">
        <v>102</v>
      </c>
      <c r="S429" s="17">
        <v>8020</v>
      </c>
      <c r="T429" s="17" t="s">
        <v>22</v>
      </c>
      <c r="U429" s="18" t="s">
        <v>19</v>
      </c>
      <c r="V429" s="17"/>
    </row>
    <row r="430" spans="1:22" x14ac:dyDescent="0.3">
      <c r="A430" s="18" t="e">
        <f t="shared" si="7"/>
        <v>#REF!</v>
      </c>
      <c r="B430" s="17">
        <v>83</v>
      </c>
      <c r="C430" s="17" t="s">
        <v>23</v>
      </c>
      <c r="D430" s="33" t="s">
        <v>908</v>
      </c>
      <c r="E430" s="16">
        <v>45717</v>
      </c>
      <c r="F430" s="21" t="s">
        <v>53</v>
      </c>
      <c r="G430" s="51" t="s">
        <v>909</v>
      </c>
      <c r="H430" s="57">
        <v>73771.92</v>
      </c>
      <c r="I430" s="16">
        <v>45718</v>
      </c>
      <c r="J430" s="18"/>
      <c r="K430" s="32">
        <v>7</v>
      </c>
      <c r="L430" s="34">
        <v>168</v>
      </c>
      <c r="M430" s="34">
        <v>7</v>
      </c>
      <c r="N430" s="27">
        <v>45718</v>
      </c>
      <c r="O430" s="18" t="s">
        <v>21</v>
      </c>
      <c r="P430" s="18" t="s">
        <v>25</v>
      </c>
      <c r="Q430" s="17" t="s">
        <v>663</v>
      </c>
      <c r="R430" s="17" t="s">
        <v>102</v>
      </c>
      <c r="S430" s="17">
        <v>8021</v>
      </c>
      <c r="T430" s="17" t="s">
        <v>22</v>
      </c>
      <c r="U430" s="18" t="s">
        <v>19</v>
      </c>
      <c r="V430" s="17"/>
    </row>
    <row r="431" spans="1:22" x14ac:dyDescent="0.3">
      <c r="A431" s="18" t="e">
        <f t="shared" si="7"/>
        <v>#REF!</v>
      </c>
      <c r="B431" s="17">
        <v>88</v>
      </c>
      <c r="C431" s="17" t="s">
        <v>20</v>
      </c>
      <c r="D431" s="29" t="s">
        <v>910</v>
      </c>
      <c r="E431" s="16">
        <v>45721</v>
      </c>
      <c r="F431" s="21" t="s">
        <v>35</v>
      </c>
      <c r="G431" s="51" t="s">
        <v>911</v>
      </c>
      <c r="H431" s="57">
        <v>448930</v>
      </c>
      <c r="I431" s="16">
        <v>45725</v>
      </c>
      <c r="J431" s="18"/>
      <c r="K431" s="31">
        <v>70</v>
      </c>
      <c r="L431" s="34">
        <v>70</v>
      </c>
      <c r="M431" s="34">
        <v>7</v>
      </c>
      <c r="N431" s="27">
        <v>45726</v>
      </c>
      <c r="O431" s="18" t="s">
        <v>21</v>
      </c>
      <c r="P431" s="18" t="s">
        <v>25</v>
      </c>
      <c r="Q431" s="17" t="s">
        <v>125</v>
      </c>
      <c r="R431" s="17" t="s">
        <v>102</v>
      </c>
      <c r="S431" s="17">
        <v>8075</v>
      </c>
      <c r="T431" s="17" t="s">
        <v>22</v>
      </c>
      <c r="U431" s="18" t="s">
        <v>19</v>
      </c>
      <c r="V431" s="17"/>
    </row>
    <row r="432" spans="1:22" x14ac:dyDescent="0.3">
      <c r="A432" s="18" t="e">
        <f t="shared" si="7"/>
        <v>#REF!</v>
      </c>
      <c r="B432" s="17">
        <v>88</v>
      </c>
      <c r="C432" s="17" t="s">
        <v>20</v>
      </c>
      <c r="D432" s="29" t="s">
        <v>912</v>
      </c>
      <c r="E432" s="16">
        <v>45724</v>
      </c>
      <c r="F432" s="21" t="s">
        <v>28</v>
      </c>
      <c r="G432" s="51" t="s">
        <v>913</v>
      </c>
      <c r="H432" s="57">
        <v>208704.9</v>
      </c>
      <c r="I432" s="16">
        <v>45725</v>
      </c>
      <c r="J432" s="18"/>
      <c r="K432" s="34">
        <v>150</v>
      </c>
      <c r="L432" s="34">
        <v>150</v>
      </c>
      <c r="M432" s="34">
        <v>15</v>
      </c>
      <c r="N432" s="27">
        <v>45726</v>
      </c>
      <c r="O432" s="18" t="s">
        <v>21</v>
      </c>
      <c r="P432" s="18" t="s">
        <v>25</v>
      </c>
      <c r="Q432" s="17" t="s">
        <v>125</v>
      </c>
      <c r="R432" s="17" t="s">
        <v>102</v>
      </c>
      <c r="S432" s="17">
        <v>8065</v>
      </c>
      <c r="T432" s="17" t="s">
        <v>22</v>
      </c>
      <c r="U432" s="18" t="s">
        <v>19</v>
      </c>
      <c r="V432" s="17"/>
    </row>
    <row r="433" spans="1:22" x14ac:dyDescent="0.3">
      <c r="A433" s="18" t="e">
        <f t="shared" si="7"/>
        <v>#REF!</v>
      </c>
      <c r="B433" s="17">
        <v>87</v>
      </c>
      <c r="C433" s="17" t="s">
        <v>20</v>
      </c>
      <c r="D433" s="29" t="s">
        <v>914</v>
      </c>
      <c r="E433" s="16">
        <v>45724</v>
      </c>
      <c r="F433" s="23" t="s">
        <v>68</v>
      </c>
      <c r="G433" s="51" t="s">
        <v>915</v>
      </c>
      <c r="H433" s="57">
        <v>643295.69999999995</v>
      </c>
      <c r="I433" s="16">
        <v>45725</v>
      </c>
      <c r="J433" s="18"/>
      <c r="K433" s="34">
        <v>440</v>
      </c>
      <c r="L433" s="34">
        <v>440</v>
      </c>
      <c r="M433" s="34">
        <v>44</v>
      </c>
      <c r="N433" s="27">
        <v>45726</v>
      </c>
      <c r="O433" s="18" t="s">
        <v>21</v>
      </c>
      <c r="P433" s="18" t="s">
        <v>25</v>
      </c>
      <c r="Q433" s="17" t="s">
        <v>127</v>
      </c>
      <c r="R433" s="17" t="s">
        <v>102</v>
      </c>
      <c r="S433" s="17">
        <v>8051</v>
      </c>
      <c r="T433" s="17" t="s">
        <v>22</v>
      </c>
      <c r="U433" s="18" t="s">
        <v>19</v>
      </c>
      <c r="V433" s="17"/>
    </row>
    <row r="434" spans="1:22" x14ac:dyDescent="0.3">
      <c r="A434" s="18" t="e">
        <f t="shared" si="7"/>
        <v>#REF!</v>
      </c>
      <c r="B434" s="17">
        <v>88</v>
      </c>
      <c r="C434" s="17" t="s">
        <v>20</v>
      </c>
      <c r="D434" s="29" t="s">
        <v>916</v>
      </c>
      <c r="E434" s="16">
        <v>45724</v>
      </c>
      <c r="F434" s="21" t="s">
        <v>35</v>
      </c>
      <c r="G434" s="51" t="s">
        <v>917</v>
      </c>
      <c r="H434" s="57">
        <v>85727.1</v>
      </c>
      <c r="I434" s="16">
        <v>45725</v>
      </c>
      <c r="J434" s="18"/>
      <c r="K434" s="34">
        <v>70</v>
      </c>
      <c r="L434" s="34">
        <v>70</v>
      </c>
      <c r="M434" s="34">
        <v>7</v>
      </c>
      <c r="N434" s="27">
        <v>45726</v>
      </c>
      <c r="O434" s="18" t="s">
        <v>21</v>
      </c>
      <c r="P434" s="18" t="s">
        <v>25</v>
      </c>
      <c r="Q434" s="17" t="s">
        <v>125</v>
      </c>
      <c r="R434" s="17" t="s">
        <v>102</v>
      </c>
      <c r="S434" s="17">
        <v>8071</v>
      </c>
      <c r="T434" s="17" t="s">
        <v>22</v>
      </c>
      <c r="U434" s="18" t="s">
        <v>19</v>
      </c>
      <c r="V434" s="17"/>
    </row>
    <row r="435" spans="1:22" x14ac:dyDescent="0.3">
      <c r="A435" s="18" t="e">
        <f t="shared" si="7"/>
        <v>#REF!</v>
      </c>
      <c r="B435" s="17">
        <v>87</v>
      </c>
      <c r="C435" s="17" t="s">
        <v>20</v>
      </c>
      <c r="D435" s="29" t="s">
        <v>918</v>
      </c>
      <c r="E435" s="16">
        <v>45725</v>
      </c>
      <c r="F435" s="21" t="s">
        <v>47</v>
      </c>
      <c r="G435" s="51" t="s">
        <v>919</v>
      </c>
      <c r="H435" s="57">
        <v>48611.5</v>
      </c>
      <c r="I435" s="16">
        <v>45725</v>
      </c>
      <c r="J435" s="18"/>
      <c r="K435" s="34">
        <v>40</v>
      </c>
      <c r="L435" s="34">
        <v>40</v>
      </c>
      <c r="M435" s="34">
        <v>4</v>
      </c>
      <c r="N435" s="27">
        <v>45726</v>
      </c>
      <c r="O435" s="18" t="s">
        <v>21</v>
      </c>
      <c r="P435" s="18" t="s">
        <v>25</v>
      </c>
      <c r="Q435" s="17" t="s">
        <v>127</v>
      </c>
      <c r="R435" s="17" t="s">
        <v>102</v>
      </c>
      <c r="S435" s="17">
        <v>8057</v>
      </c>
      <c r="T435" s="17" t="s">
        <v>22</v>
      </c>
      <c r="U435" s="18" t="s">
        <v>19</v>
      </c>
      <c r="V435" s="17"/>
    </row>
    <row r="436" spans="1:22" x14ac:dyDescent="0.3">
      <c r="A436" s="18" t="e">
        <f t="shared" si="7"/>
        <v>#REF!</v>
      </c>
      <c r="B436" s="17">
        <v>87</v>
      </c>
      <c r="C436" s="17" t="s">
        <v>23</v>
      </c>
      <c r="D436" s="17" t="s">
        <v>920</v>
      </c>
      <c r="E436" s="16">
        <v>45719</v>
      </c>
      <c r="F436" s="21" t="s">
        <v>35</v>
      </c>
      <c r="G436" s="51" t="s">
        <v>921</v>
      </c>
      <c r="H436" s="57">
        <v>116423.76</v>
      </c>
      <c r="I436" s="16">
        <v>45723</v>
      </c>
      <c r="J436" s="18"/>
      <c r="K436" s="17">
        <v>288</v>
      </c>
      <c r="L436" s="34">
        <v>288</v>
      </c>
      <c r="M436" s="34">
        <v>12</v>
      </c>
      <c r="N436" s="27">
        <v>45726</v>
      </c>
      <c r="O436" s="18" t="s">
        <v>21</v>
      </c>
      <c r="P436" s="18" t="s">
        <v>25</v>
      </c>
      <c r="Q436" s="17" t="s">
        <v>127</v>
      </c>
      <c r="R436" s="17" t="s">
        <v>102</v>
      </c>
      <c r="S436" s="17">
        <v>8055</v>
      </c>
      <c r="T436" s="17" t="s">
        <v>22</v>
      </c>
      <c r="U436" s="18" t="s">
        <v>19</v>
      </c>
      <c r="V436" s="17"/>
    </row>
    <row r="437" spans="1:22" x14ac:dyDescent="0.3">
      <c r="A437" s="18" t="e">
        <f t="shared" si="7"/>
        <v>#REF!</v>
      </c>
      <c r="B437" s="17">
        <v>86</v>
      </c>
      <c r="C437" s="17" t="s">
        <v>23</v>
      </c>
      <c r="D437" s="17" t="s">
        <v>922</v>
      </c>
      <c r="E437" s="16">
        <v>45719</v>
      </c>
      <c r="F437" s="21" t="s">
        <v>58</v>
      </c>
      <c r="G437" s="51" t="s">
        <v>923</v>
      </c>
      <c r="H437" s="57">
        <v>34417.919999999998</v>
      </c>
      <c r="I437" s="16">
        <v>45723</v>
      </c>
      <c r="J437" s="18"/>
      <c r="K437" s="17">
        <v>4</v>
      </c>
      <c r="L437" s="34">
        <v>96</v>
      </c>
      <c r="M437" s="34">
        <v>4</v>
      </c>
      <c r="N437" s="27">
        <v>45725</v>
      </c>
      <c r="O437" s="18" t="s">
        <v>21</v>
      </c>
      <c r="P437" s="18" t="s">
        <v>25</v>
      </c>
      <c r="Q437" s="18" t="s">
        <v>125</v>
      </c>
      <c r="R437" s="17" t="s">
        <v>102</v>
      </c>
      <c r="S437" s="17">
        <v>8044</v>
      </c>
      <c r="T437" s="32" t="s">
        <v>804</v>
      </c>
      <c r="U437" s="18" t="s">
        <v>19</v>
      </c>
      <c r="V437" s="17"/>
    </row>
    <row r="438" spans="1:22" x14ac:dyDescent="0.3">
      <c r="A438" s="18" t="e">
        <f t="shared" si="7"/>
        <v>#REF!</v>
      </c>
      <c r="B438" s="17">
        <v>86</v>
      </c>
      <c r="C438" s="17" t="s">
        <v>23</v>
      </c>
      <c r="D438" s="17" t="s">
        <v>924</v>
      </c>
      <c r="E438" s="16">
        <v>45719</v>
      </c>
      <c r="F438" s="21" t="s">
        <v>28</v>
      </c>
      <c r="G438" s="51" t="s">
        <v>925</v>
      </c>
      <c r="H438" s="57">
        <v>34417.919999999998</v>
      </c>
      <c r="I438" s="16">
        <v>45723</v>
      </c>
      <c r="J438" s="18"/>
      <c r="K438" s="17">
        <v>4</v>
      </c>
      <c r="L438" s="34">
        <v>96</v>
      </c>
      <c r="M438" s="34">
        <v>4</v>
      </c>
      <c r="N438" s="27">
        <v>45725</v>
      </c>
      <c r="O438" s="18" t="s">
        <v>21</v>
      </c>
      <c r="P438" s="18" t="s">
        <v>25</v>
      </c>
      <c r="Q438" s="18" t="s">
        <v>125</v>
      </c>
      <c r="R438" s="17" t="s">
        <v>102</v>
      </c>
      <c r="S438" s="17">
        <v>8045</v>
      </c>
      <c r="T438" s="32" t="s">
        <v>804</v>
      </c>
      <c r="U438" s="18" t="s">
        <v>19</v>
      </c>
      <c r="V438" s="17"/>
    </row>
    <row r="439" spans="1:22" x14ac:dyDescent="0.3">
      <c r="A439" s="18" t="e">
        <f t="shared" ref="A439:A502" si="8">A438+1</f>
        <v>#REF!</v>
      </c>
      <c r="B439" s="17">
        <v>87</v>
      </c>
      <c r="C439" s="17" t="s">
        <v>23</v>
      </c>
      <c r="D439" s="17" t="s">
        <v>926</v>
      </c>
      <c r="E439" s="16">
        <v>45719</v>
      </c>
      <c r="F439" s="21" t="s">
        <v>53</v>
      </c>
      <c r="G439" s="51" t="s">
        <v>927</v>
      </c>
      <c r="H439" s="57">
        <v>34417.919999999998</v>
      </c>
      <c r="I439" s="16">
        <v>45723</v>
      </c>
      <c r="J439" s="18"/>
      <c r="K439" s="17">
        <v>4</v>
      </c>
      <c r="L439" s="34">
        <v>96</v>
      </c>
      <c r="M439" s="34">
        <v>4</v>
      </c>
      <c r="N439" s="27">
        <v>45726</v>
      </c>
      <c r="O439" s="18" t="s">
        <v>21</v>
      </c>
      <c r="P439" s="18" t="s">
        <v>25</v>
      </c>
      <c r="Q439" s="17" t="s">
        <v>127</v>
      </c>
      <c r="R439" s="17" t="s">
        <v>102</v>
      </c>
      <c r="S439" s="17">
        <v>8063</v>
      </c>
      <c r="T439" s="32" t="s">
        <v>804</v>
      </c>
      <c r="U439" s="18" t="s">
        <v>19</v>
      </c>
      <c r="V439" s="17"/>
    </row>
    <row r="440" spans="1:22" x14ac:dyDescent="0.3">
      <c r="A440" s="18" t="e">
        <f t="shared" si="8"/>
        <v>#REF!</v>
      </c>
      <c r="B440" s="17">
        <v>86</v>
      </c>
      <c r="C440" s="17" t="s">
        <v>23</v>
      </c>
      <c r="D440" s="17" t="s">
        <v>928</v>
      </c>
      <c r="E440" s="16">
        <v>45719</v>
      </c>
      <c r="F440" s="21" t="s">
        <v>929</v>
      </c>
      <c r="G440" s="51" t="s">
        <v>930</v>
      </c>
      <c r="H440" s="57">
        <v>51626.879999999997</v>
      </c>
      <c r="I440" s="16">
        <v>45723</v>
      </c>
      <c r="J440" s="18"/>
      <c r="K440" s="17">
        <v>6</v>
      </c>
      <c r="L440" s="34">
        <v>144</v>
      </c>
      <c r="M440" s="34">
        <v>6</v>
      </c>
      <c r="N440" s="27">
        <v>45725</v>
      </c>
      <c r="O440" s="18" t="s">
        <v>21</v>
      </c>
      <c r="P440" s="18" t="s">
        <v>25</v>
      </c>
      <c r="Q440" s="18" t="s">
        <v>125</v>
      </c>
      <c r="R440" s="17" t="s">
        <v>102</v>
      </c>
      <c r="S440" s="17">
        <v>8043</v>
      </c>
      <c r="T440" s="32" t="s">
        <v>804</v>
      </c>
      <c r="U440" s="18" t="s">
        <v>19</v>
      </c>
      <c r="V440" s="17"/>
    </row>
    <row r="441" spans="1:22" x14ac:dyDescent="0.3">
      <c r="A441" s="18" t="e">
        <f t="shared" si="8"/>
        <v>#REF!</v>
      </c>
      <c r="B441" s="17">
        <v>87</v>
      </c>
      <c r="C441" s="17" t="s">
        <v>23</v>
      </c>
      <c r="D441" s="17" t="s">
        <v>931</v>
      </c>
      <c r="E441" s="16">
        <v>45719</v>
      </c>
      <c r="F441" s="23" t="s">
        <v>68</v>
      </c>
      <c r="G441" s="51" t="s">
        <v>932</v>
      </c>
      <c r="H441" s="57">
        <v>156738.48000000001</v>
      </c>
      <c r="I441" s="16">
        <v>45723</v>
      </c>
      <c r="J441" s="18"/>
      <c r="K441" s="17">
        <v>408</v>
      </c>
      <c r="L441" s="34">
        <v>408</v>
      </c>
      <c r="M441" s="34">
        <v>17</v>
      </c>
      <c r="N441" s="27">
        <v>45726</v>
      </c>
      <c r="O441" s="18" t="s">
        <v>21</v>
      </c>
      <c r="P441" s="18" t="s">
        <v>25</v>
      </c>
      <c r="Q441" s="17" t="s">
        <v>127</v>
      </c>
      <c r="R441" s="17" t="s">
        <v>102</v>
      </c>
      <c r="S441" s="17">
        <v>8047</v>
      </c>
      <c r="T441" s="32" t="s">
        <v>804</v>
      </c>
      <c r="U441" s="18" t="s">
        <v>19</v>
      </c>
      <c r="V441" s="17"/>
    </row>
    <row r="442" spans="1:22" x14ac:dyDescent="0.3">
      <c r="A442" s="18" t="e">
        <f t="shared" si="8"/>
        <v>#REF!</v>
      </c>
      <c r="B442" s="17">
        <v>87</v>
      </c>
      <c r="C442" s="17" t="s">
        <v>23</v>
      </c>
      <c r="D442" s="17" t="s">
        <v>933</v>
      </c>
      <c r="E442" s="16">
        <v>45721</v>
      </c>
      <c r="F442" s="21" t="s">
        <v>64</v>
      </c>
      <c r="G442" s="51" t="s">
        <v>934</v>
      </c>
      <c r="H442" s="57">
        <v>174576</v>
      </c>
      <c r="I442" s="16">
        <v>45724</v>
      </c>
      <c r="J442" s="18"/>
      <c r="K442" s="17">
        <v>432</v>
      </c>
      <c r="L442" s="34">
        <v>432</v>
      </c>
      <c r="M442" s="34">
        <v>18</v>
      </c>
      <c r="N442" s="27">
        <v>45726</v>
      </c>
      <c r="O442" s="18" t="s">
        <v>21</v>
      </c>
      <c r="P442" s="18" t="s">
        <v>25</v>
      </c>
      <c r="Q442" s="17" t="s">
        <v>127</v>
      </c>
      <c r="R442" s="17" t="s">
        <v>102</v>
      </c>
      <c r="S442" s="17">
        <v>8060</v>
      </c>
      <c r="T442" s="32" t="s">
        <v>804</v>
      </c>
      <c r="U442" s="18" t="s">
        <v>19</v>
      </c>
      <c r="V442" s="17"/>
    </row>
    <row r="443" spans="1:22" x14ac:dyDescent="0.3">
      <c r="A443" s="18" t="e">
        <f t="shared" si="8"/>
        <v>#REF!</v>
      </c>
      <c r="B443" s="17">
        <v>86</v>
      </c>
      <c r="C443" s="17" t="s">
        <v>23</v>
      </c>
      <c r="D443" s="17" t="s">
        <v>935</v>
      </c>
      <c r="E443" s="16">
        <v>45721</v>
      </c>
      <c r="F443" s="21" t="s">
        <v>49</v>
      </c>
      <c r="G443" s="51" t="s">
        <v>936</v>
      </c>
      <c r="H443" s="57">
        <v>65770.320000000007</v>
      </c>
      <c r="I443" s="16">
        <v>45723</v>
      </c>
      <c r="J443" s="18"/>
      <c r="K443" s="17">
        <v>7</v>
      </c>
      <c r="L443" s="34">
        <v>168</v>
      </c>
      <c r="M443" s="34">
        <v>7</v>
      </c>
      <c r="N443" s="27">
        <v>45725</v>
      </c>
      <c r="O443" s="18" t="s">
        <v>21</v>
      </c>
      <c r="P443" s="18" t="s">
        <v>25</v>
      </c>
      <c r="Q443" s="18" t="s">
        <v>125</v>
      </c>
      <c r="R443" s="17" t="s">
        <v>102</v>
      </c>
      <c r="S443" s="17">
        <v>8041</v>
      </c>
      <c r="T443" s="32" t="s">
        <v>804</v>
      </c>
      <c r="U443" s="18" t="s">
        <v>19</v>
      </c>
      <c r="V443" s="17"/>
    </row>
    <row r="444" spans="1:22" x14ac:dyDescent="0.3">
      <c r="A444" s="18" t="e">
        <f t="shared" si="8"/>
        <v>#REF!</v>
      </c>
      <c r="B444" s="17">
        <v>87</v>
      </c>
      <c r="C444" s="17" t="s">
        <v>23</v>
      </c>
      <c r="D444" s="17" t="s">
        <v>937</v>
      </c>
      <c r="E444" s="16">
        <v>45721</v>
      </c>
      <c r="F444" s="23" t="s">
        <v>68</v>
      </c>
      <c r="G444" s="51" t="s">
        <v>938</v>
      </c>
      <c r="H444" s="57">
        <v>61092.24</v>
      </c>
      <c r="I444" s="16">
        <v>45723</v>
      </c>
      <c r="J444" s="18"/>
      <c r="K444" s="17">
        <v>168</v>
      </c>
      <c r="L444" s="34">
        <v>168</v>
      </c>
      <c r="M444" s="34">
        <v>7</v>
      </c>
      <c r="N444" s="27">
        <v>45726</v>
      </c>
      <c r="O444" s="18" t="s">
        <v>21</v>
      </c>
      <c r="P444" s="18" t="s">
        <v>25</v>
      </c>
      <c r="Q444" s="17" t="s">
        <v>127</v>
      </c>
      <c r="R444" s="17" t="s">
        <v>102</v>
      </c>
      <c r="S444" s="17"/>
      <c r="T444" s="32" t="s">
        <v>804</v>
      </c>
      <c r="U444" s="18" t="s">
        <v>19</v>
      </c>
      <c r="V444" s="17"/>
    </row>
    <row r="445" spans="1:22" x14ac:dyDescent="0.3">
      <c r="A445" s="18" t="e">
        <f t="shared" si="8"/>
        <v>#REF!</v>
      </c>
      <c r="B445" s="17">
        <v>86</v>
      </c>
      <c r="C445" s="17" t="s">
        <v>23</v>
      </c>
      <c r="D445" s="17" t="s">
        <v>939</v>
      </c>
      <c r="E445" s="16">
        <v>45721</v>
      </c>
      <c r="F445" s="21" t="s">
        <v>35</v>
      </c>
      <c r="G445" s="51" t="s">
        <v>940</v>
      </c>
      <c r="H445" s="57">
        <v>36386.879999999997</v>
      </c>
      <c r="I445" s="16">
        <v>45723</v>
      </c>
      <c r="J445" s="18"/>
      <c r="K445" s="17">
        <v>4</v>
      </c>
      <c r="L445" s="34">
        <v>96</v>
      </c>
      <c r="M445" s="34">
        <v>4</v>
      </c>
      <c r="N445" s="27">
        <v>45725</v>
      </c>
      <c r="O445" s="18" t="s">
        <v>21</v>
      </c>
      <c r="P445" s="18" t="s">
        <v>25</v>
      </c>
      <c r="Q445" s="18" t="s">
        <v>125</v>
      </c>
      <c r="R445" s="17" t="s">
        <v>102</v>
      </c>
      <c r="S445" s="17">
        <v>8040</v>
      </c>
      <c r="T445" s="32" t="s">
        <v>804</v>
      </c>
      <c r="U445" s="18" t="s">
        <v>19</v>
      </c>
      <c r="V445" s="17"/>
    </row>
    <row r="446" spans="1:22" x14ac:dyDescent="0.3">
      <c r="A446" s="18" t="e">
        <f t="shared" si="8"/>
        <v>#REF!</v>
      </c>
      <c r="B446" s="17">
        <v>87</v>
      </c>
      <c r="C446" s="17" t="s">
        <v>23</v>
      </c>
      <c r="D446" s="17" t="s">
        <v>941</v>
      </c>
      <c r="E446" s="16">
        <v>45721</v>
      </c>
      <c r="F446" s="21" t="s">
        <v>128</v>
      </c>
      <c r="G446" s="51" t="s">
        <v>942</v>
      </c>
      <c r="H446" s="57">
        <v>35648.639999999999</v>
      </c>
      <c r="I446" s="16">
        <v>45723</v>
      </c>
      <c r="J446" s="18"/>
      <c r="K446" s="17">
        <v>4</v>
      </c>
      <c r="L446" s="34">
        <v>96</v>
      </c>
      <c r="M446" s="34">
        <v>4</v>
      </c>
      <c r="N446" s="27">
        <v>45726</v>
      </c>
      <c r="O446" s="18" t="s">
        <v>21</v>
      </c>
      <c r="P446" s="18" t="s">
        <v>25</v>
      </c>
      <c r="Q446" s="17" t="s">
        <v>127</v>
      </c>
      <c r="R446" s="17" t="s">
        <v>102</v>
      </c>
      <c r="S446" s="17">
        <v>8062</v>
      </c>
      <c r="T446" s="32" t="s">
        <v>804</v>
      </c>
      <c r="U446" s="18" t="s">
        <v>19</v>
      </c>
      <c r="V446" s="17"/>
    </row>
    <row r="447" spans="1:22" x14ac:dyDescent="0.3">
      <c r="A447" s="18" t="e">
        <f t="shared" si="8"/>
        <v>#REF!</v>
      </c>
      <c r="B447" s="17">
        <v>87</v>
      </c>
      <c r="C447" s="17" t="s">
        <v>23</v>
      </c>
      <c r="D447" s="17" t="s">
        <v>943</v>
      </c>
      <c r="E447" s="16">
        <v>45721</v>
      </c>
      <c r="F447" s="23" t="s">
        <v>39</v>
      </c>
      <c r="G447" s="51" t="s">
        <v>944</v>
      </c>
      <c r="H447" s="57">
        <v>222052.8</v>
      </c>
      <c r="I447" s="16">
        <v>45724</v>
      </c>
      <c r="J447" s="18"/>
      <c r="K447" s="17">
        <v>21</v>
      </c>
      <c r="L447" s="34">
        <v>504</v>
      </c>
      <c r="M447" s="34">
        <v>21</v>
      </c>
      <c r="N447" s="27">
        <v>45726</v>
      </c>
      <c r="O447" s="18" t="s">
        <v>21</v>
      </c>
      <c r="P447" s="18" t="s">
        <v>25</v>
      </c>
      <c r="Q447" s="17" t="s">
        <v>127</v>
      </c>
      <c r="R447" s="17" t="s">
        <v>102</v>
      </c>
      <c r="S447" s="17">
        <v>8061</v>
      </c>
      <c r="T447" s="32" t="s">
        <v>804</v>
      </c>
      <c r="U447" s="18" t="s">
        <v>19</v>
      </c>
      <c r="V447" s="17"/>
    </row>
    <row r="448" spans="1:22" x14ac:dyDescent="0.3">
      <c r="A448" s="18" t="e">
        <f t="shared" si="8"/>
        <v>#REF!</v>
      </c>
      <c r="B448" s="17">
        <v>87</v>
      </c>
      <c r="C448" s="17" t="s">
        <v>23</v>
      </c>
      <c r="D448" s="17" t="s">
        <v>945</v>
      </c>
      <c r="E448" s="16">
        <v>45722</v>
      </c>
      <c r="F448" s="21" t="s">
        <v>35</v>
      </c>
      <c r="G448" s="51" t="s">
        <v>946</v>
      </c>
      <c r="H448" s="57">
        <v>30712.799999999999</v>
      </c>
      <c r="I448" s="16">
        <v>45724</v>
      </c>
      <c r="J448" s="18"/>
      <c r="K448" s="34">
        <v>5</v>
      </c>
      <c r="L448" s="34">
        <v>120</v>
      </c>
      <c r="M448" s="34">
        <v>5</v>
      </c>
      <c r="N448" s="27">
        <v>45726</v>
      </c>
      <c r="O448" s="18" t="s">
        <v>21</v>
      </c>
      <c r="P448" s="18" t="s">
        <v>25</v>
      </c>
      <c r="Q448" s="17" t="s">
        <v>127</v>
      </c>
      <c r="R448" s="17" t="s">
        <v>102</v>
      </c>
      <c r="S448" s="17">
        <v>8053</v>
      </c>
      <c r="T448" s="32" t="s">
        <v>804</v>
      </c>
      <c r="U448" s="18" t="s">
        <v>19</v>
      </c>
      <c r="V448" s="17"/>
    </row>
    <row r="449" spans="1:22" x14ac:dyDescent="0.3">
      <c r="A449" s="18" t="e">
        <f t="shared" si="8"/>
        <v>#REF!</v>
      </c>
      <c r="B449" s="17">
        <v>87</v>
      </c>
      <c r="C449" s="17" t="s">
        <v>23</v>
      </c>
      <c r="D449" s="17" t="s">
        <v>947</v>
      </c>
      <c r="E449" s="16">
        <v>45722</v>
      </c>
      <c r="F449" s="23" t="s">
        <v>68</v>
      </c>
      <c r="G449" s="51" t="s">
        <v>948</v>
      </c>
      <c r="H449" s="57">
        <v>50395.68</v>
      </c>
      <c r="I449" s="16">
        <v>45724</v>
      </c>
      <c r="J449" s="18"/>
      <c r="K449" s="34">
        <v>144</v>
      </c>
      <c r="L449" s="34">
        <v>144</v>
      </c>
      <c r="M449" s="34">
        <v>6</v>
      </c>
      <c r="N449" s="27">
        <v>45726</v>
      </c>
      <c r="O449" s="18" t="s">
        <v>21</v>
      </c>
      <c r="P449" s="18" t="s">
        <v>25</v>
      </c>
      <c r="Q449" s="17" t="s">
        <v>127</v>
      </c>
      <c r="R449" s="17" t="s">
        <v>102</v>
      </c>
      <c r="S449" s="17">
        <v>8048</v>
      </c>
      <c r="T449" s="32" t="s">
        <v>804</v>
      </c>
      <c r="U449" s="18" t="s">
        <v>19</v>
      </c>
      <c r="V449" s="17"/>
    </row>
    <row r="450" spans="1:22" s="2" customFormat="1" x14ac:dyDescent="0.3">
      <c r="A450" s="18" t="e">
        <f t="shared" si="8"/>
        <v>#REF!</v>
      </c>
      <c r="B450" s="17">
        <v>87</v>
      </c>
      <c r="C450" s="17" t="s">
        <v>23</v>
      </c>
      <c r="D450" s="17" t="s">
        <v>953</v>
      </c>
      <c r="E450" s="16">
        <v>45723</v>
      </c>
      <c r="F450" s="21" t="s">
        <v>35</v>
      </c>
      <c r="G450" s="51" t="s">
        <v>950</v>
      </c>
      <c r="H450" s="56" t="s">
        <v>19</v>
      </c>
      <c r="I450" s="16">
        <v>45725</v>
      </c>
      <c r="J450" s="18"/>
      <c r="K450" s="17">
        <v>6</v>
      </c>
      <c r="L450" s="34">
        <v>276</v>
      </c>
      <c r="M450" s="34">
        <v>6</v>
      </c>
      <c r="N450" s="27">
        <v>45726</v>
      </c>
      <c r="O450" s="18" t="s">
        <v>21</v>
      </c>
      <c r="P450" s="18" t="s">
        <v>25</v>
      </c>
      <c r="Q450" s="17" t="s">
        <v>127</v>
      </c>
      <c r="R450" s="17" t="s">
        <v>102</v>
      </c>
      <c r="S450" s="17">
        <v>8054</v>
      </c>
      <c r="T450" s="32" t="s">
        <v>804</v>
      </c>
      <c r="U450" s="18" t="s">
        <v>19</v>
      </c>
      <c r="V450" s="17"/>
    </row>
    <row r="451" spans="1:22" x14ac:dyDescent="0.3">
      <c r="A451" s="18" t="e">
        <f t="shared" si="8"/>
        <v>#REF!</v>
      </c>
      <c r="B451" s="17">
        <v>87</v>
      </c>
      <c r="C451" s="17" t="s">
        <v>23</v>
      </c>
      <c r="D451" s="17" t="s">
        <v>949</v>
      </c>
      <c r="E451" s="16">
        <v>45722</v>
      </c>
      <c r="F451" s="21" t="s">
        <v>35</v>
      </c>
      <c r="G451" s="51" t="s">
        <v>950</v>
      </c>
      <c r="H451" s="57">
        <v>89718.48</v>
      </c>
      <c r="I451" s="16">
        <v>45725</v>
      </c>
      <c r="J451" s="18"/>
      <c r="K451" s="34">
        <v>5</v>
      </c>
      <c r="L451" s="34">
        <v>276</v>
      </c>
      <c r="M451" s="34">
        <v>5</v>
      </c>
      <c r="N451" s="27">
        <v>45726</v>
      </c>
      <c r="O451" s="18" t="s">
        <v>21</v>
      </c>
      <c r="P451" s="18" t="s">
        <v>25</v>
      </c>
      <c r="Q451" s="17" t="s">
        <v>127</v>
      </c>
      <c r="R451" s="17" t="s">
        <v>102</v>
      </c>
      <c r="S451" s="17">
        <v>8054</v>
      </c>
      <c r="T451" s="32" t="s">
        <v>804</v>
      </c>
      <c r="U451" s="18" t="s">
        <v>19</v>
      </c>
      <c r="V451" s="17"/>
    </row>
    <row r="452" spans="1:22" x14ac:dyDescent="0.3">
      <c r="A452" s="18" t="e">
        <f t="shared" si="8"/>
        <v>#REF!</v>
      </c>
      <c r="B452" s="17">
        <v>88</v>
      </c>
      <c r="C452" s="17" t="s">
        <v>23</v>
      </c>
      <c r="D452" s="17" t="s">
        <v>951</v>
      </c>
      <c r="E452" s="16">
        <v>45723</v>
      </c>
      <c r="F452" s="21" t="s">
        <v>41</v>
      </c>
      <c r="G452" s="51" t="s">
        <v>952</v>
      </c>
      <c r="H452" s="57">
        <v>126616.32000000001</v>
      </c>
      <c r="I452" s="16">
        <v>45725</v>
      </c>
      <c r="J452" s="18"/>
      <c r="K452" s="17">
        <v>336</v>
      </c>
      <c r="L452" s="34">
        <v>336</v>
      </c>
      <c r="M452" s="34">
        <v>14</v>
      </c>
      <c r="N452" s="27">
        <v>45726</v>
      </c>
      <c r="O452" s="18" t="s">
        <v>21</v>
      </c>
      <c r="P452" s="18" t="s">
        <v>25</v>
      </c>
      <c r="Q452" s="17" t="s">
        <v>125</v>
      </c>
      <c r="R452" s="17" t="s">
        <v>102</v>
      </c>
      <c r="S452" s="17">
        <v>8072</v>
      </c>
      <c r="T452" s="32" t="s">
        <v>804</v>
      </c>
      <c r="U452" s="18" t="s">
        <v>19</v>
      </c>
      <c r="V452" s="17"/>
    </row>
    <row r="453" spans="1:22" x14ac:dyDescent="0.3">
      <c r="A453" s="18" t="e">
        <f t="shared" si="8"/>
        <v>#REF!</v>
      </c>
      <c r="B453" s="17">
        <v>87</v>
      </c>
      <c r="C453" s="17" t="s">
        <v>23</v>
      </c>
      <c r="D453" s="17" t="s">
        <v>954</v>
      </c>
      <c r="E453" s="16">
        <v>45723</v>
      </c>
      <c r="F453" s="23" t="s">
        <v>68</v>
      </c>
      <c r="G453" s="51" t="s">
        <v>955</v>
      </c>
      <c r="H453" s="57">
        <v>90333.36</v>
      </c>
      <c r="I453" s="16">
        <v>45724</v>
      </c>
      <c r="J453" s="18"/>
      <c r="K453" s="17">
        <v>276</v>
      </c>
      <c r="L453" s="34">
        <v>276</v>
      </c>
      <c r="M453" s="34">
        <v>10</v>
      </c>
      <c r="N453" s="27">
        <v>45726</v>
      </c>
      <c r="O453" s="18" t="s">
        <v>21</v>
      </c>
      <c r="P453" s="18" t="s">
        <v>25</v>
      </c>
      <c r="Q453" s="17" t="s">
        <v>127</v>
      </c>
      <c r="R453" s="17" t="s">
        <v>102</v>
      </c>
      <c r="S453" s="17">
        <v>8046</v>
      </c>
      <c r="T453" s="32" t="s">
        <v>804</v>
      </c>
      <c r="U453" s="18" t="s">
        <v>19</v>
      </c>
      <c r="V453" s="17"/>
    </row>
    <row r="454" spans="1:22" x14ac:dyDescent="0.3">
      <c r="A454" s="18" t="e">
        <f t="shared" si="8"/>
        <v>#REF!</v>
      </c>
      <c r="B454" s="17">
        <v>88</v>
      </c>
      <c r="C454" s="17" t="s">
        <v>23</v>
      </c>
      <c r="D454" s="17" t="s">
        <v>956</v>
      </c>
      <c r="E454" s="16">
        <v>45723</v>
      </c>
      <c r="F454" s="21" t="s">
        <v>130</v>
      </c>
      <c r="G454" s="51" t="s">
        <v>957</v>
      </c>
      <c r="H454" s="57">
        <v>100508.4</v>
      </c>
      <c r="I454" s="16">
        <v>45725</v>
      </c>
      <c r="J454" s="18"/>
      <c r="K454" s="17">
        <v>264</v>
      </c>
      <c r="L454" s="34">
        <v>264</v>
      </c>
      <c r="M454" s="34">
        <v>10</v>
      </c>
      <c r="N454" s="27">
        <v>45726</v>
      </c>
      <c r="O454" s="18" t="s">
        <v>21</v>
      </c>
      <c r="P454" s="18" t="s">
        <v>25</v>
      </c>
      <c r="Q454" s="17" t="s">
        <v>125</v>
      </c>
      <c r="R454" s="17" t="s">
        <v>102</v>
      </c>
      <c r="S454" s="17">
        <v>8069</v>
      </c>
      <c r="T454" s="32" t="s">
        <v>804</v>
      </c>
      <c r="U454" s="18" t="s">
        <v>19</v>
      </c>
      <c r="V454" s="17"/>
    </row>
    <row r="455" spans="1:22" x14ac:dyDescent="0.3">
      <c r="A455" s="18" t="e">
        <f t="shared" si="8"/>
        <v>#REF!</v>
      </c>
      <c r="B455" s="17">
        <v>88</v>
      </c>
      <c r="C455" s="17" t="s">
        <v>23</v>
      </c>
      <c r="D455" s="17" t="s">
        <v>958</v>
      </c>
      <c r="E455" s="16">
        <v>45723</v>
      </c>
      <c r="F455" s="21" t="s">
        <v>130</v>
      </c>
      <c r="G455" s="51" t="s">
        <v>957</v>
      </c>
      <c r="H455" s="56" t="s">
        <v>19</v>
      </c>
      <c r="I455" s="16">
        <v>45725</v>
      </c>
      <c r="J455" s="18"/>
      <c r="K455" s="17">
        <v>264</v>
      </c>
      <c r="L455" s="34">
        <v>264</v>
      </c>
      <c r="M455" s="34">
        <v>1</v>
      </c>
      <c r="N455" s="27">
        <v>45726</v>
      </c>
      <c r="O455" s="18" t="s">
        <v>21</v>
      </c>
      <c r="P455" s="18" t="s">
        <v>25</v>
      </c>
      <c r="Q455" s="17" t="s">
        <v>125</v>
      </c>
      <c r="R455" s="17" t="s">
        <v>102</v>
      </c>
      <c r="S455" s="17">
        <v>8069</v>
      </c>
      <c r="T455" s="32" t="s">
        <v>804</v>
      </c>
      <c r="U455" s="18" t="s">
        <v>19</v>
      </c>
      <c r="V455" s="17"/>
    </row>
    <row r="456" spans="1:22" x14ac:dyDescent="0.3">
      <c r="A456" s="18" t="e">
        <f t="shared" si="8"/>
        <v>#REF!</v>
      </c>
      <c r="B456" s="17">
        <v>87</v>
      </c>
      <c r="C456" s="17" t="s">
        <v>23</v>
      </c>
      <c r="D456" s="17" t="s">
        <v>959</v>
      </c>
      <c r="E456" s="16">
        <v>45726</v>
      </c>
      <c r="F456" s="23" t="s">
        <v>68</v>
      </c>
      <c r="G456" s="51" t="s">
        <v>960</v>
      </c>
      <c r="H456" s="57">
        <v>70066.320000000007</v>
      </c>
      <c r="I456" s="16">
        <v>45725</v>
      </c>
      <c r="J456" s="18"/>
      <c r="K456" s="17">
        <v>192</v>
      </c>
      <c r="L456" s="34">
        <v>192</v>
      </c>
      <c r="M456" s="34">
        <v>6</v>
      </c>
      <c r="N456" s="27">
        <v>45726</v>
      </c>
      <c r="O456" s="18" t="s">
        <v>21</v>
      </c>
      <c r="P456" s="18" t="s">
        <v>25</v>
      </c>
      <c r="Q456" s="17" t="s">
        <v>127</v>
      </c>
      <c r="R456" s="17" t="s">
        <v>102</v>
      </c>
      <c r="S456" s="17">
        <v>8050</v>
      </c>
      <c r="T456" s="32" t="s">
        <v>804</v>
      </c>
      <c r="U456" s="18" t="s">
        <v>19</v>
      </c>
      <c r="V456" s="17"/>
    </row>
    <row r="457" spans="1:22" x14ac:dyDescent="0.3">
      <c r="A457" s="18" t="e">
        <f t="shared" si="8"/>
        <v>#REF!</v>
      </c>
      <c r="B457" s="17">
        <v>87</v>
      </c>
      <c r="C457" s="17" t="s">
        <v>23</v>
      </c>
      <c r="D457" s="17" t="s">
        <v>961</v>
      </c>
      <c r="E457" s="16">
        <v>45726</v>
      </c>
      <c r="F457" s="23" t="s">
        <v>68</v>
      </c>
      <c r="G457" s="51" t="s">
        <v>960</v>
      </c>
      <c r="H457" s="56" t="s">
        <v>19</v>
      </c>
      <c r="I457" s="16">
        <v>45725</v>
      </c>
      <c r="J457" s="18"/>
      <c r="K457" s="17">
        <v>192</v>
      </c>
      <c r="L457" s="34">
        <v>192</v>
      </c>
      <c r="M457" s="34">
        <v>2</v>
      </c>
      <c r="N457" s="27">
        <v>45726</v>
      </c>
      <c r="O457" s="18" t="s">
        <v>21</v>
      </c>
      <c r="P457" s="18" t="s">
        <v>25</v>
      </c>
      <c r="Q457" s="17" t="s">
        <v>127</v>
      </c>
      <c r="R457" s="17" t="s">
        <v>102</v>
      </c>
      <c r="S457" s="17">
        <v>8050</v>
      </c>
      <c r="T457" s="32" t="s">
        <v>804</v>
      </c>
      <c r="U457" s="18" t="s">
        <v>19</v>
      </c>
      <c r="V457" s="17"/>
    </row>
    <row r="458" spans="1:22" x14ac:dyDescent="0.3">
      <c r="A458" s="18" t="e">
        <f t="shared" si="8"/>
        <v>#REF!</v>
      </c>
      <c r="B458" s="17">
        <v>87</v>
      </c>
      <c r="C458" s="17" t="s">
        <v>23</v>
      </c>
      <c r="D458" s="17" t="s">
        <v>962</v>
      </c>
      <c r="E458" s="16">
        <v>45726</v>
      </c>
      <c r="F458" s="21" t="s">
        <v>35</v>
      </c>
      <c r="G458" s="51" t="s">
        <v>963</v>
      </c>
      <c r="H458" s="57">
        <v>24594.720000000001</v>
      </c>
      <c r="I458" s="16">
        <v>45726</v>
      </c>
      <c r="J458" s="18"/>
      <c r="K458" s="17">
        <v>48</v>
      </c>
      <c r="L458" s="34">
        <v>48</v>
      </c>
      <c r="M458" s="34">
        <v>2</v>
      </c>
      <c r="N458" s="27">
        <v>45726</v>
      </c>
      <c r="O458" s="18" t="s">
        <v>21</v>
      </c>
      <c r="P458" s="18" t="s">
        <v>25</v>
      </c>
      <c r="Q458" s="17" t="s">
        <v>127</v>
      </c>
      <c r="R458" s="17" t="s">
        <v>102</v>
      </c>
      <c r="S458" s="17">
        <v>8052</v>
      </c>
      <c r="T458" s="32" t="s">
        <v>804</v>
      </c>
      <c r="U458" s="18" t="s">
        <v>19</v>
      </c>
      <c r="V458" s="17"/>
    </row>
    <row r="459" spans="1:22" x14ac:dyDescent="0.3">
      <c r="A459" s="18" t="e">
        <f t="shared" si="8"/>
        <v>#REF!</v>
      </c>
      <c r="B459" s="17">
        <v>89</v>
      </c>
      <c r="C459" s="17" t="s">
        <v>20</v>
      </c>
      <c r="D459" s="17" t="s">
        <v>964</v>
      </c>
      <c r="E459" s="16">
        <v>45726</v>
      </c>
      <c r="F459" s="21" t="s">
        <v>132</v>
      </c>
      <c r="G459" s="51" t="s">
        <v>965</v>
      </c>
      <c r="H459" s="57">
        <v>46806.3</v>
      </c>
      <c r="I459" s="16">
        <v>45727</v>
      </c>
      <c r="J459" s="18"/>
      <c r="K459" s="17">
        <v>30</v>
      </c>
      <c r="L459" s="34">
        <v>30</v>
      </c>
      <c r="M459" s="34">
        <v>3</v>
      </c>
      <c r="N459" s="27">
        <v>45727</v>
      </c>
      <c r="O459" s="18" t="s">
        <v>21</v>
      </c>
      <c r="P459" s="18" t="s">
        <v>25</v>
      </c>
      <c r="Q459" s="17" t="s">
        <v>125</v>
      </c>
      <c r="R459" s="17" t="s">
        <v>102</v>
      </c>
      <c r="S459" s="17">
        <v>8051</v>
      </c>
      <c r="T459" s="32" t="s">
        <v>804</v>
      </c>
      <c r="U459" s="18" t="s">
        <v>19</v>
      </c>
      <c r="V459" s="17"/>
    </row>
    <row r="460" spans="1:22" x14ac:dyDescent="0.3">
      <c r="A460" s="18" t="e">
        <f t="shared" si="8"/>
        <v>#REF!</v>
      </c>
      <c r="B460" s="17">
        <v>89</v>
      </c>
      <c r="C460" s="17" t="s">
        <v>20</v>
      </c>
      <c r="D460" s="17" t="s">
        <v>966</v>
      </c>
      <c r="E460" s="16">
        <v>45726</v>
      </c>
      <c r="F460" s="21" t="s">
        <v>129</v>
      </c>
      <c r="G460" s="51" t="s">
        <v>967</v>
      </c>
      <c r="H460" s="57">
        <v>31204.2</v>
      </c>
      <c r="I460" s="16">
        <v>45727</v>
      </c>
      <c r="J460" s="18"/>
      <c r="K460" s="17">
        <v>20</v>
      </c>
      <c r="L460" s="34">
        <v>20</v>
      </c>
      <c r="M460" s="34">
        <v>2</v>
      </c>
      <c r="N460" s="27">
        <v>45727</v>
      </c>
      <c r="O460" s="18" t="s">
        <v>21</v>
      </c>
      <c r="P460" s="18" t="s">
        <v>25</v>
      </c>
      <c r="Q460" s="17" t="s">
        <v>125</v>
      </c>
      <c r="R460" s="17" t="s">
        <v>102</v>
      </c>
      <c r="S460" s="17">
        <v>8050</v>
      </c>
      <c r="T460" s="32" t="s">
        <v>804</v>
      </c>
      <c r="U460" s="18" t="s">
        <v>19</v>
      </c>
      <c r="V460" s="17"/>
    </row>
    <row r="461" spans="1:22" x14ac:dyDescent="0.3">
      <c r="A461" s="18" t="e">
        <f t="shared" si="8"/>
        <v>#REF!</v>
      </c>
      <c r="B461" s="17">
        <v>89</v>
      </c>
      <c r="C461" s="17" t="s">
        <v>20</v>
      </c>
      <c r="D461" s="17" t="s">
        <v>968</v>
      </c>
      <c r="E461" s="16">
        <v>45726</v>
      </c>
      <c r="F461" s="21" t="s">
        <v>786</v>
      </c>
      <c r="G461" s="51" t="s">
        <v>969</v>
      </c>
      <c r="H461" s="57">
        <v>15602.1</v>
      </c>
      <c r="I461" s="16">
        <v>45727</v>
      </c>
      <c r="J461" s="18"/>
      <c r="K461" s="17">
        <v>10</v>
      </c>
      <c r="L461" s="34">
        <v>10</v>
      </c>
      <c r="M461" s="34">
        <v>1</v>
      </c>
      <c r="N461" s="27">
        <v>45727</v>
      </c>
      <c r="O461" s="18" t="s">
        <v>21</v>
      </c>
      <c r="P461" s="18" t="s">
        <v>25</v>
      </c>
      <c r="Q461" s="17" t="s">
        <v>125</v>
      </c>
      <c r="R461" s="17" t="s">
        <v>102</v>
      </c>
      <c r="S461" s="17">
        <v>8052</v>
      </c>
      <c r="T461" s="32" t="s">
        <v>804</v>
      </c>
      <c r="U461" s="18" t="s">
        <v>19</v>
      </c>
      <c r="V461" s="17"/>
    </row>
    <row r="462" spans="1:22" x14ac:dyDescent="0.3">
      <c r="A462" s="18" t="e">
        <f t="shared" si="8"/>
        <v>#REF!</v>
      </c>
      <c r="B462" s="17">
        <v>89</v>
      </c>
      <c r="C462" s="17" t="s">
        <v>20</v>
      </c>
      <c r="D462" s="17" t="s">
        <v>970</v>
      </c>
      <c r="E462" s="16">
        <v>45726</v>
      </c>
      <c r="F462" s="21" t="s">
        <v>89</v>
      </c>
      <c r="G462" s="51" t="s">
        <v>971</v>
      </c>
      <c r="H462" s="57">
        <v>46806.3</v>
      </c>
      <c r="I462" s="16">
        <v>45727</v>
      </c>
      <c r="J462" s="18"/>
      <c r="K462" s="17">
        <v>30</v>
      </c>
      <c r="L462" s="34">
        <v>30</v>
      </c>
      <c r="M462" s="34">
        <v>3</v>
      </c>
      <c r="N462" s="27">
        <v>45727</v>
      </c>
      <c r="O462" s="18" t="s">
        <v>21</v>
      </c>
      <c r="P462" s="18" t="s">
        <v>25</v>
      </c>
      <c r="Q462" s="17" t="s">
        <v>125</v>
      </c>
      <c r="R462" s="17" t="s">
        <v>102</v>
      </c>
      <c r="S462" s="17">
        <v>8053</v>
      </c>
      <c r="T462" s="32" t="s">
        <v>804</v>
      </c>
      <c r="U462" s="18" t="s">
        <v>19</v>
      </c>
      <c r="V462" s="17"/>
    </row>
    <row r="463" spans="1:22" x14ac:dyDescent="0.3">
      <c r="A463" s="18" t="e">
        <f t="shared" si="8"/>
        <v>#REF!</v>
      </c>
      <c r="B463" s="17">
        <v>89</v>
      </c>
      <c r="C463" s="17" t="s">
        <v>20</v>
      </c>
      <c r="D463" s="17" t="s">
        <v>972</v>
      </c>
      <c r="E463" s="16">
        <v>45726</v>
      </c>
      <c r="F463" s="21" t="s">
        <v>24</v>
      </c>
      <c r="G463" s="51" t="s">
        <v>973</v>
      </c>
      <c r="H463" s="57">
        <v>187225.2</v>
      </c>
      <c r="I463" s="16">
        <v>45727</v>
      </c>
      <c r="J463" s="18"/>
      <c r="K463" s="17">
        <v>120</v>
      </c>
      <c r="L463" s="34">
        <v>120</v>
      </c>
      <c r="M463" s="34">
        <v>12</v>
      </c>
      <c r="N463" s="27">
        <v>45727</v>
      </c>
      <c r="O463" s="18" t="s">
        <v>21</v>
      </c>
      <c r="P463" s="18" t="s">
        <v>25</v>
      </c>
      <c r="Q463" s="17" t="s">
        <v>125</v>
      </c>
      <c r="R463" s="17" t="s">
        <v>102</v>
      </c>
      <c r="S463" s="17">
        <v>8045</v>
      </c>
      <c r="T463" s="32" t="s">
        <v>804</v>
      </c>
      <c r="U463" s="18" t="s">
        <v>19</v>
      </c>
      <c r="V463" s="17"/>
    </row>
    <row r="464" spans="1:22" x14ac:dyDescent="0.3">
      <c r="A464" s="18" t="e">
        <f t="shared" si="8"/>
        <v>#REF!</v>
      </c>
      <c r="B464" s="17">
        <v>89</v>
      </c>
      <c r="C464" s="17" t="s">
        <v>23</v>
      </c>
      <c r="D464" s="17" t="s">
        <v>974</v>
      </c>
      <c r="E464" s="16">
        <v>45726</v>
      </c>
      <c r="F464" s="21" t="s">
        <v>43</v>
      </c>
      <c r="G464" s="51" t="s">
        <v>975</v>
      </c>
      <c r="H464" s="57">
        <v>92322</v>
      </c>
      <c r="I464" s="16">
        <v>45727</v>
      </c>
      <c r="J464" s="18"/>
      <c r="K464" s="17">
        <v>240</v>
      </c>
      <c r="L464" s="34">
        <v>240</v>
      </c>
      <c r="M464" s="34">
        <v>11</v>
      </c>
      <c r="N464" s="27">
        <v>45727</v>
      </c>
      <c r="O464" s="18" t="s">
        <v>21</v>
      </c>
      <c r="P464" s="18" t="s">
        <v>25</v>
      </c>
      <c r="Q464" s="17" t="s">
        <v>125</v>
      </c>
      <c r="R464" s="17" t="s">
        <v>102</v>
      </c>
      <c r="S464" s="17">
        <v>8055</v>
      </c>
      <c r="T464" s="32" t="s">
        <v>804</v>
      </c>
      <c r="U464" s="18" t="s">
        <v>19</v>
      </c>
      <c r="V464" s="17"/>
    </row>
    <row r="465" spans="1:22" x14ac:dyDescent="0.3">
      <c r="A465" s="18" t="e">
        <f t="shared" si="8"/>
        <v>#REF!</v>
      </c>
      <c r="B465" s="17">
        <v>89</v>
      </c>
      <c r="C465" s="17" t="s">
        <v>23</v>
      </c>
      <c r="D465" s="17" t="s">
        <v>976</v>
      </c>
      <c r="E465" s="16">
        <v>45725</v>
      </c>
      <c r="F465" s="21" t="s">
        <v>33</v>
      </c>
      <c r="G465" s="51" t="s">
        <v>977</v>
      </c>
      <c r="H465" s="57">
        <v>82216.08</v>
      </c>
      <c r="I465" s="16">
        <v>45725</v>
      </c>
      <c r="J465" s="18"/>
      <c r="K465" s="17">
        <v>264</v>
      </c>
      <c r="L465" s="34">
        <v>264</v>
      </c>
      <c r="M465" s="34">
        <v>11</v>
      </c>
      <c r="N465" s="27">
        <v>45727</v>
      </c>
      <c r="O465" s="18" t="s">
        <v>21</v>
      </c>
      <c r="P465" s="18" t="s">
        <v>25</v>
      </c>
      <c r="Q465" s="17" t="s">
        <v>125</v>
      </c>
      <c r="R465" s="17" t="s">
        <v>102</v>
      </c>
      <c r="S465" s="17">
        <v>8044</v>
      </c>
      <c r="T465" s="32" t="s">
        <v>804</v>
      </c>
      <c r="U465" s="18" t="s">
        <v>19</v>
      </c>
      <c r="V465" s="17"/>
    </row>
    <row r="466" spans="1:22" x14ac:dyDescent="0.3">
      <c r="A466" s="18" t="e">
        <f t="shared" si="8"/>
        <v>#REF!</v>
      </c>
      <c r="B466" s="17">
        <v>89</v>
      </c>
      <c r="C466" s="17" t="s">
        <v>23</v>
      </c>
      <c r="D466" s="17" t="s">
        <v>978</v>
      </c>
      <c r="E466" s="16">
        <v>45725</v>
      </c>
      <c r="F466" s="21" t="s">
        <v>49</v>
      </c>
      <c r="G466" s="51" t="s">
        <v>979</v>
      </c>
      <c r="H466" s="57">
        <v>25813.439999999999</v>
      </c>
      <c r="I466" s="16">
        <v>45725</v>
      </c>
      <c r="J466" s="18"/>
      <c r="K466" s="17">
        <v>72</v>
      </c>
      <c r="L466" s="34">
        <v>72</v>
      </c>
      <c r="M466" s="34">
        <v>3</v>
      </c>
      <c r="N466" s="27">
        <v>45727</v>
      </c>
      <c r="O466" s="18" t="s">
        <v>21</v>
      </c>
      <c r="P466" s="18" t="s">
        <v>25</v>
      </c>
      <c r="Q466" s="17" t="s">
        <v>125</v>
      </c>
      <c r="R466" s="17" t="s">
        <v>102</v>
      </c>
      <c r="S466" s="17">
        <v>8046</v>
      </c>
      <c r="T466" s="32" t="s">
        <v>804</v>
      </c>
      <c r="U466" s="18" t="s">
        <v>19</v>
      </c>
      <c r="V466" s="17"/>
    </row>
    <row r="467" spans="1:22" x14ac:dyDescent="0.3">
      <c r="A467" s="18" t="e">
        <f t="shared" si="8"/>
        <v>#REF!</v>
      </c>
      <c r="B467" s="17">
        <v>89</v>
      </c>
      <c r="C467" s="17" t="s">
        <v>20</v>
      </c>
      <c r="D467" s="17" t="s">
        <v>980</v>
      </c>
      <c r="E467" s="16">
        <v>45726</v>
      </c>
      <c r="F467" s="21" t="s">
        <v>130</v>
      </c>
      <c r="G467" s="51" t="s">
        <v>981</v>
      </c>
      <c r="H467" s="57">
        <v>93612.6</v>
      </c>
      <c r="I467" s="16">
        <v>45727</v>
      </c>
      <c r="J467" s="18"/>
      <c r="K467" s="17">
        <v>60</v>
      </c>
      <c r="L467" s="34">
        <v>60</v>
      </c>
      <c r="M467" s="34">
        <v>6</v>
      </c>
      <c r="N467" s="27">
        <v>45727</v>
      </c>
      <c r="O467" s="18" t="s">
        <v>21</v>
      </c>
      <c r="P467" s="18" t="s">
        <v>25</v>
      </c>
      <c r="Q467" s="17" t="s">
        <v>125</v>
      </c>
      <c r="R467" s="17" t="s">
        <v>102</v>
      </c>
      <c r="S467" s="17">
        <v>8048</v>
      </c>
      <c r="T467" s="32" t="s">
        <v>804</v>
      </c>
      <c r="U467" s="18" t="s">
        <v>19</v>
      </c>
      <c r="V467" s="17"/>
    </row>
    <row r="468" spans="1:22" x14ac:dyDescent="0.3">
      <c r="A468" s="18" t="e">
        <f t="shared" si="8"/>
        <v>#REF!</v>
      </c>
      <c r="B468" s="17">
        <v>89</v>
      </c>
      <c r="C468" s="17" t="s">
        <v>20</v>
      </c>
      <c r="D468" s="17" t="s">
        <v>982</v>
      </c>
      <c r="E468" s="16">
        <v>45724</v>
      </c>
      <c r="F468" s="21" t="s">
        <v>64</v>
      </c>
      <c r="G468" s="51" t="s">
        <v>983</v>
      </c>
      <c r="H468" s="57">
        <v>159550.19</v>
      </c>
      <c r="I468" s="16">
        <v>45727</v>
      </c>
      <c r="J468" s="18"/>
      <c r="K468" s="17">
        <v>116</v>
      </c>
      <c r="L468" s="34">
        <v>116</v>
      </c>
      <c r="M468" s="34">
        <v>12</v>
      </c>
      <c r="N468" s="27">
        <v>45727</v>
      </c>
      <c r="O468" s="18" t="s">
        <v>21</v>
      </c>
      <c r="P468" s="18" t="s">
        <v>25</v>
      </c>
      <c r="Q468" s="17" t="s">
        <v>125</v>
      </c>
      <c r="R468" s="17" t="s">
        <v>102</v>
      </c>
      <c r="S468" s="17">
        <v>8054</v>
      </c>
      <c r="T468" s="32" t="s">
        <v>804</v>
      </c>
      <c r="U468" s="18" t="s">
        <v>19</v>
      </c>
      <c r="V468" s="17"/>
    </row>
    <row r="469" spans="1:22" x14ac:dyDescent="0.3">
      <c r="A469" s="18" t="e">
        <f t="shared" si="8"/>
        <v>#REF!</v>
      </c>
      <c r="B469" s="17">
        <v>89</v>
      </c>
      <c r="C469" s="17" t="s">
        <v>20</v>
      </c>
      <c r="D469" s="17" t="s">
        <v>984</v>
      </c>
      <c r="E469" s="16">
        <v>45726</v>
      </c>
      <c r="F469" s="23" t="s">
        <v>68</v>
      </c>
      <c r="G469" s="51" t="s">
        <v>985</v>
      </c>
      <c r="H469" s="57">
        <v>187225.2</v>
      </c>
      <c r="I469" s="16">
        <v>45727</v>
      </c>
      <c r="J469" s="18"/>
      <c r="K469" s="17">
        <v>120</v>
      </c>
      <c r="L469" s="34">
        <v>120</v>
      </c>
      <c r="M469" s="34">
        <v>12</v>
      </c>
      <c r="N469" s="27">
        <v>45727</v>
      </c>
      <c r="O469" s="18" t="s">
        <v>21</v>
      </c>
      <c r="P469" s="18" t="s">
        <v>25</v>
      </c>
      <c r="Q469" s="17" t="s">
        <v>125</v>
      </c>
      <c r="R469" s="17" t="s">
        <v>102</v>
      </c>
      <c r="S469" s="17">
        <v>8040</v>
      </c>
      <c r="T469" s="32" t="s">
        <v>804</v>
      </c>
      <c r="U469" s="18" t="s">
        <v>19</v>
      </c>
      <c r="V469" s="17"/>
    </row>
    <row r="470" spans="1:22" x14ac:dyDescent="0.3">
      <c r="A470" s="18" t="e">
        <f t="shared" si="8"/>
        <v>#REF!</v>
      </c>
      <c r="B470" s="17">
        <v>89</v>
      </c>
      <c r="C470" s="17" t="s">
        <v>23</v>
      </c>
      <c r="D470" s="17" t="s">
        <v>484</v>
      </c>
      <c r="E470" s="16">
        <v>45724</v>
      </c>
      <c r="F470" s="23" t="s">
        <v>39</v>
      </c>
      <c r="G470" s="51" t="s">
        <v>986</v>
      </c>
      <c r="H470" s="57">
        <v>18427.68</v>
      </c>
      <c r="I470" s="16">
        <v>45725</v>
      </c>
      <c r="J470" s="18"/>
      <c r="K470" s="17">
        <v>72</v>
      </c>
      <c r="L470" s="34">
        <v>72</v>
      </c>
      <c r="M470" s="34">
        <v>3</v>
      </c>
      <c r="N470" s="27">
        <v>45727</v>
      </c>
      <c r="O470" s="18" t="s">
        <v>21</v>
      </c>
      <c r="P470" s="18" t="s">
        <v>25</v>
      </c>
      <c r="Q470" s="17" t="s">
        <v>125</v>
      </c>
      <c r="R470" s="17" t="s">
        <v>102</v>
      </c>
      <c r="S470" s="17">
        <v>8047</v>
      </c>
      <c r="T470" s="32" t="s">
        <v>804</v>
      </c>
      <c r="U470" s="18" t="s">
        <v>19</v>
      </c>
      <c r="V470" s="17"/>
    </row>
    <row r="471" spans="1:22" x14ac:dyDescent="0.3">
      <c r="A471" s="18" t="e">
        <f t="shared" si="8"/>
        <v>#REF!</v>
      </c>
      <c r="B471" s="17">
        <v>89</v>
      </c>
      <c r="C471" s="17" t="s">
        <v>20</v>
      </c>
      <c r="D471" s="17" t="s">
        <v>987</v>
      </c>
      <c r="E471" s="16">
        <v>45726</v>
      </c>
      <c r="F471" s="21" t="s">
        <v>35</v>
      </c>
      <c r="G471" s="51" t="s">
        <v>988</v>
      </c>
      <c r="H471" s="57">
        <v>62408.4</v>
      </c>
      <c r="I471" s="16">
        <v>45727</v>
      </c>
      <c r="J471" s="18"/>
      <c r="K471" s="17">
        <v>40</v>
      </c>
      <c r="L471" s="34">
        <v>40</v>
      </c>
      <c r="M471" s="34">
        <v>4</v>
      </c>
      <c r="N471" s="27">
        <v>45727</v>
      </c>
      <c r="O471" s="18" t="s">
        <v>21</v>
      </c>
      <c r="P471" s="18" t="s">
        <v>25</v>
      </c>
      <c r="Q471" s="17" t="s">
        <v>125</v>
      </c>
      <c r="R471" s="17" t="s">
        <v>102</v>
      </c>
      <c r="S471" s="17">
        <v>8049</v>
      </c>
      <c r="T471" s="32" t="s">
        <v>804</v>
      </c>
      <c r="U471" s="18" t="s">
        <v>19</v>
      </c>
      <c r="V471" s="17"/>
    </row>
    <row r="472" spans="1:22" x14ac:dyDescent="0.3">
      <c r="A472" s="18" t="e">
        <f t="shared" si="8"/>
        <v>#REF!</v>
      </c>
      <c r="B472" s="17">
        <v>89</v>
      </c>
      <c r="C472" s="17" t="s">
        <v>20</v>
      </c>
      <c r="D472" s="17" t="s">
        <v>989</v>
      </c>
      <c r="E472" s="16">
        <v>45726</v>
      </c>
      <c r="F472" s="21" t="s">
        <v>84</v>
      </c>
      <c r="G472" s="51" t="s">
        <v>990</v>
      </c>
      <c r="H472" s="57">
        <v>171623.1</v>
      </c>
      <c r="I472" s="16">
        <v>45727</v>
      </c>
      <c r="J472" s="18"/>
      <c r="K472" s="17">
        <v>110</v>
      </c>
      <c r="L472" s="34">
        <v>110</v>
      </c>
      <c r="M472" s="34">
        <v>11</v>
      </c>
      <c r="N472" s="27">
        <v>45727</v>
      </c>
      <c r="O472" s="18" t="s">
        <v>21</v>
      </c>
      <c r="P472" s="18" t="s">
        <v>25</v>
      </c>
      <c r="Q472" s="17" t="s">
        <v>125</v>
      </c>
      <c r="R472" s="17" t="s">
        <v>102</v>
      </c>
      <c r="S472" s="17">
        <v>8038</v>
      </c>
      <c r="T472" s="32" t="s">
        <v>804</v>
      </c>
      <c r="U472" s="18" t="s">
        <v>19</v>
      </c>
      <c r="V472" s="17"/>
    </row>
    <row r="473" spans="1:22" x14ac:dyDescent="0.3">
      <c r="A473" s="18" t="e">
        <f t="shared" si="8"/>
        <v>#REF!</v>
      </c>
      <c r="B473" s="17">
        <v>89</v>
      </c>
      <c r="C473" s="17" t="s">
        <v>23</v>
      </c>
      <c r="D473" s="17" t="s">
        <v>991</v>
      </c>
      <c r="E473" s="16">
        <v>45724</v>
      </c>
      <c r="F473" s="25" t="s">
        <v>122</v>
      </c>
      <c r="G473" s="51" t="s">
        <v>992</v>
      </c>
      <c r="H473" s="57">
        <v>47933.279999999999</v>
      </c>
      <c r="I473" s="16">
        <v>45725</v>
      </c>
      <c r="J473" s="18"/>
      <c r="K473" s="17">
        <v>144</v>
      </c>
      <c r="L473" s="34">
        <v>144</v>
      </c>
      <c r="M473" s="34">
        <v>5</v>
      </c>
      <c r="N473" s="27">
        <v>45727</v>
      </c>
      <c r="O473" s="18" t="s">
        <v>21</v>
      </c>
      <c r="P473" s="18" t="s">
        <v>25</v>
      </c>
      <c r="Q473" s="17" t="s">
        <v>125</v>
      </c>
      <c r="R473" s="17" t="s">
        <v>102</v>
      </c>
      <c r="S473" s="17">
        <v>8047</v>
      </c>
      <c r="T473" s="32" t="s">
        <v>804</v>
      </c>
      <c r="U473" s="18" t="s">
        <v>19</v>
      </c>
      <c r="V473" s="17"/>
    </row>
    <row r="474" spans="1:22" x14ac:dyDescent="0.3">
      <c r="A474" s="18" t="e">
        <f t="shared" si="8"/>
        <v>#REF!</v>
      </c>
      <c r="B474" s="17">
        <v>89</v>
      </c>
      <c r="C474" s="17" t="s">
        <v>20</v>
      </c>
      <c r="D474" s="17" t="s">
        <v>993</v>
      </c>
      <c r="E474" s="16">
        <v>45726</v>
      </c>
      <c r="F474" s="21" t="s">
        <v>64</v>
      </c>
      <c r="G474" s="51" t="s">
        <v>994</v>
      </c>
      <c r="H474" s="57">
        <v>234031.5</v>
      </c>
      <c r="I474" s="16">
        <v>45727</v>
      </c>
      <c r="J474" s="18"/>
      <c r="K474" s="17">
        <v>150</v>
      </c>
      <c r="L474" s="34">
        <v>150</v>
      </c>
      <c r="M474" s="34">
        <v>15</v>
      </c>
      <c r="N474" s="27">
        <v>45727</v>
      </c>
      <c r="O474" s="18" t="s">
        <v>21</v>
      </c>
      <c r="P474" s="18" t="s">
        <v>25</v>
      </c>
      <c r="Q474" s="17" t="s">
        <v>125</v>
      </c>
      <c r="R474" s="17" t="s">
        <v>102</v>
      </c>
      <c r="S474" s="17">
        <v>8043</v>
      </c>
      <c r="T474" s="32" t="s">
        <v>804</v>
      </c>
      <c r="U474" s="18" t="s">
        <v>19</v>
      </c>
      <c r="V474" s="17"/>
    </row>
    <row r="475" spans="1:22" x14ac:dyDescent="0.3">
      <c r="A475" s="18" t="e">
        <f t="shared" si="8"/>
        <v>#REF!</v>
      </c>
      <c r="B475" s="17">
        <v>89</v>
      </c>
      <c r="C475" s="17" t="s">
        <v>20</v>
      </c>
      <c r="D475" s="17" t="s">
        <v>995</v>
      </c>
      <c r="E475" s="16">
        <v>45726</v>
      </c>
      <c r="F475" s="25" t="s">
        <v>122</v>
      </c>
      <c r="G475" s="51" t="s">
        <v>996</v>
      </c>
      <c r="H475" s="57">
        <v>949900</v>
      </c>
      <c r="I475" s="16">
        <v>45727</v>
      </c>
      <c r="J475" s="18"/>
      <c r="K475" s="17">
        <v>100</v>
      </c>
      <c r="L475" s="34">
        <v>100</v>
      </c>
      <c r="M475" s="34">
        <v>10</v>
      </c>
      <c r="N475" s="27">
        <v>45727</v>
      </c>
      <c r="O475" s="18" t="s">
        <v>21</v>
      </c>
      <c r="P475" s="18" t="s">
        <v>25</v>
      </c>
      <c r="Q475" s="17" t="s">
        <v>125</v>
      </c>
      <c r="R475" s="17" t="s">
        <v>102</v>
      </c>
      <c r="S475" s="17">
        <v>8042</v>
      </c>
      <c r="T475" s="32" t="s">
        <v>804</v>
      </c>
      <c r="U475" s="18" t="s">
        <v>19</v>
      </c>
      <c r="V475" s="17"/>
    </row>
    <row r="476" spans="1:22" x14ac:dyDescent="0.3">
      <c r="A476" s="18" t="e">
        <f t="shared" si="8"/>
        <v>#REF!</v>
      </c>
      <c r="B476" s="17">
        <v>89</v>
      </c>
      <c r="C476" s="17" t="s">
        <v>20</v>
      </c>
      <c r="D476" s="17" t="s">
        <v>997</v>
      </c>
      <c r="E476" s="16">
        <v>45726</v>
      </c>
      <c r="F476" s="21" t="s">
        <v>123</v>
      </c>
      <c r="G476" s="51" t="s">
        <v>998</v>
      </c>
      <c r="H476" s="57">
        <v>93612.6</v>
      </c>
      <c r="I476" s="16">
        <v>45727</v>
      </c>
      <c r="J476" s="18"/>
      <c r="K476" s="17">
        <v>60</v>
      </c>
      <c r="L476" s="34">
        <v>60</v>
      </c>
      <c r="M476" s="34">
        <v>6</v>
      </c>
      <c r="N476" s="27">
        <v>45727</v>
      </c>
      <c r="O476" s="18" t="s">
        <v>21</v>
      </c>
      <c r="P476" s="18" t="s">
        <v>25</v>
      </c>
      <c r="Q476" s="17" t="s">
        <v>125</v>
      </c>
      <c r="R476" s="17" t="s">
        <v>102</v>
      </c>
      <c r="S476" s="17">
        <v>8041</v>
      </c>
      <c r="T476" s="32" t="s">
        <v>804</v>
      </c>
      <c r="U476" s="18" t="s">
        <v>19</v>
      </c>
      <c r="V476" s="17"/>
    </row>
    <row r="477" spans="1:22" x14ac:dyDescent="0.3">
      <c r="A477" s="18" t="e">
        <f t="shared" si="8"/>
        <v>#REF!</v>
      </c>
      <c r="B477" s="17">
        <v>89</v>
      </c>
      <c r="C477" s="17" t="s">
        <v>23</v>
      </c>
      <c r="D477" s="17" t="s">
        <v>999</v>
      </c>
      <c r="E477" s="16">
        <v>45724</v>
      </c>
      <c r="F477" s="21" t="s">
        <v>131</v>
      </c>
      <c r="G477" s="51" t="s">
        <v>1000</v>
      </c>
      <c r="H477" s="57">
        <v>38713.919999999998</v>
      </c>
      <c r="I477" s="16">
        <v>45725</v>
      </c>
      <c r="J477" s="18"/>
      <c r="K477" s="17">
        <v>120</v>
      </c>
      <c r="L477" s="34">
        <v>120</v>
      </c>
      <c r="M477" s="34">
        <v>4</v>
      </c>
      <c r="N477" s="27">
        <v>45727</v>
      </c>
      <c r="O477" s="18" t="s">
        <v>21</v>
      </c>
      <c r="P477" s="18" t="s">
        <v>25</v>
      </c>
      <c r="Q477" s="17" t="s">
        <v>125</v>
      </c>
      <c r="R477" s="17" t="s">
        <v>102</v>
      </c>
      <c r="S477" s="17">
        <v>8047</v>
      </c>
      <c r="T477" s="32" t="s">
        <v>804</v>
      </c>
      <c r="U477" s="18" t="s">
        <v>19</v>
      </c>
      <c r="V477" s="17"/>
    </row>
    <row r="478" spans="1:22" x14ac:dyDescent="0.3">
      <c r="A478" s="18" t="e">
        <f t="shared" si="8"/>
        <v>#REF!</v>
      </c>
      <c r="B478" s="17">
        <v>89</v>
      </c>
      <c r="C478" s="17" t="s">
        <v>20</v>
      </c>
      <c r="D478" s="17" t="s">
        <v>1001</v>
      </c>
      <c r="E478" s="16">
        <v>45726</v>
      </c>
      <c r="F478" s="24" t="s">
        <v>121</v>
      </c>
      <c r="G478" s="51" t="s">
        <v>1002</v>
      </c>
      <c r="H478" s="57">
        <v>124816.8</v>
      </c>
      <c r="I478" s="16">
        <v>45727</v>
      </c>
      <c r="J478" s="18"/>
      <c r="K478" s="17">
        <v>80</v>
      </c>
      <c r="L478" s="34">
        <v>80</v>
      </c>
      <c r="M478" s="34">
        <v>8</v>
      </c>
      <c r="N478" s="27">
        <v>45727</v>
      </c>
      <c r="O478" s="18" t="s">
        <v>21</v>
      </c>
      <c r="P478" s="18" t="s">
        <v>25</v>
      </c>
      <c r="Q478" s="17" t="s">
        <v>125</v>
      </c>
      <c r="R478" s="17" t="s">
        <v>102</v>
      </c>
      <c r="S478" s="17">
        <v>8039</v>
      </c>
      <c r="T478" s="32" t="s">
        <v>804</v>
      </c>
      <c r="U478" s="18" t="s">
        <v>19</v>
      </c>
      <c r="V478" s="17"/>
    </row>
    <row r="479" spans="1:22" x14ac:dyDescent="0.3">
      <c r="A479" s="18" t="e">
        <f t="shared" si="8"/>
        <v>#REF!</v>
      </c>
      <c r="B479" s="17">
        <v>89</v>
      </c>
      <c r="C479" s="17" t="s">
        <v>23</v>
      </c>
      <c r="D479" s="17" t="s">
        <v>1003</v>
      </c>
      <c r="E479" s="16">
        <v>45724</v>
      </c>
      <c r="F479" s="21" t="s">
        <v>28</v>
      </c>
      <c r="G479" s="51" t="s">
        <v>1004</v>
      </c>
      <c r="H479" s="57">
        <v>110613.12</v>
      </c>
      <c r="I479" s="16">
        <v>45725</v>
      </c>
      <c r="J479" s="18"/>
      <c r="K479" s="17">
        <v>336</v>
      </c>
      <c r="L479" s="34">
        <v>336</v>
      </c>
      <c r="M479" s="34">
        <v>12</v>
      </c>
      <c r="N479" s="27">
        <v>45727</v>
      </c>
      <c r="O479" s="18" t="s">
        <v>21</v>
      </c>
      <c r="P479" s="18" t="s">
        <v>25</v>
      </c>
      <c r="Q479" s="17" t="s">
        <v>125</v>
      </c>
      <c r="R479" s="17" t="s">
        <v>102</v>
      </c>
      <c r="S479" s="17">
        <v>8048</v>
      </c>
      <c r="T479" s="32" t="s">
        <v>804</v>
      </c>
      <c r="U479" s="18" t="s">
        <v>19</v>
      </c>
      <c r="V479" s="17"/>
    </row>
    <row r="480" spans="1:22" x14ac:dyDescent="0.3">
      <c r="A480" s="18" t="e">
        <f t="shared" si="8"/>
        <v>#REF!</v>
      </c>
      <c r="B480" s="17">
        <v>89</v>
      </c>
      <c r="C480" s="17" t="s">
        <v>23</v>
      </c>
      <c r="D480" s="17" t="s">
        <v>1005</v>
      </c>
      <c r="E480" s="16">
        <v>45724</v>
      </c>
      <c r="F480" s="21" t="s">
        <v>53</v>
      </c>
      <c r="G480" s="51" t="s">
        <v>1006</v>
      </c>
      <c r="H480" s="57">
        <v>88555.68</v>
      </c>
      <c r="I480" s="16">
        <v>45724</v>
      </c>
      <c r="J480" s="18"/>
      <c r="K480" s="17">
        <v>144</v>
      </c>
      <c r="L480" s="34">
        <v>144</v>
      </c>
      <c r="M480" s="34">
        <v>6</v>
      </c>
      <c r="N480" s="27">
        <v>45727</v>
      </c>
      <c r="O480" s="18" t="s">
        <v>21</v>
      </c>
      <c r="P480" s="18" t="s">
        <v>25</v>
      </c>
      <c r="Q480" s="17" t="s">
        <v>125</v>
      </c>
      <c r="R480" s="17" t="s">
        <v>102</v>
      </c>
      <c r="S480" s="17">
        <v>8049</v>
      </c>
      <c r="T480" s="32" t="s">
        <v>804</v>
      </c>
      <c r="U480" s="18" t="s">
        <v>19</v>
      </c>
      <c r="V480" s="17"/>
    </row>
    <row r="481" spans="1:22" x14ac:dyDescent="0.3">
      <c r="A481" s="18" t="e">
        <f t="shared" si="8"/>
        <v>#REF!</v>
      </c>
      <c r="B481" s="17">
        <v>90</v>
      </c>
      <c r="C481" s="17" t="s">
        <v>20</v>
      </c>
      <c r="D481" s="17" t="s">
        <v>1007</v>
      </c>
      <c r="E481" s="16">
        <v>45726</v>
      </c>
      <c r="F481" s="21" t="s">
        <v>28</v>
      </c>
      <c r="G481" s="51" t="s">
        <v>1008</v>
      </c>
      <c r="H481" s="57">
        <v>1248168</v>
      </c>
      <c r="I481" s="16">
        <v>45727</v>
      </c>
      <c r="J481" s="18"/>
      <c r="K481" s="17">
        <v>300</v>
      </c>
      <c r="L481" s="34">
        <v>300</v>
      </c>
      <c r="M481" s="34">
        <v>30</v>
      </c>
      <c r="N481" s="27">
        <v>45733</v>
      </c>
      <c r="O481" s="18" t="s">
        <v>21</v>
      </c>
      <c r="P481" s="18" t="s">
        <v>25</v>
      </c>
      <c r="Q481" s="17" t="s">
        <v>125</v>
      </c>
      <c r="R481" s="17" t="s">
        <v>102</v>
      </c>
      <c r="S481" s="17">
        <v>8056</v>
      </c>
      <c r="T481" s="32" t="s">
        <v>804</v>
      </c>
      <c r="U481" s="18" t="s">
        <v>19</v>
      </c>
      <c r="V481" s="17"/>
    </row>
    <row r="482" spans="1:22" x14ac:dyDescent="0.3">
      <c r="A482" s="18" t="e">
        <f t="shared" si="8"/>
        <v>#REF!</v>
      </c>
      <c r="B482" s="17">
        <v>90</v>
      </c>
      <c r="C482" s="17" t="s">
        <v>20</v>
      </c>
      <c r="D482" s="17" t="s">
        <v>1009</v>
      </c>
      <c r="E482" s="16">
        <v>45726</v>
      </c>
      <c r="F482" s="21" t="s">
        <v>28</v>
      </c>
      <c r="G482" s="51" t="s">
        <v>1008</v>
      </c>
      <c r="H482" s="56" t="s">
        <v>19</v>
      </c>
      <c r="I482" s="16">
        <v>45727</v>
      </c>
      <c r="J482" s="18"/>
      <c r="K482" s="17">
        <v>500</v>
      </c>
      <c r="L482" s="34">
        <v>500</v>
      </c>
      <c r="M482" s="34">
        <v>50</v>
      </c>
      <c r="N482" s="27">
        <v>45733</v>
      </c>
      <c r="O482" s="18" t="s">
        <v>21</v>
      </c>
      <c r="P482" s="18" t="s">
        <v>25</v>
      </c>
      <c r="Q482" s="17" t="s">
        <v>125</v>
      </c>
      <c r="R482" s="17" t="s">
        <v>102</v>
      </c>
      <c r="S482" s="17">
        <v>8056</v>
      </c>
      <c r="T482" s="32" t="s">
        <v>804</v>
      </c>
      <c r="U482" s="18" t="s">
        <v>19</v>
      </c>
      <c r="V482" s="17"/>
    </row>
    <row r="483" spans="1:22" x14ac:dyDescent="0.3">
      <c r="A483" s="18" t="e">
        <f t="shared" si="8"/>
        <v>#REF!</v>
      </c>
      <c r="B483" s="17">
        <v>90</v>
      </c>
      <c r="C483" s="17" t="s">
        <v>20</v>
      </c>
      <c r="D483" s="17" t="s">
        <v>1010</v>
      </c>
      <c r="E483" s="16">
        <v>45727</v>
      </c>
      <c r="F483" s="21" t="s">
        <v>43</v>
      </c>
      <c r="G483" s="51" t="s">
        <v>1011</v>
      </c>
      <c r="H483" s="57">
        <v>86057.2</v>
      </c>
      <c r="I483" s="16">
        <v>45728</v>
      </c>
      <c r="J483" s="18"/>
      <c r="K483" s="17">
        <v>60</v>
      </c>
      <c r="L483" s="34">
        <v>60</v>
      </c>
      <c r="M483" s="34">
        <v>6</v>
      </c>
      <c r="N483" s="27">
        <v>45733</v>
      </c>
      <c r="O483" s="18" t="s">
        <v>21</v>
      </c>
      <c r="P483" s="18" t="s">
        <v>25</v>
      </c>
      <c r="Q483" s="17" t="s">
        <v>125</v>
      </c>
      <c r="R483" s="17" t="s">
        <v>102</v>
      </c>
      <c r="S483" s="17">
        <v>8057</v>
      </c>
      <c r="T483" s="32" t="s">
        <v>804</v>
      </c>
      <c r="U483" s="18" t="s">
        <v>19</v>
      </c>
      <c r="V483" s="17"/>
    </row>
    <row r="484" spans="1:22" x14ac:dyDescent="0.3">
      <c r="A484" s="18" t="e">
        <f t="shared" si="8"/>
        <v>#REF!</v>
      </c>
      <c r="B484" s="17">
        <v>90</v>
      </c>
      <c r="C484" s="17" t="s">
        <v>20</v>
      </c>
      <c r="D484" s="17" t="s">
        <v>1012</v>
      </c>
      <c r="E484" s="16">
        <v>45727</v>
      </c>
      <c r="F484" s="21" t="s">
        <v>58</v>
      </c>
      <c r="G484" s="51" t="s">
        <v>1013</v>
      </c>
      <c r="H484" s="57">
        <v>174249.86</v>
      </c>
      <c r="I484" s="16">
        <v>45728</v>
      </c>
      <c r="J484" s="18"/>
      <c r="K484" s="17">
        <v>120</v>
      </c>
      <c r="L484" s="34">
        <v>120</v>
      </c>
      <c r="M484" s="34">
        <v>12</v>
      </c>
      <c r="N484" s="27">
        <v>45733</v>
      </c>
      <c r="O484" s="18" t="s">
        <v>21</v>
      </c>
      <c r="P484" s="18" t="s">
        <v>25</v>
      </c>
      <c r="Q484" s="17" t="s">
        <v>125</v>
      </c>
      <c r="R484" s="17" t="s">
        <v>102</v>
      </c>
      <c r="S484" s="17">
        <v>8058</v>
      </c>
      <c r="T484" s="32" t="s">
        <v>804</v>
      </c>
      <c r="U484" s="18" t="s">
        <v>19</v>
      </c>
      <c r="V484" s="17"/>
    </row>
    <row r="485" spans="1:22" x14ac:dyDescent="0.3">
      <c r="A485" s="18" t="e">
        <f t="shared" si="8"/>
        <v>#REF!</v>
      </c>
      <c r="B485" s="17">
        <v>90</v>
      </c>
      <c r="C485" s="17" t="s">
        <v>23</v>
      </c>
      <c r="D485" s="17" t="s">
        <v>1014</v>
      </c>
      <c r="E485" s="16">
        <v>45726</v>
      </c>
      <c r="F485" s="24" t="s">
        <v>51</v>
      </c>
      <c r="G485" s="51" t="s">
        <v>1024</v>
      </c>
      <c r="H485" s="57">
        <v>113064.48</v>
      </c>
      <c r="I485" s="16">
        <v>45733</v>
      </c>
      <c r="J485" s="18"/>
      <c r="K485" s="17">
        <v>16</v>
      </c>
      <c r="L485" s="34">
        <v>360</v>
      </c>
      <c r="M485" s="34">
        <v>15</v>
      </c>
      <c r="N485" s="27">
        <v>45733</v>
      </c>
      <c r="O485" s="18" t="s">
        <v>21</v>
      </c>
      <c r="P485" s="18" t="s">
        <v>25</v>
      </c>
      <c r="Q485" s="17" t="s">
        <v>125</v>
      </c>
      <c r="R485" s="17" t="s">
        <v>102</v>
      </c>
      <c r="S485" s="17">
        <v>8061</v>
      </c>
      <c r="T485" s="32" t="s">
        <v>804</v>
      </c>
      <c r="U485" s="18" t="s">
        <v>1025</v>
      </c>
      <c r="V485" s="17"/>
    </row>
    <row r="486" spans="1:22" x14ac:dyDescent="0.3">
      <c r="A486" s="18" t="e">
        <f t="shared" si="8"/>
        <v>#REF!</v>
      </c>
      <c r="B486" s="17">
        <v>90</v>
      </c>
      <c r="C486" s="17" t="s">
        <v>23</v>
      </c>
      <c r="D486" s="17" t="s">
        <v>1015</v>
      </c>
      <c r="E486" s="16">
        <v>45727</v>
      </c>
      <c r="F486" s="21" t="s">
        <v>128</v>
      </c>
      <c r="G486" s="51" t="s">
        <v>1016</v>
      </c>
      <c r="H486" s="57">
        <v>42400.32</v>
      </c>
      <c r="I486" s="16">
        <v>45728</v>
      </c>
      <c r="J486" s="18"/>
      <c r="K486" s="17">
        <v>5</v>
      </c>
      <c r="L486" s="34">
        <v>132</v>
      </c>
      <c r="M486" s="34">
        <v>5</v>
      </c>
      <c r="N486" s="27">
        <v>45733</v>
      </c>
      <c r="O486" s="18" t="s">
        <v>21</v>
      </c>
      <c r="P486" s="18" t="s">
        <v>25</v>
      </c>
      <c r="Q486" s="17" t="s">
        <v>125</v>
      </c>
      <c r="R486" s="17" t="s">
        <v>102</v>
      </c>
      <c r="S486" s="17">
        <v>8062</v>
      </c>
      <c r="T486" s="32" t="s">
        <v>804</v>
      </c>
      <c r="U486" s="18" t="s">
        <v>19</v>
      </c>
      <c r="V486" s="17"/>
    </row>
    <row r="487" spans="1:22" x14ac:dyDescent="0.3">
      <c r="A487" s="18" t="e">
        <f t="shared" si="8"/>
        <v>#REF!</v>
      </c>
      <c r="B487" s="17">
        <v>90</v>
      </c>
      <c r="C487" s="17" t="s">
        <v>23</v>
      </c>
      <c r="D487" s="17" t="s">
        <v>1017</v>
      </c>
      <c r="E487" s="16">
        <v>45728</v>
      </c>
      <c r="F487" s="21" t="s">
        <v>84</v>
      </c>
      <c r="G487" s="51" t="s">
        <v>1023</v>
      </c>
      <c r="H487" s="57">
        <v>230498.16</v>
      </c>
      <c r="I487" s="16">
        <v>45729</v>
      </c>
      <c r="J487" s="18"/>
      <c r="K487" s="17">
        <v>25</v>
      </c>
      <c r="L487" s="34">
        <v>600</v>
      </c>
      <c r="M487" s="34">
        <v>25</v>
      </c>
      <c r="N487" s="27">
        <v>45733</v>
      </c>
      <c r="O487" s="18" t="s">
        <v>21</v>
      </c>
      <c r="P487" s="18" t="s">
        <v>25</v>
      </c>
      <c r="Q487" s="17" t="s">
        <v>125</v>
      </c>
      <c r="R487" s="17" t="s">
        <v>102</v>
      </c>
      <c r="S487" s="17">
        <v>8060</v>
      </c>
      <c r="T487" s="32" t="s">
        <v>804</v>
      </c>
      <c r="U487" s="18" t="s">
        <v>19</v>
      </c>
      <c r="V487" s="17"/>
    </row>
    <row r="488" spans="1:22" x14ac:dyDescent="0.3">
      <c r="A488" s="18" t="e">
        <f t="shared" si="8"/>
        <v>#REF!</v>
      </c>
      <c r="B488" s="17">
        <v>90</v>
      </c>
      <c r="C488" s="17" t="s">
        <v>23</v>
      </c>
      <c r="D488" s="17" t="s">
        <v>1020</v>
      </c>
      <c r="E488" s="16">
        <v>45733</v>
      </c>
      <c r="F488" s="21" t="s">
        <v>35</v>
      </c>
      <c r="G488" s="51" t="s">
        <v>1022</v>
      </c>
      <c r="H488" s="57">
        <v>194707.44</v>
      </c>
      <c r="I488" s="16">
        <v>45733</v>
      </c>
      <c r="J488" s="18"/>
      <c r="K488" s="17">
        <v>19</v>
      </c>
      <c r="L488" s="34">
        <v>468</v>
      </c>
      <c r="M488" s="34">
        <v>19</v>
      </c>
      <c r="N488" s="27">
        <v>45733</v>
      </c>
      <c r="O488" s="18" t="s">
        <v>21</v>
      </c>
      <c r="P488" s="18" t="s">
        <v>25</v>
      </c>
      <c r="Q488" s="17" t="s">
        <v>125</v>
      </c>
      <c r="R488" s="17" t="s">
        <v>102</v>
      </c>
      <c r="S488" s="17">
        <v>8059</v>
      </c>
      <c r="T488" s="32" t="s">
        <v>804</v>
      </c>
      <c r="U488" s="18" t="s">
        <v>19</v>
      </c>
      <c r="V488" s="17"/>
    </row>
    <row r="489" spans="1:22" x14ac:dyDescent="0.3">
      <c r="A489" s="18" t="e">
        <f t="shared" si="8"/>
        <v>#REF!</v>
      </c>
      <c r="B489" s="17">
        <v>90</v>
      </c>
      <c r="C489" s="17" t="s">
        <v>23</v>
      </c>
      <c r="D489" s="17" t="s">
        <v>1021</v>
      </c>
      <c r="E489" s="16">
        <v>45733</v>
      </c>
      <c r="F489" s="21" t="s">
        <v>35</v>
      </c>
      <c r="G489" s="51" t="s">
        <v>1022</v>
      </c>
      <c r="H489" s="56" t="s">
        <v>19</v>
      </c>
      <c r="I489" s="16">
        <v>45733</v>
      </c>
      <c r="J489" s="18"/>
      <c r="K489" s="17">
        <v>3</v>
      </c>
      <c r="L489" s="34">
        <v>72</v>
      </c>
      <c r="M489" s="34">
        <v>3</v>
      </c>
      <c r="N489" s="27">
        <v>45733</v>
      </c>
      <c r="O489" s="18" t="s">
        <v>21</v>
      </c>
      <c r="P489" s="18" t="s">
        <v>25</v>
      </c>
      <c r="Q489" s="17" t="s">
        <v>125</v>
      </c>
      <c r="R489" s="17" t="s">
        <v>102</v>
      </c>
      <c r="S489" s="17">
        <v>8059</v>
      </c>
      <c r="T489" s="32" t="s">
        <v>804</v>
      </c>
      <c r="U489" s="18" t="s">
        <v>19</v>
      </c>
      <c r="V489" s="17"/>
    </row>
    <row r="490" spans="1:22" x14ac:dyDescent="0.3">
      <c r="A490" s="18" t="e">
        <f t="shared" si="8"/>
        <v>#REF!</v>
      </c>
      <c r="B490" s="17">
        <v>91</v>
      </c>
      <c r="C490" s="17" t="s">
        <v>23</v>
      </c>
      <c r="D490" s="17" t="s">
        <v>657</v>
      </c>
      <c r="E490" s="16">
        <v>45741</v>
      </c>
      <c r="F490" s="23" t="s">
        <v>68</v>
      </c>
      <c r="G490" s="51" t="s">
        <v>1026</v>
      </c>
      <c r="H490" s="57">
        <v>74399.520000000004</v>
      </c>
      <c r="I490" s="16">
        <v>45741</v>
      </c>
      <c r="J490" s="18"/>
      <c r="K490" s="17">
        <v>6</v>
      </c>
      <c r="L490" s="34">
        <v>144</v>
      </c>
      <c r="M490" s="34">
        <v>6</v>
      </c>
      <c r="N490" s="22">
        <v>45741</v>
      </c>
      <c r="O490" s="18" t="s">
        <v>21</v>
      </c>
      <c r="P490" s="18" t="s">
        <v>25</v>
      </c>
      <c r="Q490" s="17" t="s">
        <v>125</v>
      </c>
      <c r="R490" s="17" t="s">
        <v>102</v>
      </c>
      <c r="S490" s="17">
        <v>9039</v>
      </c>
      <c r="T490" s="32" t="s">
        <v>804</v>
      </c>
      <c r="U490" s="18" t="s">
        <v>19</v>
      </c>
      <c r="V490" s="17"/>
    </row>
    <row r="491" spans="1:22" x14ac:dyDescent="0.3">
      <c r="A491" s="18" t="e">
        <f t="shared" si="8"/>
        <v>#REF!</v>
      </c>
      <c r="B491" s="17">
        <v>91</v>
      </c>
      <c r="C491" s="17" t="s">
        <v>23</v>
      </c>
      <c r="D491" s="17" t="s">
        <v>630</v>
      </c>
      <c r="E491" s="16">
        <v>45701</v>
      </c>
      <c r="F491" s="21" t="s">
        <v>35</v>
      </c>
      <c r="G491" s="51" t="s">
        <v>1027</v>
      </c>
      <c r="H491" s="57">
        <v>26920.799999999999</v>
      </c>
      <c r="I491" s="16">
        <v>45741</v>
      </c>
      <c r="J491" s="18"/>
      <c r="K491" s="17">
        <v>3</v>
      </c>
      <c r="L491" s="34">
        <v>72</v>
      </c>
      <c r="M491" s="34">
        <v>3</v>
      </c>
      <c r="N491" s="22">
        <v>45741</v>
      </c>
      <c r="O491" s="18" t="s">
        <v>21</v>
      </c>
      <c r="P491" s="18" t="s">
        <v>25</v>
      </c>
      <c r="Q491" s="17" t="s">
        <v>125</v>
      </c>
      <c r="R491" s="17" t="s">
        <v>102</v>
      </c>
      <c r="S491" s="17">
        <v>9038</v>
      </c>
      <c r="T491" s="32" t="s">
        <v>804</v>
      </c>
      <c r="U491" s="18" t="s">
        <v>19</v>
      </c>
      <c r="V491" s="17"/>
    </row>
    <row r="492" spans="1:22" x14ac:dyDescent="0.3">
      <c r="A492" s="18" t="e">
        <f t="shared" si="8"/>
        <v>#REF!</v>
      </c>
      <c r="B492" s="17">
        <v>91</v>
      </c>
      <c r="C492" s="17" t="s">
        <v>23</v>
      </c>
      <c r="D492" s="17" t="s">
        <v>1028</v>
      </c>
      <c r="E492" s="16">
        <v>45716</v>
      </c>
      <c r="F492" s="21" t="s">
        <v>64</v>
      </c>
      <c r="G492" s="51" t="s">
        <v>1029</v>
      </c>
      <c r="H492" s="57">
        <v>22120.560000000001</v>
      </c>
      <c r="I492" s="16">
        <v>45741</v>
      </c>
      <c r="J492" s="18"/>
      <c r="K492" s="17">
        <v>3</v>
      </c>
      <c r="L492" s="34">
        <v>72</v>
      </c>
      <c r="M492" s="34">
        <v>3</v>
      </c>
      <c r="N492" s="22">
        <v>45741</v>
      </c>
      <c r="O492" s="18" t="s">
        <v>21</v>
      </c>
      <c r="P492" s="18" t="s">
        <v>25</v>
      </c>
      <c r="Q492" s="17" t="s">
        <v>125</v>
      </c>
      <c r="R492" s="17" t="s">
        <v>102</v>
      </c>
      <c r="S492" s="17">
        <v>9037</v>
      </c>
      <c r="T492" s="32" t="s">
        <v>804</v>
      </c>
      <c r="U492" s="18" t="s">
        <v>19</v>
      </c>
      <c r="V492" s="17"/>
    </row>
    <row r="493" spans="1:22" x14ac:dyDescent="0.3">
      <c r="A493" s="18" t="e">
        <f t="shared" si="8"/>
        <v>#REF!</v>
      </c>
      <c r="B493" s="17">
        <v>91</v>
      </c>
      <c r="C493" s="17" t="s">
        <v>23</v>
      </c>
      <c r="D493" s="17" t="s">
        <v>666</v>
      </c>
      <c r="E493" s="16">
        <v>45706</v>
      </c>
      <c r="F493" s="21" t="s">
        <v>35</v>
      </c>
      <c r="G493" s="51" t="s">
        <v>1030</v>
      </c>
      <c r="H493" s="57">
        <v>8973.6</v>
      </c>
      <c r="I493" s="16">
        <v>45741</v>
      </c>
      <c r="J493" s="18"/>
      <c r="K493" s="17">
        <v>1</v>
      </c>
      <c r="L493" s="34">
        <v>24</v>
      </c>
      <c r="M493" s="34">
        <v>1</v>
      </c>
      <c r="N493" s="22">
        <v>45741</v>
      </c>
      <c r="O493" s="18" t="s">
        <v>21</v>
      </c>
      <c r="P493" s="18" t="s">
        <v>25</v>
      </c>
      <c r="Q493" s="17" t="s">
        <v>125</v>
      </c>
      <c r="R493" s="17" t="s">
        <v>102</v>
      </c>
      <c r="S493" s="17">
        <v>9041</v>
      </c>
      <c r="T493" s="32" t="s">
        <v>804</v>
      </c>
      <c r="U493" s="18" t="s">
        <v>19</v>
      </c>
      <c r="V493" s="17"/>
    </row>
    <row r="494" spans="1:22" x14ac:dyDescent="0.3">
      <c r="A494" s="18" t="e">
        <f t="shared" si="8"/>
        <v>#REF!</v>
      </c>
      <c r="B494" s="17">
        <v>91</v>
      </c>
      <c r="C494" s="17" t="s">
        <v>23</v>
      </c>
      <c r="D494" s="17" t="s">
        <v>676</v>
      </c>
      <c r="E494" s="16">
        <v>45706</v>
      </c>
      <c r="F494" s="21" t="s">
        <v>24</v>
      </c>
      <c r="G494" s="51" t="s">
        <v>1031</v>
      </c>
      <c r="H494" s="57">
        <v>3686.76</v>
      </c>
      <c r="I494" s="16">
        <v>45741</v>
      </c>
      <c r="J494" s="18"/>
      <c r="K494" s="17">
        <v>1</v>
      </c>
      <c r="L494" s="34">
        <v>12</v>
      </c>
      <c r="M494" s="34">
        <v>1</v>
      </c>
      <c r="N494" s="22">
        <v>45741</v>
      </c>
      <c r="O494" s="18" t="s">
        <v>21</v>
      </c>
      <c r="P494" s="18" t="s">
        <v>25</v>
      </c>
      <c r="Q494" s="17" t="s">
        <v>125</v>
      </c>
      <c r="R494" s="17" t="s">
        <v>102</v>
      </c>
      <c r="S494" s="17">
        <v>9040</v>
      </c>
      <c r="T494" s="32" t="s">
        <v>804</v>
      </c>
      <c r="U494" s="18" t="s">
        <v>19</v>
      </c>
      <c r="V494" s="17"/>
    </row>
    <row r="495" spans="1:22" x14ac:dyDescent="0.3">
      <c r="A495" s="18" t="e">
        <f t="shared" si="8"/>
        <v>#REF!</v>
      </c>
      <c r="B495" s="17">
        <v>91</v>
      </c>
      <c r="C495" s="17" t="s">
        <v>23</v>
      </c>
      <c r="D495" s="17" t="s">
        <v>1032</v>
      </c>
      <c r="E495" s="16">
        <v>45716</v>
      </c>
      <c r="F495" s="24" t="s">
        <v>51</v>
      </c>
      <c r="G495" s="51" t="s">
        <v>1033</v>
      </c>
      <c r="H495" s="57">
        <v>7373.52</v>
      </c>
      <c r="I495" s="16">
        <v>45741</v>
      </c>
      <c r="J495" s="18"/>
      <c r="K495" s="17">
        <v>1</v>
      </c>
      <c r="L495" s="34">
        <v>24</v>
      </c>
      <c r="M495" s="34">
        <v>1</v>
      </c>
      <c r="N495" s="22">
        <v>45741</v>
      </c>
      <c r="O495" s="18" t="s">
        <v>21</v>
      </c>
      <c r="P495" s="18" t="s">
        <v>25</v>
      </c>
      <c r="Q495" s="17" t="s">
        <v>125</v>
      </c>
      <c r="R495" s="17" t="s">
        <v>102</v>
      </c>
      <c r="S495" s="17">
        <v>9042</v>
      </c>
      <c r="T495" s="32" t="s">
        <v>804</v>
      </c>
      <c r="U495" s="18" t="s">
        <v>19</v>
      </c>
      <c r="V495" s="17"/>
    </row>
    <row r="496" spans="1:22" x14ac:dyDescent="0.3">
      <c r="A496" s="18" t="e">
        <f t="shared" si="8"/>
        <v>#REF!</v>
      </c>
      <c r="B496" s="17">
        <v>91</v>
      </c>
      <c r="C496" s="17" t="s">
        <v>23</v>
      </c>
      <c r="D496" s="17" t="s">
        <v>870</v>
      </c>
      <c r="E496" s="16">
        <v>45715</v>
      </c>
      <c r="F496" s="23" t="s">
        <v>68</v>
      </c>
      <c r="G496" s="51" t="s">
        <v>1034</v>
      </c>
      <c r="H496" s="57">
        <v>21270.959999999999</v>
      </c>
      <c r="I496" s="16">
        <v>45741</v>
      </c>
      <c r="J496" s="18"/>
      <c r="K496" s="17">
        <v>2</v>
      </c>
      <c r="L496" s="34">
        <v>48</v>
      </c>
      <c r="M496" s="34">
        <v>2</v>
      </c>
      <c r="N496" s="22">
        <v>45741</v>
      </c>
      <c r="O496" s="18" t="s">
        <v>21</v>
      </c>
      <c r="P496" s="18" t="s">
        <v>25</v>
      </c>
      <c r="Q496" s="17" t="s">
        <v>125</v>
      </c>
      <c r="R496" s="17" t="s">
        <v>102</v>
      </c>
      <c r="S496" s="17">
        <v>9044</v>
      </c>
      <c r="T496" s="32" t="s">
        <v>804</v>
      </c>
      <c r="U496" s="18" t="s">
        <v>19</v>
      </c>
      <c r="V496" s="17"/>
    </row>
    <row r="497" spans="1:22" x14ac:dyDescent="0.3">
      <c r="A497" s="18" t="e">
        <f t="shared" si="8"/>
        <v>#REF!</v>
      </c>
      <c r="B497" s="17">
        <v>91</v>
      </c>
      <c r="C497" s="17" t="s">
        <v>23</v>
      </c>
      <c r="D497" s="17" t="s">
        <v>742</v>
      </c>
      <c r="E497" s="16">
        <v>45709</v>
      </c>
      <c r="F497" s="21" t="s">
        <v>129</v>
      </c>
      <c r="G497" s="51" t="s">
        <v>1035</v>
      </c>
      <c r="H497" s="57">
        <v>8032.32</v>
      </c>
      <c r="I497" s="16">
        <v>45741</v>
      </c>
      <c r="J497" s="18"/>
      <c r="K497" s="17">
        <v>1</v>
      </c>
      <c r="L497" s="34">
        <v>24</v>
      </c>
      <c r="M497" s="34">
        <v>1</v>
      </c>
      <c r="N497" s="22">
        <v>45741</v>
      </c>
      <c r="O497" s="18" t="s">
        <v>21</v>
      </c>
      <c r="P497" s="18" t="s">
        <v>25</v>
      </c>
      <c r="Q497" s="17" t="s">
        <v>125</v>
      </c>
      <c r="R497" s="17" t="s">
        <v>102</v>
      </c>
      <c r="S497" s="17">
        <v>9043</v>
      </c>
      <c r="T497" s="32" t="s">
        <v>804</v>
      </c>
      <c r="U497" s="18" t="s">
        <v>19</v>
      </c>
      <c r="V497" s="17"/>
    </row>
    <row r="498" spans="1:22" x14ac:dyDescent="0.3">
      <c r="A498" s="18" t="e">
        <f t="shared" si="8"/>
        <v>#REF!</v>
      </c>
      <c r="B498" s="17">
        <v>91</v>
      </c>
      <c r="C498" s="17" t="s">
        <v>23</v>
      </c>
      <c r="D498" s="17" t="s">
        <v>1036</v>
      </c>
      <c r="E498" s="16">
        <v>45740</v>
      </c>
      <c r="F498" s="21" t="s">
        <v>129</v>
      </c>
      <c r="G498" s="51" t="s">
        <v>1037</v>
      </c>
      <c r="H498" s="57">
        <v>582752.16</v>
      </c>
      <c r="I498" s="16">
        <v>45741</v>
      </c>
      <c r="J498" s="18"/>
      <c r="K498" s="17">
        <v>68</v>
      </c>
      <c r="L498" s="34">
        <v>1632</v>
      </c>
      <c r="M498" s="34">
        <v>65</v>
      </c>
      <c r="N498" s="22">
        <v>45741</v>
      </c>
      <c r="O498" s="18" t="s">
        <v>21</v>
      </c>
      <c r="P498" s="18" t="s">
        <v>25</v>
      </c>
      <c r="Q498" s="17" t="s">
        <v>125</v>
      </c>
      <c r="R498" s="17" t="s">
        <v>102</v>
      </c>
      <c r="S498" s="17">
        <v>9051</v>
      </c>
      <c r="T498" s="32" t="s">
        <v>804</v>
      </c>
      <c r="U498" s="18" t="s">
        <v>19</v>
      </c>
      <c r="V498" s="17"/>
    </row>
    <row r="499" spans="1:22" x14ac:dyDescent="0.3">
      <c r="A499" s="18" t="e">
        <f t="shared" si="8"/>
        <v>#REF!</v>
      </c>
      <c r="B499" s="17">
        <v>91</v>
      </c>
      <c r="C499" s="17" t="s">
        <v>23</v>
      </c>
      <c r="D499" s="17" t="s">
        <v>1038</v>
      </c>
      <c r="E499" s="16">
        <v>45738</v>
      </c>
      <c r="F499" s="23" t="s">
        <v>68</v>
      </c>
      <c r="G499" s="51" t="s">
        <v>1039</v>
      </c>
      <c r="H499" s="57">
        <v>123539.52</v>
      </c>
      <c r="I499" s="16">
        <v>45741</v>
      </c>
      <c r="J499" s="18"/>
      <c r="K499" s="17">
        <v>14</v>
      </c>
      <c r="L499" s="34">
        <v>336</v>
      </c>
      <c r="M499" s="34">
        <v>14</v>
      </c>
      <c r="N499" s="22">
        <v>45741</v>
      </c>
      <c r="O499" s="18" t="s">
        <v>21</v>
      </c>
      <c r="P499" s="18" t="s">
        <v>25</v>
      </c>
      <c r="Q499" s="17" t="s">
        <v>125</v>
      </c>
      <c r="R499" s="17" t="s">
        <v>102</v>
      </c>
      <c r="S499" s="17">
        <v>9050</v>
      </c>
      <c r="T499" s="32" t="s">
        <v>804</v>
      </c>
      <c r="U499" s="18" t="s">
        <v>19</v>
      </c>
      <c r="V499" s="17"/>
    </row>
    <row r="500" spans="1:22" x14ac:dyDescent="0.3">
      <c r="A500" s="18" t="e">
        <f t="shared" si="8"/>
        <v>#REF!</v>
      </c>
      <c r="B500" s="17">
        <v>91</v>
      </c>
      <c r="C500" s="17" t="s">
        <v>23</v>
      </c>
      <c r="D500" s="17" t="s">
        <v>1040</v>
      </c>
      <c r="E500" s="16">
        <v>45738</v>
      </c>
      <c r="F500" s="21" t="s">
        <v>130</v>
      </c>
      <c r="G500" s="51" t="s">
        <v>1041</v>
      </c>
      <c r="H500" s="57">
        <v>124142.39999999999</v>
      </c>
      <c r="I500" s="16">
        <v>45741</v>
      </c>
      <c r="J500" s="18"/>
      <c r="K500" s="17">
        <v>18</v>
      </c>
      <c r="L500" s="34">
        <v>360</v>
      </c>
      <c r="M500" s="34">
        <v>18</v>
      </c>
      <c r="N500" s="22">
        <v>45741</v>
      </c>
      <c r="O500" s="18" t="s">
        <v>21</v>
      </c>
      <c r="P500" s="18" t="s">
        <v>25</v>
      </c>
      <c r="Q500" s="17" t="s">
        <v>125</v>
      </c>
      <c r="R500" s="17" t="s">
        <v>102</v>
      </c>
      <c r="S500" s="17">
        <v>9048</v>
      </c>
      <c r="T500" s="32" t="s">
        <v>804</v>
      </c>
      <c r="U500" s="18" t="s">
        <v>19</v>
      </c>
      <c r="V500" s="17"/>
    </row>
    <row r="501" spans="1:22" x14ac:dyDescent="0.3">
      <c r="A501" s="18" t="e">
        <f t="shared" si="8"/>
        <v>#REF!</v>
      </c>
      <c r="B501" s="17">
        <v>91</v>
      </c>
      <c r="C501" s="17" t="s">
        <v>23</v>
      </c>
      <c r="D501" s="17" t="s">
        <v>1042</v>
      </c>
      <c r="E501" s="16">
        <v>45734</v>
      </c>
      <c r="F501" s="21" t="s">
        <v>113</v>
      </c>
      <c r="G501" s="51" t="s">
        <v>1043</v>
      </c>
      <c r="H501" s="57">
        <v>84813.119999999995</v>
      </c>
      <c r="I501" s="16">
        <v>45741</v>
      </c>
      <c r="J501" s="18"/>
      <c r="K501" s="17">
        <v>10</v>
      </c>
      <c r="L501" s="34">
        <v>240</v>
      </c>
      <c r="M501" s="34">
        <v>10</v>
      </c>
      <c r="N501" s="22">
        <v>45741</v>
      </c>
      <c r="O501" s="18" t="s">
        <v>21</v>
      </c>
      <c r="P501" s="18" t="s">
        <v>25</v>
      </c>
      <c r="Q501" s="17" t="s">
        <v>125</v>
      </c>
      <c r="R501" s="17" t="s">
        <v>102</v>
      </c>
      <c r="S501" s="17">
        <v>9046</v>
      </c>
      <c r="T501" s="32" t="s">
        <v>804</v>
      </c>
      <c r="U501" s="18" t="s">
        <v>19</v>
      </c>
      <c r="V501" s="17"/>
    </row>
    <row r="502" spans="1:22" x14ac:dyDescent="0.3">
      <c r="A502" s="18" t="e">
        <f t="shared" si="8"/>
        <v>#REF!</v>
      </c>
      <c r="B502" s="17">
        <v>91</v>
      </c>
      <c r="C502" s="17" t="s">
        <v>23</v>
      </c>
      <c r="D502" s="17" t="s">
        <v>1044</v>
      </c>
      <c r="E502" s="16">
        <v>45734</v>
      </c>
      <c r="F502" s="21" t="s">
        <v>35</v>
      </c>
      <c r="G502" s="51" t="s">
        <v>1045</v>
      </c>
      <c r="H502" s="57">
        <v>203847.84</v>
      </c>
      <c r="I502" s="16">
        <v>45741</v>
      </c>
      <c r="J502" s="18"/>
      <c r="K502" s="17">
        <v>26</v>
      </c>
      <c r="L502" s="34">
        <v>552</v>
      </c>
      <c r="M502" s="34">
        <v>23</v>
      </c>
      <c r="N502" s="22">
        <v>45741</v>
      </c>
      <c r="O502" s="18" t="s">
        <v>21</v>
      </c>
      <c r="P502" s="18" t="s">
        <v>25</v>
      </c>
      <c r="Q502" s="17" t="s">
        <v>125</v>
      </c>
      <c r="R502" s="17" t="s">
        <v>102</v>
      </c>
      <c r="S502" s="17">
        <v>9047</v>
      </c>
      <c r="T502" s="32" t="s">
        <v>804</v>
      </c>
      <c r="U502" s="18" t="s">
        <v>19</v>
      </c>
      <c r="V502" s="17"/>
    </row>
    <row r="503" spans="1:22" x14ac:dyDescent="0.3">
      <c r="A503" s="18" t="e">
        <f t="shared" ref="A503:A566" si="9">A502+1</f>
        <v>#REF!</v>
      </c>
      <c r="B503" s="17">
        <v>91</v>
      </c>
      <c r="C503" s="17" t="s">
        <v>23</v>
      </c>
      <c r="D503" s="17" t="s">
        <v>894</v>
      </c>
      <c r="E503" s="16">
        <v>45716</v>
      </c>
      <c r="F503" s="21" t="s">
        <v>28</v>
      </c>
      <c r="G503" s="51" t="s">
        <v>1046</v>
      </c>
      <c r="H503" s="57">
        <v>35033.040000000001</v>
      </c>
      <c r="I503" s="16">
        <v>45741</v>
      </c>
      <c r="J503" s="18"/>
      <c r="K503" s="17">
        <v>3</v>
      </c>
      <c r="L503" s="34">
        <v>96</v>
      </c>
      <c r="M503" s="34">
        <v>3</v>
      </c>
      <c r="N503" s="22">
        <v>45741</v>
      </c>
      <c r="O503" s="18" t="s">
        <v>21</v>
      </c>
      <c r="P503" s="18" t="s">
        <v>25</v>
      </c>
      <c r="Q503" s="17" t="s">
        <v>125</v>
      </c>
      <c r="R503" s="17" t="s">
        <v>102</v>
      </c>
      <c r="S503" s="17">
        <v>9045</v>
      </c>
      <c r="T503" s="32" t="s">
        <v>804</v>
      </c>
      <c r="U503" s="18" t="s">
        <v>19</v>
      </c>
      <c r="V503" s="17"/>
    </row>
    <row r="504" spans="1:22" x14ac:dyDescent="0.3">
      <c r="A504" s="18" t="e">
        <f t="shared" si="9"/>
        <v>#REF!</v>
      </c>
      <c r="B504" s="17">
        <v>92</v>
      </c>
      <c r="C504" s="17" t="s">
        <v>23</v>
      </c>
      <c r="D504" s="17" t="s">
        <v>1047</v>
      </c>
      <c r="E504" s="16">
        <v>45740</v>
      </c>
      <c r="F504" s="21" t="s">
        <v>28</v>
      </c>
      <c r="G504" s="51" t="s">
        <v>1048</v>
      </c>
      <c r="H504" s="57">
        <v>739476.72</v>
      </c>
      <c r="I504" s="16">
        <v>45741</v>
      </c>
      <c r="J504" s="18"/>
      <c r="K504" s="17">
        <v>82</v>
      </c>
      <c r="L504" s="34">
        <v>1896</v>
      </c>
      <c r="M504" s="34">
        <v>79</v>
      </c>
      <c r="N504" s="22">
        <v>45741</v>
      </c>
      <c r="O504" s="18" t="s">
        <v>1049</v>
      </c>
      <c r="P504" s="18" t="s">
        <v>25</v>
      </c>
      <c r="Q504" s="17" t="s">
        <v>1050</v>
      </c>
      <c r="R504" s="17" t="s">
        <v>102</v>
      </c>
      <c r="S504" s="17">
        <v>9049</v>
      </c>
      <c r="T504" s="32" t="s">
        <v>804</v>
      </c>
      <c r="U504" s="18" t="s">
        <v>19</v>
      </c>
      <c r="V504" s="17"/>
    </row>
    <row r="505" spans="1:22" x14ac:dyDescent="0.3">
      <c r="A505" s="18" t="e">
        <f t="shared" si="9"/>
        <v>#REF!</v>
      </c>
      <c r="B505" s="17">
        <v>93</v>
      </c>
      <c r="C505" s="17" t="s">
        <v>23</v>
      </c>
      <c r="D505" s="17" t="s">
        <v>868</v>
      </c>
      <c r="E505" s="16">
        <v>45740</v>
      </c>
      <c r="F505" s="21" t="s">
        <v>64</v>
      </c>
      <c r="G505" s="51" t="s">
        <v>1052</v>
      </c>
      <c r="H505" s="56">
        <v>39244</v>
      </c>
      <c r="I505" s="16">
        <v>45742</v>
      </c>
      <c r="J505" s="18"/>
      <c r="K505" s="17">
        <v>4</v>
      </c>
      <c r="L505" s="34">
        <v>84</v>
      </c>
      <c r="M505" s="34">
        <v>4</v>
      </c>
      <c r="N505" s="22">
        <v>45743</v>
      </c>
      <c r="O505" s="18" t="s">
        <v>21</v>
      </c>
      <c r="P505" s="18" t="s">
        <v>25</v>
      </c>
      <c r="Q505" s="17" t="s">
        <v>140</v>
      </c>
      <c r="R505" s="17" t="s">
        <v>102</v>
      </c>
      <c r="S505" s="17">
        <v>9052</v>
      </c>
      <c r="T505" s="32" t="s">
        <v>804</v>
      </c>
      <c r="U505" s="18" t="s">
        <v>19</v>
      </c>
      <c r="V505" s="17"/>
    </row>
    <row r="506" spans="1:22" x14ac:dyDescent="0.3">
      <c r="A506" s="18" t="e">
        <f t="shared" si="9"/>
        <v>#REF!</v>
      </c>
      <c r="B506" s="17">
        <v>93</v>
      </c>
      <c r="C506" s="17" t="s">
        <v>23</v>
      </c>
      <c r="D506" s="17" t="s">
        <v>1053</v>
      </c>
      <c r="E506" s="16">
        <v>45737</v>
      </c>
      <c r="F506" s="23" t="s">
        <v>68</v>
      </c>
      <c r="G506" s="51" t="s">
        <v>1054</v>
      </c>
      <c r="H506" s="56">
        <v>54375.360000000001</v>
      </c>
      <c r="I506" s="16">
        <v>45742</v>
      </c>
      <c r="J506" s="18"/>
      <c r="K506" s="17">
        <v>6</v>
      </c>
      <c r="L506" s="34">
        <v>144</v>
      </c>
      <c r="M506" s="34">
        <v>6</v>
      </c>
      <c r="N506" s="22">
        <v>45743</v>
      </c>
      <c r="O506" s="18" t="s">
        <v>21</v>
      </c>
      <c r="P506" s="18" t="s">
        <v>25</v>
      </c>
      <c r="Q506" s="17" t="s">
        <v>140</v>
      </c>
      <c r="R506" s="17" t="s">
        <v>102</v>
      </c>
      <c r="S506" s="17">
        <v>9053</v>
      </c>
      <c r="T506" s="32" t="s">
        <v>804</v>
      </c>
      <c r="U506" s="18" t="s">
        <v>19</v>
      </c>
      <c r="V506" s="17"/>
    </row>
    <row r="507" spans="1:22" x14ac:dyDescent="0.3">
      <c r="A507" s="18" t="e">
        <f t="shared" si="9"/>
        <v>#REF!</v>
      </c>
      <c r="B507" s="17">
        <v>93</v>
      </c>
      <c r="C507" s="17" t="s">
        <v>23</v>
      </c>
      <c r="D507" s="17" t="s">
        <v>1053</v>
      </c>
      <c r="E507" s="16">
        <v>45737</v>
      </c>
      <c r="F507" s="23" t="s">
        <v>68</v>
      </c>
      <c r="G507" s="51" t="s">
        <v>1153</v>
      </c>
      <c r="H507" s="56">
        <v>9637</v>
      </c>
      <c r="I507" s="16">
        <v>45743</v>
      </c>
      <c r="J507" s="18"/>
      <c r="K507" s="17">
        <v>1</v>
      </c>
      <c r="L507" s="34">
        <v>24</v>
      </c>
      <c r="M507" s="34">
        <v>1</v>
      </c>
      <c r="N507" s="22">
        <v>45743</v>
      </c>
      <c r="O507" s="18" t="s">
        <v>21</v>
      </c>
      <c r="P507" s="18" t="s">
        <v>25</v>
      </c>
      <c r="Q507" s="17" t="s">
        <v>140</v>
      </c>
      <c r="R507" s="17" t="s">
        <v>102</v>
      </c>
      <c r="S507" s="17">
        <v>9054</v>
      </c>
      <c r="T507" s="32" t="s">
        <v>804</v>
      </c>
      <c r="U507" s="18" t="s">
        <v>19</v>
      </c>
      <c r="V507" s="17"/>
    </row>
    <row r="508" spans="1:22" x14ac:dyDescent="0.3">
      <c r="A508" s="18" t="e">
        <f t="shared" si="9"/>
        <v>#REF!</v>
      </c>
      <c r="B508" s="17">
        <v>93</v>
      </c>
      <c r="C508" s="17" t="s">
        <v>23</v>
      </c>
      <c r="D508" s="17" t="s">
        <v>1055</v>
      </c>
      <c r="E508" s="16">
        <v>45737</v>
      </c>
      <c r="F508" s="21" t="s">
        <v>28</v>
      </c>
      <c r="G508" s="51" t="s">
        <v>1056</v>
      </c>
      <c r="H508" s="56">
        <v>9637</v>
      </c>
      <c r="I508" s="16">
        <v>45743</v>
      </c>
      <c r="J508" s="18"/>
      <c r="K508" s="17">
        <v>1</v>
      </c>
      <c r="L508" s="34">
        <v>24</v>
      </c>
      <c r="M508" s="34">
        <v>1</v>
      </c>
      <c r="N508" s="22">
        <v>45743</v>
      </c>
      <c r="O508" s="18" t="s">
        <v>21</v>
      </c>
      <c r="P508" s="18" t="s">
        <v>25</v>
      </c>
      <c r="Q508" s="17" t="s">
        <v>140</v>
      </c>
      <c r="R508" s="17" t="s">
        <v>102</v>
      </c>
      <c r="S508" s="17">
        <v>9055</v>
      </c>
      <c r="T508" s="32" t="s">
        <v>804</v>
      </c>
      <c r="U508" s="18" t="s">
        <v>19</v>
      </c>
      <c r="V508" s="17"/>
    </row>
    <row r="509" spans="1:22" x14ac:dyDescent="0.3">
      <c r="A509" s="18" t="e">
        <f t="shared" si="9"/>
        <v>#REF!</v>
      </c>
      <c r="B509" s="17">
        <v>93</v>
      </c>
      <c r="C509" s="17" t="s">
        <v>23</v>
      </c>
      <c r="D509" s="17" t="s">
        <v>1055</v>
      </c>
      <c r="E509" s="16">
        <v>45737</v>
      </c>
      <c r="F509" s="21" t="s">
        <v>28</v>
      </c>
      <c r="G509" s="51" t="s">
        <v>1057</v>
      </c>
      <c r="H509" s="56">
        <v>28911</v>
      </c>
      <c r="I509" s="16">
        <v>45742</v>
      </c>
      <c r="J509" s="18"/>
      <c r="K509" s="17">
        <v>3</v>
      </c>
      <c r="L509" s="34">
        <v>72</v>
      </c>
      <c r="M509" s="34">
        <v>3</v>
      </c>
      <c r="N509" s="22">
        <v>45743</v>
      </c>
      <c r="O509" s="18" t="s">
        <v>21</v>
      </c>
      <c r="P509" s="18" t="s">
        <v>25</v>
      </c>
      <c r="Q509" s="17" t="s">
        <v>140</v>
      </c>
      <c r="R509" s="17" t="s">
        <v>102</v>
      </c>
      <c r="S509" s="17">
        <v>9056</v>
      </c>
      <c r="T509" s="32" t="s">
        <v>804</v>
      </c>
      <c r="U509" s="18" t="s">
        <v>19</v>
      </c>
      <c r="V509" s="17"/>
    </row>
    <row r="510" spans="1:22" x14ac:dyDescent="0.3">
      <c r="A510" s="18" t="e">
        <f t="shared" si="9"/>
        <v>#REF!</v>
      </c>
      <c r="B510" s="17">
        <v>93</v>
      </c>
      <c r="C510" s="17" t="s">
        <v>23</v>
      </c>
      <c r="D510" s="17" t="s">
        <v>1058</v>
      </c>
      <c r="E510" s="16">
        <v>45736</v>
      </c>
      <c r="F510" s="23" t="s">
        <v>68</v>
      </c>
      <c r="G510" s="51" t="s">
        <v>1059</v>
      </c>
      <c r="H510" s="56">
        <v>96507.839999999997</v>
      </c>
      <c r="I510" s="16">
        <v>45741</v>
      </c>
      <c r="J510" s="18"/>
      <c r="K510" s="17">
        <v>10</v>
      </c>
      <c r="L510" s="34">
        <v>240</v>
      </c>
      <c r="M510" s="34">
        <v>10</v>
      </c>
      <c r="N510" s="22">
        <v>45743</v>
      </c>
      <c r="O510" s="18" t="s">
        <v>21</v>
      </c>
      <c r="P510" s="18" t="s">
        <v>25</v>
      </c>
      <c r="Q510" s="17" t="s">
        <v>140</v>
      </c>
      <c r="R510" s="17" t="s">
        <v>102</v>
      </c>
      <c r="S510" s="17">
        <v>9057</v>
      </c>
      <c r="T510" s="32" t="s">
        <v>804</v>
      </c>
      <c r="U510" s="18" t="s">
        <v>19</v>
      </c>
      <c r="V510" s="17"/>
    </row>
    <row r="511" spans="1:22" x14ac:dyDescent="0.3">
      <c r="A511" s="18" t="e">
        <f t="shared" si="9"/>
        <v>#REF!</v>
      </c>
      <c r="B511" s="17">
        <v>93</v>
      </c>
      <c r="C511" s="17" t="s">
        <v>23</v>
      </c>
      <c r="D511" s="17" t="s">
        <v>1060</v>
      </c>
      <c r="E511" s="16">
        <v>45735</v>
      </c>
      <c r="F511" s="21" t="s">
        <v>64</v>
      </c>
      <c r="G511" s="51" t="s">
        <v>1061</v>
      </c>
      <c r="H511" s="56">
        <v>129054.24</v>
      </c>
      <c r="I511" s="16">
        <v>45741</v>
      </c>
      <c r="J511" s="18"/>
      <c r="K511" s="17">
        <v>16</v>
      </c>
      <c r="L511" s="34">
        <v>384</v>
      </c>
      <c r="M511" s="34">
        <v>16</v>
      </c>
      <c r="N511" s="22">
        <v>45743</v>
      </c>
      <c r="O511" s="18" t="s">
        <v>21</v>
      </c>
      <c r="P511" s="18" t="s">
        <v>25</v>
      </c>
      <c r="Q511" s="17" t="s">
        <v>140</v>
      </c>
      <c r="R511" s="17" t="s">
        <v>102</v>
      </c>
      <c r="S511" s="17">
        <v>9058</v>
      </c>
      <c r="T511" s="32" t="s">
        <v>804</v>
      </c>
      <c r="U511" s="18" t="s">
        <v>19</v>
      </c>
      <c r="V511" s="17"/>
    </row>
    <row r="512" spans="1:22" x14ac:dyDescent="0.3">
      <c r="A512" s="18" t="e">
        <f t="shared" si="9"/>
        <v>#REF!</v>
      </c>
      <c r="B512" s="17">
        <v>93</v>
      </c>
      <c r="C512" s="17" t="s">
        <v>23</v>
      </c>
      <c r="D512" s="17" t="s">
        <v>1062</v>
      </c>
      <c r="E512" s="16">
        <v>45740</v>
      </c>
      <c r="F512" s="21" t="s">
        <v>28</v>
      </c>
      <c r="G512" s="51" t="s">
        <v>1063</v>
      </c>
      <c r="H512" s="56">
        <v>384354.48</v>
      </c>
      <c r="I512" s="16">
        <v>45742</v>
      </c>
      <c r="J512" s="18"/>
      <c r="K512" s="17">
        <v>46</v>
      </c>
      <c r="L512" s="34">
        <v>1104</v>
      </c>
      <c r="M512" s="34">
        <v>46</v>
      </c>
      <c r="N512" s="22">
        <v>45743</v>
      </c>
      <c r="O512" s="18" t="s">
        <v>21</v>
      </c>
      <c r="P512" s="18" t="s">
        <v>25</v>
      </c>
      <c r="Q512" s="17" t="s">
        <v>140</v>
      </c>
      <c r="R512" s="17" t="s">
        <v>102</v>
      </c>
      <c r="S512" s="17">
        <v>9059</v>
      </c>
      <c r="T512" s="32" t="s">
        <v>804</v>
      </c>
      <c r="U512" s="18" t="s">
        <v>19</v>
      </c>
      <c r="V512" s="17"/>
    </row>
    <row r="513" spans="1:22" x14ac:dyDescent="0.3">
      <c r="A513" s="18" t="e">
        <f t="shared" si="9"/>
        <v>#REF!</v>
      </c>
      <c r="B513" s="17">
        <v>93</v>
      </c>
      <c r="C513" s="17" t="s">
        <v>23</v>
      </c>
      <c r="D513" s="17" t="s">
        <v>1064</v>
      </c>
      <c r="E513" s="16">
        <v>45738</v>
      </c>
      <c r="F513" s="21" t="s">
        <v>129</v>
      </c>
      <c r="G513" s="51" t="s">
        <v>1065</v>
      </c>
      <c r="H513" s="56">
        <v>99227.520000000004</v>
      </c>
      <c r="I513" s="16">
        <v>45742</v>
      </c>
      <c r="J513" s="18"/>
      <c r="K513" s="17">
        <v>12</v>
      </c>
      <c r="L513" s="34">
        <v>288</v>
      </c>
      <c r="M513" s="34">
        <v>12</v>
      </c>
      <c r="N513" s="22">
        <v>45743</v>
      </c>
      <c r="O513" s="18" t="s">
        <v>21</v>
      </c>
      <c r="P513" s="18" t="s">
        <v>25</v>
      </c>
      <c r="Q513" s="17" t="s">
        <v>140</v>
      </c>
      <c r="R513" s="17" t="s">
        <v>102</v>
      </c>
      <c r="S513" s="17">
        <v>9060</v>
      </c>
      <c r="T513" s="32" t="s">
        <v>804</v>
      </c>
      <c r="U513" s="18" t="s">
        <v>19</v>
      </c>
      <c r="V513" s="17"/>
    </row>
    <row r="514" spans="1:22" x14ac:dyDescent="0.3">
      <c r="A514" s="18" t="e">
        <f t="shared" si="9"/>
        <v>#REF!</v>
      </c>
      <c r="B514" s="17">
        <v>93</v>
      </c>
      <c r="C514" s="17" t="s">
        <v>23</v>
      </c>
      <c r="D514" s="17" t="s">
        <v>1066</v>
      </c>
      <c r="E514" s="16">
        <v>45738</v>
      </c>
      <c r="F514" s="21" t="s">
        <v>33</v>
      </c>
      <c r="G514" s="51" t="s">
        <v>1067</v>
      </c>
      <c r="H514" s="56">
        <v>84789.36</v>
      </c>
      <c r="I514" s="16">
        <v>45742</v>
      </c>
      <c r="J514" s="18"/>
      <c r="K514" s="17">
        <v>12</v>
      </c>
      <c r="L514" s="34">
        <v>288</v>
      </c>
      <c r="M514" s="34">
        <v>12</v>
      </c>
      <c r="N514" s="22">
        <v>45743</v>
      </c>
      <c r="O514" s="18" t="s">
        <v>21</v>
      </c>
      <c r="P514" s="18" t="s">
        <v>25</v>
      </c>
      <c r="Q514" s="17" t="s">
        <v>140</v>
      </c>
      <c r="R514" s="17" t="s">
        <v>102</v>
      </c>
      <c r="S514" s="17">
        <v>9061</v>
      </c>
      <c r="T514" s="32" t="s">
        <v>804</v>
      </c>
      <c r="U514" s="18" t="s">
        <v>19</v>
      </c>
      <c r="V514" s="17"/>
    </row>
    <row r="515" spans="1:22" x14ac:dyDescent="0.3">
      <c r="A515" s="18" t="e">
        <f t="shared" si="9"/>
        <v>#REF!</v>
      </c>
      <c r="B515" s="17">
        <v>93</v>
      </c>
      <c r="C515" s="17" t="s">
        <v>23</v>
      </c>
      <c r="D515" s="17" t="s">
        <v>628</v>
      </c>
      <c r="E515" s="16">
        <v>45701</v>
      </c>
      <c r="F515" s="21" t="s">
        <v>350</v>
      </c>
      <c r="G515" s="51" t="s">
        <v>1068</v>
      </c>
      <c r="H515" s="56">
        <v>15984.12</v>
      </c>
      <c r="I515" s="16">
        <v>45742</v>
      </c>
      <c r="J515" s="18"/>
      <c r="K515" s="17">
        <v>2</v>
      </c>
      <c r="L515" s="34">
        <v>36</v>
      </c>
      <c r="M515" s="34">
        <v>2</v>
      </c>
      <c r="N515" s="22">
        <v>45743</v>
      </c>
      <c r="O515" s="18" t="s">
        <v>21</v>
      </c>
      <c r="P515" s="18" t="s">
        <v>25</v>
      </c>
      <c r="Q515" s="17" t="s">
        <v>140</v>
      </c>
      <c r="R515" s="17" t="s">
        <v>102</v>
      </c>
      <c r="S515" s="17">
        <v>9062</v>
      </c>
      <c r="T515" s="32" t="s">
        <v>804</v>
      </c>
      <c r="U515" s="18" t="s">
        <v>19</v>
      </c>
      <c r="V515" s="17"/>
    </row>
    <row r="516" spans="1:22" x14ac:dyDescent="0.3">
      <c r="A516" s="18" t="e">
        <f t="shared" si="9"/>
        <v>#REF!</v>
      </c>
      <c r="B516" s="17">
        <v>93</v>
      </c>
      <c r="C516" s="17" t="s">
        <v>23</v>
      </c>
      <c r="D516" s="17" t="s">
        <v>661</v>
      </c>
      <c r="E516" s="16">
        <v>45706</v>
      </c>
      <c r="F516" s="21" t="s">
        <v>114</v>
      </c>
      <c r="G516" s="51" t="s">
        <v>1069</v>
      </c>
      <c r="H516" s="56">
        <v>11817.84</v>
      </c>
      <c r="I516" s="16">
        <v>45742</v>
      </c>
      <c r="J516" s="18"/>
      <c r="K516" s="17">
        <v>1</v>
      </c>
      <c r="L516" s="34">
        <v>24</v>
      </c>
      <c r="M516" s="34">
        <v>1</v>
      </c>
      <c r="N516" s="22">
        <v>45743</v>
      </c>
      <c r="O516" s="18" t="s">
        <v>21</v>
      </c>
      <c r="P516" s="18" t="s">
        <v>25</v>
      </c>
      <c r="Q516" s="17" t="s">
        <v>140</v>
      </c>
      <c r="R516" s="17" t="s">
        <v>102</v>
      </c>
      <c r="S516" s="17">
        <v>9063</v>
      </c>
      <c r="T516" s="32" t="s">
        <v>804</v>
      </c>
      <c r="U516" s="18" t="s">
        <v>19</v>
      </c>
      <c r="V516" s="17"/>
    </row>
    <row r="517" spans="1:22" x14ac:dyDescent="0.3">
      <c r="A517" s="18" t="e">
        <f t="shared" si="9"/>
        <v>#REF!</v>
      </c>
      <c r="B517" s="17">
        <v>93</v>
      </c>
      <c r="C517" s="17" t="s">
        <v>23</v>
      </c>
      <c r="D517" s="17" t="s">
        <v>763</v>
      </c>
      <c r="E517" s="16">
        <v>45709</v>
      </c>
      <c r="F517" s="21" t="s">
        <v>130</v>
      </c>
      <c r="G517" s="51" t="s">
        <v>1070</v>
      </c>
      <c r="H517" s="56">
        <v>24594.720000000001</v>
      </c>
      <c r="I517" s="16">
        <v>45742</v>
      </c>
      <c r="J517" s="18"/>
      <c r="K517" s="17">
        <v>2</v>
      </c>
      <c r="L517" s="34">
        <v>28</v>
      </c>
      <c r="M517" s="34">
        <v>2</v>
      </c>
      <c r="N517" s="22">
        <v>45743</v>
      </c>
      <c r="O517" s="18" t="s">
        <v>21</v>
      </c>
      <c r="P517" s="18" t="s">
        <v>25</v>
      </c>
      <c r="Q517" s="17" t="s">
        <v>140</v>
      </c>
      <c r="R517" s="17" t="s">
        <v>102</v>
      </c>
      <c r="S517" s="17">
        <v>9064</v>
      </c>
      <c r="T517" s="32" t="s">
        <v>804</v>
      </c>
      <c r="U517" s="18" t="s">
        <v>19</v>
      </c>
      <c r="V517" s="17"/>
    </row>
    <row r="518" spans="1:22" x14ac:dyDescent="0.3">
      <c r="A518" s="18" t="e">
        <f t="shared" si="9"/>
        <v>#REF!</v>
      </c>
      <c r="B518" s="17">
        <v>93</v>
      </c>
      <c r="C518" s="17" t="s">
        <v>23</v>
      </c>
      <c r="D518" s="17" t="s">
        <v>616</v>
      </c>
      <c r="E518" s="16">
        <v>45702</v>
      </c>
      <c r="F518" s="21" t="s">
        <v>64</v>
      </c>
      <c r="G518" s="51" t="s">
        <v>1071</v>
      </c>
      <c r="H518" s="56">
        <v>49176.959999999999</v>
      </c>
      <c r="I518" s="16">
        <v>45742</v>
      </c>
      <c r="J518" s="18"/>
      <c r="K518" s="17">
        <v>5</v>
      </c>
      <c r="L518" s="34">
        <v>120</v>
      </c>
      <c r="M518" s="34">
        <v>5</v>
      </c>
      <c r="N518" s="22">
        <v>45743</v>
      </c>
      <c r="O518" s="18" t="s">
        <v>21</v>
      </c>
      <c r="P518" s="18" t="s">
        <v>25</v>
      </c>
      <c r="Q518" s="17" t="s">
        <v>140</v>
      </c>
      <c r="R518" s="17" t="s">
        <v>102</v>
      </c>
      <c r="S518" s="17">
        <v>9065</v>
      </c>
      <c r="T518" s="32" t="s">
        <v>804</v>
      </c>
      <c r="U518" s="18" t="s">
        <v>19</v>
      </c>
      <c r="V518" s="17"/>
    </row>
    <row r="519" spans="1:22" x14ac:dyDescent="0.3">
      <c r="A519" s="18" t="e">
        <f t="shared" si="9"/>
        <v>#REF!</v>
      </c>
      <c r="B519" s="17">
        <v>93</v>
      </c>
      <c r="C519" s="17" t="s">
        <v>23</v>
      </c>
      <c r="D519" s="17" t="s">
        <v>1072</v>
      </c>
      <c r="E519" s="16">
        <v>45738</v>
      </c>
      <c r="F519" s="21" t="s">
        <v>58</v>
      </c>
      <c r="G519" s="51" t="s">
        <v>1073</v>
      </c>
      <c r="H519" s="56">
        <v>495525.12</v>
      </c>
      <c r="I519" s="16">
        <v>45742</v>
      </c>
      <c r="J519" s="18"/>
      <c r="K519" s="17">
        <v>45</v>
      </c>
      <c r="L519" s="34">
        <v>1080</v>
      </c>
      <c r="M519" s="34">
        <v>45</v>
      </c>
      <c r="N519" s="22">
        <v>45743</v>
      </c>
      <c r="O519" s="18" t="s">
        <v>21</v>
      </c>
      <c r="P519" s="18" t="s">
        <v>25</v>
      </c>
      <c r="Q519" s="17" t="s">
        <v>140</v>
      </c>
      <c r="R519" s="17" t="s">
        <v>102</v>
      </c>
      <c r="S519" s="17">
        <v>9066</v>
      </c>
      <c r="T519" s="32" t="s">
        <v>804</v>
      </c>
      <c r="U519" s="18" t="s">
        <v>19</v>
      </c>
      <c r="V519" s="17"/>
    </row>
    <row r="520" spans="1:22" x14ac:dyDescent="0.3">
      <c r="A520" s="18" t="e">
        <f t="shared" si="9"/>
        <v>#REF!</v>
      </c>
      <c r="B520" s="17">
        <v>93</v>
      </c>
      <c r="C520" s="17" t="s">
        <v>23</v>
      </c>
      <c r="D520" s="17" t="s">
        <v>1074</v>
      </c>
      <c r="E520" s="16">
        <v>45741</v>
      </c>
      <c r="F520" s="21" t="s">
        <v>929</v>
      </c>
      <c r="G520" s="51" t="s">
        <v>1075</v>
      </c>
      <c r="H520" s="56">
        <v>202737.6</v>
      </c>
      <c r="I520" s="16">
        <v>45742</v>
      </c>
      <c r="J520" s="18"/>
      <c r="K520" s="17">
        <v>26</v>
      </c>
      <c r="L520" s="34">
        <v>720</v>
      </c>
      <c r="M520" s="34">
        <v>26</v>
      </c>
      <c r="N520" s="22">
        <v>45743</v>
      </c>
      <c r="O520" s="18" t="s">
        <v>21</v>
      </c>
      <c r="P520" s="18" t="s">
        <v>25</v>
      </c>
      <c r="Q520" s="17" t="s">
        <v>140</v>
      </c>
      <c r="R520" s="17" t="s">
        <v>102</v>
      </c>
      <c r="S520" s="17">
        <v>9067</v>
      </c>
      <c r="T520" s="32" t="s">
        <v>804</v>
      </c>
      <c r="U520" s="18" t="s">
        <v>19</v>
      </c>
      <c r="V520" s="17"/>
    </row>
    <row r="521" spans="1:22" x14ac:dyDescent="0.3">
      <c r="A521" s="18" t="e">
        <f t="shared" si="9"/>
        <v>#REF!</v>
      </c>
      <c r="B521" s="17">
        <v>93</v>
      </c>
      <c r="C521" s="17" t="s">
        <v>23</v>
      </c>
      <c r="D521" s="17" t="s">
        <v>1076</v>
      </c>
      <c r="E521" s="16">
        <v>45741</v>
      </c>
      <c r="F521" s="21" t="s">
        <v>35</v>
      </c>
      <c r="G521" s="51" t="s">
        <v>1077</v>
      </c>
      <c r="H521" s="56">
        <v>23351.279999999999</v>
      </c>
      <c r="I521" s="16">
        <v>45742</v>
      </c>
      <c r="J521" s="18"/>
      <c r="K521" s="17">
        <v>3</v>
      </c>
      <c r="L521" s="34">
        <v>72</v>
      </c>
      <c r="M521" s="34">
        <v>3</v>
      </c>
      <c r="N521" s="22">
        <v>45743</v>
      </c>
      <c r="O521" s="18" t="s">
        <v>21</v>
      </c>
      <c r="P521" s="18" t="s">
        <v>25</v>
      </c>
      <c r="Q521" s="17" t="s">
        <v>140</v>
      </c>
      <c r="R521" s="17" t="s">
        <v>102</v>
      </c>
      <c r="S521" s="17">
        <v>9068</v>
      </c>
      <c r="T521" s="32" t="s">
        <v>804</v>
      </c>
      <c r="U521" s="18" t="s">
        <v>19</v>
      </c>
      <c r="V521" s="17"/>
    </row>
    <row r="522" spans="1:22" x14ac:dyDescent="0.3">
      <c r="A522" s="18" t="e">
        <f t="shared" si="9"/>
        <v>#REF!</v>
      </c>
      <c r="B522" s="17">
        <v>93</v>
      </c>
      <c r="C522" s="17" t="s">
        <v>23</v>
      </c>
      <c r="D522" s="17" t="s">
        <v>1078</v>
      </c>
      <c r="E522" s="16">
        <v>45742</v>
      </c>
      <c r="F522" s="21" t="s">
        <v>129</v>
      </c>
      <c r="G522" s="51" t="s">
        <v>1079</v>
      </c>
      <c r="H522" s="56">
        <v>150035.28</v>
      </c>
      <c r="I522" s="16">
        <v>45743</v>
      </c>
      <c r="J522" s="18"/>
      <c r="K522" s="17">
        <v>17</v>
      </c>
      <c r="L522" s="34">
        <v>408</v>
      </c>
      <c r="M522" s="34">
        <v>17</v>
      </c>
      <c r="N522" s="22">
        <v>45743</v>
      </c>
      <c r="O522" s="18" t="s">
        <v>21</v>
      </c>
      <c r="P522" s="18" t="s">
        <v>25</v>
      </c>
      <c r="Q522" s="17" t="s">
        <v>140</v>
      </c>
      <c r="R522" s="17" t="s">
        <v>102</v>
      </c>
      <c r="S522" s="17">
        <v>9069</v>
      </c>
      <c r="T522" s="32" t="s">
        <v>804</v>
      </c>
      <c r="U522" s="18" t="s">
        <v>19</v>
      </c>
      <c r="V522" s="17"/>
    </row>
    <row r="523" spans="1:22" s="3" customFormat="1" x14ac:dyDescent="0.3">
      <c r="A523" s="18" t="e">
        <f t="shared" si="9"/>
        <v>#REF!</v>
      </c>
      <c r="B523" s="17">
        <v>94</v>
      </c>
      <c r="C523" s="17" t="s">
        <v>23</v>
      </c>
      <c r="D523" s="17" t="s">
        <v>1080</v>
      </c>
      <c r="E523" s="16">
        <v>45742</v>
      </c>
      <c r="F523" s="21" t="s">
        <v>35</v>
      </c>
      <c r="G523" s="51" t="s">
        <v>1081</v>
      </c>
      <c r="H523" s="56">
        <v>33179.760000000002</v>
      </c>
      <c r="I523" s="16">
        <v>45743</v>
      </c>
      <c r="J523" s="18"/>
      <c r="K523" s="17">
        <v>3</v>
      </c>
      <c r="L523" s="34">
        <v>108</v>
      </c>
      <c r="M523" s="34">
        <v>3</v>
      </c>
      <c r="N523" s="22">
        <v>45744</v>
      </c>
      <c r="O523" s="18" t="s">
        <v>21</v>
      </c>
      <c r="P523" s="18" t="s">
        <v>25</v>
      </c>
      <c r="Q523" s="17" t="s">
        <v>125</v>
      </c>
      <c r="R523" s="17" t="s">
        <v>102</v>
      </c>
      <c r="S523" s="17">
        <v>9055</v>
      </c>
      <c r="T523" s="32" t="s">
        <v>804</v>
      </c>
      <c r="U523" s="18" t="s">
        <v>19</v>
      </c>
      <c r="V523" s="17"/>
    </row>
    <row r="524" spans="1:22" s="3" customFormat="1" x14ac:dyDescent="0.3">
      <c r="A524" s="18" t="e">
        <f t="shared" si="9"/>
        <v>#REF!</v>
      </c>
      <c r="B524" s="17">
        <v>94</v>
      </c>
      <c r="C524" s="17" t="s">
        <v>23</v>
      </c>
      <c r="D524" s="17" t="s">
        <v>1082</v>
      </c>
      <c r="E524" s="16">
        <v>45742</v>
      </c>
      <c r="F524" s="21" t="s">
        <v>35</v>
      </c>
      <c r="G524" s="51" t="s">
        <v>1083</v>
      </c>
      <c r="H524" s="56">
        <v>364440</v>
      </c>
      <c r="I524" s="16">
        <v>45743</v>
      </c>
      <c r="J524" s="18"/>
      <c r="K524" s="17">
        <v>44</v>
      </c>
      <c r="L524" s="34">
        <v>1056</v>
      </c>
      <c r="M524" s="34">
        <v>44</v>
      </c>
      <c r="N524" s="22">
        <v>45744</v>
      </c>
      <c r="O524" s="18" t="s">
        <v>21</v>
      </c>
      <c r="P524" s="18" t="s">
        <v>25</v>
      </c>
      <c r="Q524" s="17" t="s">
        <v>125</v>
      </c>
      <c r="R524" s="17" t="s">
        <v>102</v>
      </c>
      <c r="S524" s="17">
        <v>9054</v>
      </c>
      <c r="T524" s="32" t="s">
        <v>804</v>
      </c>
      <c r="U524" s="18" t="s">
        <v>19</v>
      </c>
      <c r="V524" s="17"/>
    </row>
    <row r="525" spans="1:22" s="3" customFormat="1" x14ac:dyDescent="0.3">
      <c r="A525" s="18" t="e">
        <f t="shared" si="9"/>
        <v>#REF!</v>
      </c>
      <c r="B525" s="17">
        <v>94</v>
      </c>
      <c r="C525" s="17" t="s">
        <v>23</v>
      </c>
      <c r="D525" s="17" t="s">
        <v>1084</v>
      </c>
      <c r="E525" s="16">
        <v>45742</v>
      </c>
      <c r="F525" s="21" t="s">
        <v>89</v>
      </c>
      <c r="G525" s="51" t="s">
        <v>1085</v>
      </c>
      <c r="H525" s="56">
        <v>554710.19999999995</v>
      </c>
      <c r="I525" s="16">
        <v>45742</v>
      </c>
      <c r="J525" s="18"/>
      <c r="K525" s="17">
        <v>70</v>
      </c>
      <c r="L525" s="34">
        <v>1548</v>
      </c>
      <c r="M525" s="34">
        <v>70</v>
      </c>
      <c r="N525" s="22">
        <v>45744</v>
      </c>
      <c r="O525" s="18" t="s">
        <v>21</v>
      </c>
      <c r="P525" s="18" t="s">
        <v>25</v>
      </c>
      <c r="Q525" s="17" t="s">
        <v>125</v>
      </c>
      <c r="R525" s="17" t="s">
        <v>102</v>
      </c>
      <c r="S525" s="17">
        <v>9074</v>
      </c>
      <c r="T525" s="32" t="s">
        <v>804</v>
      </c>
      <c r="U525" s="18" t="s">
        <v>19</v>
      </c>
      <c r="V525" s="17"/>
    </row>
    <row r="526" spans="1:22" s="3" customFormat="1" x14ac:dyDescent="0.3">
      <c r="A526" s="18" t="e">
        <f t="shared" si="9"/>
        <v>#REF!</v>
      </c>
      <c r="B526" s="17">
        <v>94</v>
      </c>
      <c r="C526" s="17" t="s">
        <v>23</v>
      </c>
      <c r="D526" s="17" t="s">
        <v>1086</v>
      </c>
      <c r="E526" s="16">
        <v>45742</v>
      </c>
      <c r="F526" s="21" t="s">
        <v>130</v>
      </c>
      <c r="G526" s="51" t="s">
        <v>1087</v>
      </c>
      <c r="H526" s="56">
        <v>44241.120000000003</v>
      </c>
      <c r="I526" s="16">
        <v>45743</v>
      </c>
      <c r="J526" s="18"/>
      <c r="K526" s="17">
        <v>12</v>
      </c>
      <c r="L526" s="34">
        <v>144</v>
      </c>
      <c r="M526" s="34">
        <v>12</v>
      </c>
      <c r="N526" s="22">
        <v>45744</v>
      </c>
      <c r="O526" s="18" t="s">
        <v>21</v>
      </c>
      <c r="P526" s="18" t="s">
        <v>25</v>
      </c>
      <c r="Q526" s="17" t="s">
        <v>125</v>
      </c>
      <c r="R526" s="17" t="s">
        <v>102</v>
      </c>
      <c r="S526" s="17">
        <v>9072</v>
      </c>
      <c r="T526" s="32" t="s">
        <v>804</v>
      </c>
      <c r="U526" s="18" t="s">
        <v>19</v>
      </c>
      <c r="V526" s="17"/>
    </row>
    <row r="527" spans="1:22" s="3" customFormat="1" x14ac:dyDescent="0.3">
      <c r="A527" s="18" t="e">
        <f t="shared" si="9"/>
        <v>#REF!</v>
      </c>
      <c r="B527" s="17">
        <v>94</v>
      </c>
      <c r="C527" s="17" t="s">
        <v>20</v>
      </c>
      <c r="D527" s="17" t="s">
        <v>1151</v>
      </c>
      <c r="E527" s="16">
        <v>45740</v>
      </c>
      <c r="F527" s="21" t="s">
        <v>129</v>
      </c>
      <c r="G527" s="51" t="s">
        <v>1088</v>
      </c>
      <c r="H527" s="56">
        <v>165535.20000000001</v>
      </c>
      <c r="I527" s="16">
        <v>45743</v>
      </c>
      <c r="J527" s="18"/>
      <c r="K527" s="17">
        <v>180</v>
      </c>
      <c r="L527" s="34">
        <v>180</v>
      </c>
      <c r="M527" s="34">
        <v>15</v>
      </c>
      <c r="N527" s="22">
        <v>45744</v>
      </c>
      <c r="O527" s="18" t="s">
        <v>21</v>
      </c>
      <c r="P527" s="18" t="s">
        <v>25</v>
      </c>
      <c r="Q527" s="17" t="s">
        <v>125</v>
      </c>
      <c r="R527" s="17" t="s">
        <v>102</v>
      </c>
      <c r="S527" s="17">
        <v>9071</v>
      </c>
      <c r="T527" s="32" t="s">
        <v>804</v>
      </c>
      <c r="U527" s="18" t="s">
        <v>19</v>
      </c>
      <c r="V527" s="17"/>
    </row>
    <row r="528" spans="1:22" s="3" customFormat="1" x14ac:dyDescent="0.3">
      <c r="A528" s="18" t="e">
        <f t="shared" si="9"/>
        <v>#REF!</v>
      </c>
      <c r="B528" s="17">
        <v>94</v>
      </c>
      <c r="C528" s="17" t="s">
        <v>23</v>
      </c>
      <c r="D528" s="17" t="s">
        <v>1089</v>
      </c>
      <c r="E528" s="16">
        <v>45740</v>
      </c>
      <c r="F528" s="21" t="s">
        <v>35</v>
      </c>
      <c r="G528" s="51" t="s">
        <v>1090</v>
      </c>
      <c r="H528" s="56">
        <v>110356.8</v>
      </c>
      <c r="I528" s="16">
        <v>45743</v>
      </c>
      <c r="J528" s="18"/>
      <c r="K528" s="17">
        <v>120</v>
      </c>
      <c r="L528" s="34">
        <v>120</v>
      </c>
      <c r="M528" s="34">
        <v>10</v>
      </c>
      <c r="N528" s="22">
        <v>45744</v>
      </c>
      <c r="O528" s="18" t="s">
        <v>21</v>
      </c>
      <c r="P528" s="18" t="s">
        <v>25</v>
      </c>
      <c r="Q528" s="17" t="s">
        <v>125</v>
      </c>
      <c r="R528" s="17" t="s">
        <v>102</v>
      </c>
      <c r="S528" s="17">
        <v>9070</v>
      </c>
      <c r="T528" s="32" t="s">
        <v>804</v>
      </c>
      <c r="U528" s="18" t="s">
        <v>19</v>
      </c>
      <c r="V528" s="17"/>
    </row>
    <row r="529" spans="1:22" x14ac:dyDescent="0.3">
      <c r="A529" s="18" t="e">
        <f t="shared" si="9"/>
        <v>#REF!</v>
      </c>
      <c r="B529" s="17">
        <v>95</v>
      </c>
      <c r="C529" s="17" t="s">
        <v>23</v>
      </c>
      <c r="D529" s="17" t="s">
        <v>1091</v>
      </c>
      <c r="E529" s="16">
        <v>45742</v>
      </c>
      <c r="F529" s="21" t="s">
        <v>64</v>
      </c>
      <c r="G529" s="51" t="s">
        <v>1092</v>
      </c>
      <c r="H529" s="56">
        <v>159803.04</v>
      </c>
      <c r="I529" s="16">
        <v>45743</v>
      </c>
      <c r="J529" s="18"/>
      <c r="K529" s="17">
        <v>18</v>
      </c>
      <c r="L529" s="34">
        <v>432</v>
      </c>
      <c r="M529" s="34">
        <v>18</v>
      </c>
      <c r="N529" s="22">
        <v>45744</v>
      </c>
      <c r="O529" s="18" t="s">
        <v>21</v>
      </c>
      <c r="P529" s="18" t="s">
        <v>25</v>
      </c>
      <c r="Q529" s="17" t="s">
        <v>140</v>
      </c>
      <c r="R529" s="17" t="s">
        <v>102</v>
      </c>
      <c r="S529" s="17">
        <v>9073</v>
      </c>
      <c r="T529" s="32" t="s">
        <v>804</v>
      </c>
      <c r="U529" s="18" t="s">
        <v>19</v>
      </c>
      <c r="V529" s="17"/>
    </row>
    <row r="530" spans="1:22" x14ac:dyDescent="0.3">
      <c r="A530" s="18" t="e">
        <f t="shared" si="9"/>
        <v>#REF!</v>
      </c>
      <c r="B530" s="17">
        <v>95</v>
      </c>
      <c r="C530" s="17" t="s">
        <v>23</v>
      </c>
      <c r="D530" s="17" t="s">
        <v>1093</v>
      </c>
      <c r="E530" s="16">
        <v>45743</v>
      </c>
      <c r="F530" s="21" t="s">
        <v>119</v>
      </c>
      <c r="G530" s="51" t="s">
        <v>1094</v>
      </c>
      <c r="H530" s="56">
        <v>234769.2</v>
      </c>
      <c r="I530" s="16">
        <v>45744</v>
      </c>
      <c r="J530" s="18"/>
      <c r="K530" s="17">
        <v>28</v>
      </c>
      <c r="L530" s="34">
        <v>672</v>
      </c>
      <c r="M530" s="34">
        <v>28</v>
      </c>
      <c r="N530" s="22">
        <v>45744</v>
      </c>
      <c r="O530" s="18" t="s">
        <v>21</v>
      </c>
      <c r="P530" s="18" t="s">
        <v>25</v>
      </c>
      <c r="Q530" s="17" t="s">
        <v>140</v>
      </c>
      <c r="R530" s="17" t="s">
        <v>102</v>
      </c>
      <c r="S530" s="17">
        <v>9076</v>
      </c>
      <c r="T530" s="32" t="s">
        <v>804</v>
      </c>
      <c r="U530" s="18" t="s">
        <v>19</v>
      </c>
      <c r="V530" s="17"/>
    </row>
    <row r="531" spans="1:22" x14ac:dyDescent="0.3">
      <c r="A531" s="18" t="e">
        <f t="shared" si="9"/>
        <v>#REF!</v>
      </c>
      <c r="B531" s="17">
        <v>95</v>
      </c>
      <c r="C531" s="17" t="s">
        <v>23</v>
      </c>
      <c r="D531" s="17" t="s">
        <v>1095</v>
      </c>
      <c r="E531" s="16">
        <v>45743</v>
      </c>
      <c r="F531" s="21" t="s">
        <v>49</v>
      </c>
      <c r="G531" s="51" t="s">
        <v>1096</v>
      </c>
      <c r="H531" s="56">
        <v>110761.92</v>
      </c>
      <c r="I531" s="16">
        <v>45744</v>
      </c>
      <c r="J531" s="18"/>
      <c r="K531" s="17">
        <v>12</v>
      </c>
      <c r="L531" s="34">
        <v>288</v>
      </c>
      <c r="M531" s="34">
        <v>12</v>
      </c>
      <c r="N531" s="22">
        <v>45744</v>
      </c>
      <c r="O531" s="18" t="s">
        <v>21</v>
      </c>
      <c r="P531" s="18" t="s">
        <v>25</v>
      </c>
      <c r="Q531" s="17" t="s">
        <v>140</v>
      </c>
      <c r="R531" s="17" t="s">
        <v>102</v>
      </c>
      <c r="S531" s="17">
        <v>9077</v>
      </c>
      <c r="T531" s="32" t="s">
        <v>804</v>
      </c>
      <c r="U531" s="18" t="s">
        <v>19</v>
      </c>
      <c r="V531" s="17"/>
    </row>
    <row r="532" spans="1:22" x14ac:dyDescent="0.3">
      <c r="A532" s="18" t="e">
        <f t="shared" si="9"/>
        <v>#REF!</v>
      </c>
      <c r="B532" s="17">
        <v>95</v>
      </c>
      <c r="C532" s="17" t="s">
        <v>20</v>
      </c>
      <c r="D532" s="17" t="s">
        <v>1097</v>
      </c>
      <c r="E532" s="16">
        <v>45743</v>
      </c>
      <c r="F532" s="35" t="s">
        <v>119</v>
      </c>
      <c r="G532" s="51" t="s">
        <v>1098</v>
      </c>
      <c r="H532" s="56">
        <v>45259.94</v>
      </c>
      <c r="I532" s="16">
        <v>45744</v>
      </c>
      <c r="J532" s="18"/>
      <c r="K532" s="17">
        <v>46</v>
      </c>
      <c r="L532" s="34">
        <v>46</v>
      </c>
      <c r="M532" s="34">
        <v>4</v>
      </c>
      <c r="N532" s="22">
        <v>45744</v>
      </c>
      <c r="O532" s="18" t="s">
        <v>21</v>
      </c>
      <c r="P532" s="18" t="s">
        <v>25</v>
      </c>
      <c r="Q532" s="17" t="s">
        <v>140</v>
      </c>
      <c r="R532" s="17" t="s">
        <v>102</v>
      </c>
      <c r="S532" s="17">
        <v>9085</v>
      </c>
      <c r="T532" s="32" t="s">
        <v>804</v>
      </c>
      <c r="U532" s="18" t="s">
        <v>19</v>
      </c>
      <c r="V532" s="17"/>
    </row>
    <row r="533" spans="1:22" x14ac:dyDescent="0.3">
      <c r="A533" s="18" t="e">
        <f t="shared" si="9"/>
        <v>#REF!</v>
      </c>
      <c r="B533" s="17">
        <v>95</v>
      </c>
      <c r="C533" s="17" t="s">
        <v>20</v>
      </c>
      <c r="D533" s="17" t="s">
        <v>1099</v>
      </c>
      <c r="E533" s="16">
        <v>45741</v>
      </c>
      <c r="F533" s="24" t="s">
        <v>121</v>
      </c>
      <c r="G533" s="51" t="s">
        <v>1100</v>
      </c>
      <c r="H533" s="56">
        <v>55178.400000000001</v>
      </c>
      <c r="I533" s="16">
        <v>45743</v>
      </c>
      <c r="J533" s="18"/>
      <c r="K533" s="17">
        <v>60</v>
      </c>
      <c r="L533" s="34">
        <v>60</v>
      </c>
      <c r="M533" s="34">
        <v>5</v>
      </c>
      <c r="N533" s="22">
        <v>45744</v>
      </c>
      <c r="O533" s="18" t="s">
        <v>21</v>
      </c>
      <c r="P533" s="18" t="s">
        <v>25</v>
      </c>
      <c r="Q533" s="17" t="s">
        <v>140</v>
      </c>
      <c r="R533" s="17" t="s">
        <v>102</v>
      </c>
      <c r="S533" s="17">
        <v>9084</v>
      </c>
      <c r="T533" s="32" t="s">
        <v>804</v>
      </c>
      <c r="U533" s="18" t="s">
        <v>19</v>
      </c>
      <c r="V533" s="17"/>
    </row>
    <row r="534" spans="1:22" x14ac:dyDescent="0.3">
      <c r="A534" s="18" t="e">
        <f t="shared" si="9"/>
        <v>#REF!</v>
      </c>
      <c r="B534" s="17">
        <v>95</v>
      </c>
      <c r="C534" s="17" t="s">
        <v>20</v>
      </c>
      <c r="D534" s="17" t="s">
        <v>1101</v>
      </c>
      <c r="E534" s="16">
        <v>45741</v>
      </c>
      <c r="F534" s="21" t="s">
        <v>129</v>
      </c>
      <c r="G534" s="51" t="s">
        <v>1102</v>
      </c>
      <c r="H534" s="56">
        <v>322383.40000000002</v>
      </c>
      <c r="I534" s="16">
        <v>45743</v>
      </c>
      <c r="J534" s="18"/>
      <c r="K534" s="17">
        <v>240</v>
      </c>
      <c r="L534" s="34">
        <v>240</v>
      </c>
      <c r="M534" s="34">
        <v>24</v>
      </c>
      <c r="N534" s="22">
        <v>45744</v>
      </c>
      <c r="O534" s="18" t="s">
        <v>21</v>
      </c>
      <c r="P534" s="18" t="s">
        <v>25</v>
      </c>
      <c r="Q534" s="17" t="s">
        <v>140</v>
      </c>
      <c r="R534" s="17" t="s">
        <v>102</v>
      </c>
      <c r="S534" s="17">
        <v>9083</v>
      </c>
      <c r="T534" s="32" t="s">
        <v>804</v>
      </c>
      <c r="U534" s="18" t="s">
        <v>19</v>
      </c>
      <c r="V534" s="17"/>
    </row>
    <row r="535" spans="1:22" x14ac:dyDescent="0.3">
      <c r="A535" s="18" t="e">
        <f t="shared" si="9"/>
        <v>#REF!</v>
      </c>
      <c r="B535" s="17">
        <v>95</v>
      </c>
      <c r="C535" s="17" t="s">
        <v>20</v>
      </c>
      <c r="D535" s="17" t="s">
        <v>1103</v>
      </c>
      <c r="E535" s="16">
        <v>45740</v>
      </c>
      <c r="F535" s="21" t="s">
        <v>64</v>
      </c>
      <c r="G535" s="51" t="s">
        <v>1104</v>
      </c>
      <c r="H535" s="56">
        <v>110356.8</v>
      </c>
      <c r="I535" s="16">
        <v>45743</v>
      </c>
      <c r="J535" s="18"/>
      <c r="K535" s="17">
        <v>120</v>
      </c>
      <c r="L535" s="34">
        <v>120</v>
      </c>
      <c r="M535" s="34">
        <v>10</v>
      </c>
      <c r="N535" s="22">
        <v>45744</v>
      </c>
      <c r="O535" s="18" t="s">
        <v>21</v>
      </c>
      <c r="P535" s="18" t="s">
        <v>25</v>
      </c>
      <c r="Q535" s="17" t="s">
        <v>140</v>
      </c>
      <c r="R535" s="17" t="s">
        <v>102</v>
      </c>
      <c r="S535" s="17">
        <v>9082</v>
      </c>
      <c r="T535" s="32" t="s">
        <v>804</v>
      </c>
      <c r="U535" s="18" t="s">
        <v>19</v>
      </c>
      <c r="V535" s="17"/>
    </row>
    <row r="536" spans="1:22" x14ac:dyDescent="0.3">
      <c r="A536" s="18" t="e">
        <f t="shared" si="9"/>
        <v>#REF!</v>
      </c>
      <c r="B536" s="17">
        <v>95</v>
      </c>
      <c r="C536" s="17" t="s">
        <v>20</v>
      </c>
      <c r="D536" s="17" t="s">
        <v>1105</v>
      </c>
      <c r="E536" s="16">
        <v>45741</v>
      </c>
      <c r="F536" s="21" t="s">
        <v>28</v>
      </c>
      <c r="G536" s="51" t="s">
        <v>1106</v>
      </c>
      <c r="H536" s="56">
        <v>165535.20000000001</v>
      </c>
      <c r="I536" s="16">
        <v>45743</v>
      </c>
      <c r="J536" s="18"/>
      <c r="K536" s="17">
        <v>180</v>
      </c>
      <c r="L536" s="34">
        <v>180</v>
      </c>
      <c r="M536" s="34">
        <v>15</v>
      </c>
      <c r="N536" s="22">
        <v>45744</v>
      </c>
      <c r="O536" s="18" t="s">
        <v>21</v>
      </c>
      <c r="P536" s="18" t="s">
        <v>25</v>
      </c>
      <c r="Q536" s="17" t="s">
        <v>140</v>
      </c>
      <c r="R536" s="17" t="s">
        <v>102</v>
      </c>
      <c r="S536" s="17">
        <v>9090</v>
      </c>
      <c r="T536" s="32" t="s">
        <v>804</v>
      </c>
      <c r="U536" s="18" t="s">
        <v>19</v>
      </c>
      <c r="V536" s="17"/>
    </row>
    <row r="537" spans="1:22" x14ac:dyDescent="0.3">
      <c r="A537" s="18" t="e">
        <f t="shared" si="9"/>
        <v>#REF!</v>
      </c>
      <c r="B537" s="17">
        <v>95</v>
      </c>
      <c r="C537" s="17" t="s">
        <v>20</v>
      </c>
      <c r="D537" s="17" t="s">
        <v>1107</v>
      </c>
      <c r="E537" s="16">
        <v>45742</v>
      </c>
      <c r="F537" s="23" t="s">
        <v>28</v>
      </c>
      <c r="G537" s="51" t="s">
        <v>1108</v>
      </c>
      <c r="H537" s="56">
        <v>110356.8</v>
      </c>
      <c r="I537" s="16">
        <v>45743</v>
      </c>
      <c r="J537" s="18"/>
      <c r="K537" s="17">
        <v>120</v>
      </c>
      <c r="L537" s="34">
        <v>120</v>
      </c>
      <c r="M537" s="34">
        <v>10</v>
      </c>
      <c r="N537" s="22">
        <v>45744</v>
      </c>
      <c r="O537" s="18" t="s">
        <v>21</v>
      </c>
      <c r="P537" s="18" t="s">
        <v>25</v>
      </c>
      <c r="Q537" s="17" t="s">
        <v>140</v>
      </c>
      <c r="R537" s="17" t="s">
        <v>102</v>
      </c>
      <c r="S537" s="17">
        <v>9091</v>
      </c>
      <c r="T537" s="32" t="s">
        <v>804</v>
      </c>
      <c r="U537" s="18" t="s">
        <v>19</v>
      </c>
      <c r="V537" s="17"/>
    </row>
    <row r="538" spans="1:22" x14ac:dyDescent="0.3">
      <c r="A538" s="18" t="e">
        <f t="shared" si="9"/>
        <v>#REF!</v>
      </c>
      <c r="B538" s="17">
        <v>95</v>
      </c>
      <c r="C538" s="17" t="s">
        <v>20</v>
      </c>
      <c r="D538" s="17" t="s">
        <v>1109</v>
      </c>
      <c r="E538" s="16">
        <v>45741</v>
      </c>
      <c r="F538" s="24" t="s">
        <v>51</v>
      </c>
      <c r="G538" s="51" t="s">
        <v>1110</v>
      </c>
      <c r="H538" s="56">
        <v>77249.759999999995</v>
      </c>
      <c r="I538" s="16">
        <v>45743</v>
      </c>
      <c r="J538" s="18"/>
      <c r="K538" s="17">
        <v>84</v>
      </c>
      <c r="L538" s="34">
        <v>84</v>
      </c>
      <c r="M538" s="34">
        <v>7</v>
      </c>
      <c r="N538" s="22">
        <v>45744</v>
      </c>
      <c r="O538" s="18" t="s">
        <v>21</v>
      </c>
      <c r="P538" s="18" t="s">
        <v>25</v>
      </c>
      <c r="Q538" s="17" t="s">
        <v>140</v>
      </c>
      <c r="R538" s="17" t="s">
        <v>102</v>
      </c>
      <c r="S538" s="17">
        <v>9089</v>
      </c>
      <c r="T538" s="32" t="s">
        <v>804</v>
      </c>
      <c r="U538" s="18" t="s">
        <v>19</v>
      </c>
      <c r="V538" s="17"/>
    </row>
    <row r="539" spans="1:22" x14ac:dyDescent="0.3">
      <c r="A539" s="18" t="e">
        <f t="shared" si="9"/>
        <v>#REF!</v>
      </c>
      <c r="B539" s="17">
        <v>95</v>
      </c>
      <c r="C539" s="17" t="s">
        <v>20</v>
      </c>
      <c r="D539" s="17" t="s">
        <v>1111</v>
      </c>
      <c r="E539" s="16">
        <v>45743</v>
      </c>
      <c r="F539" s="21" t="s">
        <v>47</v>
      </c>
      <c r="G539" s="51" t="s">
        <v>1112</v>
      </c>
      <c r="H539" s="56">
        <v>283424.74</v>
      </c>
      <c r="I539" s="16">
        <v>45744</v>
      </c>
      <c r="J539" s="18"/>
      <c r="K539" s="17">
        <v>236</v>
      </c>
      <c r="L539" s="34">
        <v>236</v>
      </c>
      <c r="M539" s="34">
        <v>23</v>
      </c>
      <c r="N539" s="22">
        <v>45744</v>
      </c>
      <c r="O539" s="18" t="s">
        <v>21</v>
      </c>
      <c r="P539" s="18" t="s">
        <v>25</v>
      </c>
      <c r="Q539" s="17" t="s">
        <v>140</v>
      </c>
      <c r="R539" s="17" t="s">
        <v>102</v>
      </c>
      <c r="S539" s="17">
        <v>9088</v>
      </c>
      <c r="T539" s="32" t="s">
        <v>804</v>
      </c>
      <c r="U539" s="18" t="s">
        <v>19</v>
      </c>
      <c r="V539" s="17"/>
    </row>
    <row r="540" spans="1:22" x14ac:dyDescent="0.3">
      <c r="A540" s="18" t="e">
        <f t="shared" si="9"/>
        <v>#REF!</v>
      </c>
      <c r="B540" s="17">
        <v>95</v>
      </c>
      <c r="C540" s="17" t="s">
        <v>20</v>
      </c>
      <c r="D540" s="17" t="s">
        <v>1113</v>
      </c>
      <c r="E540" s="16">
        <v>45741</v>
      </c>
      <c r="F540" s="21" t="s">
        <v>43</v>
      </c>
      <c r="G540" s="51" t="s">
        <v>1114</v>
      </c>
      <c r="H540" s="56">
        <v>55178</v>
      </c>
      <c r="I540" s="16">
        <v>45743</v>
      </c>
      <c r="J540" s="18"/>
      <c r="K540" s="17">
        <v>60</v>
      </c>
      <c r="L540" s="34">
        <v>60</v>
      </c>
      <c r="M540" s="34">
        <v>5</v>
      </c>
      <c r="N540" s="22">
        <v>45744</v>
      </c>
      <c r="O540" s="18" t="s">
        <v>21</v>
      </c>
      <c r="P540" s="18" t="s">
        <v>25</v>
      </c>
      <c r="Q540" s="17" t="s">
        <v>140</v>
      </c>
      <c r="R540" s="17" t="s">
        <v>102</v>
      </c>
      <c r="S540" s="17">
        <v>9081</v>
      </c>
      <c r="T540" s="32" t="s">
        <v>804</v>
      </c>
      <c r="U540" s="18" t="s">
        <v>19</v>
      </c>
      <c r="V540" s="17"/>
    </row>
    <row r="541" spans="1:22" x14ac:dyDescent="0.3">
      <c r="A541" s="18" t="e">
        <f t="shared" si="9"/>
        <v>#REF!</v>
      </c>
      <c r="B541" s="17">
        <v>95</v>
      </c>
      <c r="C541" s="17" t="s">
        <v>20</v>
      </c>
      <c r="D541" s="17" t="s">
        <v>1115</v>
      </c>
      <c r="E541" s="16">
        <v>45742</v>
      </c>
      <c r="F541" s="21" t="s">
        <v>64</v>
      </c>
      <c r="G541" s="51" t="s">
        <v>1116</v>
      </c>
      <c r="H541" s="56">
        <v>165535.20000000001</v>
      </c>
      <c r="I541" s="16">
        <v>45743</v>
      </c>
      <c r="J541" s="18"/>
      <c r="K541" s="17">
        <v>180</v>
      </c>
      <c r="L541" s="34">
        <v>180</v>
      </c>
      <c r="M541" s="34">
        <v>15</v>
      </c>
      <c r="N541" s="22">
        <v>45744</v>
      </c>
      <c r="O541" s="18" t="s">
        <v>21</v>
      </c>
      <c r="P541" s="18" t="s">
        <v>25</v>
      </c>
      <c r="Q541" s="17" t="s">
        <v>140</v>
      </c>
      <c r="R541" s="17" t="s">
        <v>102</v>
      </c>
      <c r="S541" s="17">
        <v>9081</v>
      </c>
      <c r="T541" s="32" t="s">
        <v>804</v>
      </c>
      <c r="U541" s="18" t="s">
        <v>19</v>
      </c>
      <c r="V541" s="17"/>
    </row>
    <row r="542" spans="1:22" x14ac:dyDescent="0.3">
      <c r="A542" s="18" t="e">
        <f t="shared" si="9"/>
        <v>#REF!</v>
      </c>
      <c r="B542" s="17">
        <v>95</v>
      </c>
      <c r="C542" s="17" t="s">
        <v>20</v>
      </c>
      <c r="D542" s="17" t="s">
        <v>1117</v>
      </c>
      <c r="E542" s="16">
        <v>45741</v>
      </c>
      <c r="F542" s="21" t="s">
        <v>113</v>
      </c>
      <c r="G542" s="51" t="s">
        <v>1118</v>
      </c>
      <c r="H542" s="56">
        <v>55178</v>
      </c>
      <c r="I542" s="16">
        <v>45743</v>
      </c>
      <c r="J542" s="18"/>
      <c r="K542" s="17">
        <v>60</v>
      </c>
      <c r="L542" s="34">
        <v>60</v>
      </c>
      <c r="M542" s="34">
        <v>5</v>
      </c>
      <c r="N542" s="22">
        <v>45744</v>
      </c>
      <c r="O542" s="18" t="s">
        <v>21</v>
      </c>
      <c r="P542" s="18" t="s">
        <v>25</v>
      </c>
      <c r="Q542" s="17" t="s">
        <v>140</v>
      </c>
      <c r="R542" s="17" t="s">
        <v>102</v>
      </c>
      <c r="S542" s="17">
        <v>9080</v>
      </c>
      <c r="T542" s="32" t="s">
        <v>804</v>
      </c>
      <c r="U542" s="18" t="s">
        <v>19</v>
      </c>
      <c r="V542" s="17"/>
    </row>
    <row r="543" spans="1:22" x14ac:dyDescent="0.3">
      <c r="A543" s="18" t="e">
        <f t="shared" si="9"/>
        <v>#REF!</v>
      </c>
      <c r="B543" s="17">
        <v>95</v>
      </c>
      <c r="C543" s="17" t="s">
        <v>20</v>
      </c>
      <c r="D543" s="17" t="s">
        <v>1119</v>
      </c>
      <c r="E543" s="16">
        <v>45741</v>
      </c>
      <c r="F543" s="21" t="s">
        <v>47</v>
      </c>
      <c r="G543" s="51" t="s">
        <v>1120</v>
      </c>
      <c r="H543" s="56">
        <v>55178.400000000001</v>
      </c>
      <c r="I543" s="16">
        <v>45743</v>
      </c>
      <c r="J543" s="18"/>
      <c r="K543" s="17">
        <v>60</v>
      </c>
      <c r="L543" s="34">
        <v>60</v>
      </c>
      <c r="M543" s="34">
        <v>5</v>
      </c>
      <c r="N543" s="22">
        <v>45744</v>
      </c>
      <c r="O543" s="18" t="s">
        <v>21</v>
      </c>
      <c r="P543" s="18" t="s">
        <v>25</v>
      </c>
      <c r="Q543" s="17" t="s">
        <v>140</v>
      </c>
      <c r="R543" s="17" t="s">
        <v>102</v>
      </c>
      <c r="S543" s="17">
        <v>9079</v>
      </c>
      <c r="T543" s="32" t="s">
        <v>804</v>
      </c>
      <c r="U543" s="18" t="s">
        <v>19</v>
      </c>
      <c r="V543" s="17"/>
    </row>
    <row r="544" spans="1:22" x14ac:dyDescent="0.3">
      <c r="A544" s="18" t="e">
        <f t="shared" si="9"/>
        <v>#REF!</v>
      </c>
      <c r="B544" s="17">
        <v>95</v>
      </c>
      <c r="C544" s="17" t="s">
        <v>23</v>
      </c>
      <c r="D544" s="17" t="s">
        <v>1074</v>
      </c>
      <c r="E544" s="16">
        <v>45741</v>
      </c>
      <c r="F544" s="21" t="s">
        <v>929</v>
      </c>
      <c r="G544" s="51" t="s">
        <v>1121</v>
      </c>
      <c r="H544" s="56">
        <v>344653.92</v>
      </c>
      <c r="I544" s="16">
        <v>45744</v>
      </c>
      <c r="J544" s="18"/>
      <c r="K544" s="17">
        <v>36</v>
      </c>
      <c r="L544" s="34">
        <v>1224</v>
      </c>
      <c r="M544" s="34">
        <v>36</v>
      </c>
      <c r="N544" s="22">
        <v>45744</v>
      </c>
      <c r="O544" s="18" t="s">
        <v>21</v>
      </c>
      <c r="P544" s="18" t="s">
        <v>25</v>
      </c>
      <c r="Q544" s="17" t="s">
        <v>140</v>
      </c>
      <c r="R544" s="17" t="s">
        <v>102</v>
      </c>
      <c r="S544" s="17">
        <v>9078</v>
      </c>
      <c r="T544" s="32" t="s">
        <v>804</v>
      </c>
      <c r="U544" s="18" t="s">
        <v>19</v>
      </c>
      <c r="V544" s="17"/>
    </row>
    <row r="545" spans="1:22" x14ac:dyDescent="0.3">
      <c r="A545" s="18" t="e">
        <f t="shared" si="9"/>
        <v>#REF!</v>
      </c>
      <c r="B545" s="17">
        <v>95</v>
      </c>
      <c r="C545" s="17" t="s">
        <v>23</v>
      </c>
      <c r="D545" s="17" t="s">
        <v>1122</v>
      </c>
      <c r="E545" s="16">
        <v>45744</v>
      </c>
      <c r="F545" s="21" t="s">
        <v>575</v>
      </c>
      <c r="G545" s="51" t="s">
        <v>1123</v>
      </c>
      <c r="H545" s="56">
        <v>66361.679999999993</v>
      </c>
      <c r="I545" s="16">
        <v>45744</v>
      </c>
      <c r="J545" s="18"/>
      <c r="K545" s="17">
        <v>9</v>
      </c>
      <c r="L545" s="34">
        <v>216</v>
      </c>
      <c r="M545" s="34">
        <v>9</v>
      </c>
      <c r="N545" s="22">
        <v>45744</v>
      </c>
      <c r="O545" s="18" t="s">
        <v>21</v>
      </c>
      <c r="P545" s="18" t="s">
        <v>25</v>
      </c>
      <c r="Q545" s="17" t="s">
        <v>140</v>
      </c>
      <c r="R545" s="17" t="s">
        <v>102</v>
      </c>
      <c r="S545" s="17">
        <v>9088</v>
      </c>
      <c r="T545" s="32" t="s">
        <v>804</v>
      </c>
      <c r="U545" s="18" t="s">
        <v>19</v>
      </c>
      <c r="V545" s="17"/>
    </row>
    <row r="546" spans="1:22" x14ac:dyDescent="0.3">
      <c r="A546" s="18" t="e">
        <f t="shared" si="9"/>
        <v>#REF!</v>
      </c>
      <c r="B546" s="17">
        <v>95</v>
      </c>
      <c r="C546" s="17" t="s">
        <v>23</v>
      </c>
      <c r="D546" s="17" t="s">
        <v>1124</v>
      </c>
      <c r="E546" s="16">
        <v>45744</v>
      </c>
      <c r="F546" s="21" t="s">
        <v>35</v>
      </c>
      <c r="G546" s="51" t="s">
        <v>1125</v>
      </c>
      <c r="H546" s="56">
        <v>9685.48</v>
      </c>
      <c r="I546" s="16">
        <v>45744</v>
      </c>
      <c r="J546" s="18"/>
      <c r="K546" s="17">
        <v>8</v>
      </c>
      <c r="L546" s="34">
        <v>192</v>
      </c>
      <c r="M546" s="34">
        <v>8</v>
      </c>
      <c r="N546" s="22">
        <v>45744</v>
      </c>
      <c r="O546" s="18" t="s">
        <v>21</v>
      </c>
      <c r="P546" s="18" t="s">
        <v>25</v>
      </c>
      <c r="Q546" s="17" t="s">
        <v>140</v>
      </c>
      <c r="R546" s="17" t="s">
        <v>102</v>
      </c>
      <c r="S546" s="17">
        <v>9087</v>
      </c>
      <c r="T546" s="32" t="s">
        <v>804</v>
      </c>
      <c r="U546" s="18" t="s">
        <v>19</v>
      </c>
      <c r="V546" s="17"/>
    </row>
    <row r="547" spans="1:22" x14ac:dyDescent="0.3">
      <c r="A547" s="18" t="e">
        <f t="shared" si="9"/>
        <v>#REF!</v>
      </c>
      <c r="B547" s="17">
        <v>96</v>
      </c>
      <c r="C547" s="17" t="s">
        <v>20</v>
      </c>
      <c r="D547" s="17" t="s">
        <v>1128</v>
      </c>
      <c r="E547" s="16">
        <v>45747</v>
      </c>
      <c r="F547" s="21" t="s">
        <v>53</v>
      </c>
      <c r="G547" s="51" t="s">
        <v>1129</v>
      </c>
      <c r="H547" s="56">
        <v>61800</v>
      </c>
      <c r="I547" s="16">
        <v>45747</v>
      </c>
      <c r="J547" s="18"/>
      <c r="K547" s="17">
        <v>60</v>
      </c>
      <c r="L547" s="34">
        <v>60</v>
      </c>
      <c r="M547" s="34">
        <v>5</v>
      </c>
      <c r="N547" s="22">
        <v>45747</v>
      </c>
      <c r="O547" s="18" t="s">
        <v>21</v>
      </c>
      <c r="P547" s="18" t="s">
        <v>25</v>
      </c>
      <c r="Q547" s="17" t="s">
        <v>144</v>
      </c>
      <c r="R547" s="17" t="s">
        <v>102</v>
      </c>
      <c r="S547" s="17">
        <v>9112</v>
      </c>
      <c r="T547" s="32" t="s">
        <v>804</v>
      </c>
      <c r="U547" s="18" t="s">
        <v>19</v>
      </c>
      <c r="V547" s="17"/>
    </row>
    <row r="548" spans="1:22" x14ac:dyDescent="0.3">
      <c r="A548" s="18" t="e">
        <f t="shared" si="9"/>
        <v>#REF!</v>
      </c>
      <c r="B548" s="17">
        <v>96</v>
      </c>
      <c r="C548" s="17" t="s">
        <v>20</v>
      </c>
      <c r="D548" s="17" t="s">
        <v>1130</v>
      </c>
      <c r="E548" s="16">
        <v>45745</v>
      </c>
      <c r="F548" s="23" t="s">
        <v>35</v>
      </c>
      <c r="G548" s="51" t="s">
        <v>1131</v>
      </c>
      <c r="H548" s="56">
        <v>77910.38</v>
      </c>
      <c r="I548" s="16">
        <v>45746</v>
      </c>
      <c r="J548" s="18"/>
      <c r="K548" s="17">
        <v>60</v>
      </c>
      <c r="L548" s="34">
        <v>60</v>
      </c>
      <c r="M548" s="34">
        <v>6</v>
      </c>
      <c r="N548" s="22">
        <v>45747</v>
      </c>
      <c r="O548" s="18" t="s">
        <v>21</v>
      </c>
      <c r="P548" s="18" t="s">
        <v>25</v>
      </c>
      <c r="Q548" s="17" t="s">
        <v>144</v>
      </c>
      <c r="R548" s="17" t="s">
        <v>102</v>
      </c>
      <c r="S548" s="17">
        <v>9110</v>
      </c>
      <c r="T548" s="32" t="s">
        <v>804</v>
      </c>
      <c r="U548" s="18" t="s">
        <v>19</v>
      </c>
      <c r="V548" s="17"/>
    </row>
    <row r="549" spans="1:22" x14ac:dyDescent="0.3">
      <c r="A549" s="18" t="e">
        <f t="shared" si="9"/>
        <v>#REF!</v>
      </c>
      <c r="B549" s="17">
        <v>96</v>
      </c>
      <c r="C549" s="17" t="s">
        <v>20</v>
      </c>
      <c r="D549" s="17" t="s">
        <v>1132</v>
      </c>
      <c r="E549" s="16">
        <v>45744</v>
      </c>
      <c r="F549" s="21" t="s">
        <v>117</v>
      </c>
      <c r="G549" s="51" t="s">
        <v>1133</v>
      </c>
      <c r="H549" s="56">
        <v>44142.720000000001</v>
      </c>
      <c r="I549" s="16">
        <v>45744</v>
      </c>
      <c r="J549" s="18"/>
      <c r="K549" s="17">
        <v>48</v>
      </c>
      <c r="L549" s="34">
        <v>48</v>
      </c>
      <c r="M549" s="34">
        <v>4</v>
      </c>
      <c r="N549" s="22">
        <v>45747</v>
      </c>
      <c r="O549" s="18" t="s">
        <v>21</v>
      </c>
      <c r="P549" s="18" t="s">
        <v>25</v>
      </c>
      <c r="Q549" s="17" t="s">
        <v>144</v>
      </c>
      <c r="R549" s="17" t="s">
        <v>102</v>
      </c>
      <c r="S549" s="17">
        <v>9108</v>
      </c>
      <c r="T549" s="32" t="s">
        <v>804</v>
      </c>
      <c r="U549" s="18" t="s">
        <v>19</v>
      </c>
      <c r="V549" s="17"/>
    </row>
    <row r="550" spans="1:22" x14ac:dyDescent="0.3">
      <c r="A550" s="18" t="e">
        <f t="shared" si="9"/>
        <v>#REF!</v>
      </c>
      <c r="B550" s="17">
        <v>96</v>
      </c>
      <c r="C550" s="17" t="s">
        <v>20</v>
      </c>
      <c r="D550" s="17" t="s">
        <v>1134</v>
      </c>
      <c r="E550" s="16">
        <v>45744</v>
      </c>
      <c r="F550" s="21" t="s">
        <v>33</v>
      </c>
      <c r="G550" s="51" t="s">
        <v>1135</v>
      </c>
      <c r="H550" s="56">
        <v>44142.720000000001</v>
      </c>
      <c r="I550" s="16">
        <v>45744</v>
      </c>
      <c r="J550" s="18"/>
      <c r="K550" s="17">
        <v>48</v>
      </c>
      <c r="L550" s="34">
        <v>48</v>
      </c>
      <c r="M550" s="34">
        <v>4</v>
      </c>
      <c r="N550" s="22">
        <v>45747</v>
      </c>
      <c r="O550" s="18" t="s">
        <v>21</v>
      </c>
      <c r="P550" s="18" t="s">
        <v>25</v>
      </c>
      <c r="Q550" s="17" t="s">
        <v>144</v>
      </c>
      <c r="R550" s="17" t="s">
        <v>102</v>
      </c>
      <c r="S550" s="17">
        <v>9011</v>
      </c>
      <c r="T550" s="32" t="s">
        <v>804</v>
      </c>
      <c r="U550" s="18" t="s">
        <v>19</v>
      </c>
      <c r="V550" s="17"/>
    </row>
    <row r="551" spans="1:22" x14ac:dyDescent="0.3">
      <c r="A551" s="18" t="e">
        <f t="shared" si="9"/>
        <v>#REF!</v>
      </c>
      <c r="B551" s="17">
        <v>96</v>
      </c>
      <c r="C551" s="17" t="s">
        <v>20</v>
      </c>
      <c r="D551" s="17" t="s">
        <v>1136</v>
      </c>
      <c r="E551" s="16">
        <v>45744</v>
      </c>
      <c r="F551" s="21" t="s">
        <v>35</v>
      </c>
      <c r="G551" s="51" t="s">
        <v>1137</v>
      </c>
      <c r="H551" s="56">
        <v>144094.26</v>
      </c>
      <c r="I551" s="16">
        <v>45744</v>
      </c>
      <c r="J551" s="18"/>
      <c r="K551" s="17">
        <v>114</v>
      </c>
      <c r="L551" s="34">
        <v>114</v>
      </c>
      <c r="M551" s="34">
        <v>11</v>
      </c>
      <c r="N551" s="22">
        <v>45747</v>
      </c>
      <c r="O551" s="18" t="s">
        <v>21</v>
      </c>
      <c r="P551" s="18" t="s">
        <v>25</v>
      </c>
      <c r="Q551" s="17" t="s">
        <v>144</v>
      </c>
      <c r="R551" s="17" t="s">
        <v>102</v>
      </c>
      <c r="S551" s="17">
        <v>9109</v>
      </c>
      <c r="T551" s="32" t="s">
        <v>804</v>
      </c>
      <c r="U551" s="18" t="s">
        <v>19</v>
      </c>
      <c r="V551" s="17"/>
    </row>
    <row r="552" spans="1:22" x14ac:dyDescent="0.3">
      <c r="A552" s="18" t="e">
        <f t="shared" si="9"/>
        <v>#REF!</v>
      </c>
      <c r="B552" s="17">
        <v>96</v>
      </c>
      <c r="C552" s="17" t="s">
        <v>23</v>
      </c>
      <c r="D552" s="17" t="s">
        <v>1138</v>
      </c>
      <c r="E552" s="16">
        <v>45745</v>
      </c>
      <c r="F552" s="21" t="s">
        <v>53</v>
      </c>
      <c r="G552" s="51" t="s">
        <v>1139</v>
      </c>
      <c r="H552" s="56">
        <v>73759.199999999997</v>
      </c>
      <c r="I552" s="16">
        <v>45747</v>
      </c>
      <c r="J552" s="18"/>
      <c r="K552" s="17">
        <v>8</v>
      </c>
      <c r="L552" s="34">
        <v>192</v>
      </c>
      <c r="M552" s="34">
        <v>8</v>
      </c>
      <c r="N552" s="22">
        <v>45747</v>
      </c>
      <c r="O552" s="18" t="s">
        <v>21</v>
      </c>
      <c r="P552" s="18" t="s">
        <v>25</v>
      </c>
      <c r="Q552" s="17" t="s">
        <v>144</v>
      </c>
      <c r="R552" s="17" t="s">
        <v>102</v>
      </c>
      <c r="S552" s="17">
        <v>9107</v>
      </c>
      <c r="T552" s="32" t="s">
        <v>804</v>
      </c>
      <c r="U552" s="18" t="s">
        <v>19</v>
      </c>
      <c r="V552" s="17"/>
    </row>
    <row r="553" spans="1:22" x14ac:dyDescent="0.3">
      <c r="A553" s="18" t="e">
        <f t="shared" si="9"/>
        <v>#REF!</v>
      </c>
      <c r="B553" s="17">
        <v>96</v>
      </c>
      <c r="C553" s="17" t="s">
        <v>23</v>
      </c>
      <c r="D553" s="17" t="s">
        <v>1140</v>
      </c>
      <c r="E553" s="16">
        <v>45745</v>
      </c>
      <c r="F553" s="21" t="s">
        <v>64</v>
      </c>
      <c r="G553" s="51" t="s">
        <v>1141</v>
      </c>
      <c r="H553" s="56">
        <v>108126.72</v>
      </c>
      <c r="I553" s="16">
        <v>45747</v>
      </c>
      <c r="J553" s="18"/>
      <c r="K553" s="17">
        <v>12</v>
      </c>
      <c r="L553" s="34">
        <v>384</v>
      </c>
      <c r="M553" s="34">
        <v>12</v>
      </c>
      <c r="N553" s="22">
        <v>45747</v>
      </c>
      <c r="O553" s="18" t="s">
        <v>21</v>
      </c>
      <c r="P553" s="18" t="s">
        <v>25</v>
      </c>
      <c r="Q553" s="17" t="s">
        <v>144</v>
      </c>
      <c r="R553" s="17" t="s">
        <v>102</v>
      </c>
      <c r="S553" s="17">
        <v>9106</v>
      </c>
      <c r="T553" s="32" t="s">
        <v>804</v>
      </c>
      <c r="U553" s="18" t="s">
        <v>19</v>
      </c>
      <c r="V553" s="17"/>
    </row>
    <row r="554" spans="1:22" x14ac:dyDescent="0.3">
      <c r="A554" s="18" t="e">
        <f t="shared" si="9"/>
        <v>#REF!</v>
      </c>
      <c r="B554" s="17">
        <v>96</v>
      </c>
      <c r="C554" s="17" t="s">
        <v>23</v>
      </c>
      <c r="D554" s="17" t="s">
        <v>1142</v>
      </c>
      <c r="E554" s="16">
        <v>45747</v>
      </c>
      <c r="F554" s="23" t="s">
        <v>35</v>
      </c>
      <c r="G554" s="51" t="s">
        <v>1143</v>
      </c>
      <c r="H554" s="56">
        <v>124400.16</v>
      </c>
      <c r="I554" s="16">
        <v>45747</v>
      </c>
      <c r="J554" s="18"/>
      <c r="K554" s="17">
        <v>14</v>
      </c>
      <c r="L554" s="34">
        <v>336</v>
      </c>
      <c r="M554" s="34">
        <v>14</v>
      </c>
      <c r="N554" s="22">
        <v>45747</v>
      </c>
      <c r="O554" s="18" t="s">
        <v>21</v>
      </c>
      <c r="P554" s="18" t="s">
        <v>25</v>
      </c>
      <c r="Q554" s="17" t="s">
        <v>144</v>
      </c>
      <c r="R554" s="17" t="s">
        <v>102</v>
      </c>
      <c r="S554" s="17">
        <v>9105</v>
      </c>
      <c r="T554" s="32" t="s">
        <v>804</v>
      </c>
      <c r="U554" s="18" t="s">
        <v>19</v>
      </c>
      <c r="V554" s="17"/>
    </row>
    <row r="555" spans="1:22" x14ac:dyDescent="0.3">
      <c r="A555" s="18" t="e">
        <f t="shared" si="9"/>
        <v>#REF!</v>
      </c>
      <c r="B555" s="17">
        <v>96</v>
      </c>
      <c r="C555" s="17" t="s">
        <v>23</v>
      </c>
      <c r="D555" s="17" t="s">
        <v>1144</v>
      </c>
      <c r="E555" s="16">
        <v>45745</v>
      </c>
      <c r="F555" s="21" t="s">
        <v>35</v>
      </c>
      <c r="G555" s="51" t="s">
        <v>1145</v>
      </c>
      <c r="H555" s="56">
        <v>42997.919999999998</v>
      </c>
      <c r="I555" s="16">
        <v>45747</v>
      </c>
      <c r="J555" s="18"/>
      <c r="K555" s="17">
        <v>7</v>
      </c>
      <c r="L555" s="34">
        <v>168</v>
      </c>
      <c r="M555" s="34">
        <v>7</v>
      </c>
      <c r="N555" s="22">
        <v>45747</v>
      </c>
      <c r="O555" s="18" t="s">
        <v>21</v>
      </c>
      <c r="P555" s="18" t="s">
        <v>25</v>
      </c>
      <c r="Q555" s="17" t="s">
        <v>144</v>
      </c>
      <c r="R555" s="17" t="s">
        <v>102</v>
      </c>
      <c r="S555" s="17">
        <v>9104</v>
      </c>
      <c r="T555" s="32" t="s">
        <v>804</v>
      </c>
      <c r="U555" s="18" t="s">
        <v>19</v>
      </c>
      <c r="V555" s="17"/>
    </row>
    <row r="556" spans="1:22" x14ac:dyDescent="0.3">
      <c r="A556" s="18" t="e">
        <f t="shared" si="9"/>
        <v>#REF!</v>
      </c>
      <c r="B556" s="17">
        <v>96</v>
      </c>
      <c r="C556" s="17" t="s">
        <v>23</v>
      </c>
      <c r="D556" s="17" t="s">
        <v>1146</v>
      </c>
      <c r="E556" s="16">
        <v>45744</v>
      </c>
      <c r="F556" s="21" t="s">
        <v>117</v>
      </c>
      <c r="G556" s="51" t="s">
        <v>1152</v>
      </c>
      <c r="H556" s="56">
        <v>210531.84</v>
      </c>
      <c r="I556" s="16">
        <v>45747</v>
      </c>
      <c r="J556" s="18"/>
      <c r="K556" s="17">
        <v>33</v>
      </c>
      <c r="L556" s="34">
        <v>648</v>
      </c>
      <c r="M556" s="34">
        <v>33</v>
      </c>
      <c r="N556" s="22">
        <v>45747</v>
      </c>
      <c r="O556" s="18" t="s">
        <v>21</v>
      </c>
      <c r="P556" s="18" t="s">
        <v>25</v>
      </c>
      <c r="Q556" s="17" t="s">
        <v>144</v>
      </c>
      <c r="R556" s="17" t="s">
        <v>102</v>
      </c>
      <c r="S556" s="17">
        <v>9100</v>
      </c>
      <c r="T556" s="32" t="s">
        <v>804</v>
      </c>
      <c r="U556" s="18" t="s">
        <v>19</v>
      </c>
      <c r="V556" s="17"/>
    </row>
    <row r="557" spans="1:22" x14ac:dyDescent="0.3">
      <c r="A557" s="18" t="e">
        <f t="shared" si="9"/>
        <v>#REF!</v>
      </c>
      <c r="B557" s="17">
        <v>96</v>
      </c>
      <c r="C557" s="17" t="s">
        <v>23</v>
      </c>
      <c r="D557" s="17" t="s">
        <v>1147</v>
      </c>
      <c r="E557" s="16">
        <v>45745</v>
      </c>
      <c r="F557" s="21" t="s">
        <v>123</v>
      </c>
      <c r="G557" s="51" t="s">
        <v>1148</v>
      </c>
      <c r="H557" s="56">
        <v>222521.04</v>
      </c>
      <c r="I557" s="16">
        <v>45747</v>
      </c>
      <c r="J557" s="18"/>
      <c r="K557" s="17">
        <v>23</v>
      </c>
      <c r="L557" s="34">
        <v>552</v>
      </c>
      <c r="M557" s="34">
        <v>23</v>
      </c>
      <c r="N557" s="22">
        <v>45747</v>
      </c>
      <c r="O557" s="18" t="s">
        <v>21</v>
      </c>
      <c r="P557" s="18" t="s">
        <v>25</v>
      </c>
      <c r="Q557" s="17" t="s">
        <v>144</v>
      </c>
      <c r="R557" s="17" t="s">
        <v>102</v>
      </c>
      <c r="S557" s="17">
        <v>9103</v>
      </c>
      <c r="T557" s="32" t="s">
        <v>804</v>
      </c>
      <c r="U557" s="18" t="s">
        <v>19</v>
      </c>
      <c r="V557" s="17"/>
    </row>
    <row r="558" spans="1:22" x14ac:dyDescent="0.3">
      <c r="A558" s="18" t="e">
        <f t="shared" si="9"/>
        <v>#REF!</v>
      </c>
      <c r="B558" s="17">
        <v>96</v>
      </c>
      <c r="C558" s="17" t="s">
        <v>23</v>
      </c>
      <c r="D558" s="17" t="s">
        <v>1149</v>
      </c>
      <c r="E558" s="16">
        <v>45745</v>
      </c>
      <c r="F558" s="21" t="s">
        <v>58</v>
      </c>
      <c r="G558" s="51" t="s">
        <v>1150</v>
      </c>
      <c r="H558" s="56">
        <v>185666.64</v>
      </c>
      <c r="I558" s="16">
        <v>45747</v>
      </c>
      <c r="J558" s="18"/>
      <c r="K558" s="17">
        <v>17</v>
      </c>
      <c r="L558" s="34">
        <v>408</v>
      </c>
      <c r="M558" s="34">
        <v>17</v>
      </c>
      <c r="N558" s="22">
        <v>45747</v>
      </c>
      <c r="O558" s="18" t="s">
        <v>21</v>
      </c>
      <c r="P558" s="18" t="s">
        <v>25</v>
      </c>
      <c r="Q558" s="17" t="s">
        <v>144</v>
      </c>
      <c r="R558" s="17" t="s">
        <v>102</v>
      </c>
      <c r="S558" s="17">
        <v>9102</v>
      </c>
      <c r="T558" s="32" t="s">
        <v>804</v>
      </c>
      <c r="U558" s="18" t="s">
        <v>19</v>
      </c>
      <c r="V558" s="17"/>
    </row>
    <row r="559" spans="1:22" x14ac:dyDescent="0.3">
      <c r="A559" s="18" t="e">
        <f t="shared" si="9"/>
        <v>#REF!</v>
      </c>
      <c r="B559" s="17">
        <v>97</v>
      </c>
      <c r="C559" s="17" t="s">
        <v>23</v>
      </c>
      <c r="D559" s="17" t="s">
        <v>1154</v>
      </c>
      <c r="E559" s="16">
        <v>45751</v>
      </c>
      <c r="F559" s="21" t="s">
        <v>53</v>
      </c>
      <c r="G559" s="51" t="s">
        <v>1260</v>
      </c>
      <c r="H559" s="56">
        <v>61972</v>
      </c>
      <c r="I559" s="16">
        <v>45752</v>
      </c>
      <c r="J559" s="36">
        <v>45772</v>
      </c>
      <c r="K559" s="17">
        <v>5</v>
      </c>
      <c r="L559" s="34">
        <v>120</v>
      </c>
      <c r="M559" s="34">
        <v>5</v>
      </c>
      <c r="N559" s="22">
        <v>45752</v>
      </c>
      <c r="O559" s="18" t="s">
        <v>21</v>
      </c>
      <c r="P559" s="18" t="s">
        <v>25</v>
      </c>
      <c r="Q559" s="17" t="s">
        <v>135</v>
      </c>
      <c r="R559" s="17" t="s">
        <v>102</v>
      </c>
      <c r="S559" s="17" t="s">
        <v>1174</v>
      </c>
      <c r="T559" s="32" t="s">
        <v>804</v>
      </c>
      <c r="U559" s="18" t="s">
        <v>19</v>
      </c>
      <c r="V559" s="17"/>
    </row>
    <row r="560" spans="1:22" x14ac:dyDescent="0.3">
      <c r="A560" s="18" t="e">
        <f t="shared" si="9"/>
        <v>#REF!</v>
      </c>
      <c r="B560" s="17">
        <v>97</v>
      </c>
      <c r="C560" s="17" t="s">
        <v>23</v>
      </c>
      <c r="D560" s="17" t="s">
        <v>1154</v>
      </c>
      <c r="E560" s="16">
        <v>45751</v>
      </c>
      <c r="F560" s="21" t="s">
        <v>33</v>
      </c>
      <c r="G560" s="51" t="s">
        <v>1261</v>
      </c>
      <c r="H560" s="56">
        <v>46210.559999999998</v>
      </c>
      <c r="I560" s="16">
        <v>45752</v>
      </c>
      <c r="J560" s="36">
        <v>45772</v>
      </c>
      <c r="K560" s="17">
        <v>6</v>
      </c>
      <c r="L560" s="34">
        <v>144</v>
      </c>
      <c r="M560" s="34">
        <v>6</v>
      </c>
      <c r="N560" s="22">
        <v>45752</v>
      </c>
      <c r="O560" s="18" t="s">
        <v>21</v>
      </c>
      <c r="P560" s="18" t="s">
        <v>25</v>
      </c>
      <c r="Q560" s="17" t="s">
        <v>135</v>
      </c>
      <c r="R560" s="17" t="s">
        <v>102</v>
      </c>
      <c r="S560" s="17" t="s">
        <v>1169</v>
      </c>
      <c r="T560" s="32" t="s">
        <v>804</v>
      </c>
      <c r="U560" s="18" t="s">
        <v>19</v>
      </c>
      <c r="V560" s="17"/>
    </row>
    <row r="561" spans="1:22" x14ac:dyDescent="0.3">
      <c r="A561" s="18" t="e">
        <f t="shared" si="9"/>
        <v>#REF!</v>
      </c>
      <c r="B561" s="17">
        <v>97</v>
      </c>
      <c r="C561" s="17" t="s">
        <v>20</v>
      </c>
      <c r="D561" s="17" t="s">
        <v>1156</v>
      </c>
      <c r="E561" s="16">
        <v>45751</v>
      </c>
      <c r="F561" s="21" t="s">
        <v>47</v>
      </c>
      <c r="G561" s="51" t="s">
        <v>1262</v>
      </c>
      <c r="H561" s="56">
        <v>152571.9</v>
      </c>
      <c r="I561" s="16">
        <v>45751</v>
      </c>
      <c r="J561" s="36">
        <v>45772</v>
      </c>
      <c r="K561" s="17">
        <v>100</v>
      </c>
      <c r="L561" s="34">
        <v>100</v>
      </c>
      <c r="M561" s="34">
        <v>10</v>
      </c>
      <c r="N561" s="22">
        <v>45752</v>
      </c>
      <c r="O561" s="18" t="s">
        <v>21</v>
      </c>
      <c r="P561" s="18" t="s">
        <v>25</v>
      </c>
      <c r="Q561" s="17" t="s">
        <v>135</v>
      </c>
      <c r="R561" s="17" t="s">
        <v>102</v>
      </c>
      <c r="S561" s="17" t="s">
        <v>1155</v>
      </c>
      <c r="T561" s="32" t="s">
        <v>804</v>
      </c>
      <c r="U561" s="18" t="s">
        <v>19</v>
      </c>
      <c r="V561" s="17"/>
    </row>
    <row r="562" spans="1:22" x14ac:dyDescent="0.3">
      <c r="A562" s="18" t="e">
        <f t="shared" si="9"/>
        <v>#REF!</v>
      </c>
      <c r="B562" s="17">
        <v>97</v>
      </c>
      <c r="C562" s="17" t="s">
        <v>23</v>
      </c>
      <c r="D562" s="17" t="s">
        <v>1157</v>
      </c>
      <c r="E562" s="16">
        <v>45751</v>
      </c>
      <c r="F562" s="21" t="s">
        <v>33</v>
      </c>
      <c r="G562" s="51" t="s">
        <v>1263</v>
      </c>
      <c r="H562" s="56">
        <v>33199.199999999997</v>
      </c>
      <c r="I562" s="16">
        <v>45752</v>
      </c>
      <c r="J562" s="36">
        <v>45772</v>
      </c>
      <c r="K562" s="17">
        <v>3</v>
      </c>
      <c r="L562" s="34">
        <v>72</v>
      </c>
      <c r="M562" s="34">
        <v>3</v>
      </c>
      <c r="N562" s="22">
        <v>45752</v>
      </c>
      <c r="O562" s="18" t="s">
        <v>21</v>
      </c>
      <c r="P562" s="18" t="s">
        <v>25</v>
      </c>
      <c r="Q562" s="17" t="s">
        <v>135</v>
      </c>
      <c r="R562" s="17" t="s">
        <v>102</v>
      </c>
      <c r="S562" s="17" t="s">
        <v>1158</v>
      </c>
      <c r="T562" s="32" t="s">
        <v>804</v>
      </c>
      <c r="U562" s="18" t="s">
        <v>19</v>
      </c>
      <c r="V562" s="17"/>
    </row>
    <row r="563" spans="1:22" x14ac:dyDescent="0.3">
      <c r="A563" s="18" t="e">
        <f t="shared" si="9"/>
        <v>#REF!</v>
      </c>
      <c r="B563" s="17">
        <v>97</v>
      </c>
      <c r="C563" s="17" t="s">
        <v>20</v>
      </c>
      <c r="D563" s="17" t="s">
        <v>1159</v>
      </c>
      <c r="E563" s="16">
        <v>45751</v>
      </c>
      <c r="F563" s="21" t="s">
        <v>84</v>
      </c>
      <c r="G563" s="51" t="s">
        <v>1264</v>
      </c>
      <c r="H563" s="56">
        <v>518156</v>
      </c>
      <c r="I563" s="16">
        <v>45751</v>
      </c>
      <c r="J563" s="36">
        <v>45772</v>
      </c>
      <c r="K563" s="17">
        <v>332</v>
      </c>
      <c r="L563" s="34">
        <v>332</v>
      </c>
      <c r="M563" s="34">
        <v>33</v>
      </c>
      <c r="N563" s="22">
        <v>45752</v>
      </c>
      <c r="O563" s="18" t="s">
        <v>21</v>
      </c>
      <c r="P563" s="18" t="s">
        <v>25</v>
      </c>
      <c r="Q563" s="17" t="s">
        <v>135</v>
      </c>
      <c r="R563" s="17" t="s">
        <v>102</v>
      </c>
      <c r="S563" s="17" t="s">
        <v>1160</v>
      </c>
      <c r="T563" s="32" t="s">
        <v>804</v>
      </c>
      <c r="U563" s="18" t="s">
        <v>19</v>
      </c>
      <c r="V563" s="17"/>
    </row>
    <row r="564" spans="1:22" x14ac:dyDescent="0.3">
      <c r="A564" s="18" t="e">
        <f t="shared" si="9"/>
        <v>#REF!</v>
      </c>
      <c r="B564" s="17">
        <v>97</v>
      </c>
      <c r="C564" s="17" t="s">
        <v>20</v>
      </c>
      <c r="D564" s="17" t="s">
        <v>1161</v>
      </c>
      <c r="E564" s="16">
        <v>45751</v>
      </c>
      <c r="F564" s="21" t="s">
        <v>53</v>
      </c>
      <c r="G564" s="51" t="s">
        <v>1265</v>
      </c>
      <c r="H564" s="56">
        <v>632944.4</v>
      </c>
      <c r="I564" s="16">
        <v>45751</v>
      </c>
      <c r="J564" s="36">
        <v>45772</v>
      </c>
      <c r="K564" s="17">
        <v>460</v>
      </c>
      <c r="L564" s="34">
        <v>460</v>
      </c>
      <c r="M564" s="34">
        <v>46</v>
      </c>
      <c r="N564" s="22">
        <v>45752</v>
      </c>
      <c r="O564" s="18" t="s">
        <v>21</v>
      </c>
      <c r="P564" s="18" t="s">
        <v>25</v>
      </c>
      <c r="Q564" s="17" t="s">
        <v>135</v>
      </c>
      <c r="R564" s="17" t="s">
        <v>102</v>
      </c>
      <c r="S564" s="17" t="s">
        <v>1162</v>
      </c>
      <c r="T564" s="32" t="s">
        <v>804</v>
      </c>
      <c r="U564" s="18" t="s">
        <v>19</v>
      </c>
      <c r="V564" s="17"/>
    </row>
    <row r="565" spans="1:22" x14ac:dyDescent="0.3">
      <c r="A565" s="18" t="e">
        <f t="shared" si="9"/>
        <v>#REF!</v>
      </c>
      <c r="B565" s="17">
        <v>97</v>
      </c>
      <c r="C565" s="17" t="s">
        <v>23</v>
      </c>
      <c r="D565" s="17" t="s">
        <v>1163</v>
      </c>
      <c r="E565" s="16">
        <v>45751</v>
      </c>
      <c r="F565" s="21" t="s">
        <v>53</v>
      </c>
      <c r="G565" s="51" t="s">
        <v>1266</v>
      </c>
      <c r="H565" s="56">
        <v>160788</v>
      </c>
      <c r="I565" s="16">
        <v>45752</v>
      </c>
      <c r="J565" s="36">
        <v>45772</v>
      </c>
      <c r="K565" s="17">
        <v>18</v>
      </c>
      <c r="L565" s="34">
        <v>432</v>
      </c>
      <c r="M565" s="34">
        <v>18</v>
      </c>
      <c r="N565" s="22">
        <v>45752</v>
      </c>
      <c r="O565" s="18" t="s">
        <v>21</v>
      </c>
      <c r="P565" s="18" t="s">
        <v>25</v>
      </c>
      <c r="Q565" s="17" t="s">
        <v>135</v>
      </c>
      <c r="R565" s="17" t="s">
        <v>102</v>
      </c>
      <c r="S565" s="17" t="s">
        <v>1164</v>
      </c>
      <c r="T565" s="32" t="s">
        <v>804</v>
      </c>
      <c r="U565" s="18" t="s">
        <v>19</v>
      </c>
      <c r="V565" s="17"/>
    </row>
    <row r="566" spans="1:22" x14ac:dyDescent="0.3">
      <c r="A566" s="18" t="e">
        <f t="shared" si="9"/>
        <v>#REF!</v>
      </c>
      <c r="B566" s="17">
        <v>97</v>
      </c>
      <c r="C566" s="17" t="s">
        <v>20</v>
      </c>
      <c r="D566" s="17" t="s">
        <v>1165</v>
      </c>
      <c r="E566" s="16">
        <v>45751</v>
      </c>
      <c r="F566" s="21" t="s">
        <v>35</v>
      </c>
      <c r="G566" s="51" t="s">
        <v>1267</v>
      </c>
      <c r="H566" s="56">
        <v>110356.8</v>
      </c>
      <c r="I566" s="16">
        <v>45751</v>
      </c>
      <c r="J566" s="36">
        <v>45772</v>
      </c>
      <c r="K566" s="17">
        <v>120</v>
      </c>
      <c r="L566" s="34">
        <v>120</v>
      </c>
      <c r="M566" s="34">
        <v>10</v>
      </c>
      <c r="N566" s="22">
        <v>45752</v>
      </c>
      <c r="O566" s="18" t="s">
        <v>21</v>
      </c>
      <c r="P566" s="18" t="s">
        <v>25</v>
      </c>
      <c r="Q566" s="17" t="s">
        <v>135</v>
      </c>
      <c r="R566" s="17" t="s">
        <v>102</v>
      </c>
      <c r="S566" s="17" t="s">
        <v>1166</v>
      </c>
      <c r="T566" s="32" t="s">
        <v>804</v>
      </c>
      <c r="U566" s="18" t="s">
        <v>19</v>
      </c>
      <c r="V566" s="17"/>
    </row>
    <row r="567" spans="1:22" x14ac:dyDescent="0.3">
      <c r="A567" s="18" t="e">
        <f t="shared" ref="A567:A630" si="10">A566+1</f>
        <v>#REF!</v>
      </c>
      <c r="B567" s="17">
        <v>97</v>
      </c>
      <c r="C567" s="17" t="s">
        <v>23</v>
      </c>
      <c r="D567" s="17" t="s">
        <v>1167</v>
      </c>
      <c r="E567" s="16">
        <v>45751</v>
      </c>
      <c r="F567" s="21" t="s">
        <v>113</v>
      </c>
      <c r="G567" s="51" t="s">
        <v>1268</v>
      </c>
      <c r="H567" s="56">
        <v>25813.200000000001</v>
      </c>
      <c r="I567" s="16">
        <v>45752</v>
      </c>
      <c r="J567" s="36">
        <v>45772</v>
      </c>
      <c r="K567" s="17">
        <v>3</v>
      </c>
      <c r="L567" s="34">
        <v>72</v>
      </c>
      <c r="M567" s="34">
        <v>3</v>
      </c>
      <c r="N567" s="22">
        <v>45752</v>
      </c>
      <c r="O567" s="18" t="s">
        <v>21</v>
      </c>
      <c r="P567" s="18" t="s">
        <v>25</v>
      </c>
      <c r="Q567" s="17" t="s">
        <v>135</v>
      </c>
      <c r="R567" s="17" t="s">
        <v>102</v>
      </c>
      <c r="S567" s="17" t="s">
        <v>1166</v>
      </c>
      <c r="T567" s="32" t="s">
        <v>804</v>
      </c>
      <c r="U567" s="18" t="s">
        <v>19</v>
      </c>
      <c r="V567" s="17"/>
    </row>
    <row r="568" spans="1:22" x14ac:dyDescent="0.3">
      <c r="A568" s="18" t="e">
        <f t="shared" si="10"/>
        <v>#REF!</v>
      </c>
      <c r="B568" s="17">
        <v>97</v>
      </c>
      <c r="C568" s="17" t="s">
        <v>23</v>
      </c>
      <c r="D568" s="17" t="s">
        <v>1168</v>
      </c>
      <c r="E568" s="16">
        <v>45751</v>
      </c>
      <c r="F568" s="21" t="s">
        <v>129</v>
      </c>
      <c r="G568" s="51" t="s">
        <v>1269</v>
      </c>
      <c r="H568" s="56">
        <v>106348.8</v>
      </c>
      <c r="I568" s="16">
        <v>45752</v>
      </c>
      <c r="J568" s="36">
        <v>45772</v>
      </c>
      <c r="K568" s="17">
        <v>10</v>
      </c>
      <c r="L568" s="34">
        <v>240</v>
      </c>
      <c r="M568" s="34">
        <v>10</v>
      </c>
      <c r="N568" s="22">
        <v>45752</v>
      </c>
      <c r="O568" s="18" t="s">
        <v>21</v>
      </c>
      <c r="P568" s="18" t="s">
        <v>25</v>
      </c>
      <c r="Q568" s="17" t="s">
        <v>135</v>
      </c>
      <c r="R568" s="17" t="s">
        <v>102</v>
      </c>
      <c r="S568" s="17" t="s">
        <v>1169</v>
      </c>
      <c r="T568" s="32" t="s">
        <v>804</v>
      </c>
      <c r="U568" s="18" t="s">
        <v>19</v>
      </c>
      <c r="V568" s="17"/>
    </row>
    <row r="569" spans="1:22" x14ac:dyDescent="0.3">
      <c r="A569" s="18" t="e">
        <f t="shared" si="10"/>
        <v>#REF!</v>
      </c>
      <c r="B569" s="17">
        <v>97</v>
      </c>
      <c r="C569" s="17" t="s">
        <v>23</v>
      </c>
      <c r="D569" s="17" t="s">
        <v>1170</v>
      </c>
      <c r="E569" s="16">
        <v>45751</v>
      </c>
      <c r="F569" s="21" t="s">
        <v>35</v>
      </c>
      <c r="G569" s="51" t="s">
        <v>1270</v>
      </c>
      <c r="H569" s="56">
        <v>94378.8</v>
      </c>
      <c r="I569" s="16">
        <v>45752</v>
      </c>
      <c r="J569" s="36">
        <v>45772</v>
      </c>
      <c r="K569" s="17">
        <v>9</v>
      </c>
      <c r="L569" s="34">
        <v>216</v>
      </c>
      <c r="M569" s="34">
        <v>9</v>
      </c>
      <c r="N569" s="22">
        <v>45752</v>
      </c>
      <c r="O569" s="18" t="s">
        <v>21</v>
      </c>
      <c r="P569" s="18" t="s">
        <v>25</v>
      </c>
      <c r="Q569" s="17" t="s">
        <v>135</v>
      </c>
      <c r="R569" s="17" t="s">
        <v>102</v>
      </c>
      <c r="S569" s="17" t="s">
        <v>1171</v>
      </c>
      <c r="T569" s="32" t="s">
        <v>804</v>
      </c>
      <c r="U569" s="18" t="s">
        <v>19</v>
      </c>
      <c r="V569" s="17"/>
    </row>
    <row r="570" spans="1:22" x14ac:dyDescent="0.3">
      <c r="A570" s="18" t="e">
        <f t="shared" si="10"/>
        <v>#REF!</v>
      </c>
      <c r="B570" s="17">
        <v>97</v>
      </c>
      <c r="C570" s="17" t="s">
        <v>23</v>
      </c>
      <c r="D570" s="17" t="s">
        <v>1172</v>
      </c>
      <c r="E570" s="16">
        <v>45751</v>
      </c>
      <c r="F570" s="21" t="s">
        <v>35</v>
      </c>
      <c r="G570" s="51" t="s">
        <v>1271</v>
      </c>
      <c r="H570" s="56">
        <v>33199.199999999997</v>
      </c>
      <c r="I570" s="16">
        <v>45752</v>
      </c>
      <c r="J570" s="36">
        <v>45772</v>
      </c>
      <c r="K570" s="17">
        <v>3</v>
      </c>
      <c r="L570" s="34">
        <v>72</v>
      </c>
      <c r="M570" s="34">
        <v>3</v>
      </c>
      <c r="N570" s="22">
        <v>45752</v>
      </c>
      <c r="O570" s="18" t="s">
        <v>21</v>
      </c>
      <c r="P570" s="18" t="s">
        <v>25</v>
      </c>
      <c r="Q570" s="17" t="s">
        <v>135</v>
      </c>
      <c r="R570" s="17" t="s">
        <v>102</v>
      </c>
      <c r="S570" s="17" t="s">
        <v>1171</v>
      </c>
      <c r="T570" s="32" t="s">
        <v>804</v>
      </c>
      <c r="U570" s="18" t="s">
        <v>19</v>
      </c>
      <c r="V570" s="17"/>
    </row>
    <row r="571" spans="1:22" x14ac:dyDescent="0.3">
      <c r="A571" s="18" t="e">
        <f t="shared" si="10"/>
        <v>#REF!</v>
      </c>
      <c r="B571" s="17">
        <v>97</v>
      </c>
      <c r="C571" s="17" t="s">
        <v>23</v>
      </c>
      <c r="D571" s="17" t="s">
        <v>1173</v>
      </c>
      <c r="E571" s="16">
        <v>45751</v>
      </c>
      <c r="F571" s="21" t="s">
        <v>35</v>
      </c>
      <c r="G571" s="51" t="s">
        <v>1272</v>
      </c>
      <c r="H571" s="56">
        <v>25813.200000000001</v>
      </c>
      <c r="I571" s="16">
        <v>45752</v>
      </c>
      <c r="J571" s="36">
        <v>45772</v>
      </c>
      <c r="K571" s="17">
        <v>3</v>
      </c>
      <c r="L571" s="34">
        <v>72</v>
      </c>
      <c r="M571" s="34">
        <v>3</v>
      </c>
      <c r="N571" s="22">
        <v>45752</v>
      </c>
      <c r="O571" s="18" t="s">
        <v>21</v>
      </c>
      <c r="P571" s="18" t="s">
        <v>25</v>
      </c>
      <c r="Q571" s="17" t="s">
        <v>135</v>
      </c>
      <c r="R571" s="17" t="s">
        <v>102</v>
      </c>
      <c r="S571" s="17" t="s">
        <v>1171</v>
      </c>
      <c r="T571" s="32" t="s">
        <v>804</v>
      </c>
      <c r="U571" s="18" t="s">
        <v>19</v>
      </c>
      <c r="V571" s="17"/>
    </row>
    <row r="572" spans="1:22" x14ac:dyDescent="0.3">
      <c r="A572" s="18" t="e">
        <f t="shared" si="10"/>
        <v>#REF!</v>
      </c>
      <c r="B572" s="17">
        <v>98</v>
      </c>
      <c r="C572" s="17" t="s">
        <v>20</v>
      </c>
      <c r="D572" s="17" t="s">
        <v>1175</v>
      </c>
      <c r="E572" s="16">
        <v>45755</v>
      </c>
      <c r="F572" s="23" t="s">
        <v>64</v>
      </c>
      <c r="G572" s="51" t="s">
        <v>1273</v>
      </c>
      <c r="H572" s="56">
        <v>542773.30000000005</v>
      </c>
      <c r="I572" s="16">
        <v>45756</v>
      </c>
      <c r="J572" s="36">
        <v>45772</v>
      </c>
      <c r="K572" s="17">
        <v>450</v>
      </c>
      <c r="L572" s="34">
        <v>450</v>
      </c>
      <c r="M572" s="34">
        <v>45</v>
      </c>
      <c r="N572" s="22">
        <v>45757</v>
      </c>
      <c r="O572" s="18" t="s">
        <v>21</v>
      </c>
      <c r="P572" s="18" t="s">
        <v>25</v>
      </c>
      <c r="Q572" s="17" t="s">
        <v>144</v>
      </c>
      <c r="R572" s="17" t="s">
        <v>102</v>
      </c>
      <c r="S572" s="17" t="s">
        <v>1176</v>
      </c>
      <c r="T572" s="32" t="s">
        <v>804</v>
      </c>
      <c r="U572" s="18" t="s">
        <v>19</v>
      </c>
      <c r="V572" s="17"/>
    </row>
    <row r="573" spans="1:22" x14ac:dyDescent="0.3">
      <c r="A573" s="18" t="e">
        <f t="shared" si="10"/>
        <v>#REF!</v>
      </c>
      <c r="B573" s="17">
        <v>98</v>
      </c>
      <c r="C573" s="17" t="s">
        <v>20</v>
      </c>
      <c r="D573" s="17" t="s">
        <v>1177</v>
      </c>
      <c r="E573" s="16">
        <v>45755</v>
      </c>
      <c r="F573" s="23" t="s">
        <v>118</v>
      </c>
      <c r="G573" s="51" t="s">
        <v>1274</v>
      </c>
      <c r="H573" s="56">
        <v>668316</v>
      </c>
      <c r="I573" s="16">
        <v>45756</v>
      </c>
      <c r="J573" s="36">
        <v>45772</v>
      </c>
      <c r="K573" s="17">
        <v>84</v>
      </c>
      <c r="L573" s="34">
        <v>84</v>
      </c>
      <c r="M573" s="34">
        <v>8</v>
      </c>
      <c r="N573" s="22">
        <v>45757</v>
      </c>
      <c r="O573" s="18" t="s">
        <v>21</v>
      </c>
      <c r="P573" s="18" t="s">
        <v>25</v>
      </c>
      <c r="Q573" s="17" t="s">
        <v>144</v>
      </c>
      <c r="R573" s="17" t="s">
        <v>102</v>
      </c>
      <c r="S573" s="17" t="s">
        <v>1178</v>
      </c>
      <c r="T573" s="32" t="s">
        <v>804</v>
      </c>
      <c r="U573" s="18" t="s">
        <v>19</v>
      </c>
      <c r="V573" s="17"/>
    </row>
    <row r="574" spans="1:22" x14ac:dyDescent="0.3">
      <c r="A574" s="18" t="e">
        <f t="shared" si="10"/>
        <v>#REF!</v>
      </c>
      <c r="B574" s="17">
        <v>98</v>
      </c>
      <c r="C574" s="17" t="s">
        <v>20</v>
      </c>
      <c r="D574" s="17" t="s">
        <v>1179</v>
      </c>
      <c r="E574" s="16">
        <v>45755</v>
      </c>
      <c r="F574" s="23" t="s">
        <v>118</v>
      </c>
      <c r="G574" s="51" t="s">
        <v>1275</v>
      </c>
      <c r="H574" s="56">
        <v>25127</v>
      </c>
      <c r="I574" s="16">
        <v>45756</v>
      </c>
      <c r="J574" s="36">
        <v>45772</v>
      </c>
      <c r="K574" s="17">
        <v>20</v>
      </c>
      <c r="L574" s="34">
        <v>20</v>
      </c>
      <c r="M574" s="34">
        <v>2</v>
      </c>
      <c r="N574" s="22">
        <v>45757</v>
      </c>
      <c r="O574" s="18" t="s">
        <v>21</v>
      </c>
      <c r="P574" s="18" t="s">
        <v>25</v>
      </c>
      <c r="Q574" s="17" t="s">
        <v>144</v>
      </c>
      <c r="R574" s="17" t="s">
        <v>102</v>
      </c>
      <c r="S574" s="17" t="s">
        <v>1178</v>
      </c>
      <c r="T574" s="32" t="s">
        <v>804</v>
      </c>
      <c r="U574" s="18" t="s">
        <v>19</v>
      </c>
      <c r="V574" s="17"/>
    </row>
    <row r="575" spans="1:22" x14ac:dyDescent="0.3">
      <c r="A575" s="18" t="e">
        <f t="shared" si="10"/>
        <v>#REF!</v>
      </c>
      <c r="B575" s="17">
        <v>98</v>
      </c>
      <c r="C575" s="17" t="s">
        <v>23</v>
      </c>
      <c r="D575" s="17" t="s">
        <v>1180</v>
      </c>
      <c r="E575" s="16">
        <v>45752</v>
      </c>
      <c r="F575" s="21" t="s">
        <v>43</v>
      </c>
      <c r="G575" s="51" t="s">
        <v>1276</v>
      </c>
      <c r="H575" s="56">
        <v>102022.08</v>
      </c>
      <c r="I575" s="16">
        <v>45757</v>
      </c>
      <c r="J575" s="36">
        <v>45772</v>
      </c>
      <c r="K575" s="17">
        <v>12</v>
      </c>
      <c r="L575" s="34">
        <v>288</v>
      </c>
      <c r="M575" s="34">
        <v>12</v>
      </c>
      <c r="N575" s="22">
        <v>45757</v>
      </c>
      <c r="O575" s="18" t="s">
        <v>21</v>
      </c>
      <c r="P575" s="18" t="s">
        <v>25</v>
      </c>
      <c r="Q575" s="17" t="s">
        <v>144</v>
      </c>
      <c r="R575" s="17" t="s">
        <v>102</v>
      </c>
      <c r="S575" s="17" t="s">
        <v>1181</v>
      </c>
      <c r="T575" s="32" t="s">
        <v>804</v>
      </c>
      <c r="U575" s="18" t="s">
        <v>19</v>
      </c>
      <c r="V575" s="17"/>
    </row>
    <row r="576" spans="1:22" x14ac:dyDescent="0.3">
      <c r="A576" s="18" t="e">
        <f t="shared" si="10"/>
        <v>#REF!</v>
      </c>
      <c r="B576" s="17">
        <v>98</v>
      </c>
      <c r="C576" s="17" t="s">
        <v>20</v>
      </c>
      <c r="D576" s="17" t="s">
        <v>1182</v>
      </c>
      <c r="E576" s="16">
        <v>45752</v>
      </c>
      <c r="F576" s="37" t="s">
        <v>43</v>
      </c>
      <c r="G576" s="51" t="s">
        <v>1277</v>
      </c>
      <c r="H576" s="56">
        <v>56591.54</v>
      </c>
      <c r="I576" s="16">
        <v>45754</v>
      </c>
      <c r="J576" s="36">
        <v>45772</v>
      </c>
      <c r="K576" s="17">
        <v>5</v>
      </c>
      <c r="L576" s="34">
        <v>56</v>
      </c>
      <c r="M576" s="34">
        <v>5</v>
      </c>
      <c r="N576" s="22">
        <v>45757</v>
      </c>
      <c r="O576" s="18" t="s">
        <v>21</v>
      </c>
      <c r="P576" s="18" t="s">
        <v>25</v>
      </c>
      <c r="Q576" s="17" t="s">
        <v>144</v>
      </c>
      <c r="R576" s="17" t="s">
        <v>102</v>
      </c>
      <c r="S576" s="17" t="s">
        <v>1181</v>
      </c>
      <c r="T576" s="32" t="s">
        <v>804</v>
      </c>
      <c r="U576" s="18" t="s">
        <v>19</v>
      </c>
      <c r="V576" s="17"/>
    </row>
    <row r="577" spans="1:22" x14ac:dyDescent="0.3">
      <c r="A577" s="18" t="e">
        <f t="shared" si="10"/>
        <v>#REF!</v>
      </c>
      <c r="B577" s="17">
        <v>98</v>
      </c>
      <c r="C577" s="17" t="s">
        <v>20</v>
      </c>
      <c r="D577" s="17" t="s">
        <v>1183</v>
      </c>
      <c r="E577" s="16">
        <v>45754</v>
      </c>
      <c r="F577" s="23" t="s">
        <v>68</v>
      </c>
      <c r="G577" s="51" t="s">
        <v>1278</v>
      </c>
      <c r="H577" s="56">
        <v>55178.400000000001</v>
      </c>
      <c r="I577" s="16">
        <v>45754</v>
      </c>
      <c r="J577" s="36">
        <v>45772</v>
      </c>
      <c r="K577" s="17">
        <v>60</v>
      </c>
      <c r="L577" s="34">
        <v>60</v>
      </c>
      <c r="M577" s="34">
        <v>5</v>
      </c>
      <c r="N577" s="22">
        <v>45757</v>
      </c>
      <c r="O577" s="18" t="s">
        <v>21</v>
      </c>
      <c r="P577" s="18" t="s">
        <v>25</v>
      </c>
      <c r="Q577" s="17" t="s">
        <v>144</v>
      </c>
      <c r="R577" s="17" t="s">
        <v>102</v>
      </c>
      <c r="S577" s="17" t="s">
        <v>1184</v>
      </c>
      <c r="T577" s="32" t="s">
        <v>804</v>
      </c>
      <c r="U577" s="18" t="s">
        <v>19</v>
      </c>
      <c r="V577" s="17"/>
    </row>
    <row r="578" spans="1:22" x14ac:dyDescent="0.3">
      <c r="A578" s="18" t="e">
        <f t="shared" si="10"/>
        <v>#REF!</v>
      </c>
      <c r="B578" s="17">
        <v>98</v>
      </c>
      <c r="C578" s="17" t="s">
        <v>23</v>
      </c>
      <c r="D578" s="17" t="s">
        <v>1185</v>
      </c>
      <c r="E578" s="16">
        <v>45755</v>
      </c>
      <c r="F578" s="21" t="s">
        <v>118</v>
      </c>
      <c r="G578" s="51" t="s">
        <v>1279</v>
      </c>
      <c r="H578" s="56">
        <v>187980.72</v>
      </c>
      <c r="I578" s="16">
        <v>45757</v>
      </c>
      <c r="J578" s="36">
        <v>45772</v>
      </c>
      <c r="K578" s="17">
        <v>19</v>
      </c>
      <c r="L578" s="34">
        <v>456</v>
      </c>
      <c r="M578" s="34">
        <v>19</v>
      </c>
      <c r="N578" s="22">
        <v>45757</v>
      </c>
      <c r="O578" s="18" t="s">
        <v>21</v>
      </c>
      <c r="P578" s="18" t="s">
        <v>25</v>
      </c>
      <c r="Q578" s="17" t="s">
        <v>144</v>
      </c>
      <c r="R578" s="17" t="s">
        <v>102</v>
      </c>
      <c r="S578" s="17" t="s">
        <v>1186</v>
      </c>
      <c r="T578" s="32" t="s">
        <v>804</v>
      </c>
      <c r="U578" s="18" t="s">
        <v>19</v>
      </c>
      <c r="V578" s="17"/>
    </row>
    <row r="579" spans="1:22" x14ac:dyDescent="0.3">
      <c r="A579" s="18" t="e">
        <f t="shared" si="10"/>
        <v>#REF!</v>
      </c>
      <c r="B579" s="17">
        <v>98</v>
      </c>
      <c r="C579" s="17" t="s">
        <v>23</v>
      </c>
      <c r="D579" s="17" t="s">
        <v>1187</v>
      </c>
      <c r="E579" s="16">
        <v>45754</v>
      </c>
      <c r="F579" s="21" t="s">
        <v>64</v>
      </c>
      <c r="G579" s="51" t="s">
        <v>1280</v>
      </c>
      <c r="H579" s="56">
        <v>88493.28</v>
      </c>
      <c r="I579" s="16">
        <v>45757</v>
      </c>
      <c r="J579" s="36">
        <v>45772</v>
      </c>
      <c r="K579" s="17">
        <v>10</v>
      </c>
      <c r="L579" s="34">
        <v>264</v>
      </c>
      <c r="M579" s="34">
        <v>10</v>
      </c>
      <c r="N579" s="22">
        <v>45757</v>
      </c>
      <c r="O579" s="18" t="s">
        <v>21</v>
      </c>
      <c r="P579" s="18" t="s">
        <v>25</v>
      </c>
      <c r="Q579" s="17" t="s">
        <v>144</v>
      </c>
      <c r="R579" s="17" t="s">
        <v>102</v>
      </c>
      <c r="S579" s="17" t="s">
        <v>1188</v>
      </c>
      <c r="T579" s="32" t="s">
        <v>804</v>
      </c>
      <c r="U579" s="18" t="s">
        <v>19</v>
      </c>
      <c r="V579" s="17"/>
    </row>
    <row r="580" spans="1:22" x14ac:dyDescent="0.3">
      <c r="A580" s="18" t="e">
        <f t="shared" si="10"/>
        <v>#REF!</v>
      </c>
      <c r="B580" s="17">
        <v>98</v>
      </c>
      <c r="C580" s="17" t="s">
        <v>23</v>
      </c>
      <c r="D580" s="17" t="s">
        <v>1189</v>
      </c>
      <c r="E580" s="16">
        <v>45754</v>
      </c>
      <c r="F580" s="21" t="s">
        <v>129</v>
      </c>
      <c r="G580" s="51" t="s">
        <v>1281</v>
      </c>
      <c r="H580" s="56">
        <v>155949.84</v>
      </c>
      <c r="I580" s="16">
        <v>45757</v>
      </c>
      <c r="J580" s="36">
        <v>45772</v>
      </c>
      <c r="K580" s="17">
        <v>17</v>
      </c>
      <c r="L580" s="34">
        <v>408</v>
      </c>
      <c r="M580" s="34">
        <v>17</v>
      </c>
      <c r="N580" s="22">
        <v>45757</v>
      </c>
      <c r="O580" s="18" t="s">
        <v>21</v>
      </c>
      <c r="P580" s="18" t="s">
        <v>25</v>
      </c>
      <c r="Q580" s="17" t="s">
        <v>144</v>
      </c>
      <c r="R580" s="17" t="s">
        <v>102</v>
      </c>
      <c r="S580" s="17" t="s">
        <v>1190</v>
      </c>
      <c r="T580" s="32" t="s">
        <v>804</v>
      </c>
      <c r="U580" s="18" t="s">
        <v>19</v>
      </c>
      <c r="V580" s="17"/>
    </row>
    <row r="581" spans="1:22" x14ac:dyDescent="0.3">
      <c r="A581" s="18" t="e">
        <f t="shared" si="10"/>
        <v>#REF!</v>
      </c>
      <c r="B581" s="17">
        <v>98</v>
      </c>
      <c r="C581" s="17" t="s">
        <v>23</v>
      </c>
      <c r="D581" s="17" t="s">
        <v>1191</v>
      </c>
      <c r="E581" s="16">
        <v>45756</v>
      </c>
      <c r="F581" s="21" t="s">
        <v>129</v>
      </c>
      <c r="G581" s="51" t="s">
        <v>1282</v>
      </c>
      <c r="H581" s="56">
        <v>90389.52</v>
      </c>
      <c r="I581" s="16">
        <v>45757</v>
      </c>
      <c r="J581" s="36">
        <v>45772</v>
      </c>
      <c r="K581" s="17">
        <v>12</v>
      </c>
      <c r="L581" s="34">
        <v>216</v>
      </c>
      <c r="M581" s="34">
        <v>12</v>
      </c>
      <c r="N581" s="22">
        <v>45757</v>
      </c>
      <c r="O581" s="18" t="s">
        <v>21</v>
      </c>
      <c r="P581" s="18" t="s">
        <v>25</v>
      </c>
      <c r="Q581" s="17" t="s">
        <v>144</v>
      </c>
      <c r="R581" s="17" t="s">
        <v>102</v>
      </c>
      <c r="S581" s="17" t="s">
        <v>1192</v>
      </c>
      <c r="T581" s="32" t="s">
        <v>804</v>
      </c>
      <c r="U581" s="18" t="s">
        <v>19</v>
      </c>
      <c r="V581" s="17"/>
    </row>
    <row r="582" spans="1:22" x14ac:dyDescent="0.3">
      <c r="A582" s="18" t="e">
        <f t="shared" si="10"/>
        <v>#REF!</v>
      </c>
      <c r="B582" s="17">
        <v>98</v>
      </c>
      <c r="C582" s="17" t="s">
        <v>20</v>
      </c>
      <c r="D582" s="17" t="s">
        <v>1193</v>
      </c>
      <c r="E582" s="16">
        <v>45754</v>
      </c>
      <c r="F582" s="21" t="s">
        <v>129</v>
      </c>
      <c r="G582" s="51" t="s">
        <v>1283</v>
      </c>
      <c r="H582" s="56">
        <v>165535.20000000001</v>
      </c>
      <c r="I582" s="16">
        <v>45754</v>
      </c>
      <c r="J582" s="36">
        <v>45772</v>
      </c>
      <c r="K582" s="17">
        <v>15</v>
      </c>
      <c r="L582" s="34">
        <v>180</v>
      </c>
      <c r="M582" s="34">
        <v>15</v>
      </c>
      <c r="N582" s="22">
        <v>45757</v>
      </c>
      <c r="O582" s="18" t="s">
        <v>21</v>
      </c>
      <c r="P582" s="18" t="s">
        <v>25</v>
      </c>
      <c r="Q582" s="17" t="s">
        <v>144</v>
      </c>
      <c r="R582" s="17" t="s">
        <v>102</v>
      </c>
      <c r="S582" s="17" t="s">
        <v>1192</v>
      </c>
      <c r="T582" s="32" t="s">
        <v>804</v>
      </c>
      <c r="U582" s="18" t="s">
        <v>19</v>
      </c>
      <c r="V582" s="17"/>
    </row>
    <row r="583" spans="1:22" x14ac:dyDescent="0.3">
      <c r="A583" s="18" t="e">
        <f t="shared" si="10"/>
        <v>#REF!</v>
      </c>
      <c r="B583" s="17">
        <v>98</v>
      </c>
      <c r="C583" s="17" t="s">
        <v>20</v>
      </c>
      <c r="D583" s="17" t="s">
        <v>1194</v>
      </c>
      <c r="E583" s="16">
        <v>45755</v>
      </c>
      <c r="F583" s="23" t="s">
        <v>123</v>
      </c>
      <c r="G583" s="51" t="s">
        <v>1284</v>
      </c>
      <c r="H583" s="56">
        <v>199472.74</v>
      </c>
      <c r="I583" s="16">
        <v>45756</v>
      </c>
      <c r="J583" s="36">
        <v>45772</v>
      </c>
      <c r="K583" s="17">
        <v>15</v>
      </c>
      <c r="L583" s="34">
        <v>156</v>
      </c>
      <c r="M583" s="34">
        <v>15</v>
      </c>
      <c r="N583" s="22">
        <v>45757</v>
      </c>
      <c r="O583" s="18" t="s">
        <v>21</v>
      </c>
      <c r="P583" s="18" t="s">
        <v>25</v>
      </c>
      <c r="Q583" s="17" t="s">
        <v>144</v>
      </c>
      <c r="R583" s="17" t="s">
        <v>102</v>
      </c>
      <c r="S583" s="17" t="s">
        <v>1195</v>
      </c>
      <c r="T583" s="32" t="s">
        <v>804</v>
      </c>
      <c r="U583" s="18" t="s">
        <v>19</v>
      </c>
      <c r="V583" s="17"/>
    </row>
    <row r="584" spans="1:22" x14ac:dyDescent="0.3">
      <c r="A584" s="18" t="e">
        <f t="shared" si="10"/>
        <v>#REF!</v>
      </c>
      <c r="B584" s="17">
        <v>98</v>
      </c>
      <c r="C584" s="17" t="s">
        <v>23</v>
      </c>
      <c r="D584" s="17" t="s">
        <v>1196</v>
      </c>
      <c r="E584" s="16">
        <v>45754</v>
      </c>
      <c r="F584" s="23" t="s">
        <v>68</v>
      </c>
      <c r="G584" s="51" t="s">
        <v>1273</v>
      </c>
      <c r="H584" s="56">
        <v>44856.480000000003</v>
      </c>
      <c r="I584" s="16">
        <v>45757</v>
      </c>
      <c r="J584" s="36">
        <v>45772</v>
      </c>
      <c r="K584" s="17">
        <v>6</v>
      </c>
      <c r="L584" s="34">
        <v>144</v>
      </c>
      <c r="M584" s="34">
        <v>6</v>
      </c>
      <c r="N584" s="22">
        <v>45757</v>
      </c>
      <c r="O584" s="18" t="s">
        <v>21</v>
      </c>
      <c r="P584" s="18" t="s">
        <v>25</v>
      </c>
      <c r="Q584" s="17" t="s">
        <v>144</v>
      </c>
      <c r="R584" s="17" t="s">
        <v>102</v>
      </c>
      <c r="S584" s="17" t="s">
        <v>1197</v>
      </c>
      <c r="T584" s="32" t="s">
        <v>804</v>
      </c>
      <c r="U584" s="18" t="s">
        <v>19</v>
      </c>
      <c r="V584" s="17"/>
    </row>
    <row r="585" spans="1:22" x14ac:dyDescent="0.3">
      <c r="A585" s="18" t="e">
        <f t="shared" si="10"/>
        <v>#REF!</v>
      </c>
      <c r="B585" s="17">
        <v>98</v>
      </c>
      <c r="C585" s="17" t="s">
        <v>23</v>
      </c>
      <c r="D585" s="17" t="s">
        <v>1198</v>
      </c>
      <c r="E585" s="16">
        <v>45754</v>
      </c>
      <c r="F585" s="21" t="s">
        <v>129</v>
      </c>
      <c r="G585" s="51" t="s">
        <v>1285</v>
      </c>
      <c r="H585" s="56">
        <v>74989.919999999998</v>
      </c>
      <c r="I585" s="16">
        <v>45757</v>
      </c>
      <c r="J585" s="36">
        <v>45772</v>
      </c>
      <c r="K585" s="17">
        <v>10</v>
      </c>
      <c r="L585" s="34">
        <v>192</v>
      </c>
      <c r="M585" s="34">
        <v>10</v>
      </c>
      <c r="N585" s="22">
        <v>45757</v>
      </c>
      <c r="O585" s="18" t="s">
        <v>21</v>
      </c>
      <c r="P585" s="18" t="s">
        <v>25</v>
      </c>
      <c r="Q585" s="17" t="s">
        <v>144</v>
      </c>
      <c r="R585" s="17" t="s">
        <v>102</v>
      </c>
      <c r="S585" s="17" t="s">
        <v>1199</v>
      </c>
      <c r="T585" s="32" t="s">
        <v>804</v>
      </c>
      <c r="U585" s="18" t="s">
        <v>19</v>
      </c>
      <c r="V585" s="17"/>
    </row>
    <row r="586" spans="1:22" x14ac:dyDescent="0.3">
      <c r="A586" s="18" t="e">
        <f t="shared" si="10"/>
        <v>#REF!</v>
      </c>
      <c r="B586" s="17">
        <v>99</v>
      </c>
      <c r="C586" s="17" t="s">
        <v>20</v>
      </c>
      <c r="D586" s="17" t="s">
        <v>1200</v>
      </c>
      <c r="E586" s="16">
        <v>45757</v>
      </c>
      <c r="F586" s="21" t="s">
        <v>28</v>
      </c>
      <c r="G586" s="51" t="s">
        <v>1255</v>
      </c>
      <c r="H586" s="56">
        <v>469291.89</v>
      </c>
      <c r="I586" s="16">
        <v>45758</v>
      </c>
      <c r="J586" s="36">
        <v>45772</v>
      </c>
      <c r="K586" s="17">
        <v>319</v>
      </c>
      <c r="L586" s="34">
        <v>319</v>
      </c>
      <c r="M586" s="34">
        <v>32</v>
      </c>
      <c r="N586" s="22">
        <v>45758</v>
      </c>
      <c r="O586" s="18" t="s">
        <v>21</v>
      </c>
      <c r="P586" s="18" t="s">
        <v>25</v>
      </c>
      <c r="Q586" s="17" t="s">
        <v>1201</v>
      </c>
      <c r="R586" s="17" t="s">
        <v>102</v>
      </c>
      <c r="S586" s="17" t="s">
        <v>1202</v>
      </c>
      <c r="T586" s="32" t="s">
        <v>804</v>
      </c>
      <c r="U586" s="18" t="s">
        <v>19</v>
      </c>
      <c r="V586" s="17"/>
    </row>
    <row r="587" spans="1:22" x14ac:dyDescent="0.3">
      <c r="A587" s="18" t="e">
        <f t="shared" si="10"/>
        <v>#REF!</v>
      </c>
      <c r="B587" s="17">
        <v>99</v>
      </c>
      <c r="C587" s="17" t="s">
        <v>23</v>
      </c>
      <c r="D587" s="17" t="s">
        <v>1203</v>
      </c>
      <c r="E587" s="16">
        <v>45757</v>
      </c>
      <c r="F587" s="21" t="s">
        <v>1204</v>
      </c>
      <c r="G587" s="51" t="s">
        <v>1254</v>
      </c>
      <c r="H587" s="56">
        <v>219219.18</v>
      </c>
      <c r="I587" s="16">
        <v>45758</v>
      </c>
      <c r="J587" s="36">
        <v>45772</v>
      </c>
      <c r="K587" s="17">
        <v>34</v>
      </c>
      <c r="L587" s="34">
        <v>798</v>
      </c>
      <c r="M587" s="34">
        <v>34</v>
      </c>
      <c r="N587" s="22">
        <v>45758</v>
      </c>
      <c r="O587" s="18" t="s">
        <v>21</v>
      </c>
      <c r="P587" s="18" t="s">
        <v>25</v>
      </c>
      <c r="Q587" s="17" t="s">
        <v>1201</v>
      </c>
      <c r="R587" s="17" t="s">
        <v>102</v>
      </c>
      <c r="S587" s="17" t="s">
        <v>1205</v>
      </c>
      <c r="T587" s="32" t="s">
        <v>804</v>
      </c>
      <c r="U587" s="18" t="s">
        <v>19</v>
      </c>
      <c r="V587" s="17"/>
    </row>
    <row r="588" spans="1:22" x14ac:dyDescent="0.3">
      <c r="A588" s="18" t="e">
        <f t="shared" si="10"/>
        <v>#REF!</v>
      </c>
      <c r="B588" s="17">
        <v>99</v>
      </c>
      <c r="C588" s="17" t="s">
        <v>23</v>
      </c>
      <c r="D588" s="17" t="s">
        <v>1208</v>
      </c>
      <c r="E588" s="16">
        <v>45758</v>
      </c>
      <c r="F588" s="21" t="s">
        <v>1207</v>
      </c>
      <c r="G588" s="51" t="s">
        <v>1256</v>
      </c>
      <c r="H588" s="56">
        <v>221872.32</v>
      </c>
      <c r="I588" s="16">
        <v>45758</v>
      </c>
      <c r="J588" s="36">
        <v>45772</v>
      </c>
      <c r="K588" s="17">
        <v>23</v>
      </c>
      <c r="L588" s="34">
        <v>552</v>
      </c>
      <c r="M588" s="34">
        <v>23</v>
      </c>
      <c r="N588" s="22">
        <v>45758</v>
      </c>
      <c r="O588" s="18" t="s">
        <v>21</v>
      </c>
      <c r="P588" s="18" t="s">
        <v>25</v>
      </c>
      <c r="Q588" s="17" t="s">
        <v>1201</v>
      </c>
      <c r="R588" s="17" t="s">
        <v>102</v>
      </c>
      <c r="S588" s="17" t="s">
        <v>1206</v>
      </c>
      <c r="T588" s="32" t="s">
        <v>804</v>
      </c>
      <c r="U588" s="18" t="s">
        <v>19</v>
      </c>
      <c r="V588" s="17"/>
    </row>
    <row r="589" spans="1:22" x14ac:dyDescent="0.3">
      <c r="A589" s="18" t="e">
        <f t="shared" si="10"/>
        <v>#REF!</v>
      </c>
      <c r="B589" s="17">
        <v>99</v>
      </c>
      <c r="C589" s="17" t="s">
        <v>23</v>
      </c>
      <c r="D589" s="17" t="s">
        <v>1210</v>
      </c>
      <c r="E589" s="16">
        <v>45756</v>
      </c>
      <c r="F589" s="23" t="s">
        <v>129</v>
      </c>
      <c r="G589" s="51" t="s">
        <v>1257</v>
      </c>
      <c r="H589" s="56">
        <v>85079.039999999994</v>
      </c>
      <c r="I589" s="16">
        <v>45758</v>
      </c>
      <c r="J589" s="36">
        <v>45772</v>
      </c>
      <c r="K589" s="17">
        <v>8</v>
      </c>
      <c r="L589" s="34">
        <v>192</v>
      </c>
      <c r="M589" s="34">
        <v>8</v>
      </c>
      <c r="N589" s="22">
        <v>45758</v>
      </c>
      <c r="O589" s="18" t="s">
        <v>21</v>
      </c>
      <c r="P589" s="18" t="s">
        <v>25</v>
      </c>
      <c r="Q589" s="17" t="s">
        <v>1201</v>
      </c>
      <c r="R589" s="17" t="s">
        <v>102</v>
      </c>
      <c r="S589" s="17" t="s">
        <v>1209</v>
      </c>
      <c r="T589" s="32" t="s">
        <v>804</v>
      </c>
      <c r="U589" s="18" t="s">
        <v>19</v>
      </c>
      <c r="V589" s="17"/>
    </row>
    <row r="590" spans="1:22" x14ac:dyDescent="0.3">
      <c r="A590" s="18" t="e">
        <f t="shared" si="10"/>
        <v>#REF!</v>
      </c>
      <c r="B590" s="17">
        <v>99</v>
      </c>
      <c r="C590" s="17" t="s">
        <v>23</v>
      </c>
      <c r="D590" s="17" t="s">
        <v>1212</v>
      </c>
      <c r="E590" s="16">
        <v>45756</v>
      </c>
      <c r="F590" s="21" t="s">
        <v>24</v>
      </c>
      <c r="G590" s="51" t="s">
        <v>1286</v>
      </c>
      <c r="H590" s="56">
        <v>62704.800000000003</v>
      </c>
      <c r="I590" s="16">
        <v>45757</v>
      </c>
      <c r="J590" s="36">
        <v>45772</v>
      </c>
      <c r="K590" s="17">
        <v>8</v>
      </c>
      <c r="L590" s="34">
        <v>144</v>
      </c>
      <c r="M590" s="34">
        <v>8</v>
      </c>
      <c r="N590" s="22">
        <v>45758</v>
      </c>
      <c r="O590" s="18" t="s">
        <v>21</v>
      </c>
      <c r="P590" s="18" t="s">
        <v>25</v>
      </c>
      <c r="Q590" s="17" t="s">
        <v>1201</v>
      </c>
      <c r="R590" s="17" t="s">
        <v>102</v>
      </c>
      <c r="S590" s="17" t="s">
        <v>1211</v>
      </c>
      <c r="T590" s="32" t="s">
        <v>804</v>
      </c>
      <c r="U590" s="18" t="s">
        <v>19</v>
      </c>
      <c r="V590" s="17"/>
    </row>
    <row r="591" spans="1:22" x14ac:dyDescent="0.3">
      <c r="A591" s="18" t="e">
        <f t="shared" si="10"/>
        <v>#REF!</v>
      </c>
      <c r="B591" s="17">
        <v>99</v>
      </c>
      <c r="C591" s="17" t="s">
        <v>23</v>
      </c>
      <c r="D591" s="17" t="s">
        <v>1213</v>
      </c>
      <c r="E591" s="16">
        <v>45756</v>
      </c>
      <c r="F591" s="21" t="s">
        <v>58</v>
      </c>
      <c r="G591" s="51" t="s">
        <v>1287</v>
      </c>
      <c r="H591" s="56">
        <v>173067.72</v>
      </c>
      <c r="I591" s="16">
        <v>45757</v>
      </c>
      <c r="J591" s="36">
        <v>45772</v>
      </c>
      <c r="K591" s="17">
        <v>16</v>
      </c>
      <c r="L591" s="34">
        <v>372</v>
      </c>
      <c r="M591" s="34">
        <v>16</v>
      </c>
      <c r="N591" s="22">
        <v>45758</v>
      </c>
      <c r="O591" s="18" t="s">
        <v>21</v>
      </c>
      <c r="P591" s="18" t="s">
        <v>25</v>
      </c>
      <c r="Q591" s="17" t="s">
        <v>1201</v>
      </c>
      <c r="R591" s="17" t="s">
        <v>102</v>
      </c>
      <c r="S591" s="17" t="s">
        <v>1214</v>
      </c>
      <c r="T591" s="32" t="s">
        <v>804</v>
      </c>
      <c r="U591" s="18" t="s">
        <v>19</v>
      </c>
      <c r="V591" s="17"/>
    </row>
    <row r="592" spans="1:22" x14ac:dyDescent="0.3">
      <c r="A592" s="18" t="e">
        <f t="shared" si="10"/>
        <v>#REF!</v>
      </c>
      <c r="B592" s="17">
        <v>99</v>
      </c>
      <c r="C592" s="17" t="s">
        <v>23</v>
      </c>
      <c r="D592" s="17" t="s">
        <v>1215</v>
      </c>
      <c r="E592" s="16">
        <v>45754</v>
      </c>
      <c r="F592" s="21" t="s">
        <v>35</v>
      </c>
      <c r="G592" s="51" t="s">
        <v>1288</v>
      </c>
      <c r="H592" s="56">
        <v>311002.8</v>
      </c>
      <c r="I592" s="16">
        <v>45757</v>
      </c>
      <c r="J592" s="36">
        <v>45772</v>
      </c>
      <c r="K592" s="17">
        <v>37</v>
      </c>
      <c r="L592" s="34">
        <v>840</v>
      </c>
      <c r="M592" s="34">
        <v>37</v>
      </c>
      <c r="N592" s="22">
        <v>45758</v>
      </c>
      <c r="O592" s="18" t="s">
        <v>21</v>
      </c>
      <c r="P592" s="18" t="s">
        <v>25</v>
      </c>
      <c r="Q592" s="17" t="s">
        <v>1201</v>
      </c>
      <c r="R592" s="17" t="s">
        <v>102</v>
      </c>
      <c r="S592" s="17" t="s">
        <v>1216</v>
      </c>
      <c r="T592" s="32" t="s">
        <v>804</v>
      </c>
      <c r="U592" s="18" t="s">
        <v>19</v>
      </c>
      <c r="V592" s="17"/>
    </row>
    <row r="593" spans="1:22" x14ac:dyDescent="0.3">
      <c r="A593" s="18" t="e">
        <f t="shared" si="10"/>
        <v>#REF!</v>
      </c>
      <c r="B593" s="17">
        <v>99</v>
      </c>
      <c r="C593" s="17" t="s">
        <v>23</v>
      </c>
      <c r="D593" s="17" t="s">
        <v>1217</v>
      </c>
      <c r="E593" s="16">
        <v>45757</v>
      </c>
      <c r="F593" s="21" t="s">
        <v>35</v>
      </c>
      <c r="G593" s="51" t="s">
        <v>1258</v>
      </c>
      <c r="H593" s="56">
        <v>13516.08</v>
      </c>
      <c r="I593" s="16">
        <v>45758</v>
      </c>
      <c r="J593" s="36">
        <v>45772</v>
      </c>
      <c r="K593" s="17">
        <v>2</v>
      </c>
      <c r="L593" s="34">
        <v>48</v>
      </c>
      <c r="M593" s="34">
        <v>2</v>
      </c>
      <c r="N593" s="22">
        <v>45758</v>
      </c>
      <c r="O593" s="18" t="s">
        <v>21</v>
      </c>
      <c r="P593" s="18" t="s">
        <v>25</v>
      </c>
      <c r="Q593" s="17" t="s">
        <v>1201</v>
      </c>
      <c r="R593" s="17" t="s">
        <v>102</v>
      </c>
      <c r="S593" s="17" t="s">
        <v>1218</v>
      </c>
      <c r="T593" s="32" t="s">
        <v>804</v>
      </c>
      <c r="U593" s="18" t="s">
        <v>19</v>
      </c>
      <c r="V593" s="17"/>
    </row>
    <row r="594" spans="1:22" s="4" customFormat="1" x14ac:dyDescent="0.3">
      <c r="A594" s="18" t="e">
        <f t="shared" si="10"/>
        <v>#REF!</v>
      </c>
      <c r="B594" s="17">
        <v>99</v>
      </c>
      <c r="C594" s="17" t="s">
        <v>23</v>
      </c>
      <c r="D594" s="17" t="s">
        <v>1219</v>
      </c>
      <c r="E594" s="16">
        <v>45757</v>
      </c>
      <c r="F594" s="21" t="s">
        <v>123</v>
      </c>
      <c r="G594" s="51" t="s">
        <v>1259</v>
      </c>
      <c r="H594" s="56">
        <v>104948.34</v>
      </c>
      <c r="I594" s="16">
        <v>45758</v>
      </c>
      <c r="J594" s="36">
        <v>45772</v>
      </c>
      <c r="K594" s="17">
        <v>12</v>
      </c>
      <c r="L594" s="34">
        <v>282</v>
      </c>
      <c r="M594" s="34">
        <v>12</v>
      </c>
      <c r="N594" s="22">
        <v>45758</v>
      </c>
      <c r="O594" s="18" t="s">
        <v>21</v>
      </c>
      <c r="P594" s="18" t="s">
        <v>25</v>
      </c>
      <c r="Q594" s="17" t="s">
        <v>1201</v>
      </c>
      <c r="R594" s="17" t="s">
        <v>102</v>
      </c>
      <c r="S594" s="17" t="s">
        <v>1220</v>
      </c>
      <c r="T594" s="32" t="s">
        <v>804</v>
      </c>
      <c r="U594" s="18" t="s">
        <v>19</v>
      </c>
      <c r="V594" s="17"/>
    </row>
    <row r="595" spans="1:22" x14ac:dyDescent="0.3">
      <c r="A595" s="18" t="e">
        <f t="shared" si="10"/>
        <v>#REF!</v>
      </c>
      <c r="B595" s="17">
        <v>100</v>
      </c>
      <c r="C595" s="17" t="s">
        <v>23</v>
      </c>
      <c r="D595" s="17" t="s">
        <v>1221</v>
      </c>
      <c r="E595" s="16">
        <v>45759</v>
      </c>
      <c r="F595" s="24" t="s">
        <v>51</v>
      </c>
      <c r="G595" s="51" t="s">
        <v>1289</v>
      </c>
      <c r="H595" s="56">
        <v>16442.580000000002</v>
      </c>
      <c r="I595" s="16">
        <v>45760</v>
      </c>
      <c r="J595" s="36">
        <v>45772</v>
      </c>
      <c r="K595" s="17">
        <v>2</v>
      </c>
      <c r="L595" s="34">
        <v>42</v>
      </c>
      <c r="M595" s="34">
        <v>2</v>
      </c>
      <c r="N595" s="22">
        <v>45760</v>
      </c>
      <c r="O595" s="18" t="s">
        <v>21</v>
      </c>
      <c r="P595" s="18" t="s">
        <v>25</v>
      </c>
      <c r="Q595" s="17" t="s">
        <v>124</v>
      </c>
      <c r="R595" s="17" t="s">
        <v>102</v>
      </c>
      <c r="S595" s="17" t="s">
        <v>1222</v>
      </c>
      <c r="T595" s="32" t="s">
        <v>804</v>
      </c>
      <c r="U595" s="18" t="s">
        <v>19</v>
      </c>
      <c r="V595" s="17"/>
    </row>
    <row r="596" spans="1:22" x14ac:dyDescent="0.3">
      <c r="A596" s="18" t="e">
        <f t="shared" si="10"/>
        <v>#REF!</v>
      </c>
      <c r="B596" s="17">
        <v>100</v>
      </c>
      <c r="C596" s="17" t="s">
        <v>23</v>
      </c>
      <c r="D596" s="17" t="s">
        <v>1223</v>
      </c>
      <c r="E596" s="16">
        <v>45759</v>
      </c>
      <c r="F596" s="24" t="s">
        <v>51</v>
      </c>
      <c r="G596" s="51" t="s">
        <v>1290</v>
      </c>
      <c r="H596" s="56">
        <v>111984.3</v>
      </c>
      <c r="I596" s="16">
        <v>45760</v>
      </c>
      <c r="J596" s="36">
        <v>45772</v>
      </c>
      <c r="K596" s="17">
        <v>16</v>
      </c>
      <c r="L596" s="34">
        <v>366</v>
      </c>
      <c r="M596" s="34">
        <v>16</v>
      </c>
      <c r="N596" s="22">
        <v>45760</v>
      </c>
      <c r="O596" s="18" t="s">
        <v>21</v>
      </c>
      <c r="P596" s="18" t="s">
        <v>25</v>
      </c>
      <c r="Q596" s="17" t="s">
        <v>124</v>
      </c>
      <c r="R596" s="17" t="s">
        <v>102</v>
      </c>
      <c r="S596" s="17" t="s">
        <v>1224</v>
      </c>
      <c r="T596" s="32" t="s">
        <v>804</v>
      </c>
      <c r="U596" s="18" t="s">
        <v>19</v>
      </c>
      <c r="V596" s="17"/>
    </row>
    <row r="597" spans="1:22" x14ac:dyDescent="0.3">
      <c r="A597" s="18" t="e">
        <f t="shared" si="10"/>
        <v>#REF!</v>
      </c>
      <c r="B597" s="17">
        <v>100</v>
      </c>
      <c r="C597" s="17" t="s">
        <v>20</v>
      </c>
      <c r="D597" s="17" t="s">
        <v>1225</v>
      </c>
      <c r="E597" s="16">
        <v>45759</v>
      </c>
      <c r="F597" s="21" t="s">
        <v>53</v>
      </c>
      <c r="G597" s="51" t="s">
        <v>1291</v>
      </c>
      <c r="H597" s="56">
        <v>713575.5</v>
      </c>
      <c r="I597" s="16">
        <v>45760</v>
      </c>
      <c r="J597" s="36">
        <v>45772</v>
      </c>
      <c r="K597" s="17">
        <v>550</v>
      </c>
      <c r="L597" s="34">
        <v>550</v>
      </c>
      <c r="M597" s="34">
        <v>55</v>
      </c>
      <c r="N597" s="22">
        <v>45760</v>
      </c>
      <c r="O597" s="18" t="s">
        <v>21</v>
      </c>
      <c r="P597" s="18" t="s">
        <v>25</v>
      </c>
      <c r="Q597" s="17" t="s">
        <v>124</v>
      </c>
      <c r="R597" s="17" t="s">
        <v>102</v>
      </c>
      <c r="S597" s="17" t="s">
        <v>1226</v>
      </c>
      <c r="T597" s="32" t="s">
        <v>804</v>
      </c>
      <c r="U597" s="18" t="s">
        <v>19</v>
      </c>
      <c r="V597" s="17"/>
    </row>
    <row r="598" spans="1:22" x14ac:dyDescent="0.3">
      <c r="A598" s="18" t="e">
        <f t="shared" si="10"/>
        <v>#REF!</v>
      </c>
      <c r="B598" s="17">
        <v>100</v>
      </c>
      <c r="C598" s="17" t="s">
        <v>20</v>
      </c>
      <c r="D598" s="17" t="s">
        <v>1227</v>
      </c>
      <c r="E598" s="16">
        <v>45759</v>
      </c>
      <c r="F598" s="21" t="s">
        <v>33</v>
      </c>
      <c r="G598" s="51" t="s">
        <v>1292</v>
      </c>
      <c r="H598" s="56">
        <v>33107.040000000001</v>
      </c>
      <c r="I598" s="16">
        <v>45760</v>
      </c>
      <c r="J598" s="36">
        <v>45772</v>
      </c>
      <c r="K598" s="17">
        <v>36</v>
      </c>
      <c r="L598" s="34">
        <v>36</v>
      </c>
      <c r="M598" s="34">
        <v>3</v>
      </c>
      <c r="N598" s="22">
        <v>45760</v>
      </c>
      <c r="O598" s="18" t="s">
        <v>21</v>
      </c>
      <c r="P598" s="18" t="s">
        <v>25</v>
      </c>
      <c r="Q598" s="17" t="s">
        <v>124</v>
      </c>
      <c r="R598" s="17" t="s">
        <v>102</v>
      </c>
      <c r="S598" s="17" t="s">
        <v>1228</v>
      </c>
      <c r="T598" s="32" t="s">
        <v>804</v>
      </c>
      <c r="U598" s="18" t="s">
        <v>19</v>
      </c>
      <c r="V598" s="17"/>
    </row>
    <row r="599" spans="1:22" x14ac:dyDescent="0.3">
      <c r="A599" s="18" t="e">
        <f t="shared" si="10"/>
        <v>#REF!</v>
      </c>
      <c r="B599" s="17">
        <v>100</v>
      </c>
      <c r="C599" s="17" t="s">
        <v>20</v>
      </c>
      <c r="D599" s="17" t="s">
        <v>1229</v>
      </c>
      <c r="E599" s="16">
        <v>45759</v>
      </c>
      <c r="F599" s="21" t="s">
        <v>53</v>
      </c>
      <c r="G599" s="51" t="s">
        <v>1305</v>
      </c>
      <c r="H599" s="56">
        <v>129741</v>
      </c>
      <c r="I599" s="16">
        <v>45760</v>
      </c>
      <c r="J599" s="36">
        <v>45772</v>
      </c>
      <c r="K599" s="17">
        <v>100</v>
      </c>
      <c r="L599" s="34">
        <v>100</v>
      </c>
      <c r="M599" s="34">
        <v>10</v>
      </c>
      <c r="N599" s="22">
        <v>45760</v>
      </c>
      <c r="O599" s="18" t="s">
        <v>21</v>
      </c>
      <c r="P599" s="18" t="s">
        <v>25</v>
      </c>
      <c r="Q599" s="17" t="s">
        <v>124</v>
      </c>
      <c r="R599" s="17" t="s">
        <v>102</v>
      </c>
      <c r="S599" s="17" t="s">
        <v>1230</v>
      </c>
      <c r="T599" s="32" t="s">
        <v>804</v>
      </c>
      <c r="U599" s="18" t="s">
        <v>19</v>
      </c>
      <c r="V599" s="17"/>
    </row>
    <row r="600" spans="1:22" x14ac:dyDescent="0.3">
      <c r="A600" s="18" t="e">
        <f t="shared" si="10"/>
        <v>#REF!</v>
      </c>
      <c r="B600" s="17">
        <v>100</v>
      </c>
      <c r="C600" s="17" t="s">
        <v>20</v>
      </c>
      <c r="D600" s="17" t="s">
        <v>1231</v>
      </c>
      <c r="E600" s="16">
        <v>45759</v>
      </c>
      <c r="F600" s="21" t="s">
        <v>129</v>
      </c>
      <c r="G600" s="51" t="s">
        <v>1293</v>
      </c>
      <c r="H600" s="56">
        <v>607645</v>
      </c>
      <c r="I600" s="16">
        <v>45760</v>
      </c>
      <c r="J600" s="36">
        <v>45772</v>
      </c>
      <c r="K600" s="17">
        <v>500</v>
      </c>
      <c r="L600" s="34">
        <v>500</v>
      </c>
      <c r="M600" s="34">
        <v>50</v>
      </c>
      <c r="N600" s="22">
        <v>45760</v>
      </c>
      <c r="O600" s="18" t="s">
        <v>21</v>
      </c>
      <c r="P600" s="18" t="s">
        <v>25</v>
      </c>
      <c r="Q600" s="17" t="s">
        <v>124</v>
      </c>
      <c r="R600" s="17" t="s">
        <v>102</v>
      </c>
      <c r="S600" s="17" t="s">
        <v>1232</v>
      </c>
      <c r="T600" s="32" t="s">
        <v>804</v>
      </c>
      <c r="U600" s="18" t="s">
        <v>19</v>
      </c>
      <c r="V600" s="17"/>
    </row>
    <row r="601" spans="1:22" x14ac:dyDescent="0.3">
      <c r="A601" s="18" t="e">
        <f t="shared" si="10"/>
        <v>#REF!</v>
      </c>
      <c r="B601" s="17">
        <v>100</v>
      </c>
      <c r="C601" s="17" t="s">
        <v>20</v>
      </c>
      <c r="D601" s="17" t="s">
        <v>1233</v>
      </c>
      <c r="E601" s="16">
        <v>45758</v>
      </c>
      <c r="F601" s="21" t="s">
        <v>47</v>
      </c>
      <c r="G601" s="51" t="s">
        <v>1294</v>
      </c>
      <c r="H601" s="56">
        <v>53210</v>
      </c>
      <c r="I601" s="16">
        <v>45760</v>
      </c>
      <c r="J601" s="36">
        <v>45772</v>
      </c>
      <c r="K601" s="17">
        <v>40</v>
      </c>
      <c r="L601" s="34">
        <v>40</v>
      </c>
      <c r="M601" s="34">
        <v>4</v>
      </c>
      <c r="N601" s="22">
        <v>45760</v>
      </c>
      <c r="O601" s="18" t="s">
        <v>21</v>
      </c>
      <c r="P601" s="18" t="s">
        <v>25</v>
      </c>
      <c r="Q601" s="17" t="s">
        <v>124</v>
      </c>
      <c r="R601" s="17" t="s">
        <v>102</v>
      </c>
      <c r="S601" s="17" t="s">
        <v>1234</v>
      </c>
      <c r="T601" s="32" t="s">
        <v>804</v>
      </c>
      <c r="U601" s="18" t="s">
        <v>19</v>
      </c>
      <c r="V601" s="17"/>
    </row>
    <row r="602" spans="1:22" x14ac:dyDescent="0.3">
      <c r="A602" s="18" t="e">
        <f t="shared" si="10"/>
        <v>#REF!</v>
      </c>
      <c r="B602" s="17">
        <v>100</v>
      </c>
      <c r="C602" s="17" t="s">
        <v>23</v>
      </c>
      <c r="D602" s="17" t="s">
        <v>1235</v>
      </c>
      <c r="E602" s="16">
        <v>45759</v>
      </c>
      <c r="F602" s="21" t="s">
        <v>1207</v>
      </c>
      <c r="G602" s="51" t="s">
        <v>1295</v>
      </c>
      <c r="H602" s="56">
        <v>67604.88</v>
      </c>
      <c r="I602" s="16">
        <v>45760</v>
      </c>
      <c r="J602" s="36">
        <v>45772</v>
      </c>
      <c r="K602" s="17">
        <v>8</v>
      </c>
      <c r="L602" s="34">
        <v>192</v>
      </c>
      <c r="M602" s="34">
        <v>8</v>
      </c>
      <c r="N602" s="22">
        <v>45760</v>
      </c>
      <c r="O602" s="18" t="s">
        <v>21</v>
      </c>
      <c r="P602" s="18" t="s">
        <v>25</v>
      </c>
      <c r="Q602" s="17" t="s">
        <v>124</v>
      </c>
      <c r="R602" s="17" t="s">
        <v>102</v>
      </c>
      <c r="S602" s="17" t="s">
        <v>1236</v>
      </c>
      <c r="T602" s="32" t="s">
        <v>804</v>
      </c>
      <c r="U602" s="18" t="s">
        <v>19</v>
      </c>
      <c r="V602" s="17"/>
    </row>
    <row r="603" spans="1:22" x14ac:dyDescent="0.3">
      <c r="A603" s="18" t="e">
        <f t="shared" si="10"/>
        <v>#REF!</v>
      </c>
      <c r="B603" s="17">
        <v>100</v>
      </c>
      <c r="C603" s="17" t="s">
        <v>23</v>
      </c>
      <c r="D603" s="17" t="s">
        <v>1237</v>
      </c>
      <c r="E603" s="16">
        <v>45759</v>
      </c>
      <c r="F603" s="21" t="s">
        <v>129</v>
      </c>
      <c r="G603" s="51" t="s">
        <v>1306</v>
      </c>
      <c r="H603" s="56">
        <v>49613.760000000002</v>
      </c>
      <c r="I603" s="16">
        <v>45760</v>
      </c>
      <c r="J603" s="36">
        <v>45772</v>
      </c>
      <c r="K603" s="17">
        <v>6</v>
      </c>
      <c r="L603" s="34">
        <v>144</v>
      </c>
      <c r="M603" s="34">
        <v>6</v>
      </c>
      <c r="N603" s="22">
        <v>45760</v>
      </c>
      <c r="O603" s="18" t="s">
        <v>21</v>
      </c>
      <c r="P603" s="18" t="s">
        <v>25</v>
      </c>
      <c r="Q603" s="17" t="s">
        <v>124</v>
      </c>
      <c r="R603" s="17" t="s">
        <v>102</v>
      </c>
      <c r="S603" s="17" t="s">
        <v>1238</v>
      </c>
      <c r="T603" s="32" t="s">
        <v>804</v>
      </c>
      <c r="U603" s="18" t="s">
        <v>19</v>
      </c>
      <c r="V603" s="17"/>
    </row>
    <row r="604" spans="1:22" x14ac:dyDescent="0.3">
      <c r="A604" s="18" t="e">
        <f t="shared" si="10"/>
        <v>#REF!</v>
      </c>
      <c r="B604" s="17">
        <v>100</v>
      </c>
      <c r="C604" s="17" t="s">
        <v>23</v>
      </c>
      <c r="D604" s="17" t="s">
        <v>1239</v>
      </c>
      <c r="E604" s="16">
        <v>45759</v>
      </c>
      <c r="F604" s="21" t="s">
        <v>114</v>
      </c>
      <c r="G604" s="51" t="s">
        <v>1296</v>
      </c>
      <c r="H604" s="56">
        <v>49613.760000000002</v>
      </c>
      <c r="I604" s="16">
        <v>45760</v>
      </c>
      <c r="J604" s="36">
        <v>45772</v>
      </c>
      <c r="K604" s="17">
        <v>6</v>
      </c>
      <c r="L604" s="34">
        <v>144</v>
      </c>
      <c r="M604" s="34">
        <v>6</v>
      </c>
      <c r="N604" s="22">
        <v>45760</v>
      </c>
      <c r="O604" s="18" t="s">
        <v>21</v>
      </c>
      <c r="P604" s="18" t="s">
        <v>25</v>
      </c>
      <c r="Q604" s="17" t="s">
        <v>124</v>
      </c>
      <c r="R604" s="17" t="s">
        <v>102</v>
      </c>
      <c r="S604" s="17" t="s">
        <v>1240</v>
      </c>
      <c r="T604" s="32" t="s">
        <v>804</v>
      </c>
      <c r="U604" s="18" t="s">
        <v>19</v>
      </c>
      <c r="V604" s="17"/>
    </row>
    <row r="605" spans="1:22" x14ac:dyDescent="0.3">
      <c r="A605" s="18" t="e">
        <f t="shared" si="10"/>
        <v>#REF!</v>
      </c>
      <c r="B605" s="17">
        <v>100</v>
      </c>
      <c r="C605" s="17" t="s">
        <v>23</v>
      </c>
      <c r="D605" s="17" t="s">
        <v>1241</v>
      </c>
      <c r="E605" s="16">
        <v>45758</v>
      </c>
      <c r="F605" s="21" t="s">
        <v>47</v>
      </c>
      <c r="G605" s="51" t="s">
        <v>1297</v>
      </c>
      <c r="H605" s="56">
        <v>22120.560000000001</v>
      </c>
      <c r="I605" s="16">
        <v>45760</v>
      </c>
      <c r="J605" s="36">
        <v>45772</v>
      </c>
      <c r="K605" s="17">
        <v>3</v>
      </c>
      <c r="L605" s="34">
        <v>72</v>
      </c>
      <c r="M605" s="34">
        <v>3</v>
      </c>
      <c r="N605" s="22">
        <v>45760</v>
      </c>
      <c r="O605" s="18" t="s">
        <v>21</v>
      </c>
      <c r="P605" s="18" t="s">
        <v>25</v>
      </c>
      <c r="Q605" s="17" t="s">
        <v>124</v>
      </c>
      <c r="R605" s="17" t="s">
        <v>102</v>
      </c>
      <c r="S605" s="17" t="s">
        <v>1242</v>
      </c>
      <c r="T605" s="32" t="s">
        <v>804</v>
      </c>
      <c r="U605" s="18" t="s">
        <v>19</v>
      </c>
      <c r="V605" s="17"/>
    </row>
    <row r="606" spans="1:22" x14ac:dyDescent="0.3">
      <c r="A606" s="18" t="e">
        <f t="shared" si="10"/>
        <v>#REF!</v>
      </c>
      <c r="B606" s="17">
        <v>100</v>
      </c>
      <c r="C606" s="17" t="s">
        <v>23</v>
      </c>
      <c r="D606" s="17" t="s">
        <v>1243</v>
      </c>
      <c r="E606" s="16">
        <v>45759</v>
      </c>
      <c r="F606" s="21" t="s">
        <v>64</v>
      </c>
      <c r="G606" s="51" t="s">
        <v>1298</v>
      </c>
      <c r="H606" s="56">
        <v>108478.92</v>
      </c>
      <c r="I606" s="16">
        <v>45760</v>
      </c>
      <c r="J606" s="36">
        <v>45772</v>
      </c>
      <c r="K606" s="17">
        <v>13</v>
      </c>
      <c r="L606" s="34">
        <v>300</v>
      </c>
      <c r="M606" s="34">
        <v>13</v>
      </c>
      <c r="N606" s="22">
        <v>45760</v>
      </c>
      <c r="O606" s="18" t="s">
        <v>21</v>
      </c>
      <c r="P606" s="18" t="s">
        <v>25</v>
      </c>
      <c r="Q606" s="17" t="s">
        <v>124</v>
      </c>
      <c r="R606" s="17" t="s">
        <v>102</v>
      </c>
      <c r="S606" s="17" t="s">
        <v>1244</v>
      </c>
      <c r="T606" s="32" t="s">
        <v>804</v>
      </c>
      <c r="U606" s="18" t="s">
        <v>19</v>
      </c>
      <c r="V606" s="17"/>
    </row>
    <row r="607" spans="1:22" x14ac:dyDescent="0.3">
      <c r="A607" s="18" t="e">
        <f t="shared" si="10"/>
        <v>#REF!</v>
      </c>
      <c r="B607" s="17">
        <v>100</v>
      </c>
      <c r="C607" s="17" t="s">
        <v>23</v>
      </c>
      <c r="D607" s="17" t="s">
        <v>1245</v>
      </c>
      <c r="E607" s="16">
        <v>45759</v>
      </c>
      <c r="F607" s="21" t="s">
        <v>53</v>
      </c>
      <c r="G607" s="51" t="s">
        <v>1299</v>
      </c>
      <c r="H607" s="56">
        <v>82979.28</v>
      </c>
      <c r="I607" s="16">
        <v>45760</v>
      </c>
      <c r="J607" s="36">
        <v>45772</v>
      </c>
      <c r="K607" s="17">
        <v>10</v>
      </c>
      <c r="L607" s="34">
        <v>216</v>
      </c>
      <c r="M607" s="34">
        <v>10</v>
      </c>
      <c r="N607" s="22">
        <v>45760</v>
      </c>
      <c r="O607" s="18" t="s">
        <v>21</v>
      </c>
      <c r="P607" s="18" t="s">
        <v>25</v>
      </c>
      <c r="Q607" s="17" t="s">
        <v>124</v>
      </c>
      <c r="R607" s="17" t="s">
        <v>102</v>
      </c>
      <c r="S607" s="17" t="s">
        <v>1246</v>
      </c>
      <c r="T607" s="32" t="s">
        <v>804</v>
      </c>
      <c r="U607" s="18" t="s">
        <v>19</v>
      </c>
      <c r="V607" s="17"/>
    </row>
    <row r="608" spans="1:22" x14ac:dyDescent="0.3">
      <c r="A608" s="18" t="e">
        <f t="shared" si="10"/>
        <v>#REF!</v>
      </c>
      <c r="B608" s="17">
        <v>100</v>
      </c>
      <c r="C608" s="17" t="s">
        <v>23</v>
      </c>
      <c r="D608" s="17" t="s">
        <v>1247</v>
      </c>
      <c r="E608" s="16">
        <v>45759</v>
      </c>
      <c r="F608" s="21" t="s">
        <v>123</v>
      </c>
      <c r="G608" s="51" t="s">
        <v>1300</v>
      </c>
      <c r="H608" s="56">
        <v>91582.56</v>
      </c>
      <c r="I608" s="16">
        <v>45760</v>
      </c>
      <c r="J608" s="36">
        <v>45772</v>
      </c>
      <c r="K608" s="17">
        <v>10</v>
      </c>
      <c r="L608" s="34">
        <v>240</v>
      </c>
      <c r="M608" s="34">
        <v>10</v>
      </c>
      <c r="N608" s="22">
        <v>45760</v>
      </c>
      <c r="O608" s="18" t="s">
        <v>21</v>
      </c>
      <c r="P608" s="18" t="s">
        <v>25</v>
      </c>
      <c r="Q608" s="17" t="s">
        <v>124</v>
      </c>
      <c r="R608" s="17" t="s">
        <v>102</v>
      </c>
      <c r="S608" s="17" t="s">
        <v>1248</v>
      </c>
      <c r="T608" s="32" t="s">
        <v>804</v>
      </c>
      <c r="U608" s="18" t="s">
        <v>19</v>
      </c>
      <c r="V608" s="17"/>
    </row>
    <row r="609" spans="1:22" x14ac:dyDescent="0.3">
      <c r="A609" s="18" t="e">
        <f t="shared" si="10"/>
        <v>#REF!</v>
      </c>
      <c r="B609" s="17">
        <v>100</v>
      </c>
      <c r="C609" s="17" t="s">
        <v>23</v>
      </c>
      <c r="D609" s="17" t="s">
        <v>1304</v>
      </c>
      <c r="E609" s="16">
        <v>45759</v>
      </c>
      <c r="F609" s="21" t="s">
        <v>35</v>
      </c>
      <c r="G609" s="51" t="s">
        <v>1301</v>
      </c>
      <c r="H609" s="56">
        <v>70054.559999999998</v>
      </c>
      <c r="I609" s="16">
        <v>45760</v>
      </c>
      <c r="J609" s="36">
        <v>45772</v>
      </c>
      <c r="K609" s="17">
        <v>9</v>
      </c>
      <c r="L609" s="34">
        <v>216</v>
      </c>
      <c r="M609" s="34">
        <v>9</v>
      </c>
      <c r="N609" s="22">
        <v>45760</v>
      </c>
      <c r="O609" s="18" t="s">
        <v>21</v>
      </c>
      <c r="P609" s="18" t="s">
        <v>25</v>
      </c>
      <c r="Q609" s="17" t="s">
        <v>124</v>
      </c>
      <c r="R609" s="17" t="s">
        <v>102</v>
      </c>
      <c r="S609" s="17" t="s">
        <v>1249</v>
      </c>
      <c r="T609" s="32" t="s">
        <v>804</v>
      </c>
      <c r="U609" s="18" t="s">
        <v>19</v>
      </c>
      <c r="V609" s="17"/>
    </row>
    <row r="610" spans="1:22" x14ac:dyDescent="0.3">
      <c r="A610" s="18" t="e">
        <f t="shared" si="10"/>
        <v>#REF!</v>
      </c>
      <c r="B610" s="17">
        <v>100</v>
      </c>
      <c r="C610" s="17" t="s">
        <v>23</v>
      </c>
      <c r="D610" s="17" t="s">
        <v>1250</v>
      </c>
      <c r="E610" s="16">
        <v>45759</v>
      </c>
      <c r="F610" s="21" t="s">
        <v>49</v>
      </c>
      <c r="G610" s="51" t="s">
        <v>1302</v>
      </c>
      <c r="H610" s="56">
        <v>63610</v>
      </c>
      <c r="I610" s="16">
        <v>45760</v>
      </c>
      <c r="J610" s="36">
        <v>45772</v>
      </c>
      <c r="K610" s="17">
        <v>8</v>
      </c>
      <c r="L610" s="34">
        <v>180</v>
      </c>
      <c r="M610" s="34">
        <v>8</v>
      </c>
      <c r="N610" s="22">
        <v>45760</v>
      </c>
      <c r="O610" s="18" t="s">
        <v>21</v>
      </c>
      <c r="P610" s="18" t="s">
        <v>25</v>
      </c>
      <c r="Q610" s="17" t="s">
        <v>124</v>
      </c>
      <c r="R610" s="17" t="s">
        <v>102</v>
      </c>
      <c r="S610" s="17" t="s">
        <v>1251</v>
      </c>
      <c r="T610" s="32" t="s">
        <v>804</v>
      </c>
      <c r="U610" s="18" t="s">
        <v>19</v>
      </c>
      <c r="V610" s="17"/>
    </row>
    <row r="611" spans="1:22" x14ac:dyDescent="0.3">
      <c r="A611" s="18" t="e">
        <f t="shared" si="10"/>
        <v>#REF!</v>
      </c>
      <c r="B611" s="17">
        <v>100</v>
      </c>
      <c r="C611" s="17" t="s">
        <v>23</v>
      </c>
      <c r="D611" s="17" t="s">
        <v>1252</v>
      </c>
      <c r="E611" s="16">
        <v>45759</v>
      </c>
      <c r="F611" s="21" t="s">
        <v>47</v>
      </c>
      <c r="G611" s="51" t="s">
        <v>1303</v>
      </c>
      <c r="H611" s="56">
        <v>25813.439999999999</v>
      </c>
      <c r="I611" s="16">
        <v>45760</v>
      </c>
      <c r="J611" s="36">
        <v>45772</v>
      </c>
      <c r="K611" s="17">
        <v>3</v>
      </c>
      <c r="L611" s="34">
        <v>72</v>
      </c>
      <c r="M611" s="34">
        <v>3</v>
      </c>
      <c r="N611" s="22">
        <v>45760</v>
      </c>
      <c r="O611" s="18" t="s">
        <v>21</v>
      </c>
      <c r="P611" s="18" t="s">
        <v>25</v>
      </c>
      <c r="Q611" s="17" t="s">
        <v>124</v>
      </c>
      <c r="R611" s="17" t="s">
        <v>102</v>
      </c>
      <c r="S611" s="17" t="s">
        <v>1253</v>
      </c>
      <c r="T611" s="32" t="s">
        <v>804</v>
      </c>
      <c r="U611" s="18" t="s">
        <v>19</v>
      </c>
      <c r="V611" s="17"/>
    </row>
    <row r="612" spans="1:22" x14ac:dyDescent="0.3">
      <c r="A612" s="18" t="e">
        <f t="shared" si="10"/>
        <v>#REF!</v>
      </c>
      <c r="B612" s="17">
        <v>101</v>
      </c>
      <c r="C612" s="17" t="s">
        <v>23</v>
      </c>
      <c r="D612" s="17" t="s">
        <v>1307</v>
      </c>
      <c r="E612" s="16">
        <v>45762</v>
      </c>
      <c r="F612" s="21" t="s">
        <v>33</v>
      </c>
      <c r="G612" s="51" t="s">
        <v>1308</v>
      </c>
      <c r="H612" s="56">
        <v>113389.8</v>
      </c>
      <c r="I612" s="16">
        <v>45762</v>
      </c>
      <c r="J612" s="36">
        <v>45772</v>
      </c>
      <c r="K612" s="17">
        <v>15</v>
      </c>
      <c r="L612" s="34">
        <v>324</v>
      </c>
      <c r="M612" s="34">
        <v>15</v>
      </c>
      <c r="N612" s="22">
        <v>45763</v>
      </c>
      <c r="O612" s="18" t="s">
        <v>21</v>
      </c>
      <c r="P612" s="18" t="s">
        <v>25</v>
      </c>
      <c r="Q612" s="17" t="s">
        <v>124</v>
      </c>
      <c r="R612" s="17" t="s">
        <v>102</v>
      </c>
      <c r="S612" s="17" t="s">
        <v>1309</v>
      </c>
      <c r="T612" s="32" t="s">
        <v>804</v>
      </c>
      <c r="U612" s="18" t="s">
        <v>19</v>
      </c>
      <c r="V612" s="17"/>
    </row>
    <row r="613" spans="1:22" x14ac:dyDescent="0.3">
      <c r="A613" s="18" t="e">
        <f t="shared" si="10"/>
        <v>#REF!</v>
      </c>
      <c r="B613" s="17">
        <v>101</v>
      </c>
      <c r="C613" s="17" t="s">
        <v>23</v>
      </c>
      <c r="D613" s="17" t="s">
        <v>1310</v>
      </c>
      <c r="E613" s="16">
        <v>45761</v>
      </c>
      <c r="F613" s="21" t="s">
        <v>350</v>
      </c>
      <c r="G613" s="51" t="s">
        <v>1311</v>
      </c>
      <c r="H613" s="56">
        <v>215160.24</v>
      </c>
      <c r="I613" s="16">
        <v>45761</v>
      </c>
      <c r="J613" s="36">
        <v>45772</v>
      </c>
      <c r="K613" s="17">
        <v>25</v>
      </c>
      <c r="L613" s="34">
        <v>504</v>
      </c>
      <c r="M613" s="34">
        <v>25</v>
      </c>
      <c r="N613" s="22">
        <v>45763</v>
      </c>
      <c r="O613" s="18" t="s">
        <v>21</v>
      </c>
      <c r="P613" s="18" t="s">
        <v>25</v>
      </c>
      <c r="Q613" s="17" t="s">
        <v>124</v>
      </c>
      <c r="R613" s="17" t="s">
        <v>102</v>
      </c>
      <c r="S613" s="17" t="s">
        <v>1312</v>
      </c>
      <c r="T613" s="32" t="s">
        <v>804</v>
      </c>
      <c r="U613" s="18" t="s">
        <v>19</v>
      </c>
      <c r="V613" s="17"/>
    </row>
    <row r="614" spans="1:22" x14ac:dyDescent="0.3">
      <c r="A614" s="18" t="e">
        <f t="shared" si="10"/>
        <v>#REF!</v>
      </c>
      <c r="B614" s="17">
        <v>101</v>
      </c>
      <c r="C614" s="17" t="s">
        <v>23</v>
      </c>
      <c r="D614" s="17" t="s">
        <v>1313</v>
      </c>
      <c r="E614" s="16">
        <v>45762</v>
      </c>
      <c r="F614" s="21" t="s">
        <v>84</v>
      </c>
      <c r="G614" s="51" t="s">
        <v>1314</v>
      </c>
      <c r="H614" s="56">
        <v>534037.38</v>
      </c>
      <c r="I614" s="16">
        <v>45763</v>
      </c>
      <c r="J614" s="36">
        <v>45772</v>
      </c>
      <c r="K614" s="17" t="s">
        <v>1315</v>
      </c>
      <c r="L614" s="34">
        <v>1290</v>
      </c>
      <c r="M614" s="34" t="s">
        <v>1315</v>
      </c>
      <c r="N614" s="22">
        <v>45763</v>
      </c>
      <c r="O614" s="18" t="s">
        <v>21</v>
      </c>
      <c r="P614" s="18" t="s">
        <v>25</v>
      </c>
      <c r="Q614" s="17" t="s">
        <v>124</v>
      </c>
      <c r="R614" s="17" t="s">
        <v>102</v>
      </c>
      <c r="S614" s="17" t="s">
        <v>1316</v>
      </c>
      <c r="T614" s="32" t="s">
        <v>804</v>
      </c>
      <c r="U614" s="18" t="s">
        <v>19</v>
      </c>
      <c r="V614" s="17"/>
    </row>
    <row r="615" spans="1:22" x14ac:dyDescent="0.3">
      <c r="A615" s="18" t="e">
        <f t="shared" si="10"/>
        <v>#REF!</v>
      </c>
      <c r="B615" s="17">
        <v>101</v>
      </c>
      <c r="C615" s="17" t="s">
        <v>23</v>
      </c>
      <c r="D615" s="17" t="s">
        <v>1317</v>
      </c>
      <c r="E615" s="16">
        <v>45762</v>
      </c>
      <c r="F615" s="21" t="s">
        <v>49</v>
      </c>
      <c r="G615" s="51" t="s">
        <v>1318</v>
      </c>
      <c r="H615" s="56">
        <v>60230.64</v>
      </c>
      <c r="I615" s="16">
        <v>45763</v>
      </c>
      <c r="J615" s="36">
        <v>45772</v>
      </c>
      <c r="K615" s="17">
        <v>7</v>
      </c>
      <c r="L615" s="34">
        <v>168</v>
      </c>
      <c r="M615" s="34">
        <v>7</v>
      </c>
      <c r="N615" s="22">
        <v>45763</v>
      </c>
      <c r="O615" s="18" t="s">
        <v>21</v>
      </c>
      <c r="P615" s="18" t="s">
        <v>25</v>
      </c>
      <c r="Q615" s="17" t="s">
        <v>124</v>
      </c>
      <c r="R615" s="17" t="s">
        <v>102</v>
      </c>
      <c r="S615" s="17" t="s">
        <v>1319</v>
      </c>
      <c r="T615" s="32" t="s">
        <v>804</v>
      </c>
      <c r="U615" s="18" t="s">
        <v>19</v>
      </c>
      <c r="V615" s="17"/>
    </row>
    <row r="616" spans="1:22" x14ac:dyDescent="0.3">
      <c r="A616" s="18" t="e">
        <f t="shared" si="10"/>
        <v>#REF!</v>
      </c>
      <c r="B616" s="17">
        <v>101</v>
      </c>
      <c r="C616" s="17" t="s">
        <v>23</v>
      </c>
      <c r="D616" s="17" t="s">
        <v>1320</v>
      </c>
      <c r="E616" s="16">
        <v>45762</v>
      </c>
      <c r="F616" s="23" t="s">
        <v>68</v>
      </c>
      <c r="G616" s="51" t="s">
        <v>1321</v>
      </c>
      <c r="H616" s="56">
        <v>77590.86</v>
      </c>
      <c r="I616" s="16">
        <v>45763</v>
      </c>
      <c r="J616" s="36">
        <v>45772</v>
      </c>
      <c r="K616" s="17" t="s">
        <v>1322</v>
      </c>
      <c r="L616" s="34">
        <v>222</v>
      </c>
      <c r="M616" s="34" t="s">
        <v>1322</v>
      </c>
      <c r="N616" s="22">
        <v>45763</v>
      </c>
      <c r="O616" s="18" t="s">
        <v>21</v>
      </c>
      <c r="P616" s="18" t="s">
        <v>25</v>
      </c>
      <c r="Q616" s="17" t="s">
        <v>124</v>
      </c>
      <c r="R616" s="17" t="s">
        <v>102</v>
      </c>
      <c r="S616" s="17" t="s">
        <v>1323</v>
      </c>
      <c r="T616" s="32" t="s">
        <v>804</v>
      </c>
      <c r="U616" s="18" t="s">
        <v>19</v>
      </c>
      <c r="V616" s="17"/>
    </row>
    <row r="617" spans="1:22" x14ac:dyDescent="0.3">
      <c r="A617" s="18" t="e">
        <f t="shared" si="10"/>
        <v>#REF!</v>
      </c>
      <c r="B617" s="17">
        <v>101</v>
      </c>
      <c r="C617" s="17" t="s">
        <v>23</v>
      </c>
      <c r="D617" s="17" t="s">
        <v>1324</v>
      </c>
      <c r="E617" s="16">
        <v>45762</v>
      </c>
      <c r="F617" s="21" t="s">
        <v>130</v>
      </c>
      <c r="G617" s="51" t="s">
        <v>1325</v>
      </c>
      <c r="H617" s="56">
        <v>169977.96</v>
      </c>
      <c r="I617" s="16">
        <v>45763</v>
      </c>
      <c r="J617" s="36">
        <v>45772</v>
      </c>
      <c r="K617" s="17">
        <v>17</v>
      </c>
      <c r="L617" s="34">
        <v>396</v>
      </c>
      <c r="M617" s="34">
        <v>17</v>
      </c>
      <c r="N617" s="22">
        <v>45763</v>
      </c>
      <c r="O617" s="18" t="s">
        <v>21</v>
      </c>
      <c r="P617" s="18" t="s">
        <v>25</v>
      </c>
      <c r="Q617" s="17" t="s">
        <v>124</v>
      </c>
      <c r="R617" s="17" t="s">
        <v>102</v>
      </c>
      <c r="S617" s="17" t="s">
        <v>1326</v>
      </c>
      <c r="T617" s="32" t="s">
        <v>804</v>
      </c>
      <c r="U617" s="18" t="s">
        <v>19</v>
      </c>
      <c r="V617" s="17"/>
    </row>
    <row r="618" spans="1:22" x14ac:dyDescent="0.3">
      <c r="A618" s="18" t="e">
        <f t="shared" si="10"/>
        <v>#REF!</v>
      </c>
      <c r="B618" s="17">
        <v>101</v>
      </c>
      <c r="C618" s="17" t="s">
        <v>23</v>
      </c>
      <c r="D618" s="17" t="s">
        <v>1327</v>
      </c>
      <c r="E618" s="16">
        <v>45762</v>
      </c>
      <c r="F618" s="21" t="s">
        <v>123</v>
      </c>
      <c r="G618" s="51" t="s">
        <v>1328</v>
      </c>
      <c r="H618" s="56">
        <v>239742.72</v>
      </c>
      <c r="I618" s="16">
        <v>45763</v>
      </c>
      <c r="J618" s="36">
        <v>45772</v>
      </c>
      <c r="K618" s="17">
        <v>24</v>
      </c>
      <c r="L618" s="34">
        <v>576</v>
      </c>
      <c r="M618" s="34">
        <v>24</v>
      </c>
      <c r="N618" s="22">
        <v>45763</v>
      </c>
      <c r="O618" s="18" t="s">
        <v>21</v>
      </c>
      <c r="P618" s="18" t="s">
        <v>25</v>
      </c>
      <c r="Q618" s="17" t="s">
        <v>124</v>
      </c>
      <c r="R618" s="17" t="s">
        <v>102</v>
      </c>
      <c r="S618" s="17" t="s">
        <v>1329</v>
      </c>
      <c r="T618" s="32" t="s">
        <v>804</v>
      </c>
      <c r="U618" s="18" t="s">
        <v>19</v>
      </c>
      <c r="V618" s="17"/>
    </row>
    <row r="619" spans="1:22" x14ac:dyDescent="0.3">
      <c r="A619" s="18" t="e">
        <f t="shared" si="10"/>
        <v>#REF!</v>
      </c>
      <c r="B619" s="17">
        <v>101</v>
      </c>
      <c r="C619" s="17" t="s">
        <v>23</v>
      </c>
      <c r="D619" s="17" t="s">
        <v>1330</v>
      </c>
      <c r="E619" s="16">
        <v>45762</v>
      </c>
      <c r="F619" s="21" t="s">
        <v>43</v>
      </c>
      <c r="G619" s="51" t="s">
        <v>1331</v>
      </c>
      <c r="H619" s="56">
        <v>96796.2</v>
      </c>
      <c r="I619" s="16">
        <v>45763</v>
      </c>
      <c r="J619" s="36">
        <v>45772</v>
      </c>
      <c r="K619" s="17">
        <v>11</v>
      </c>
      <c r="L619" s="34">
        <v>276</v>
      </c>
      <c r="M619" s="34">
        <v>11</v>
      </c>
      <c r="N619" s="22">
        <v>45763</v>
      </c>
      <c r="O619" s="18" t="s">
        <v>21</v>
      </c>
      <c r="P619" s="18" t="s">
        <v>25</v>
      </c>
      <c r="Q619" s="17" t="s">
        <v>124</v>
      </c>
      <c r="R619" s="17" t="s">
        <v>102</v>
      </c>
      <c r="S619" s="17" t="s">
        <v>1332</v>
      </c>
      <c r="T619" s="32" t="s">
        <v>804</v>
      </c>
      <c r="U619" s="18" t="s">
        <v>19</v>
      </c>
      <c r="V619" s="17"/>
    </row>
    <row r="620" spans="1:22" x14ac:dyDescent="0.3">
      <c r="A620" s="18" t="e">
        <f t="shared" si="10"/>
        <v>#REF!</v>
      </c>
      <c r="B620" s="17">
        <v>102</v>
      </c>
      <c r="C620" s="17" t="s">
        <v>20</v>
      </c>
      <c r="D620" s="17" t="s">
        <v>1333</v>
      </c>
      <c r="E620" s="16">
        <v>45762</v>
      </c>
      <c r="F620" s="21" t="s">
        <v>53</v>
      </c>
      <c r="G620" s="51" t="s">
        <v>1334</v>
      </c>
      <c r="H620" s="56">
        <v>388892.8</v>
      </c>
      <c r="I620" s="16">
        <v>45763</v>
      </c>
      <c r="J620" s="36">
        <v>45772</v>
      </c>
      <c r="K620" s="17">
        <v>32</v>
      </c>
      <c r="L620" s="34">
        <v>320</v>
      </c>
      <c r="M620" s="34">
        <v>32</v>
      </c>
      <c r="N620" s="22">
        <v>45763</v>
      </c>
      <c r="O620" s="18" t="s">
        <v>21</v>
      </c>
      <c r="P620" s="18" t="s">
        <v>25</v>
      </c>
      <c r="Q620" s="17" t="s">
        <v>125</v>
      </c>
      <c r="R620" s="17" t="s">
        <v>102</v>
      </c>
      <c r="S620" s="17" t="s">
        <v>1335</v>
      </c>
      <c r="T620" s="32" t="s">
        <v>804</v>
      </c>
      <c r="U620" s="18" t="s">
        <v>19</v>
      </c>
      <c r="V620" s="17"/>
    </row>
    <row r="621" spans="1:22" x14ac:dyDescent="0.3">
      <c r="A621" s="18" t="e">
        <f t="shared" si="10"/>
        <v>#REF!</v>
      </c>
      <c r="B621" s="17">
        <v>102</v>
      </c>
      <c r="C621" s="17" t="s">
        <v>23</v>
      </c>
      <c r="D621" s="17" t="s">
        <v>1336</v>
      </c>
      <c r="E621" s="16">
        <v>45762</v>
      </c>
      <c r="F621" s="21" t="s">
        <v>35</v>
      </c>
      <c r="G621" s="51" t="s">
        <v>1337</v>
      </c>
      <c r="H621" s="56">
        <v>167177.76</v>
      </c>
      <c r="I621" s="16">
        <v>45763</v>
      </c>
      <c r="J621" s="36">
        <v>45772</v>
      </c>
      <c r="K621" s="17">
        <v>19</v>
      </c>
      <c r="L621" s="34">
        <v>456</v>
      </c>
      <c r="M621" s="34">
        <v>19</v>
      </c>
      <c r="N621" s="22">
        <v>45763</v>
      </c>
      <c r="O621" s="18" t="s">
        <v>21</v>
      </c>
      <c r="P621" s="18" t="s">
        <v>25</v>
      </c>
      <c r="Q621" s="17" t="s">
        <v>125</v>
      </c>
      <c r="R621" s="17" t="s">
        <v>102</v>
      </c>
      <c r="S621" s="17" t="s">
        <v>1338</v>
      </c>
      <c r="T621" s="32" t="s">
        <v>804</v>
      </c>
      <c r="U621" s="18" t="s">
        <v>19</v>
      </c>
      <c r="V621" s="17"/>
    </row>
    <row r="622" spans="1:22" x14ac:dyDescent="0.3">
      <c r="A622" s="18" t="e">
        <f t="shared" si="10"/>
        <v>#REF!</v>
      </c>
      <c r="B622" s="17">
        <v>102</v>
      </c>
      <c r="C622" s="17" t="s">
        <v>20</v>
      </c>
      <c r="D622" s="17" t="s">
        <v>1339</v>
      </c>
      <c r="E622" s="16">
        <v>45762</v>
      </c>
      <c r="F622" s="21" t="s">
        <v>130</v>
      </c>
      <c r="G622" s="51" t="s">
        <v>1340</v>
      </c>
      <c r="H622" s="56">
        <v>145834.79999999999</v>
      </c>
      <c r="I622" s="16">
        <v>45763</v>
      </c>
      <c r="J622" s="36">
        <v>45772</v>
      </c>
      <c r="K622" s="17">
        <v>12</v>
      </c>
      <c r="L622" s="34">
        <v>120</v>
      </c>
      <c r="M622" s="34">
        <v>12</v>
      </c>
      <c r="N622" s="22">
        <v>45763</v>
      </c>
      <c r="O622" s="18" t="s">
        <v>21</v>
      </c>
      <c r="P622" s="18" t="s">
        <v>25</v>
      </c>
      <c r="Q622" s="17" t="s">
        <v>125</v>
      </c>
      <c r="R622" s="17" t="s">
        <v>102</v>
      </c>
      <c r="S622" s="17" t="s">
        <v>1341</v>
      </c>
      <c r="T622" s="17" t="s">
        <v>804</v>
      </c>
      <c r="U622" s="18" t="s">
        <v>19</v>
      </c>
      <c r="V622" s="17"/>
    </row>
    <row r="623" spans="1:22" x14ac:dyDescent="0.3">
      <c r="A623" s="18" t="e">
        <f t="shared" si="10"/>
        <v>#REF!</v>
      </c>
      <c r="B623" s="17">
        <v>102</v>
      </c>
      <c r="C623" s="17" t="s">
        <v>20</v>
      </c>
      <c r="D623" s="17" t="s">
        <v>1342</v>
      </c>
      <c r="E623" s="16">
        <v>45762</v>
      </c>
      <c r="F623" s="21" t="s">
        <v>1207</v>
      </c>
      <c r="G623" s="51" t="s">
        <v>1343</v>
      </c>
      <c r="H623" s="56">
        <v>183675.46</v>
      </c>
      <c r="I623" s="16">
        <v>45763</v>
      </c>
      <c r="J623" s="36">
        <v>45772</v>
      </c>
      <c r="K623" s="17">
        <v>13</v>
      </c>
      <c r="L623" s="34">
        <v>134</v>
      </c>
      <c r="M623" s="34">
        <v>13</v>
      </c>
      <c r="N623" s="22">
        <v>45763</v>
      </c>
      <c r="O623" s="18" t="s">
        <v>21</v>
      </c>
      <c r="P623" s="18" t="s">
        <v>25</v>
      </c>
      <c r="Q623" s="17" t="s">
        <v>125</v>
      </c>
      <c r="R623" s="17" t="s">
        <v>102</v>
      </c>
      <c r="S623" s="17" t="s">
        <v>1344</v>
      </c>
      <c r="T623" s="17" t="s">
        <v>804</v>
      </c>
      <c r="U623" s="18" t="s">
        <v>19</v>
      </c>
      <c r="V623" s="17"/>
    </row>
    <row r="624" spans="1:22" x14ac:dyDescent="0.3">
      <c r="A624" s="18" t="e">
        <f t="shared" si="10"/>
        <v>#REF!</v>
      </c>
      <c r="B624" s="17">
        <v>102</v>
      </c>
      <c r="C624" s="17" t="s">
        <v>20</v>
      </c>
      <c r="D624" s="17" t="s">
        <v>1345</v>
      </c>
      <c r="E624" s="16">
        <v>45762</v>
      </c>
      <c r="F624" s="21" t="s">
        <v>49</v>
      </c>
      <c r="G624" s="51" t="s">
        <v>1346</v>
      </c>
      <c r="H624" s="56">
        <v>147807.20000000001</v>
      </c>
      <c r="I624" s="16">
        <v>45763</v>
      </c>
      <c r="J624" s="36">
        <v>45772</v>
      </c>
      <c r="K624" s="17">
        <v>110</v>
      </c>
      <c r="L624" s="34">
        <v>110</v>
      </c>
      <c r="M624" s="34">
        <v>11</v>
      </c>
      <c r="N624" s="22">
        <v>45763</v>
      </c>
      <c r="O624" s="18" t="s">
        <v>21</v>
      </c>
      <c r="P624" s="18" t="s">
        <v>25</v>
      </c>
      <c r="Q624" s="17" t="s">
        <v>125</v>
      </c>
      <c r="R624" s="17" t="s">
        <v>102</v>
      </c>
      <c r="S624" s="17" t="s">
        <v>1347</v>
      </c>
      <c r="T624" s="17" t="s">
        <v>804</v>
      </c>
      <c r="U624" s="18" t="s">
        <v>19</v>
      </c>
      <c r="V624" s="17"/>
    </row>
    <row r="625" spans="1:22" x14ac:dyDescent="0.3">
      <c r="A625" s="18" t="e">
        <f t="shared" si="10"/>
        <v>#REF!</v>
      </c>
      <c r="B625" s="17">
        <v>102</v>
      </c>
      <c r="C625" s="17" t="s">
        <v>20</v>
      </c>
      <c r="D625" s="17" t="s">
        <v>1348</v>
      </c>
      <c r="E625" s="16">
        <v>45762</v>
      </c>
      <c r="F625" s="21" t="s">
        <v>64</v>
      </c>
      <c r="G625" s="51" t="s">
        <v>1349</v>
      </c>
      <c r="H625" s="56">
        <v>165535.20000000001</v>
      </c>
      <c r="I625" s="16">
        <v>45763</v>
      </c>
      <c r="J625" s="36">
        <v>45772</v>
      </c>
      <c r="K625" s="17">
        <v>180</v>
      </c>
      <c r="L625" s="34">
        <v>180</v>
      </c>
      <c r="M625" s="34">
        <v>15</v>
      </c>
      <c r="N625" s="22">
        <v>45763</v>
      </c>
      <c r="O625" s="18" t="s">
        <v>21</v>
      </c>
      <c r="P625" s="18" t="s">
        <v>25</v>
      </c>
      <c r="Q625" s="17" t="s">
        <v>125</v>
      </c>
      <c r="R625" s="17" t="s">
        <v>102</v>
      </c>
      <c r="S625" s="17" t="s">
        <v>1350</v>
      </c>
      <c r="T625" s="17" t="s">
        <v>804</v>
      </c>
      <c r="U625" s="18" t="s">
        <v>19</v>
      </c>
      <c r="V625" s="17"/>
    </row>
    <row r="626" spans="1:22" x14ac:dyDescent="0.3">
      <c r="A626" s="18" t="e">
        <f t="shared" si="10"/>
        <v>#REF!</v>
      </c>
      <c r="B626" s="17">
        <v>102</v>
      </c>
      <c r="C626" s="17" t="s">
        <v>20</v>
      </c>
      <c r="D626" s="17" t="s">
        <v>1353</v>
      </c>
      <c r="E626" s="16">
        <v>45762</v>
      </c>
      <c r="F626" s="21" t="s">
        <v>53</v>
      </c>
      <c r="G626" s="51" t="s">
        <v>1352</v>
      </c>
      <c r="H626" s="56">
        <v>812346.47</v>
      </c>
      <c r="I626" s="16">
        <v>45763</v>
      </c>
      <c r="J626" s="36">
        <v>45772</v>
      </c>
      <c r="K626" s="17">
        <v>68</v>
      </c>
      <c r="L626" s="34">
        <v>717</v>
      </c>
      <c r="M626" s="34">
        <v>68</v>
      </c>
      <c r="N626" s="22">
        <v>45763</v>
      </c>
      <c r="O626" s="18" t="s">
        <v>21</v>
      </c>
      <c r="P626" s="18" t="s">
        <v>25</v>
      </c>
      <c r="Q626" s="17" t="s">
        <v>125</v>
      </c>
      <c r="R626" s="17" t="s">
        <v>102</v>
      </c>
      <c r="S626" s="17" t="s">
        <v>1351</v>
      </c>
      <c r="T626" s="17" t="s">
        <v>804</v>
      </c>
      <c r="U626" s="18" t="s">
        <v>19</v>
      </c>
      <c r="V626" s="17"/>
    </row>
    <row r="627" spans="1:22" x14ac:dyDescent="0.3">
      <c r="A627" s="18" t="e">
        <f t="shared" si="10"/>
        <v>#REF!</v>
      </c>
      <c r="B627" s="17">
        <v>103</v>
      </c>
      <c r="C627" s="17" t="s">
        <v>23</v>
      </c>
      <c r="D627" s="17" t="s">
        <v>1354</v>
      </c>
      <c r="E627" s="16">
        <v>45765</v>
      </c>
      <c r="F627" s="25" t="s">
        <v>122</v>
      </c>
      <c r="G627" s="51" t="s">
        <v>1355</v>
      </c>
      <c r="H627" s="56">
        <v>74374.8</v>
      </c>
      <c r="I627" s="16">
        <v>45765</v>
      </c>
      <c r="J627" s="36">
        <v>45772</v>
      </c>
      <c r="K627" s="17">
        <v>9</v>
      </c>
      <c r="L627" s="34">
        <v>192</v>
      </c>
      <c r="M627" s="34">
        <v>9</v>
      </c>
      <c r="N627" s="22">
        <v>45765</v>
      </c>
      <c r="O627" s="18" t="s">
        <v>21</v>
      </c>
      <c r="P627" s="18" t="s">
        <v>25</v>
      </c>
      <c r="Q627" s="17" t="s">
        <v>125</v>
      </c>
      <c r="R627" s="17" t="s">
        <v>102</v>
      </c>
      <c r="S627" s="17" t="s">
        <v>1356</v>
      </c>
      <c r="T627" s="17" t="s">
        <v>804</v>
      </c>
      <c r="U627" s="18" t="s">
        <v>19</v>
      </c>
      <c r="V627" s="17"/>
    </row>
    <row r="628" spans="1:22" x14ac:dyDescent="0.3">
      <c r="A628" s="18" t="e">
        <f t="shared" si="10"/>
        <v>#REF!</v>
      </c>
      <c r="B628" s="17">
        <v>103</v>
      </c>
      <c r="C628" s="17" t="s">
        <v>23</v>
      </c>
      <c r="D628" s="17" t="s">
        <v>1357</v>
      </c>
      <c r="E628" s="16">
        <v>45765</v>
      </c>
      <c r="F628" s="21" t="s">
        <v>35</v>
      </c>
      <c r="G628" s="51" t="s">
        <v>1358</v>
      </c>
      <c r="H628" s="56">
        <v>138723.35999999999</v>
      </c>
      <c r="I628" s="16">
        <v>45765</v>
      </c>
      <c r="J628" s="36">
        <v>45772</v>
      </c>
      <c r="K628" s="17">
        <v>15</v>
      </c>
      <c r="L628" s="34">
        <v>372</v>
      </c>
      <c r="M628" s="34">
        <v>15</v>
      </c>
      <c r="N628" s="22">
        <v>45765</v>
      </c>
      <c r="O628" s="18" t="s">
        <v>21</v>
      </c>
      <c r="P628" s="18" t="s">
        <v>25</v>
      </c>
      <c r="Q628" s="17" t="s">
        <v>125</v>
      </c>
      <c r="R628" s="17" t="s">
        <v>102</v>
      </c>
      <c r="S628" s="17" t="s">
        <v>1359</v>
      </c>
      <c r="T628" s="17" t="s">
        <v>804</v>
      </c>
      <c r="U628" s="18" t="s">
        <v>19</v>
      </c>
      <c r="V628" s="17"/>
    </row>
    <row r="629" spans="1:22" x14ac:dyDescent="0.3">
      <c r="A629" s="18" t="e">
        <f t="shared" si="10"/>
        <v>#REF!</v>
      </c>
      <c r="B629" s="17">
        <v>103</v>
      </c>
      <c r="C629" s="17" t="s">
        <v>23</v>
      </c>
      <c r="D629" s="17" t="s">
        <v>1360</v>
      </c>
      <c r="E629" s="16">
        <v>45765</v>
      </c>
      <c r="F629" s="21" t="s">
        <v>28</v>
      </c>
      <c r="G629" s="51" t="s">
        <v>1361</v>
      </c>
      <c r="H629" s="56">
        <v>111869.75999999999</v>
      </c>
      <c r="I629" s="16">
        <v>45765</v>
      </c>
      <c r="J629" s="36">
        <v>45772</v>
      </c>
      <c r="K629" s="17">
        <v>14</v>
      </c>
      <c r="L629" s="34">
        <v>288</v>
      </c>
      <c r="M629" s="34">
        <v>14</v>
      </c>
      <c r="N629" s="22">
        <v>45765</v>
      </c>
      <c r="O629" s="18" t="s">
        <v>21</v>
      </c>
      <c r="P629" s="18" t="s">
        <v>25</v>
      </c>
      <c r="Q629" s="17" t="s">
        <v>125</v>
      </c>
      <c r="R629" s="17" t="s">
        <v>102</v>
      </c>
      <c r="S629" s="17" t="s">
        <v>1362</v>
      </c>
      <c r="T629" s="17" t="s">
        <v>804</v>
      </c>
      <c r="U629" s="18" t="s">
        <v>19</v>
      </c>
      <c r="V629" s="17"/>
    </row>
    <row r="630" spans="1:22" x14ac:dyDescent="0.3">
      <c r="A630" s="18" t="e">
        <f t="shared" si="10"/>
        <v>#REF!</v>
      </c>
      <c r="B630" s="17">
        <v>103</v>
      </c>
      <c r="C630" s="17" t="s">
        <v>20</v>
      </c>
      <c r="D630" s="17" t="s">
        <v>1363</v>
      </c>
      <c r="E630" s="16">
        <v>45765</v>
      </c>
      <c r="F630" s="21" t="s">
        <v>247</v>
      </c>
      <c r="G630" s="51" t="s">
        <v>1364</v>
      </c>
      <c r="H630" s="56">
        <v>153455.06</v>
      </c>
      <c r="I630" s="16">
        <v>45765</v>
      </c>
      <c r="J630" s="36">
        <v>45772</v>
      </c>
      <c r="K630" s="17">
        <v>124</v>
      </c>
      <c r="L630" s="34">
        <v>124</v>
      </c>
      <c r="M630" s="34">
        <v>12</v>
      </c>
      <c r="N630" s="22">
        <v>45765</v>
      </c>
      <c r="O630" s="18" t="s">
        <v>21</v>
      </c>
      <c r="P630" s="18" t="s">
        <v>25</v>
      </c>
      <c r="Q630" s="17" t="s">
        <v>125</v>
      </c>
      <c r="R630" s="17" t="s">
        <v>102</v>
      </c>
      <c r="S630" s="17" t="s">
        <v>1365</v>
      </c>
      <c r="T630" s="17" t="s">
        <v>804</v>
      </c>
      <c r="U630" s="18" t="s">
        <v>19</v>
      </c>
      <c r="V630" s="17"/>
    </row>
    <row r="631" spans="1:22" x14ac:dyDescent="0.3">
      <c r="A631" s="18" t="e">
        <f t="shared" ref="A631:A694" si="11">A630+1</f>
        <v>#REF!</v>
      </c>
      <c r="B631" s="17">
        <v>103</v>
      </c>
      <c r="C631" s="17" t="s">
        <v>20</v>
      </c>
      <c r="D631" s="17" t="s">
        <v>1366</v>
      </c>
      <c r="E631" s="16">
        <v>45765</v>
      </c>
      <c r="F631" s="21" t="s">
        <v>113</v>
      </c>
      <c r="G631" s="51" t="s">
        <v>1367</v>
      </c>
      <c r="H631" s="56">
        <v>149118</v>
      </c>
      <c r="I631" s="16">
        <v>45765</v>
      </c>
      <c r="J631" s="36">
        <v>45772</v>
      </c>
      <c r="K631" s="17">
        <v>130</v>
      </c>
      <c r="L631" s="34">
        <v>130</v>
      </c>
      <c r="M631" s="34">
        <v>12</v>
      </c>
      <c r="N631" s="22">
        <v>45765</v>
      </c>
      <c r="O631" s="18" t="s">
        <v>21</v>
      </c>
      <c r="P631" s="18" t="s">
        <v>25</v>
      </c>
      <c r="Q631" s="17" t="s">
        <v>125</v>
      </c>
      <c r="R631" s="17" t="s">
        <v>102</v>
      </c>
      <c r="S631" s="17" t="s">
        <v>1368</v>
      </c>
      <c r="T631" s="17" t="s">
        <v>804</v>
      </c>
      <c r="U631" s="18" t="s">
        <v>19</v>
      </c>
      <c r="V631" s="17"/>
    </row>
    <row r="632" spans="1:22" x14ac:dyDescent="0.3">
      <c r="A632" s="18" t="e">
        <f t="shared" si="11"/>
        <v>#REF!</v>
      </c>
      <c r="B632" s="17">
        <v>103</v>
      </c>
      <c r="C632" s="17" t="s">
        <v>20</v>
      </c>
      <c r="D632" s="17" t="s">
        <v>1369</v>
      </c>
      <c r="E632" s="16">
        <v>45765</v>
      </c>
      <c r="F632" s="21" t="s">
        <v>53</v>
      </c>
      <c r="G632" s="51" t="s">
        <v>1370</v>
      </c>
      <c r="H632" s="56">
        <v>105758.6</v>
      </c>
      <c r="I632" s="16">
        <v>45765</v>
      </c>
      <c r="J632" s="36">
        <v>45772</v>
      </c>
      <c r="K632" s="17">
        <v>115</v>
      </c>
      <c r="L632" s="34">
        <v>115</v>
      </c>
      <c r="M632" s="34">
        <v>12</v>
      </c>
      <c r="N632" s="22">
        <v>45765</v>
      </c>
      <c r="O632" s="18" t="s">
        <v>21</v>
      </c>
      <c r="P632" s="18" t="s">
        <v>25</v>
      </c>
      <c r="Q632" s="17" t="s">
        <v>125</v>
      </c>
      <c r="R632" s="17" t="s">
        <v>102</v>
      </c>
      <c r="S632" s="17" t="s">
        <v>1371</v>
      </c>
      <c r="T632" s="17" t="s">
        <v>804</v>
      </c>
      <c r="U632" s="18" t="s">
        <v>19</v>
      </c>
      <c r="V632" s="17"/>
    </row>
    <row r="633" spans="1:22" x14ac:dyDescent="0.3">
      <c r="A633" s="18" t="e">
        <f t="shared" si="11"/>
        <v>#REF!</v>
      </c>
      <c r="B633" s="17">
        <v>103</v>
      </c>
      <c r="C633" s="17" t="s">
        <v>20</v>
      </c>
      <c r="D633" s="17" t="s">
        <v>1372</v>
      </c>
      <c r="E633" s="16">
        <v>45765</v>
      </c>
      <c r="F633" s="21" t="s">
        <v>117</v>
      </c>
      <c r="G633" s="51" t="s">
        <v>1373</v>
      </c>
      <c r="H633" s="56">
        <v>22071.360000000001</v>
      </c>
      <c r="I633" s="16">
        <v>45765</v>
      </c>
      <c r="J633" s="36">
        <v>45772</v>
      </c>
      <c r="K633" s="17">
        <v>24</v>
      </c>
      <c r="L633" s="34">
        <v>24</v>
      </c>
      <c r="M633" s="34">
        <v>2</v>
      </c>
      <c r="N633" s="22">
        <v>45765</v>
      </c>
      <c r="O633" s="18" t="s">
        <v>21</v>
      </c>
      <c r="P633" s="18" t="s">
        <v>25</v>
      </c>
      <c r="Q633" s="17" t="s">
        <v>125</v>
      </c>
      <c r="R633" s="17" t="s">
        <v>102</v>
      </c>
      <c r="S633" s="17" t="s">
        <v>1374</v>
      </c>
      <c r="T633" s="17" t="s">
        <v>804</v>
      </c>
      <c r="U633" s="18" t="s">
        <v>19</v>
      </c>
      <c r="V633" s="17"/>
    </row>
    <row r="634" spans="1:22" x14ac:dyDescent="0.3">
      <c r="A634" s="18" t="e">
        <f t="shared" si="11"/>
        <v>#REF!</v>
      </c>
      <c r="B634" s="17">
        <v>103</v>
      </c>
      <c r="C634" s="17" t="s">
        <v>20</v>
      </c>
      <c r="D634" s="17" t="s">
        <v>1375</v>
      </c>
      <c r="E634" s="16">
        <v>45765</v>
      </c>
      <c r="F634" s="21" t="s">
        <v>35</v>
      </c>
      <c r="G634" s="51" t="s">
        <v>1376</v>
      </c>
      <c r="H634" s="56">
        <v>110356.8</v>
      </c>
      <c r="I634" s="16">
        <v>45765</v>
      </c>
      <c r="J634" s="36">
        <v>45772</v>
      </c>
      <c r="K634" s="17">
        <v>120</v>
      </c>
      <c r="L634" s="34">
        <v>120</v>
      </c>
      <c r="M634" s="34">
        <v>10</v>
      </c>
      <c r="N634" s="22">
        <v>45765</v>
      </c>
      <c r="O634" s="18" t="s">
        <v>21</v>
      </c>
      <c r="P634" s="18" t="s">
        <v>25</v>
      </c>
      <c r="Q634" s="17" t="s">
        <v>125</v>
      </c>
      <c r="R634" s="17" t="s">
        <v>102</v>
      </c>
      <c r="S634" s="17" t="s">
        <v>1377</v>
      </c>
      <c r="T634" s="17" t="s">
        <v>804</v>
      </c>
      <c r="U634" s="18" t="s">
        <v>19</v>
      </c>
      <c r="V634" s="17"/>
    </row>
    <row r="635" spans="1:22" x14ac:dyDescent="0.3">
      <c r="A635" s="18" t="e">
        <f t="shared" si="11"/>
        <v>#REF!</v>
      </c>
      <c r="B635" s="17">
        <v>103</v>
      </c>
      <c r="C635" s="17" t="s">
        <v>23</v>
      </c>
      <c r="D635" s="17" t="s">
        <v>1378</v>
      </c>
      <c r="E635" s="16">
        <v>45765</v>
      </c>
      <c r="F635" s="21" t="s">
        <v>575</v>
      </c>
      <c r="G635" s="51" t="s">
        <v>1379</v>
      </c>
      <c r="H635" s="56">
        <v>455623.44</v>
      </c>
      <c r="I635" s="16">
        <v>45765</v>
      </c>
      <c r="J635" s="36">
        <v>45772</v>
      </c>
      <c r="K635" s="17">
        <v>44</v>
      </c>
      <c r="L635" s="34">
        <v>1068</v>
      </c>
      <c r="M635" s="34">
        <v>44</v>
      </c>
      <c r="N635" s="22">
        <v>45765</v>
      </c>
      <c r="O635" s="18" t="s">
        <v>21</v>
      </c>
      <c r="P635" s="18" t="s">
        <v>25</v>
      </c>
      <c r="Q635" s="17" t="s">
        <v>125</v>
      </c>
      <c r="R635" s="17" t="s">
        <v>102</v>
      </c>
      <c r="S635" s="17" t="s">
        <v>1380</v>
      </c>
      <c r="T635" s="17" t="s">
        <v>804</v>
      </c>
      <c r="U635" s="18" t="s">
        <v>19</v>
      </c>
      <c r="V635" s="17"/>
    </row>
    <row r="636" spans="1:22" x14ac:dyDescent="0.3">
      <c r="A636" s="18" t="e">
        <f t="shared" si="11"/>
        <v>#REF!</v>
      </c>
      <c r="B636" s="17">
        <v>103</v>
      </c>
      <c r="C636" s="17" t="s">
        <v>23</v>
      </c>
      <c r="D636" s="17" t="s">
        <v>1381</v>
      </c>
      <c r="E636" s="16">
        <v>45765</v>
      </c>
      <c r="F636" s="21" t="s">
        <v>33</v>
      </c>
      <c r="G636" s="51" t="s">
        <v>1382</v>
      </c>
      <c r="H636" s="56">
        <v>82733.279999999999</v>
      </c>
      <c r="I636" s="16">
        <v>45765</v>
      </c>
      <c r="J636" s="36">
        <v>45772</v>
      </c>
      <c r="K636" s="17">
        <v>9</v>
      </c>
      <c r="L636" s="34">
        <v>216</v>
      </c>
      <c r="M636" s="34">
        <v>9</v>
      </c>
      <c r="N636" s="22">
        <v>45765</v>
      </c>
      <c r="O636" s="18" t="s">
        <v>21</v>
      </c>
      <c r="P636" s="18" t="s">
        <v>25</v>
      </c>
      <c r="Q636" s="17" t="s">
        <v>125</v>
      </c>
      <c r="R636" s="17" t="s">
        <v>102</v>
      </c>
      <c r="S636" s="17" t="s">
        <v>1383</v>
      </c>
      <c r="T636" s="17" t="s">
        <v>804</v>
      </c>
      <c r="U636" s="18" t="s">
        <v>19</v>
      </c>
      <c r="V636" s="17"/>
    </row>
    <row r="637" spans="1:22" x14ac:dyDescent="0.3">
      <c r="A637" s="18" t="e">
        <f t="shared" si="11"/>
        <v>#REF!</v>
      </c>
      <c r="B637" s="17">
        <v>103</v>
      </c>
      <c r="C637" s="17" t="s">
        <v>23</v>
      </c>
      <c r="D637" s="17" t="s">
        <v>1384</v>
      </c>
      <c r="E637" s="16">
        <v>45765</v>
      </c>
      <c r="F637" s="21" t="s">
        <v>117</v>
      </c>
      <c r="G637" s="51" t="s">
        <v>1385</v>
      </c>
      <c r="H637" s="56">
        <v>121064.88</v>
      </c>
      <c r="I637" s="16">
        <v>45765</v>
      </c>
      <c r="J637" s="36">
        <v>45772</v>
      </c>
      <c r="K637" s="17">
        <v>15</v>
      </c>
      <c r="L637" s="34">
        <v>360</v>
      </c>
      <c r="M637" s="34">
        <v>15</v>
      </c>
      <c r="N637" s="22">
        <v>45765</v>
      </c>
      <c r="O637" s="18" t="s">
        <v>21</v>
      </c>
      <c r="P637" s="18" t="s">
        <v>25</v>
      </c>
      <c r="Q637" s="17" t="s">
        <v>125</v>
      </c>
      <c r="R637" s="17" t="s">
        <v>102</v>
      </c>
      <c r="S637" s="17" t="s">
        <v>1386</v>
      </c>
      <c r="T637" s="17" t="s">
        <v>804</v>
      </c>
      <c r="U637" s="18" t="s">
        <v>19</v>
      </c>
      <c r="V637" s="17"/>
    </row>
    <row r="638" spans="1:22" x14ac:dyDescent="0.3">
      <c r="A638" s="18" t="e">
        <f t="shared" si="11"/>
        <v>#REF!</v>
      </c>
      <c r="B638" s="17">
        <v>104</v>
      </c>
      <c r="C638" s="17" t="s">
        <v>23</v>
      </c>
      <c r="D638" s="17" t="s">
        <v>1387</v>
      </c>
      <c r="E638" s="16">
        <v>45766</v>
      </c>
      <c r="F638" s="21" t="s">
        <v>49</v>
      </c>
      <c r="G638" s="51" t="s">
        <v>1388</v>
      </c>
      <c r="H638" s="56">
        <v>52254.48</v>
      </c>
      <c r="I638" s="16">
        <v>45766</v>
      </c>
      <c r="J638" s="36">
        <v>45772</v>
      </c>
      <c r="K638" s="17">
        <v>5</v>
      </c>
      <c r="L638" s="34">
        <v>120</v>
      </c>
      <c r="M638" s="34">
        <v>5</v>
      </c>
      <c r="N638" s="22">
        <v>45766</v>
      </c>
      <c r="O638" s="18" t="s">
        <v>21</v>
      </c>
      <c r="P638" s="18" t="s">
        <v>25</v>
      </c>
      <c r="Q638" s="17" t="s">
        <v>124</v>
      </c>
      <c r="R638" s="17" t="s">
        <v>102</v>
      </c>
      <c r="S638" s="17" t="s">
        <v>1389</v>
      </c>
      <c r="T638" s="17" t="s">
        <v>804</v>
      </c>
      <c r="U638" s="18" t="s">
        <v>19</v>
      </c>
      <c r="V638" s="17"/>
    </row>
    <row r="639" spans="1:22" x14ac:dyDescent="0.3">
      <c r="A639" s="18" t="e">
        <f t="shared" si="11"/>
        <v>#REF!</v>
      </c>
      <c r="B639" s="17">
        <v>104</v>
      </c>
      <c r="C639" s="17" t="s">
        <v>23</v>
      </c>
      <c r="D639" s="17" t="s">
        <v>1390</v>
      </c>
      <c r="E639" s="16">
        <v>45766</v>
      </c>
      <c r="F639" s="21" t="s">
        <v>118</v>
      </c>
      <c r="G639" s="51" t="s">
        <v>1391</v>
      </c>
      <c r="H639" s="56">
        <v>31955.759999999998</v>
      </c>
      <c r="I639" s="16">
        <v>45766</v>
      </c>
      <c r="J639" s="36">
        <v>45772</v>
      </c>
      <c r="K639" s="17">
        <v>4</v>
      </c>
      <c r="L639" s="34">
        <v>96</v>
      </c>
      <c r="M639" s="34">
        <v>4</v>
      </c>
      <c r="N639" s="22">
        <v>45766</v>
      </c>
      <c r="O639" s="18" t="s">
        <v>21</v>
      </c>
      <c r="P639" s="18" t="s">
        <v>25</v>
      </c>
      <c r="Q639" s="17" t="s">
        <v>124</v>
      </c>
      <c r="R639" s="17" t="s">
        <v>102</v>
      </c>
      <c r="S639" s="17" t="s">
        <v>1392</v>
      </c>
      <c r="T639" s="17" t="s">
        <v>804</v>
      </c>
      <c r="U639" s="18" t="s">
        <v>19</v>
      </c>
      <c r="V639" s="17"/>
    </row>
    <row r="640" spans="1:22" x14ac:dyDescent="0.3">
      <c r="A640" s="18" t="e">
        <f t="shared" si="11"/>
        <v>#REF!</v>
      </c>
      <c r="B640" s="17">
        <v>104</v>
      </c>
      <c r="C640" s="17" t="s">
        <v>23</v>
      </c>
      <c r="D640" s="17" t="s">
        <v>1394</v>
      </c>
      <c r="E640" s="16">
        <v>45766</v>
      </c>
      <c r="F640" s="21" t="s">
        <v>64</v>
      </c>
      <c r="G640" s="51" t="s">
        <v>1395</v>
      </c>
      <c r="H640" s="56">
        <v>243188.88</v>
      </c>
      <c r="I640" s="16">
        <v>45766</v>
      </c>
      <c r="J640" s="36">
        <v>45772</v>
      </c>
      <c r="K640" s="17">
        <v>24</v>
      </c>
      <c r="L640" s="34">
        <v>576</v>
      </c>
      <c r="M640" s="34">
        <v>24</v>
      </c>
      <c r="N640" s="22">
        <v>45766</v>
      </c>
      <c r="O640" s="18" t="s">
        <v>21</v>
      </c>
      <c r="P640" s="18" t="s">
        <v>25</v>
      </c>
      <c r="Q640" s="17" t="s">
        <v>124</v>
      </c>
      <c r="R640" s="17" t="s">
        <v>102</v>
      </c>
      <c r="S640" s="17" t="s">
        <v>1393</v>
      </c>
      <c r="T640" s="17" t="s">
        <v>804</v>
      </c>
      <c r="U640" s="18" t="s">
        <v>19</v>
      </c>
      <c r="V640" s="17"/>
    </row>
    <row r="641" spans="1:22" x14ac:dyDescent="0.3">
      <c r="A641" s="18" t="e">
        <f t="shared" si="11"/>
        <v>#REF!</v>
      </c>
      <c r="B641" s="17">
        <v>104</v>
      </c>
      <c r="C641" s="17" t="s">
        <v>23</v>
      </c>
      <c r="D641" s="17" t="s">
        <v>1397</v>
      </c>
      <c r="E641" s="16">
        <v>45766</v>
      </c>
      <c r="F641" s="23" t="s">
        <v>39</v>
      </c>
      <c r="G641" s="51" t="s">
        <v>1398</v>
      </c>
      <c r="H641" s="56">
        <v>366783.48</v>
      </c>
      <c r="I641" s="16">
        <v>45766</v>
      </c>
      <c r="J641" s="36">
        <v>45772</v>
      </c>
      <c r="K641" s="17">
        <v>39</v>
      </c>
      <c r="L641" s="34">
        <v>924</v>
      </c>
      <c r="M641" s="34">
        <v>39</v>
      </c>
      <c r="N641" s="22">
        <v>45766</v>
      </c>
      <c r="O641" s="18" t="s">
        <v>21</v>
      </c>
      <c r="P641" s="18" t="s">
        <v>25</v>
      </c>
      <c r="Q641" s="17" t="s">
        <v>124</v>
      </c>
      <c r="R641" s="17" t="s">
        <v>102</v>
      </c>
      <c r="S641" s="17" t="s">
        <v>1396</v>
      </c>
      <c r="T641" s="17" t="s">
        <v>804</v>
      </c>
      <c r="U641" s="18" t="s">
        <v>19</v>
      </c>
      <c r="V641" s="17"/>
    </row>
    <row r="642" spans="1:22" x14ac:dyDescent="0.3">
      <c r="A642" s="18" t="e">
        <f t="shared" si="11"/>
        <v>#REF!</v>
      </c>
      <c r="B642" s="17">
        <v>104</v>
      </c>
      <c r="C642" s="17" t="s">
        <v>23</v>
      </c>
      <c r="D642" s="17" t="s">
        <v>1400</v>
      </c>
      <c r="E642" s="16">
        <v>45766</v>
      </c>
      <c r="F642" s="21" t="s">
        <v>35</v>
      </c>
      <c r="G642" s="51" t="s">
        <v>1401</v>
      </c>
      <c r="H642" s="56">
        <v>90327.6</v>
      </c>
      <c r="I642" s="16">
        <v>45766</v>
      </c>
      <c r="J642" s="36">
        <v>45772</v>
      </c>
      <c r="K642" s="17">
        <v>11</v>
      </c>
      <c r="L642" s="34">
        <v>288</v>
      </c>
      <c r="M642" s="34">
        <v>11</v>
      </c>
      <c r="N642" s="22">
        <v>45766</v>
      </c>
      <c r="O642" s="18" t="s">
        <v>21</v>
      </c>
      <c r="P642" s="18" t="s">
        <v>25</v>
      </c>
      <c r="Q642" s="17" t="s">
        <v>124</v>
      </c>
      <c r="R642" s="17" t="s">
        <v>102</v>
      </c>
      <c r="S642" s="17" t="s">
        <v>1399</v>
      </c>
      <c r="T642" s="17" t="s">
        <v>804</v>
      </c>
      <c r="U642" s="18" t="s">
        <v>19</v>
      </c>
      <c r="V642" s="17"/>
    </row>
    <row r="643" spans="1:22" x14ac:dyDescent="0.3">
      <c r="A643" s="18" t="e">
        <f t="shared" si="11"/>
        <v>#REF!</v>
      </c>
      <c r="B643" s="17">
        <v>104</v>
      </c>
      <c r="C643" s="17" t="s">
        <v>23</v>
      </c>
      <c r="D643" s="17" t="s">
        <v>1403</v>
      </c>
      <c r="E643" s="16">
        <v>45766</v>
      </c>
      <c r="F643" s="21" t="s">
        <v>41</v>
      </c>
      <c r="G643" s="51" t="s">
        <v>1404</v>
      </c>
      <c r="H643" s="56">
        <v>300084.96000000002</v>
      </c>
      <c r="I643" s="16">
        <v>45766</v>
      </c>
      <c r="J643" s="36">
        <v>45772</v>
      </c>
      <c r="K643" s="17">
        <v>28</v>
      </c>
      <c r="L643" s="34">
        <v>672</v>
      </c>
      <c r="M643" s="34">
        <v>28</v>
      </c>
      <c r="N643" s="22">
        <v>45766</v>
      </c>
      <c r="O643" s="18" t="s">
        <v>21</v>
      </c>
      <c r="P643" s="18" t="s">
        <v>25</v>
      </c>
      <c r="Q643" s="17" t="s">
        <v>124</v>
      </c>
      <c r="R643" s="17" t="s">
        <v>102</v>
      </c>
      <c r="S643" s="17" t="s">
        <v>1402</v>
      </c>
      <c r="T643" s="17" t="s">
        <v>804</v>
      </c>
      <c r="U643" s="18" t="s">
        <v>19</v>
      </c>
      <c r="V643" s="17"/>
    </row>
    <row r="644" spans="1:22" x14ac:dyDescent="0.3">
      <c r="A644" s="18" t="e">
        <f t="shared" si="11"/>
        <v>#REF!</v>
      </c>
      <c r="B644" s="17">
        <v>104</v>
      </c>
      <c r="C644" s="17" t="s">
        <v>20</v>
      </c>
      <c r="D644" s="17" t="s">
        <v>1406</v>
      </c>
      <c r="E644" s="16">
        <v>45766</v>
      </c>
      <c r="F644" s="21" t="s">
        <v>64</v>
      </c>
      <c r="G644" s="51" t="s">
        <v>1407</v>
      </c>
      <c r="H644" s="56">
        <v>625010.04</v>
      </c>
      <c r="I644" s="16">
        <v>45766</v>
      </c>
      <c r="J644" s="36">
        <v>45772</v>
      </c>
      <c r="K644" s="17">
        <v>469</v>
      </c>
      <c r="L644" s="34">
        <v>469</v>
      </c>
      <c r="M644" s="34">
        <v>47</v>
      </c>
      <c r="N644" s="22">
        <v>45766</v>
      </c>
      <c r="O644" s="18" t="s">
        <v>21</v>
      </c>
      <c r="P644" s="18" t="s">
        <v>25</v>
      </c>
      <c r="Q644" s="17" t="s">
        <v>124</v>
      </c>
      <c r="R644" s="17" t="s">
        <v>102</v>
      </c>
      <c r="S644" s="17" t="s">
        <v>1405</v>
      </c>
      <c r="T644" s="17" t="s">
        <v>804</v>
      </c>
      <c r="U644" s="18" t="s">
        <v>19</v>
      </c>
      <c r="V644" s="17"/>
    </row>
    <row r="645" spans="1:22" x14ac:dyDescent="0.3">
      <c r="A645" s="18" t="e">
        <f t="shared" si="11"/>
        <v>#REF!</v>
      </c>
      <c r="B645" s="17">
        <v>104</v>
      </c>
      <c r="C645" s="17" t="s">
        <v>20</v>
      </c>
      <c r="D645" s="17" t="s">
        <v>1408</v>
      </c>
      <c r="E645" s="16">
        <v>45766</v>
      </c>
      <c r="F645" s="21" t="s">
        <v>130</v>
      </c>
      <c r="G645" s="51" t="s">
        <v>1409</v>
      </c>
      <c r="H645" s="56">
        <v>240660.56</v>
      </c>
      <c r="I645" s="16">
        <v>45766</v>
      </c>
      <c r="J645" s="36">
        <v>45772</v>
      </c>
      <c r="K645" s="17">
        <v>194</v>
      </c>
      <c r="L645" s="34">
        <v>194</v>
      </c>
      <c r="M645" s="34">
        <v>19</v>
      </c>
      <c r="N645" s="22">
        <v>45766</v>
      </c>
      <c r="O645" s="18" t="s">
        <v>21</v>
      </c>
      <c r="P645" s="18" t="s">
        <v>25</v>
      </c>
      <c r="Q645" s="17" t="s">
        <v>124</v>
      </c>
      <c r="R645" s="17" t="s">
        <v>102</v>
      </c>
      <c r="S645" s="17" t="s">
        <v>1410</v>
      </c>
      <c r="T645" s="17" t="s">
        <v>804</v>
      </c>
      <c r="U645" s="18" t="s">
        <v>19</v>
      </c>
      <c r="V645" s="17"/>
    </row>
    <row r="646" spans="1:22" x14ac:dyDescent="0.3">
      <c r="A646" s="18" t="e">
        <f t="shared" si="11"/>
        <v>#REF!</v>
      </c>
      <c r="B646" s="17">
        <v>104</v>
      </c>
      <c r="C646" s="17" t="s">
        <v>20</v>
      </c>
      <c r="D646" s="17" t="s">
        <v>1411</v>
      </c>
      <c r="E646" s="16">
        <v>45766</v>
      </c>
      <c r="F646" s="21" t="s">
        <v>118</v>
      </c>
      <c r="G646" s="51" t="s">
        <v>1412</v>
      </c>
      <c r="H646" s="56">
        <v>132104.26</v>
      </c>
      <c r="I646" s="16">
        <v>45766</v>
      </c>
      <c r="J646" s="36">
        <v>45772</v>
      </c>
      <c r="K646" s="17">
        <v>114</v>
      </c>
      <c r="L646" s="34">
        <v>114</v>
      </c>
      <c r="M646" s="34">
        <v>11</v>
      </c>
      <c r="N646" s="22">
        <v>45766</v>
      </c>
      <c r="O646" s="18" t="s">
        <v>21</v>
      </c>
      <c r="P646" s="18" t="s">
        <v>25</v>
      </c>
      <c r="Q646" s="17" t="s">
        <v>124</v>
      </c>
      <c r="R646" s="17" t="s">
        <v>102</v>
      </c>
      <c r="S646" s="17" t="s">
        <v>1413</v>
      </c>
      <c r="T646" s="17" t="s">
        <v>804</v>
      </c>
      <c r="U646" s="18" t="s">
        <v>19</v>
      </c>
      <c r="V646" s="17"/>
    </row>
    <row r="647" spans="1:22" x14ac:dyDescent="0.3">
      <c r="A647" s="18" t="e">
        <f t="shared" si="11"/>
        <v>#REF!</v>
      </c>
      <c r="B647" s="17">
        <v>104</v>
      </c>
      <c r="C647" s="17" t="s">
        <v>20</v>
      </c>
      <c r="D647" s="17" t="s">
        <v>1415</v>
      </c>
      <c r="E647" s="16">
        <v>45766</v>
      </c>
      <c r="F647" s="21" t="s">
        <v>1204</v>
      </c>
      <c r="G647" s="51" t="s">
        <v>1416</v>
      </c>
      <c r="H647" s="56">
        <v>237997.62</v>
      </c>
      <c r="I647" s="16">
        <v>45766</v>
      </c>
      <c r="J647" s="36">
        <v>45772</v>
      </c>
      <c r="K647" s="17">
        <v>306</v>
      </c>
      <c r="L647" s="34">
        <v>306</v>
      </c>
      <c r="M647" s="34">
        <v>30</v>
      </c>
      <c r="N647" s="22">
        <v>45766</v>
      </c>
      <c r="O647" s="18" t="s">
        <v>21</v>
      </c>
      <c r="P647" s="18" t="s">
        <v>25</v>
      </c>
      <c r="Q647" s="17" t="s">
        <v>124</v>
      </c>
      <c r="R647" s="17" t="s">
        <v>102</v>
      </c>
      <c r="S647" s="17" t="s">
        <v>1414</v>
      </c>
      <c r="T647" s="17" t="s">
        <v>804</v>
      </c>
      <c r="U647" s="18" t="s">
        <v>19</v>
      </c>
      <c r="V647" s="17"/>
    </row>
    <row r="648" spans="1:22" x14ac:dyDescent="0.3">
      <c r="A648" s="18" t="e">
        <f t="shared" si="11"/>
        <v>#REF!</v>
      </c>
      <c r="B648" s="17">
        <v>105</v>
      </c>
      <c r="C648" s="17" t="s">
        <v>20</v>
      </c>
      <c r="D648" s="38" t="s">
        <v>1417</v>
      </c>
      <c r="E648" s="16">
        <v>45766</v>
      </c>
      <c r="F648" s="21" t="s">
        <v>47</v>
      </c>
      <c r="G648" s="51" t="s">
        <v>1418</v>
      </c>
      <c r="H648" s="56">
        <v>127610.7</v>
      </c>
      <c r="I648" s="16">
        <v>45769</v>
      </c>
      <c r="J648" s="36">
        <v>45772</v>
      </c>
      <c r="K648" s="17">
        <v>70</v>
      </c>
      <c r="L648" s="34">
        <v>70</v>
      </c>
      <c r="M648" s="34">
        <v>7</v>
      </c>
      <c r="N648" s="22">
        <v>45769</v>
      </c>
      <c r="O648" s="18" t="s">
        <v>21</v>
      </c>
      <c r="P648" s="17" t="s">
        <v>1456</v>
      </c>
      <c r="Q648" s="17" t="s">
        <v>125</v>
      </c>
      <c r="R648" s="17" t="s">
        <v>102</v>
      </c>
      <c r="S648" s="17">
        <v>1016802</v>
      </c>
      <c r="T648" s="17" t="s">
        <v>804</v>
      </c>
      <c r="U648" s="18" t="s">
        <v>19</v>
      </c>
      <c r="V648" s="17"/>
    </row>
    <row r="649" spans="1:22" x14ac:dyDescent="0.3">
      <c r="A649" s="18" t="e">
        <f t="shared" si="11"/>
        <v>#REF!</v>
      </c>
      <c r="B649" s="17">
        <v>105</v>
      </c>
      <c r="C649" s="17" t="s">
        <v>20</v>
      </c>
      <c r="D649" s="28" t="s">
        <v>1419</v>
      </c>
      <c r="E649" s="16">
        <v>45766</v>
      </c>
      <c r="F649" s="21" t="s">
        <v>1204</v>
      </c>
      <c r="G649" s="51" t="s">
        <v>1420</v>
      </c>
      <c r="H649" s="56">
        <v>1691</v>
      </c>
      <c r="I649" s="16">
        <v>45769</v>
      </c>
      <c r="J649" s="36">
        <v>45772</v>
      </c>
      <c r="K649" s="17">
        <v>1</v>
      </c>
      <c r="L649" s="34">
        <v>1</v>
      </c>
      <c r="M649" s="34">
        <v>1</v>
      </c>
      <c r="N649" s="22">
        <v>45769</v>
      </c>
      <c r="O649" s="18" t="s">
        <v>21</v>
      </c>
      <c r="P649" s="17" t="s">
        <v>1456</v>
      </c>
      <c r="Q649" s="17" t="s">
        <v>125</v>
      </c>
      <c r="R649" s="17" t="s">
        <v>102</v>
      </c>
      <c r="S649" s="17">
        <v>1016803</v>
      </c>
      <c r="T649" s="17" t="s">
        <v>804</v>
      </c>
      <c r="U649" s="18" t="s">
        <v>19</v>
      </c>
      <c r="V649" s="17"/>
    </row>
    <row r="650" spans="1:22" x14ac:dyDescent="0.3">
      <c r="A650" s="18" t="e">
        <f t="shared" si="11"/>
        <v>#REF!</v>
      </c>
      <c r="B650" s="17">
        <v>105</v>
      </c>
      <c r="C650" s="17" t="s">
        <v>20</v>
      </c>
      <c r="D650" s="38" t="s">
        <v>1421</v>
      </c>
      <c r="E650" s="16">
        <v>45766</v>
      </c>
      <c r="F650" s="39" t="s">
        <v>129</v>
      </c>
      <c r="G650" s="51" t="s">
        <v>1422</v>
      </c>
      <c r="H650" s="56">
        <v>143003</v>
      </c>
      <c r="I650" s="16">
        <v>45769</v>
      </c>
      <c r="J650" s="36">
        <v>45772</v>
      </c>
      <c r="K650" s="17">
        <v>69</v>
      </c>
      <c r="L650" s="34">
        <v>69</v>
      </c>
      <c r="M650" s="34">
        <v>7</v>
      </c>
      <c r="N650" s="22">
        <v>45769</v>
      </c>
      <c r="O650" s="18" t="s">
        <v>21</v>
      </c>
      <c r="P650" s="17" t="s">
        <v>1456</v>
      </c>
      <c r="Q650" s="17" t="s">
        <v>125</v>
      </c>
      <c r="R650" s="17" t="s">
        <v>102</v>
      </c>
      <c r="S650" s="17">
        <v>1016804</v>
      </c>
      <c r="T650" s="17" t="s">
        <v>804</v>
      </c>
      <c r="U650" s="18" t="s">
        <v>19</v>
      </c>
      <c r="V650" s="17"/>
    </row>
    <row r="651" spans="1:22" x14ac:dyDescent="0.3">
      <c r="A651" s="18" t="e">
        <f t="shared" si="11"/>
        <v>#REF!</v>
      </c>
      <c r="B651" s="17">
        <v>105</v>
      </c>
      <c r="C651" s="17" t="s">
        <v>20</v>
      </c>
      <c r="D651" s="29" t="s">
        <v>1423</v>
      </c>
      <c r="E651" s="16">
        <v>45768</v>
      </c>
      <c r="F651" s="23" t="s">
        <v>35</v>
      </c>
      <c r="G651" s="51" t="s">
        <v>1424</v>
      </c>
      <c r="H651" s="56">
        <v>100540.49</v>
      </c>
      <c r="I651" s="16">
        <v>45769</v>
      </c>
      <c r="J651" s="36">
        <v>45772</v>
      </c>
      <c r="K651" s="17">
        <v>82</v>
      </c>
      <c r="L651" s="34">
        <v>82</v>
      </c>
      <c r="M651" s="34">
        <v>8</v>
      </c>
      <c r="N651" s="22">
        <v>45769</v>
      </c>
      <c r="O651" s="18" t="s">
        <v>21</v>
      </c>
      <c r="P651" s="17" t="s">
        <v>1456</v>
      </c>
      <c r="Q651" s="17" t="s">
        <v>125</v>
      </c>
      <c r="R651" s="17" t="s">
        <v>102</v>
      </c>
      <c r="S651" s="17">
        <v>1016805</v>
      </c>
      <c r="T651" s="17" t="s">
        <v>804</v>
      </c>
      <c r="U651" s="18" t="s">
        <v>19</v>
      </c>
      <c r="V651" s="17"/>
    </row>
    <row r="652" spans="1:22" x14ac:dyDescent="0.3">
      <c r="A652" s="18" t="e">
        <f t="shared" si="11"/>
        <v>#REF!</v>
      </c>
      <c r="B652" s="17">
        <v>105</v>
      </c>
      <c r="C652" s="17" t="s">
        <v>20</v>
      </c>
      <c r="D652" s="29" t="s">
        <v>1426</v>
      </c>
      <c r="E652" s="16">
        <v>45769</v>
      </c>
      <c r="F652" s="21" t="s">
        <v>58</v>
      </c>
      <c r="G652" s="51" t="s">
        <v>1427</v>
      </c>
      <c r="H652" s="56">
        <v>110356.8</v>
      </c>
      <c r="I652" s="16">
        <v>45769</v>
      </c>
      <c r="J652" s="36">
        <v>45772</v>
      </c>
      <c r="K652" s="17">
        <v>120</v>
      </c>
      <c r="L652" s="34">
        <v>120</v>
      </c>
      <c r="M652" s="34">
        <v>10</v>
      </c>
      <c r="N652" s="22">
        <v>45769</v>
      </c>
      <c r="O652" s="18" t="s">
        <v>21</v>
      </c>
      <c r="P652" s="17" t="s">
        <v>1456</v>
      </c>
      <c r="Q652" s="17" t="s">
        <v>125</v>
      </c>
      <c r="R652" s="17" t="s">
        <v>102</v>
      </c>
      <c r="S652" s="17">
        <v>1016806</v>
      </c>
      <c r="T652" s="17" t="s">
        <v>804</v>
      </c>
      <c r="U652" s="18" t="s">
        <v>19</v>
      </c>
      <c r="V652" s="17"/>
    </row>
    <row r="653" spans="1:22" x14ac:dyDescent="0.3">
      <c r="A653" s="18" t="e">
        <f t="shared" si="11"/>
        <v>#REF!</v>
      </c>
      <c r="B653" s="17">
        <v>105</v>
      </c>
      <c r="C653" s="17" t="s">
        <v>23</v>
      </c>
      <c r="D653" s="17" t="s">
        <v>1428</v>
      </c>
      <c r="E653" s="16">
        <v>45768</v>
      </c>
      <c r="F653" s="21" t="s">
        <v>131</v>
      </c>
      <c r="G653" s="51" t="s">
        <v>1429</v>
      </c>
      <c r="H653" s="56">
        <v>190590</v>
      </c>
      <c r="I653" s="16">
        <v>45769</v>
      </c>
      <c r="J653" s="36">
        <v>45772</v>
      </c>
      <c r="K653" s="17">
        <v>19</v>
      </c>
      <c r="L653" s="34">
        <v>456</v>
      </c>
      <c r="M653" s="34">
        <v>19</v>
      </c>
      <c r="N653" s="22">
        <v>45769</v>
      </c>
      <c r="O653" s="18" t="s">
        <v>21</v>
      </c>
      <c r="P653" s="17" t="s">
        <v>1456</v>
      </c>
      <c r="Q653" s="17" t="s">
        <v>125</v>
      </c>
      <c r="R653" s="17" t="s">
        <v>102</v>
      </c>
      <c r="S653" s="17">
        <v>1016807</v>
      </c>
      <c r="T653" s="17" t="s">
        <v>804</v>
      </c>
      <c r="U653" s="18" t="s">
        <v>19</v>
      </c>
      <c r="V653" s="17"/>
    </row>
    <row r="654" spans="1:22" x14ac:dyDescent="0.3">
      <c r="A654" s="18" t="e">
        <f t="shared" si="11"/>
        <v>#REF!</v>
      </c>
      <c r="B654" s="17">
        <v>105</v>
      </c>
      <c r="C654" s="17" t="s">
        <v>20</v>
      </c>
      <c r="D654" s="17" t="s">
        <v>1425</v>
      </c>
      <c r="E654" s="16">
        <v>45766</v>
      </c>
      <c r="F654" s="21" t="s">
        <v>49</v>
      </c>
      <c r="G654" s="51" t="s">
        <v>1430</v>
      </c>
      <c r="H654" s="56">
        <v>78863.42</v>
      </c>
      <c r="I654" s="16">
        <v>45769</v>
      </c>
      <c r="J654" s="36">
        <v>45772</v>
      </c>
      <c r="K654" s="17">
        <v>58</v>
      </c>
      <c r="L654" s="34">
        <v>58</v>
      </c>
      <c r="M654" s="34">
        <v>6</v>
      </c>
      <c r="N654" s="22">
        <v>45769</v>
      </c>
      <c r="O654" s="18" t="s">
        <v>21</v>
      </c>
      <c r="P654" s="17" t="s">
        <v>1456</v>
      </c>
      <c r="Q654" s="17" t="s">
        <v>125</v>
      </c>
      <c r="R654" s="17" t="s">
        <v>102</v>
      </c>
      <c r="S654" s="17">
        <v>1016808</v>
      </c>
      <c r="T654" s="17" t="s">
        <v>804</v>
      </c>
      <c r="U654" s="18" t="s">
        <v>19</v>
      </c>
      <c r="V654" s="17"/>
    </row>
    <row r="655" spans="1:22" x14ac:dyDescent="0.3">
      <c r="A655" s="18" t="e">
        <f t="shared" si="11"/>
        <v>#REF!</v>
      </c>
      <c r="B655" s="17">
        <v>106</v>
      </c>
      <c r="C655" s="17" t="s">
        <v>20</v>
      </c>
      <c r="D655" s="29" t="s">
        <v>1431</v>
      </c>
      <c r="E655" s="16">
        <v>45768</v>
      </c>
      <c r="F655" s="21" t="s">
        <v>47</v>
      </c>
      <c r="G655" s="51" t="s">
        <v>1437</v>
      </c>
      <c r="H655" s="56">
        <v>136179</v>
      </c>
      <c r="I655" s="16">
        <v>45773</v>
      </c>
      <c r="J655" s="36">
        <v>45772</v>
      </c>
      <c r="K655" s="17">
        <v>104</v>
      </c>
      <c r="L655" s="34">
        <v>104</v>
      </c>
      <c r="M655" s="34">
        <v>10</v>
      </c>
      <c r="N655" s="22">
        <v>45773</v>
      </c>
      <c r="O655" s="18" t="s">
        <v>21</v>
      </c>
      <c r="P655" s="17" t="s">
        <v>1456</v>
      </c>
      <c r="Q655" s="17" t="s">
        <v>125</v>
      </c>
      <c r="R655" s="17" t="s">
        <v>102</v>
      </c>
      <c r="S655" s="17">
        <v>1016873</v>
      </c>
      <c r="T655" s="17" t="s">
        <v>804</v>
      </c>
      <c r="U655" s="18" t="s">
        <v>19</v>
      </c>
      <c r="V655" s="17"/>
    </row>
    <row r="656" spans="1:22" x14ac:dyDescent="0.3">
      <c r="A656" s="18" t="e">
        <f t="shared" si="11"/>
        <v>#REF!</v>
      </c>
      <c r="B656" s="17">
        <v>106</v>
      </c>
      <c r="C656" s="17" t="s">
        <v>20</v>
      </c>
      <c r="D656" s="17" t="s">
        <v>1432</v>
      </c>
      <c r="E656" s="16">
        <v>45769</v>
      </c>
      <c r="F656" s="21" t="s">
        <v>64</v>
      </c>
      <c r="G656" s="51" t="s">
        <v>1438</v>
      </c>
      <c r="H656" s="56">
        <v>165535.20000000001</v>
      </c>
      <c r="I656" s="16">
        <v>45772</v>
      </c>
      <c r="J656" s="36">
        <v>45772</v>
      </c>
      <c r="K656" s="17">
        <v>180</v>
      </c>
      <c r="L656" s="34">
        <v>180</v>
      </c>
      <c r="M656" s="34">
        <v>15</v>
      </c>
      <c r="N656" s="22">
        <v>45773</v>
      </c>
      <c r="O656" s="18" t="s">
        <v>21</v>
      </c>
      <c r="P656" s="17" t="s">
        <v>1456</v>
      </c>
      <c r="Q656" s="17" t="s">
        <v>125</v>
      </c>
      <c r="R656" s="17" t="s">
        <v>102</v>
      </c>
      <c r="S656" s="17">
        <v>10229735</v>
      </c>
      <c r="T656" s="17" t="s">
        <v>804</v>
      </c>
      <c r="U656" s="18" t="s">
        <v>19</v>
      </c>
      <c r="V656" s="17"/>
    </row>
    <row r="657" spans="1:22" x14ac:dyDescent="0.3">
      <c r="A657" s="18" t="e">
        <f t="shared" si="11"/>
        <v>#REF!</v>
      </c>
      <c r="B657" s="17">
        <v>106</v>
      </c>
      <c r="C657" s="17" t="s">
        <v>20</v>
      </c>
      <c r="D657" s="17" t="s">
        <v>1433</v>
      </c>
      <c r="E657" s="16">
        <v>45769</v>
      </c>
      <c r="F657" s="21" t="s">
        <v>119</v>
      </c>
      <c r="G657" s="51" t="s">
        <v>1439</v>
      </c>
      <c r="H657" s="56">
        <v>127114.9</v>
      </c>
      <c r="I657" s="16">
        <v>45772</v>
      </c>
      <c r="J657" s="36">
        <v>45772</v>
      </c>
      <c r="K657" s="17">
        <v>90</v>
      </c>
      <c r="L657" s="34">
        <v>90</v>
      </c>
      <c r="M657" s="34">
        <v>9</v>
      </c>
      <c r="N657" s="22">
        <v>45773</v>
      </c>
      <c r="O657" s="18" t="s">
        <v>21</v>
      </c>
      <c r="P657" s="17" t="s">
        <v>1456</v>
      </c>
      <c r="Q657" s="17" t="s">
        <v>125</v>
      </c>
      <c r="R657" s="17" t="s">
        <v>102</v>
      </c>
      <c r="S657" s="17">
        <v>1016870</v>
      </c>
      <c r="T657" s="17" t="s">
        <v>804</v>
      </c>
      <c r="U657" s="18" t="s">
        <v>19</v>
      </c>
      <c r="V657" s="17"/>
    </row>
    <row r="658" spans="1:22" x14ac:dyDescent="0.3">
      <c r="A658" s="18" t="e">
        <f t="shared" si="11"/>
        <v>#REF!</v>
      </c>
      <c r="B658" s="17">
        <v>106</v>
      </c>
      <c r="C658" s="17" t="s">
        <v>20</v>
      </c>
      <c r="D658" s="29" t="s">
        <v>1434</v>
      </c>
      <c r="E658" s="16">
        <v>45770</v>
      </c>
      <c r="F658" s="23" t="s">
        <v>131</v>
      </c>
      <c r="G658" s="51" t="s">
        <v>1440</v>
      </c>
      <c r="H658" s="56">
        <v>251038.94</v>
      </c>
      <c r="I658" s="16">
        <v>45772</v>
      </c>
      <c r="J658" s="36">
        <v>45772</v>
      </c>
      <c r="K658" s="17">
        <v>206</v>
      </c>
      <c r="L658" s="34">
        <v>206</v>
      </c>
      <c r="M658" s="34">
        <v>20</v>
      </c>
      <c r="N658" s="22">
        <v>45773</v>
      </c>
      <c r="O658" s="18" t="s">
        <v>21</v>
      </c>
      <c r="P658" s="17" t="s">
        <v>1456</v>
      </c>
      <c r="Q658" s="17" t="s">
        <v>125</v>
      </c>
      <c r="R658" s="17" t="s">
        <v>102</v>
      </c>
      <c r="S658" s="17">
        <v>1016869</v>
      </c>
      <c r="T658" s="17" t="s">
        <v>804</v>
      </c>
      <c r="U658" s="18" t="s">
        <v>19</v>
      </c>
      <c r="V658" s="17"/>
    </row>
    <row r="659" spans="1:22" x14ac:dyDescent="0.3">
      <c r="A659" s="18" t="e">
        <f t="shared" si="11"/>
        <v>#REF!</v>
      </c>
      <c r="B659" s="17">
        <v>106</v>
      </c>
      <c r="C659" s="17" t="s">
        <v>20</v>
      </c>
      <c r="D659" s="29" t="s">
        <v>1435</v>
      </c>
      <c r="E659" s="16">
        <v>45770</v>
      </c>
      <c r="F659" s="23" t="s">
        <v>49</v>
      </c>
      <c r="G659" s="51" t="s">
        <v>1441</v>
      </c>
      <c r="H659" s="56">
        <v>91475.9</v>
      </c>
      <c r="I659" s="16">
        <v>45772</v>
      </c>
      <c r="J659" s="36">
        <v>45772</v>
      </c>
      <c r="K659" s="17">
        <v>70</v>
      </c>
      <c r="L659" s="34">
        <v>70</v>
      </c>
      <c r="M659" s="34">
        <v>7</v>
      </c>
      <c r="N659" s="22">
        <v>45773</v>
      </c>
      <c r="O659" s="18" t="s">
        <v>21</v>
      </c>
      <c r="P659" s="17" t="s">
        <v>1456</v>
      </c>
      <c r="Q659" s="17" t="s">
        <v>125</v>
      </c>
      <c r="R659" s="17" t="s">
        <v>102</v>
      </c>
      <c r="S659" s="17">
        <v>1016871</v>
      </c>
      <c r="T659" s="17" t="s">
        <v>804</v>
      </c>
      <c r="U659" s="18" t="s">
        <v>19</v>
      </c>
      <c r="V659" s="17"/>
    </row>
    <row r="660" spans="1:22" x14ac:dyDescent="0.3">
      <c r="A660" s="18" t="e">
        <f t="shared" si="11"/>
        <v>#REF!</v>
      </c>
      <c r="B660" s="17">
        <v>106</v>
      </c>
      <c r="C660" s="17" t="s">
        <v>20</v>
      </c>
      <c r="D660" s="29" t="s">
        <v>1457</v>
      </c>
      <c r="E660" s="16">
        <v>45770</v>
      </c>
      <c r="F660" s="21" t="s">
        <v>58</v>
      </c>
      <c r="G660" s="51" t="s">
        <v>1442</v>
      </c>
      <c r="H660" s="56">
        <v>72161.679999999993</v>
      </c>
      <c r="I660" s="16">
        <v>45772</v>
      </c>
      <c r="J660" s="36">
        <v>45772</v>
      </c>
      <c r="K660" s="17">
        <v>60</v>
      </c>
      <c r="L660" s="34">
        <v>60</v>
      </c>
      <c r="M660" s="34">
        <v>6</v>
      </c>
      <c r="N660" s="22">
        <v>45773</v>
      </c>
      <c r="O660" s="18" t="s">
        <v>21</v>
      </c>
      <c r="P660" s="17" t="s">
        <v>1456</v>
      </c>
      <c r="Q660" s="17" t="s">
        <v>125</v>
      </c>
      <c r="R660" s="17" t="s">
        <v>102</v>
      </c>
      <c r="S660" s="17">
        <v>1016867</v>
      </c>
      <c r="T660" s="17" t="s">
        <v>804</v>
      </c>
      <c r="U660" s="18" t="s">
        <v>19</v>
      </c>
      <c r="V660" s="17"/>
    </row>
    <row r="661" spans="1:22" x14ac:dyDescent="0.3">
      <c r="A661" s="18" t="e">
        <f t="shared" si="11"/>
        <v>#REF!</v>
      </c>
      <c r="B661" s="17">
        <v>106</v>
      </c>
      <c r="C661" s="17" t="s">
        <v>20</v>
      </c>
      <c r="D661" s="29" t="s">
        <v>1436</v>
      </c>
      <c r="E661" s="16">
        <v>45771</v>
      </c>
      <c r="F661" s="23" t="s">
        <v>35</v>
      </c>
      <c r="G661" s="51" t="s">
        <v>1443</v>
      </c>
      <c r="H661" s="56">
        <v>82606.3</v>
      </c>
      <c r="I661" s="16">
        <v>45772</v>
      </c>
      <c r="J661" s="36">
        <v>45772</v>
      </c>
      <c r="K661" s="17">
        <v>70</v>
      </c>
      <c r="L661" s="34">
        <v>70</v>
      </c>
      <c r="M661" s="34">
        <v>7</v>
      </c>
      <c r="N661" s="22">
        <v>45773</v>
      </c>
      <c r="O661" s="18" t="s">
        <v>21</v>
      </c>
      <c r="P661" s="17" t="s">
        <v>1456</v>
      </c>
      <c r="Q661" s="17" t="s">
        <v>125</v>
      </c>
      <c r="R661" s="17" t="s">
        <v>102</v>
      </c>
      <c r="S661" s="17">
        <v>1016876</v>
      </c>
      <c r="T661" s="17" t="s">
        <v>804</v>
      </c>
      <c r="U661" s="18" t="s">
        <v>19</v>
      </c>
      <c r="V661" s="17"/>
    </row>
    <row r="662" spans="1:22" x14ac:dyDescent="0.3">
      <c r="A662" s="18" t="e">
        <f t="shared" si="11"/>
        <v>#REF!</v>
      </c>
      <c r="B662" s="17">
        <v>106</v>
      </c>
      <c r="C662" s="17" t="s">
        <v>23</v>
      </c>
      <c r="D662" s="29" t="s">
        <v>1444</v>
      </c>
      <c r="E662" s="16">
        <v>45757</v>
      </c>
      <c r="F662" s="23" t="s">
        <v>114</v>
      </c>
      <c r="G662" s="51" t="s">
        <v>1450</v>
      </c>
      <c r="H662" s="56">
        <v>164715.12</v>
      </c>
      <c r="I662" s="16">
        <v>45773</v>
      </c>
      <c r="J662" s="36">
        <v>45772</v>
      </c>
      <c r="K662" s="17">
        <v>17</v>
      </c>
      <c r="L662" s="34">
        <v>384</v>
      </c>
      <c r="M662" s="34">
        <v>17</v>
      </c>
      <c r="N662" s="22">
        <v>45773</v>
      </c>
      <c r="O662" s="18" t="s">
        <v>21</v>
      </c>
      <c r="P662" s="17" t="s">
        <v>1456</v>
      </c>
      <c r="Q662" s="17" t="s">
        <v>125</v>
      </c>
      <c r="R662" s="17" t="s">
        <v>102</v>
      </c>
      <c r="S662" s="17">
        <v>1016877</v>
      </c>
      <c r="T662" s="17" t="s">
        <v>804</v>
      </c>
      <c r="U662" s="18" t="s">
        <v>19</v>
      </c>
      <c r="V662" s="17"/>
    </row>
    <row r="663" spans="1:22" x14ac:dyDescent="0.3">
      <c r="A663" s="18" t="e">
        <f t="shared" si="11"/>
        <v>#REF!</v>
      </c>
      <c r="B663" s="17">
        <v>106</v>
      </c>
      <c r="C663" s="17" t="s">
        <v>23</v>
      </c>
      <c r="D663" s="17" t="s">
        <v>1445</v>
      </c>
      <c r="E663" s="16">
        <v>45768</v>
      </c>
      <c r="F663" s="24" t="s">
        <v>51</v>
      </c>
      <c r="G663" s="51" t="s">
        <v>1451</v>
      </c>
      <c r="H663" s="56">
        <v>52870.080000000002</v>
      </c>
      <c r="I663" s="16">
        <v>45770</v>
      </c>
      <c r="J663" s="36">
        <v>45772</v>
      </c>
      <c r="K663" s="17">
        <v>5</v>
      </c>
      <c r="L663" s="34">
        <v>120</v>
      </c>
      <c r="M663" s="34">
        <v>5</v>
      </c>
      <c r="N663" s="22">
        <v>45773</v>
      </c>
      <c r="O663" s="18" t="s">
        <v>21</v>
      </c>
      <c r="P663" s="17" t="s">
        <v>1456</v>
      </c>
      <c r="Q663" s="17" t="s">
        <v>125</v>
      </c>
      <c r="R663" s="17" t="s">
        <v>102</v>
      </c>
      <c r="S663" s="17">
        <v>1016875</v>
      </c>
      <c r="T663" s="17" t="s">
        <v>804</v>
      </c>
      <c r="U663" s="18" t="s">
        <v>19</v>
      </c>
      <c r="V663" s="17"/>
    </row>
    <row r="664" spans="1:22" x14ac:dyDescent="0.3">
      <c r="A664" s="18" t="e">
        <f t="shared" si="11"/>
        <v>#REF!</v>
      </c>
      <c r="B664" s="17">
        <v>106</v>
      </c>
      <c r="C664" s="17" t="s">
        <v>23</v>
      </c>
      <c r="D664" s="17" t="s">
        <v>1446</v>
      </c>
      <c r="E664" s="16">
        <v>45768</v>
      </c>
      <c r="F664" s="21" t="s">
        <v>123</v>
      </c>
      <c r="G664" s="51" t="s">
        <v>1452</v>
      </c>
      <c r="H664" s="56">
        <v>44090.1</v>
      </c>
      <c r="I664" s="16">
        <v>45772</v>
      </c>
      <c r="J664" s="36">
        <v>45772</v>
      </c>
      <c r="K664" s="17">
        <v>6</v>
      </c>
      <c r="L664" s="34">
        <v>138</v>
      </c>
      <c r="M664" s="34">
        <v>6</v>
      </c>
      <c r="N664" s="22">
        <v>45773</v>
      </c>
      <c r="O664" s="18" t="s">
        <v>21</v>
      </c>
      <c r="P664" s="17" t="s">
        <v>1456</v>
      </c>
      <c r="Q664" s="17" t="s">
        <v>125</v>
      </c>
      <c r="R664" s="17" t="s">
        <v>102</v>
      </c>
      <c r="S664" s="17">
        <v>1016874</v>
      </c>
      <c r="T664" s="17" t="s">
        <v>804</v>
      </c>
      <c r="U664" s="18" t="s">
        <v>19</v>
      </c>
      <c r="V664" s="17"/>
    </row>
    <row r="665" spans="1:22" x14ac:dyDescent="0.3">
      <c r="A665" s="18" t="e">
        <f t="shared" si="11"/>
        <v>#REF!</v>
      </c>
      <c r="B665" s="17">
        <v>106</v>
      </c>
      <c r="C665" s="17" t="s">
        <v>23</v>
      </c>
      <c r="D665" s="29" t="s">
        <v>1447</v>
      </c>
      <c r="E665" s="16">
        <v>45769</v>
      </c>
      <c r="F665" s="21" t="s">
        <v>47</v>
      </c>
      <c r="G665" s="51" t="s">
        <v>1453</v>
      </c>
      <c r="H665" s="56">
        <v>2459.7199999999998</v>
      </c>
      <c r="I665" s="16">
        <v>45772</v>
      </c>
      <c r="J665" s="36">
        <v>45772</v>
      </c>
      <c r="K665" s="17">
        <v>2</v>
      </c>
      <c r="L665" s="34">
        <v>48</v>
      </c>
      <c r="M665" s="34">
        <v>2</v>
      </c>
      <c r="N665" s="22">
        <v>45773</v>
      </c>
      <c r="O665" s="18" t="s">
        <v>21</v>
      </c>
      <c r="P665" s="17" t="s">
        <v>1456</v>
      </c>
      <c r="Q665" s="17" t="s">
        <v>125</v>
      </c>
      <c r="R665" s="17" t="s">
        <v>102</v>
      </c>
      <c r="S665" s="17">
        <v>1016872</v>
      </c>
      <c r="T665" s="17" t="s">
        <v>804</v>
      </c>
      <c r="U665" s="18" t="s">
        <v>19</v>
      </c>
      <c r="V665" s="17"/>
    </row>
    <row r="666" spans="1:22" x14ac:dyDescent="0.3">
      <c r="A666" s="18" t="e">
        <f t="shared" si="11"/>
        <v>#REF!</v>
      </c>
      <c r="B666" s="17">
        <v>106</v>
      </c>
      <c r="C666" s="17" t="s">
        <v>23</v>
      </c>
      <c r="D666" s="29" t="s">
        <v>1448</v>
      </c>
      <c r="E666" s="16">
        <v>45770</v>
      </c>
      <c r="F666" s="21" t="s">
        <v>58</v>
      </c>
      <c r="G666" s="51" t="s">
        <v>1454</v>
      </c>
      <c r="H666" s="56">
        <v>524058.96</v>
      </c>
      <c r="I666" s="16">
        <v>45773</v>
      </c>
      <c r="J666" s="36">
        <v>45772</v>
      </c>
      <c r="K666" s="17">
        <v>47</v>
      </c>
      <c r="L666" s="34">
        <v>1128</v>
      </c>
      <c r="M666" s="34">
        <v>47</v>
      </c>
      <c r="N666" s="22">
        <v>45773</v>
      </c>
      <c r="O666" s="18" t="s">
        <v>21</v>
      </c>
      <c r="P666" s="17" t="s">
        <v>1456</v>
      </c>
      <c r="Q666" s="17" t="s">
        <v>125</v>
      </c>
      <c r="R666" s="17" t="s">
        <v>102</v>
      </c>
      <c r="S666" s="17">
        <v>1016891</v>
      </c>
      <c r="T666" s="17" t="s">
        <v>804</v>
      </c>
      <c r="U666" s="18" t="s">
        <v>19</v>
      </c>
      <c r="V666" s="17"/>
    </row>
    <row r="667" spans="1:22" x14ac:dyDescent="0.3">
      <c r="A667" s="18" t="e">
        <f t="shared" si="11"/>
        <v>#REF!</v>
      </c>
      <c r="B667" s="17">
        <v>106</v>
      </c>
      <c r="C667" s="17" t="s">
        <v>23</v>
      </c>
      <c r="D667" s="29" t="s">
        <v>1449</v>
      </c>
      <c r="E667" s="16">
        <v>45771</v>
      </c>
      <c r="F667" s="23" t="s">
        <v>68</v>
      </c>
      <c r="G667" s="51" t="s">
        <v>1455</v>
      </c>
      <c r="H667" s="56">
        <v>141376.07999999999</v>
      </c>
      <c r="I667" s="16">
        <v>45773</v>
      </c>
      <c r="J667" s="36">
        <v>45772</v>
      </c>
      <c r="K667" s="17">
        <v>15</v>
      </c>
      <c r="L667" s="34">
        <v>360</v>
      </c>
      <c r="M667" s="34">
        <v>15</v>
      </c>
      <c r="N667" s="22">
        <v>45773</v>
      </c>
      <c r="O667" s="18" t="s">
        <v>21</v>
      </c>
      <c r="P667" s="17" t="s">
        <v>1456</v>
      </c>
      <c r="Q667" s="17" t="s">
        <v>125</v>
      </c>
      <c r="R667" s="17" t="s">
        <v>102</v>
      </c>
      <c r="S667" s="17">
        <v>1016893</v>
      </c>
      <c r="T667" s="17" t="s">
        <v>804</v>
      </c>
      <c r="U667" s="18" t="s">
        <v>19</v>
      </c>
      <c r="V667" s="17"/>
    </row>
    <row r="668" spans="1:22" x14ac:dyDescent="0.3">
      <c r="A668" s="18" t="e">
        <f t="shared" si="11"/>
        <v>#REF!</v>
      </c>
      <c r="B668" s="17">
        <v>107</v>
      </c>
      <c r="C668" s="17" t="s">
        <v>23</v>
      </c>
      <c r="D668" s="29" t="s">
        <v>1458</v>
      </c>
      <c r="E668" s="16">
        <v>45772</v>
      </c>
      <c r="F668" s="23" t="s">
        <v>123</v>
      </c>
      <c r="G668" s="51" t="s">
        <v>1459</v>
      </c>
      <c r="H668" s="56">
        <v>7838.1</v>
      </c>
      <c r="I668" s="16">
        <v>45776</v>
      </c>
      <c r="J668" s="36">
        <v>45772</v>
      </c>
      <c r="K668" s="17">
        <v>1</v>
      </c>
      <c r="L668" s="34">
        <v>18</v>
      </c>
      <c r="M668" s="34">
        <v>1</v>
      </c>
      <c r="N668" s="22">
        <v>45776</v>
      </c>
      <c r="O668" s="18" t="s">
        <v>21</v>
      </c>
      <c r="P668" s="17" t="s">
        <v>1456</v>
      </c>
      <c r="Q668" s="17" t="s">
        <v>125</v>
      </c>
      <c r="R668" s="17" t="s">
        <v>102</v>
      </c>
      <c r="S668" s="17">
        <v>1016941</v>
      </c>
      <c r="T668" s="17" t="s">
        <v>804</v>
      </c>
      <c r="U668" s="18" t="s">
        <v>19</v>
      </c>
      <c r="V668" s="17"/>
    </row>
    <row r="669" spans="1:22" x14ac:dyDescent="0.3">
      <c r="A669" s="18" t="e">
        <f t="shared" si="11"/>
        <v>#REF!</v>
      </c>
      <c r="B669" s="17">
        <v>107</v>
      </c>
      <c r="C669" s="17" t="s">
        <v>23</v>
      </c>
      <c r="D669" s="29" t="s">
        <v>1460</v>
      </c>
      <c r="E669" s="16">
        <v>45772</v>
      </c>
      <c r="F669" s="21" t="s">
        <v>43</v>
      </c>
      <c r="G669" s="51" t="s">
        <v>1461</v>
      </c>
      <c r="H669" s="56">
        <v>98120.16</v>
      </c>
      <c r="I669" s="16">
        <v>45776</v>
      </c>
      <c r="J669" s="36">
        <v>45772</v>
      </c>
      <c r="K669" s="17">
        <v>9</v>
      </c>
      <c r="L669" s="34">
        <v>216</v>
      </c>
      <c r="M669" s="34">
        <v>9</v>
      </c>
      <c r="N669" s="22">
        <v>45776</v>
      </c>
      <c r="O669" s="18" t="s">
        <v>21</v>
      </c>
      <c r="P669" s="17" t="s">
        <v>1456</v>
      </c>
      <c r="Q669" s="17" t="s">
        <v>125</v>
      </c>
      <c r="R669" s="17" t="s">
        <v>102</v>
      </c>
      <c r="S669" s="17">
        <v>1016946</v>
      </c>
      <c r="T669" s="17" t="s">
        <v>804</v>
      </c>
      <c r="U669" s="18" t="s">
        <v>19</v>
      </c>
      <c r="V669" s="17"/>
    </row>
    <row r="670" spans="1:22" x14ac:dyDescent="0.3">
      <c r="A670" s="18" t="e">
        <f t="shared" si="11"/>
        <v>#REF!</v>
      </c>
      <c r="B670" s="17">
        <v>107</v>
      </c>
      <c r="C670" s="17" t="s">
        <v>23</v>
      </c>
      <c r="D670" s="29" t="s">
        <v>1462</v>
      </c>
      <c r="E670" s="16">
        <v>45772</v>
      </c>
      <c r="F670" s="21" t="s">
        <v>58</v>
      </c>
      <c r="G670" s="51" t="s">
        <v>1463</v>
      </c>
      <c r="H670" s="56">
        <v>61486.8</v>
      </c>
      <c r="I670" s="16">
        <v>45776</v>
      </c>
      <c r="J670" s="36">
        <v>45772</v>
      </c>
      <c r="K670" s="17">
        <v>5</v>
      </c>
      <c r="L670" s="34">
        <v>120</v>
      </c>
      <c r="M670" s="34">
        <v>5</v>
      </c>
      <c r="N670" s="22">
        <v>45776</v>
      </c>
      <c r="O670" s="18" t="s">
        <v>21</v>
      </c>
      <c r="P670" s="17" t="s">
        <v>1456</v>
      </c>
      <c r="Q670" s="17" t="s">
        <v>125</v>
      </c>
      <c r="R670" s="17" t="s">
        <v>102</v>
      </c>
      <c r="S670" s="17">
        <v>1016947</v>
      </c>
      <c r="T670" s="17" t="s">
        <v>804</v>
      </c>
      <c r="U670" s="18" t="s">
        <v>19</v>
      </c>
      <c r="V670" s="17"/>
    </row>
    <row r="671" spans="1:22" x14ac:dyDescent="0.3">
      <c r="A671" s="18" t="e">
        <f t="shared" si="11"/>
        <v>#REF!</v>
      </c>
      <c r="B671" s="17">
        <v>107</v>
      </c>
      <c r="C671" s="17" t="s">
        <v>20</v>
      </c>
      <c r="D671" s="29" t="s">
        <v>1464</v>
      </c>
      <c r="E671" s="16">
        <v>45771</v>
      </c>
      <c r="F671" s="23" t="s">
        <v>129</v>
      </c>
      <c r="G671" s="51" t="s">
        <v>1465</v>
      </c>
      <c r="H671" s="56">
        <v>225972.6</v>
      </c>
      <c r="I671" s="16">
        <v>45775</v>
      </c>
      <c r="J671" s="36">
        <v>45772</v>
      </c>
      <c r="K671" s="17">
        <v>220</v>
      </c>
      <c r="L671" s="34">
        <v>220</v>
      </c>
      <c r="M671" s="34">
        <v>20</v>
      </c>
      <c r="N671" s="22">
        <v>45776</v>
      </c>
      <c r="O671" s="18" t="s">
        <v>21</v>
      </c>
      <c r="P671" s="17" t="s">
        <v>1456</v>
      </c>
      <c r="Q671" s="17" t="s">
        <v>125</v>
      </c>
      <c r="R671" s="17" t="s">
        <v>102</v>
      </c>
      <c r="S671" s="17">
        <v>1016940</v>
      </c>
      <c r="T671" s="17" t="s">
        <v>804</v>
      </c>
      <c r="U671" s="18" t="s">
        <v>19</v>
      </c>
      <c r="V671" s="17"/>
    </row>
    <row r="672" spans="1:22" x14ac:dyDescent="0.3">
      <c r="A672" s="18" t="e">
        <f t="shared" si="11"/>
        <v>#REF!</v>
      </c>
      <c r="B672" s="17">
        <v>107</v>
      </c>
      <c r="C672" s="17" t="s">
        <v>20</v>
      </c>
      <c r="D672" s="29" t="s">
        <v>1466</v>
      </c>
      <c r="E672" s="16">
        <v>45773</v>
      </c>
      <c r="F672" s="35" t="s">
        <v>35</v>
      </c>
      <c r="G672" s="51" t="s">
        <v>1467</v>
      </c>
      <c r="H672" s="56">
        <v>124994.51</v>
      </c>
      <c r="I672" s="16">
        <v>45776</v>
      </c>
      <c r="J672" s="36">
        <v>45772</v>
      </c>
      <c r="K672" s="17">
        <v>100</v>
      </c>
      <c r="L672" s="34">
        <v>100</v>
      </c>
      <c r="M672" s="34">
        <v>10</v>
      </c>
      <c r="N672" s="22">
        <v>45776</v>
      </c>
      <c r="O672" s="18" t="s">
        <v>21</v>
      </c>
      <c r="P672" s="17" t="s">
        <v>1456</v>
      </c>
      <c r="Q672" s="17" t="s">
        <v>125</v>
      </c>
      <c r="R672" s="17" t="s">
        <v>102</v>
      </c>
      <c r="S672" s="17">
        <v>1016939</v>
      </c>
      <c r="T672" s="17" t="s">
        <v>804</v>
      </c>
      <c r="U672" s="18" t="s">
        <v>19</v>
      </c>
      <c r="V672" s="17"/>
    </row>
    <row r="673" spans="1:22" x14ac:dyDescent="0.3">
      <c r="A673" s="18" t="e">
        <f t="shared" si="11"/>
        <v>#REF!</v>
      </c>
      <c r="B673" s="17">
        <v>107</v>
      </c>
      <c r="C673" s="17" t="s">
        <v>23</v>
      </c>
      <c r="D673" s="29" t="s">
        <v>1468</v>
      </c>
      <c r="E673" s="16">
        <v>45773</v>
      </c>
      <c r="F673" s="21" t="s">
        <v>580</v>
      </c>
      <c r="G673" s="51" t="s">
        <v>1469</v>
      </c>
      <c r="H673" s="56">
        <v>132771.35999999999</v>
      </c>
      <c r="I673" s="16">
        <v>45776</v>
      </c>
      <c r="J673" s="36">
        <v>45772</v>
      </c>
      <c r="K673" s="17">
        <v>14</v>
      </c>
      <c r="L673" s="34">
        <v>336</v>
      </c>
      <c r="M673" s="34">
        <v>14</v>
      </c>
      <c r="N673" s="22">
        <v>45776</v>
      </c>
      <c r="O673" s="18" t="s">
        <v>21</v>
      </c>
      <c r="P673" s="17" t="s">
        <v>1456</v>
      </c>
      <c r="Q673" s="17" t="s">
        <v>125</v>
      </c>
      <c r="R673" s="17" t="s">
        <v>102</v>
      </c>
      <c r="S673" s="17">
        <v>1016945</v>
      </c>
      <c r="T673" s="17" t="s">
        <v>804</v>
      </c>
      <c r="U673" s="18" t="s">
        <v>19</v>
      </c>
      <c r="V673" s="17"/>
    </row>
    <row r="674" spans="1:22" x14ac:dyDescent="0.3">
      <c r="A674" s="18" t="e">
        <f t="shared" si="11"/>
        <v>#REF!</v>
      </c>
      <c r="B674" s="17">
        <v>107</v>
      </c>
      <c r="C674" s="17" t="s">
        <v>23</v>
      </c>
      <c r="D674" s="29" t="s">
        <v>1470</v>
      </c>
      <c r="E674" s="16">
        <v>45772</v>
      </c>
      <c r="F674" s="21" t="s">
        <v>1471</v>
      </c>
      <c r="G674" s="51" t="s">
        <v>1472</v>
      </c>
      <c r="H674" s="56">
        <v>335166.96000000002</v>
      </c>
      <c r="I674" s="16">
        <v>45776</v>
      </c>
      <c r="J674" s="36">
        <v>45772</v>
      </c>
      <c r="K674" s="17">
        <v>39</v>
      </c>
      <c r="L674" s="34">
        <v>912</v>
      </c>
      <c r="M674" s="34">
        <v>39</v>
      </c>
      <c r="N674" s="22">
        <v>45776</v>
      </c>
      <c r="O674" s="18" t="s">
        <v>21</v>
      </c>
      <c r="P674" s="17" t="s">
        <v>1456</v>
      </c>
      <c r="Q674" s="17" t="s">
        <v>125</v>
      </c>
      <c r="R674" s="17" t="s">
        <v>102</v>
      </c>
      <c r="S674" s="17">
        <v>1016944</v>
      </c>
      <c r="T674" s="17" t="s">
        <v>804</v>
      </c>
      <c r="U674" s="18" t="s">
        <v>19</v>
      </c>
      <c r="V674" s="17"/>
    </row>
    <row r="675" spans="1:22" x14ac:dyDescent="0.3">
      <c r="A675" s="18" t="e">
        <f t="shared" si="11"/>
        <v>#REF!</v>
      </c>
      <c r="B675" s="17">
        <v>107</v>
      </c>
      <c r="C675" s="17" t="s">
        <v>23</v>
      </c>
      <c r="D675" s="29" t="s">
        <v>1473</v>
      </c>
      <c r="E675" s="16">
        <v>45776</v>
      </c>
      <c r="F675" s="21" t="s">
        <v>35</v>
      </c>
      <c r="G675" s="51" t="s">
        <v>1474</v>
      </c>
      <c r="H675" s="56">
        <v>47934</v>
      </c>
      <c r="I675" s="16">
        <v>45776</v>
      </c>
      <c r="J675" s="36">
        <v>45772</v>
      </c>
      <c r="K675" s="17">
        <v>6</v>
      </c>
      <c r="L675" s="34">
        <v>144</v>
      </c>
      <c r="M675" s="34">
        <v>6</v>
      </c>
      <c r="N675" s="22">
        <v>45776</v>
      </c>
      <c r="O675" s="18" t="s">
        <v>21</v>
      </c>
      <c r="P675" s="17" t="s">
        <v>1456</v>
      </c>
      <c r="Q675" s="17" t="s">
        <v>125</v>
      </c>
      <c r="R675" s="17" t="s">
        <v>102</v>
      </c>
      <c r="S675" s="17">
        <v>1016943</v>
      </c>
      <c r="T675" s="17" t="s">
        <v>804</v>
      </c>
      <c r="U675" s="18" t="s">
        <v>19</v>
      </c>
      <c r="V675" s="17"/>
    </row>
    <row r="676" spans="1:22" x14ac:dyDescent="0.3">
      <c r="A676" s="18" t="e">
        <f t="shared" si="11"/>
        <v>#REF!</v>
      </c>
      <c r="B676" s="17">
        <v>107</v>
      </c>
      <c r="C676" s="17" t="s">
        <v>20</v>
      </c>
      <c r="D676" s="29" t="s">
        <v>1475</v>
      </c>
      <c r="E676" s="16">
        <v>45771</v>
      </c>
      <c r="F676" s="21" t="s">
        <v>1471</v>
      </c>
      <c r="G676" s="51" t="s">
        <v>1476</v>
      </c>
      <c r="H676" s="56">
        <v>138313.28</v>
      </c>
      <c r="I676" s="16">
        <v>45775</v>
      </c>
      <c r="J676" s="36">
        <v>45772</v>
      </c>
      <c r="K676" s="17">
        <v>112</v>
      </c>
      <c r="L676" s="34">
        <v>112</v>
      </c>
      <c r="M676" s="34">
        <v>11</v>
      </c>
      <c r="N676" s="22">
        <v>45776</v>
      </c>
      <c r="O676" s="18" t="s">
        <v>21</v>
      </c>
      <c r="P676" s="17" t="s">
        <v>1456</v>
      </c>
      <c r="Q676" s="17" t="s">
        <v>125</v>
      </c>
      <c r="R676" s="17" t="s">
        <v>102</v>
      </c>
      <c r="S676" s="17">
        <v>1016942</v>
      </c>
      <c r="T676" s="17" t="s">
        <v>804</v>
      </c>
      <c r="U676" s="18" t="s">
        <v>19</v>
      </c>
      <c r="V676" s="17"/>
    </row>
    <row r="677" spans="1:22" x14ac:dyDescent="0.3">
      <c r="A677" s="18" t="e">
        <f t="shared" si="11"/>
        <v>#REF!</v>
      </c>
      <c r="B677" s="17">
        <v>107</v>
      </c>
      <c r="C677" s="17" t="s">
        <v>20</v>
      </c>
      <c r="D677" s="29" t="s">
        <v>1477</v>
      </c>
      <c r="E677" s="16">
        <v>45773</v>
      </c>
      <c r="F677" s="21" t="s">
        <v>123</v>
      </c>
      <c r="G677" s="51" t="s">
        <v>1478</v>
      </c>
      <c r="H677" s="56">
        <v>387415.6</v>
      </c>
      <c r="I677" s="16">
        <v>45775</v>
      </c>
      <c r="J677" s="36">
        <v>45772</v>
      </c>
      <c r="K677" s="17">
        <v>310</v>
      </c>
      <c r="L677" s="34">
        <v>310</v>
      </c>
      <c r="M677" s="34">
        <v>30</v>
      </c>
      <c r="N677" s="22">
        <v>45776</v>
      </c>
      <c r="O677" s="18" t="s">
        <v>21</v>
      </c>
      <c r="P677" s="17" t="s">
        <v>1456</v>
      </c>
      <c r="Q677" s="17" t="s">
        <v>125</v>
      </c>
      <c r="R677" s="17" t="s">
        <v>102</v>
      </c>
      <c r="S677" s="17">
        <v>1016938</v>
      </c>
      <c r="T677" s="17" t="s">
        <v>804</v>
      </c>
      <c r="U677" s="18" t="s">
        <v>19</v>
      </c>
      <c r="V677" s="17"/>
    </row>
    <row r="678" spans="1:22" x14ac:dyDescent="0.3">
      <c r="A678" s="18" t="e">
        <f t="shared" si="11"/>
        <v>#REF!</v>
      </c>
      <c r="B678" s="17">
        <v>107</v>
      </c>
      <c r="C678" s="17" t="s">
        <v>20</v>
      </c>
      <c r="D678" s="29" t="s">
        <v>1479</v>
      </c>
      <c r="E678" s="16">
        <v>45771</v>
      </c>
      <c r="F678" s="23" t="s">
        <v>130</v>
      </c>
      <c r="G678" s="51" t="s">
        <v>1480</v>
      </c>
      <c r="H678" s="56">
        <v>353750.9</v>
      </c>
      <c r="I678" s="16">
        <v>45775</v>
      </c>
      <c r="J678" s="36">
        <v>45772</v>
      </c>
      <c r="K678" s="17">
        <v>270</v>
      </c>
      <c r="L678" s="34">
        <v>270</v>
      </c>
      <c r="M678" s="34">
        <v>27</v>
      </c>
      <c r="N678" s="22">
        <v>45776</v>
      </c>
      <c r="O678" s="18" t="s">
        <v>21</v>
      </c>
      <c r="P678" s="17" t="s">
        <v>1456</v>
      </c>
      <c r="Q678" s="17" t="s">
        <v>125</v>
      </c>
      <c r="R678" s="17" t="s">
        <v>102</v>
      </c>
      <c r="S678" s="17">
        <v>1016937</v>
      </c>
      <c r="T678" s="17" t="s">
        <v>804</v>
      </c>
      <c r="U678" s="18" t="s">
        <v>19</v>
      </c>
      <c r="V678" s="17"/>
    </row>
    <row r="679" spans="1:22" x14ac:dyDescent="0.3">
      <c r="A679" s="18" t="e">
        <f t="shared" si="11"/>
        <v>#REF!</v>
      </c>
      <c r="B679" s="17">
        <v>108</v>
      </c>
      <c r="C679" s="17" t="s">
        <v>20</v>
      </c>
      <c r="D679" s="29" t="s">
        <v>1481</v>
      </c>
      <c r="E679" s="16">
        <v>45775</v>
      </c>
      <c r="F679" s="23" t="s">
        <v>137</v>
      </c>
      <c r="G679" s="51" t="s">
        <v>1482</v>
      </c>
      <c r="H679" s="56">
        <v>308506.07</v>
      </c>
      <c r="I679" s="16">
        <v>45777</v>
      </c>
      <c r="J679" s="36">
        <v>45772</v>
      </c>
      <c r="K679" s="17">
        <v>230</v>
      </c>
      <c r="L679" s="34">
        <v>230</v>
      </c>
      <c r="M679" s="34">
        <v>23</v>
      </c>
      <c r="N679" s="22">
        <v>45777</v>
      </c>
      <c r="O679" s="18" t="s">
        <v>21</v>
      </c>
      <c r="P679" s="17" t="s">
        <v>1456</v>
      </c>
      <c r="Q679" s="17" t="s">
        <v>125</v>
      </c>
      <c r="R679" s="17" t="s">
        <v>102</v>
      </c>
      <c r="S679" s="17">
        <v>1016961</v>
      </c>
      <c r="T679" s="17" t="s">
        <v>804</v>
      </c>
      <c r="U679" s="18" t="s">
        <v>19</v>
      </c>
      <c r="V679" s="17"/>
    </row>
    <row r="680" spans="1:22" x14ac:dyDescent="0.3">
      <c r="A680" s="18" t="e">
        <f t="shared" si="11"/>
        <v>#REF!</v>
      </c>
      <c r="B680" s="17">
        <v>108</v>
      </c>
      <c r="C680" s="17" t="s">
        <v>23</v>
      </c>
      <c r="D680" s="29" t="s">
        <v>1483</v>
      </c>
      <c r="E680" s="16">
        <v>45773</v>
      </c>
      <c r="F680" s="23" t="s">
        <v>39</v>
      </c>
      <c r="G680" s="51" t="s">
        <v>1484</v>
      </c>
      <c r="H680" s="56">
        <v>61437.84</v>
      </c>
      <c r="I680" s="16">
        <v>45777</v>
      </c>
      <c r="J680" s="36">
        <v>45772</v>
      </c>
      <c r="K680" s="17">
        <v>9</v>
      </c>
      <c r="L680" s="34">
        <v>216</v>
      </c>
      <c r="M680" s="34">
        <v>9</v>
      </c>
      <c r="N680" s="22">
        <v>45777</v>
      </c>
      <c r="O680" s="18" t="s">
        <v>21</v>
      </c>
      <c r="P680" s="17" t="s">
        <v>1456</v>
      </c>
      <c r="Q680" s="17" t="s">
        <v>125</v>
      </c>
      <c r="R680" s="17" t="s">
        <v>102</v>
      </c>
      <c r="S680" s="17">
        <v>1016960</v>
      </c>
      <c r="T680" s="17" t="s">
        <v>804</v>
      </c>
      <c r="U680" s="18" t="s">
        <v>19</v>
      </c>
      <c r="V680" s="17"/>
    </row>
    <row r="681" spans="1:22" x14ac:dyDescent="0.3">
      <c r="A681" s="18" t="e">
        <f t="shared" si="11"/>
        <v>#REF!</v>
      </c>
      <c r="B681" s="17">
        <v>108</v>
      </c>
      <c r="C681" s="17" t="s">
        <v>20</v>
      </c>
      <c r="D681" s="29" t="s">
        <v>1485</v>
      </c>
      <c r="E681" s="16">
        <v>45775</v>
      </c>
      <c r="F681" s="21" t="s">
        <v>47</v>
      </c>
      <c r="G681" s="51" t="s">
        <v>1486</v>
      </c>
      <c r="H681" s="56">
        <v>111018.5</v>
      </c>
      <c r="I681" s="16">
        <v>45777</v>
      </c>
      <c r="J681" s="36">
        <v>45772</v>
      </c>
      <c r="K681" s="17">
        <v>90</v>
      </c>
      <c r="L681" s="34">
        <v>90</v>
      </c>
      <c r="M681" s="34">
        <v>9</v>
      </c>
      <c r="N681" s="22">
        <v>45777</v>
      </c>
      <c r="O681" s="18" t="s">
        <v>21</v>
      </c>
      <c r="P681" s="17" t="s">
        <v>1456</v>
      </c>
      <c r="Q681" s="17" t="s">
        <v>125</v>
      </c>
      <c r="R681" s="17" t="s">
        <v>102</v>
      </c>
      <c r="S681" s="17">
        <v>1016959</v>
      </c>
      <c r="T681" s="17" t="s">
        <v>804</v>
      </c>
      <c r="U681" s="18" t="s">
        <v>19</v>
      </c>
      <c r="V681" s="17"/>
    </row>
    <row r="682" spans="1:22" x14ac:dyDescent="0.3">
      <c r="A682" s="18" t="e">
        <f t="shared" si="11"/>
        <v>#REF!</v>
      </c>
      <c r="B682" s="17">
        <v>108</v>
      </c>
      <c r="C682" s="17" t="s">
        <v>23</v>
      </c>
      <c r="D682" s="29" t="s">
        <v>1487</v>
      </c>
      <c r="E682" s="16">
        <v>45775</v>
      </c>
      <c r="F682" s="21" t="s">
        <v>929</v>
      </c>
      <c r="G682" s="51" t="s">
        <v>1488</v>
      </c>
      <c r="H682" s="56">
        <v>11066.4</v>
      </c>
      <c r="I682" s="16">
        <v>45777</v>
      </c>
      <c r="J682" s="36">
        <v>45772</v>
      </c>
      <c r="K682" s="17">
        <v>24</v>
      </c>
      <c r="L682" s="34">
        <v>24</v>
      </c>
      <c r="M682" s="34">
        <v>1</v>
      </c>
      <c r="N682" s="22">
        <v>45777</v>
      </c>
      <c r="O682" s="18" t="s">
        <v>21</v>
      </c>
      <c r="P682" s="17" t="s">
        <v>1456</v>
      </c>
      <c r="Q682" s="17" t="s">
        <v>125</v>
      </c>
      <c r="R682" s="17" t="s">
        <v>102</v>
      </c>
      <c r="S682" s="17">
        <v>1016955</v>
      </c>
      <c r="T682" s="17" t="s">
        <v>804</v>
      </c>
      <c r="U682" s="18" t="s">
        <v>19</v>
      </c>
      <c r="V682" s="17"/>
    </row>
    <row r="683" spans="1:22" x14ac:dyDescent="0.3">
      <c r="A683" s="18" t="e">
        <f t="shared" si="11"/>
        <v>#REF!</v>
      </c>
      <c r="B683" s="17">
        <v>108</v>
      </c>
      <c r="C683" s="17" t="s">
        <v>23</v>
      </c>
      <c r="D683" s="29" t="s">
        <v>1489</v>
      </c>
      <c r="E683" s="16">
        <v>45775</v>
      </c>
      <c r="F683" s="23" t="s">
        <v>113</v>
      </c>
      <c r="G683" s="51" t="s">
        <v>1490</v>
      </c>
      <c r="H683" s="56">
        <v>62077.440000000002</v>
      </c>
      <c r="I683" s="16">
        <v>45777</v>
      </c>
      <c r="J683" s="36">
        <v>45772</v>
      </c>
      <c r="K683" s="17">
        <v>7</v>
      </c>
      <c r="L683" s="34">
        <v>168</v>
      </c>
      <c r="M683" s="34">
        <v>7</v>
      </c>
      <c r="N683" s="22">
        <v>45777</v>
      </c>
      <c r="O683" s="18" t="s">
        <v>21</v>
      </c>
      <c r="P683" s="17" t="s">
        <v>1456</v>
      </c>
      <c r="Q683" s="17" t="s">
        <v>125</v>
      </c>
      <c r="R683" s="17" t="s">
        <v>102</v>
      </c>
      <c r="S683" s="17">
        <v>1016958</v>
      </c>
      <c r="T683" s="17" t="s">
        <v>804</v>
      </c>
      <c r="U683" s="18" t="s">
        <v>19</v>
      </c>
      <c r="V683" s="17"/>
    </row>
    <row r="684" spans="1:22" x14ac:dyDescent="0.3">
      <c r="A684" s="18" t="e">
        <f t="shared" si="11"/>
        <v>#REF!</v>
      </c>
      <c r="B684" s="17">
        <v>108</v>
      </c>
      <c r="C684" s="17" t="s">
        <v>23</v>
      </c>
      <c r="D684" s="29" t="s">
        <v>1491</v>
      </c>
      <c r="E684" s="16">
        <v>45775</v>
      </c>
      <c r="F684" s="23" t="s">
        <v>137</v>
      </c>
      <c r="G684" s="51" t="s">
        <v>1492</v>
      </c>
      <c r="H684" s="56">
        <v>22132</v>
      </c>
      <c r="I684" s="16">
        <v>45777</v>
      </c>
      <c r="J684" s="36">
        <v>45772</v>
      </c>
      <c r="K684" s="17">
        <v>2</v>
      </c>
      <c r="L684" s="34">
        <v>48</v>
      </c>
      <c r="M684" s="34">
        <v>2</v>
      </c>
      <c r="N684" s="22">
        <v>45777</v>
      </c>
      <c r="O684" s="18" t="s">
        <v>21</v>
      </c>
      <c r="P684" s="17" t="s">
        <v>1456</v>
      </c>
      <c r="Q684" s="17" t="s">
        <v>125</v>
      </c>
      <c r="R684" s="17" t="s">
        <v>102</v>
      </c>
      <c r="S684" s="17">
        <v>1016961</v>
      </c>
      <c r="T684" s="17" t="s">
        <v>804</v>
      </c>
      <c r="U684" s="18" t="s">
        <v>19</v>
      </c>
      <c r="V684" s="17"/>
    </row>
    <row r="685" spans="1:22" x14ac:dyDescent="0.3">
      <c r="A685" s="18" t="e">
        <f t="shared" si="11"/>
        <v>#REF!</v>
      </c>
      <c r="B685" s="17">
        <v>108</v>
      </c>
      <c r="C685" s="17" t="s">
        <v>23</v>
      </c>
      <c r="D685" s="17" t="s">
        <v>1493</v>
      </c>
      <c r="E685" s="16">
        <v>45776</v>
      </c>
      <c r="F685" s="21" t="s">
        <v>35</v>
      </c>
      <c r="G685" s="51" t="s">
        <v>1494</v>
      </c>
      <c r="H685" s="56">
        <v>83305.56</v>
      </c>
      <c r="I685" s="16">
        <v>45777</v>
      </c>
      <c r="J685" s="36">
        <v>45772</v>
      </c>
      <c r="K685" s="17">
        <v>8</v>
      </c>
      <c r="L685" s="34">
        <v>180</v>
      </c>
      <c r="M685" s="34">
        <v>8</v>
      </c>
      <c r="N685" s="22">
        <v>45777</v>
      </c>
      <c r="O685" s="18" t="s">
        <v>21</v>
      </c>
      <c r="P685" s="17" t="s">
        <v>1456</v>
      </c>
      <c r="Q685" s="17" t="s">
        <v>125</v>
      </c>
      <c r="R685" s="17" t="s">
        <v>102</v>
      </c>
      <c r="S685" s="17">
        <v>1016957</v>
      </c>
      <c r="T685" s="17" t="s">
        <v>804</v>
      </c>
      <c r="U685" s="18" t="s">
        <v>19</v>
      </c>
      <c r="V685" s="17"/>
    </row>
    <row r="686" spans="1:22" x14ac:dyDescent="0.3">
      <c r="A686" s="18" t="e">
        <f t="shared" si="11"/>
        <v>#REF!</v>
      </c>
      <c r="B686" s="17">
        <v>108</v>
      </c>
      <c r="C686" s="17" t="s">
        <v>23</v>
      </c>
      <c r="D686" s="17" t="s">
        <v>1495</v>
      </c>
      <c r="E686" s="16">
        <v>45773</v>
      </c>
      <c r="F686" s="25" t="s">
        <v>122</v>
      </c>
      <c r="G686" s="51" t="s">
        <v>1496</v>
      </c>
      <c r="H686" s="56">
        <v>151224</v>
      </c>
      <c r="I686" s="16">
        <v>45777</v>
      </c>
      <c r="J686" s="36">
        <v>45772</v>
      </c>
      <c r="K686" s="17">
        <v>18</v>
      </c>
      <c r="L686" s="34">
        <v>360</v>
      </c>
      <c r="M686" s="34">
        <v>18</v>
      </c>
      <c r="N686" s="22">
        <v>45777</v>
      </c>
      <c r="O686" s="18" t="s">
        <v>21</v>
      </c>
      <c r="P686" s="17" t="s">
        <v>1456</v>
      </c>
      <c r="Q686" s="17" t="s">
        <v>125</v>
      </c>
      <c r="R686" s="17" t="s">
        <v>102</v>
      </c>
      <c r="S686" s="17">
        <v>1016956</v>
      </c>
      <c r="T686" s="17" t="s">
        <v>804</v>
      </c>
      <c r="U686" s="18" t="s">
        <v>19</v>
      </c>
      <c r="V686" s="17"/>
    </row>
    <row r="687" spans="1:22" x14ac:dyDescent="0.3">
      <c r="A687" s="18" t="e">
        <f t="shared" si="11"/>
        <v>#REF!</v>
      </c>
      <c r="B687" s="17">
        <v>108</v>
      </c>
      <c r="C687" s="17" t="s">
        <v>23</v>
      </c>
      <c r="D687" s="17" t="s">
        <v>1487</v>
      </c>
      <c r="E687" s="16">
        <v>45776</v>
      </c>
      <c r="F687" s="21" t="s">
        <v>929</v>
      </c>
      <c r="G687" s="51" t="s">
        <v>1497</v>
      </c>
      <c r="H687" s="56">
        <v>222214.44</v>
      </c>
      <c r="I687" s="16">
        <v>45777</v>
      </c>
      <c r="J687" s="36">
        <v>45772</v>
      </c>
      <c r="K687" s="17">
        <v>30</v>
      </c>
      <c r="L687" s="34">
        <v>540</v>
      </c>
      <c r="M687" s="34">
        <v>30</v>
      </c>
      <c r="N687" s="22">
        <v>45777</v>
      </c>
      <c r="O687" s="18" t="s">
        <v>21</v>
      </c>
      <c r="P687" s="17" t="s">
        <v>1456</v>
      </c>
      <c r="Q687" s="17" t="s">
        <v>125</v>
      </c>
      <c r="R687" s="17" t="s">
        <v>102</v>
      </c>
      <c r="S687" s="17">
        <v>1016955</v>
      </c>
      <c r="T687" s="17" t="s">
        <v>804</v>
      </c>
      <c r="U687" s="18" t="s">
        <v>19</v>
      </c>
      <c r="V687" s="17"/>
    </row>
    <row r="688" spans="1:22" x14ac:dyDescent="0.3">
      <c r="A688" s="18" t="e">
        <f t="shared" si="11"/>
        <v>#REF!</v>
      </c>
      <c r="B688" s="17">
        <v>108</v>
      </c>
      <c r="C688" s="17" t="s">
        <v>23</v>
      </c>
      <c r="D688" s="17" t="s">
        <v>1487</v>
      </c>
      <c r="E688" s="16">
        <v>45776</v>
      </c>
      <c r="F688" s="21" t="s">
        <v>929</v>
      </c>
      <c r="G688" s="51" t="s">
        <v>1498</v>
      </c>
      <c r="H688" s="56">
        <v>267228.42</v>
      </c>
      <c r="I688" s="16">
        <v>45777</v>
      </c>
      <c r="J688" s="36">
        <v>45772</v>
      </c>
      <c r="K688" s="17">
        <v>30</v>
      </c>
      <c r="L688" s="34">
        <v>642</v>
      </c>
      <c r="M688" s="34">
        <v>30</v>
      </c>
      <c r="N688" s="22">
        <v>45777</v>
      </c>
      <c r="O688" s="18" t="s">
        <v>21</v>
      </c>
      <c r="P688" s="17" t="s">
        <v>1456</v>
      </c>
      <c r="Q688" s="17" t="s">
        <v>125</v>
      </c>
      <c r="R688" s="17" t="s">
        <v>102</v>
      </c>
      <c r="S688" s="17">
        <v>1016954</v>
      </c>
      <c r="T688" s="17" t="s">
        <v>804</v>
      </c>
      <c r="U688" s="18" t="s">
        <v>19</v>
      </c>
      <c r="V688" s="17"/>
    </row>
    <row r="689" spans="1:22" x14ac:dyDescent="0.3">
      <c r="A689" s="18" t="e">
        <f t="shared" si="11"/>
        <v>#REF!</v>
      </c>
      <c r="B689" s="17">
        <v>108</v>
      </c>
      <c r="C689" s="17" t="s">
        <v>23</v>
      </c>
      <c r="D689" s="17" t="s">
        <v>1499</v>
      </c>
      <c r="E689" s="16">
        <v>45773</v>
      </c>
      <c r="F689" s="21" t="s">
        <v>1471</v>
      </c>
      <c r="G689" s="51" t="s">
        <v>1500</v>
      </c>
      <c r="H689" s="56">
        <v>24594.720000000001</v>
      </c>
      <c r="I689" s="16">
        <v>45777</v>
      </c>
      <c r="J689" s="36">
        <v>45772</v>
      </c>
      <c r="K689" s="17">
        <v>2</v>
      </c>
      <c r="L689" s="34">
        <v>48</v>
      </c>
      <c r="M689" s="34">
        <v>2</v>
      </c>
      <c r="N689" s="22">
        <v>45777</v>
      </c>
      <c r="O689" s="18" t="s">
        <v>21</v>
      </c>
      <c r="P689" s="17" t="s">
        <v>1456</v>
      </c>
      <c r="Q689" s="17" t="s">
        <v>125</v>
      </c>
      <c r="R689" s="17" t="s">
        <v>102</v>
      </c>
      <c r="S689" s="17">
        <v>1016952</v>
      </c>
      <c r="T689" s="17" t="s">
        <v>804</v>
      </c>
      <c r="U689" s="18" t="s">
        <v>19</v>
      </c>
      <c r="V689" s="17"/>
    </row>
    <row r="690" spans="1:22" x14ac:dyDescent="0.3">
      <c r="A690" s="18" t="e">
        <f t="shared" si="11"/>
        <v>#REF!</v>
      </c>
      <c r="B690" s="17">
        <v>109</v>
      </c>
      <c r="C690" s="17" t="s">
        <v>23</v>
      </c>
      <c r="D690" s="17" t="s">
        <v>1501</v>
      </c>
      <c r="E690" s="16">
        <v>45777</v>
      </c>
      <c r="F690" s="23" t="s">
        <v>129</v>
      </c>
      <c r="G690" s="51" t="s">
        <v>1502</v>
      </c>
      <c r="H690" s="56">
        <v>84451.44</v>
      </c>
      <c r="I690" s="16">
        <v>45777</v>
      </c>
      <c r="J690" s="36">
        <v>45772</v>
      </c>
      <c r="K690" s="17">
        <v>9</v>
      </c>
      <c r="L690" s="34">
        <v>264</v>
      </c>
      <c r="M690" s="34">
        <v>9</v>
      </c>
      <c r="N690" s="22">
        <v>45779</v>
      </c>
      <c r="O690" s="18" t="s">
        <v>21</v>
      </c>
      <c r="P690" s="17" t="s">
        <v>1456</v>
      </c>
      <c r="Q690" s="17" t="s">
        <v>125</v>
      </c>
      <c r="R690" s="17" t="s">
        <v>102</v>
      </c>
      <c r="S690" s="17">
        <v>1016982</v>
      </c>
      <c r="T690" s="17" t="s">
        <v>804</v>
      </c>
      <c r="U690" s="18" t="s">
        <v>19</v>
      </c>
      <c r="V690" s="17"/>
    </row>
    <row r="691" spans="1:22" x14ac:dyDescent="0.3">
      <c r="A691" s="18" t="e">
        <f t="shared" si="11"/>
        <v>#REF!</v>
      </c>
      <c r="B691" s="17">
        <v>109</v>
      </c>
      <c r="C691" s="17" t="s">
        <v>23</v>
      </c>
      <c r="D691" s="17" t="s">
        <v>1503</v>
      </c>
      <c r="E691" s="16">
        <v>45777</v>
      </c>
      <c r="F691" s="21" t="s">
        <v>129</v>
      </c>
      <c r="G691" s="51" t="s">
        <v>1504</v>
      </c>
      <c r="H691" s="56">
        <v>15354.72</v>
      </c>
      <c r="I691" s="16">
        <v>45777</v>
      </c>
      <c r="J691" s="36">
        <v>45772</v>
      </c>
      <c r="K691" s="17">
        <v>2</v>
      </c>
      <c r="L691" s="34">
        <v>48</v>
      </c>
      <c r="M691" s="34">
        <v>2</v>
      </c>
      <c r="N691" s="22">
        <v>45779</v>
      </c>
      <c r="O691" s="18" t="s">
        <v>21</v>
      </c>
      <c r="P691" s="17" t="s">
        <v>1456</v>
      </c>
      <c r="Q691" s="17" t="s">
        <v>125</v>
      </c>
      <c r="R691" s="17" t="s">
        <v>102</v>
      </c>
      <c r="S691" s="17">
        <v>1016983</v>
      </c>
      <c r="T691" s="17" t="s">
        <v>804</v>
      </c>
      <c r="U691" s="18" t="s">
        <v>19</v>
      </c>
      <c r="V691" s="17"/>
    </row>
    <row r="692" spans="1:22" x14ac:dyDescent="0.3">
      <c r="A692" s="18" t="e">
        <f t="shared" si="11"/>
        <v>#REF!</v>
      </c>
      <c r="B692" s="17">
        <v>109</v>
      </c>
      <c r="C692" s="17" t="s">
        <v>23</v>
      </c>
      <c r="D692" s="17" t="s">
        <v>1503</v>
      </c>
      <c r="E692" s="16">
        <v>45777</v>
      </c>
      <c r="F692" s="21" t="s">
        <v>129</v>
      </c>
      <c r="G692" s="51" t="s">
        <v>1505</v>
      </c>
      <c r="H692" s="56">
        <v>216657.18</v>
      </c>
      <c r="I692" s="16">
        <v>45777</v>
      </c>
      <c r="J692" s="36">
        <v>45772</v>
      </c>
      <c r="K692" s="17">
        <v>23</v>
      </c>
      <c r="L692" s="34">
        <v>546</v>
      </c>
      <c r="M692" s="34">
        <v>23</v>
      </c>
      <c r="N692" s="22">
        <v>45779</v>
      </c>
      <c r="O692" s="18" t="s">
        <v>21</v>
      </c>
      <c r="P692" s="17" t="s">
        <v>1456</v>
      </c>
      <c r="Q692" s="17" t="s">
        <v>125</v>
      </c>
      <c r="R692" s="17" t="s">
        <v>102</v>
      </c>
      <c r="S692" s="17">
        <v>1016984</v>
      </c>
      <c r="T692" s="17" t="s">
        <v>804</v>
      </c>
      <c r="U692" s="18" t="s">
        <v>19</v>
      </c>
      <c r="V692" s="17"/>
    </row>
    <row r="693" spans="1:22" x14ac:dyDescent="0.3">
      <c r="A693" s="18" t="e">
        <f t="shared" si="11"/>
        <v>#REF!</v>
      </c>
      <c r="B693" s="17">
        <v>109</v>
      </c>
      <c r="C693" s="17" t="s">
        <v>23</v>
      </c>
      <c r="D693" s="17" t="s">
        <v>1508</v>
      </c>
      <c r="E693" s="16">
        <v>45777</v>
      </c>
      <c r="F693" s="21" t="s">
        <v>123</v>
      </c>
      <c r="G693" s="51" t="s">
        <v>1507</v>
      </c>
      <c r="H693" s="56">
        <v>262893.53999999998</v>
      </c>
      <c r="I693" s="16">
        <v>45777</v>
      </c>
      <c r="J693" s="36">
        <v>45772</v>
      </c>
      <c r="K693" s="17">
        <v>30</v>
      </c>
      <c r="L693" s="34">
        <v>738</v>
      </c>
      <c r="M693" s="34">
        <v>30</v>
      </c>
      <c r="N693" s="22">
        <v>45779</v>
      </c>
      <c r="O693" s="18" t="s">
        <v>21</v>
      </c>
      <c r="P693" s="17" t="s">
        <v>1456</v>
      </c>
      <c r="Q693" s="17" t="s">
        <v>125</v>
      </c>
      <c r="R693" s="17" t="s">
        <v>102</v>
      </c>
      <c r="S693" s="17">
        <v>1016985</v>
      </c>
      <c r="T693" s="17" t="s">
        <v>804</v>
      </c>
      <c r="U693" s="18" t="s">
        <v>19</v>
      </c>
      <c r="V693" s="17"/>
    </row>
    <row r="694" spans="1:22" x14ac:dyDescent="0.3">
      <c r="A694" s="18" t="e">
        <f t="shared" si="11"/>
        <v>#REF!</v>
      </c>
      <c r="B694" s="17">
        <v>109</v>
      </c>
      <c r="C694" s="17" t="s">
        <v>23</v>
      </c>
      <c r="D694" s="17" t="s">
        <v>1506</v>
      </c>
      <c r="E694" s="16">
        <v>45777</v>
      </c>
      <c r="F694" s="21" t="s">
        <v>123</v>
      </c>
      <c r="G694" s="51" t="s">
        <v>1509</v>
      </c>
      <c r="H694" s="56">
        <v>9637</v>
      </c>
      <c r="I694" s="16">
        <v>45777</v>
      </c>
      <c r="J694" s="36">
        <v>45772</v>
      </c>
      <c r="K694" s="17">
        <v>1</v>
      </c>
      <c r="L694" s="34">
        <v>24</v>
      </c>
      <c r="M694" s="34">
        <v>1</v>
      </c>
      <c r="N694" s="22">
        <v>45779</v>
      </c>
      <c r="O694" s="18" t="s">
        <v>21</v>
      </c>
      <c r="P694" s="17" t="s">
        <v>1456</v>
      </c>
      <c r="Q694" s="17" t="s">
        <v>125</v>
      </c>
      <c r="R694" s="17" t="s">
        <v>102</v>
      </c>
      <c r="S694" s="17">
        <v>1016987</v>
      </c>
      <c r="T694" s="17" t="s">
        <v>804</v>
      </c>
      <c r="U694" s="18" t="s">
        <v>19</v>
      </c>
      <c r="V694" s="17"/>
    </row>
    <row r="695" spans="1:22" x14ac:dyDescent="0.3">
      <c r="A695" s="18" t="e">
        <f t="shared" ref="A695:A758" si="12">A694+1</f>
        <v>#REF!</v>
      </c>
      <c r="B695" s="17">
        <v>109</v>
      </c>
      <c r="C695" s="17" t="s">
        <v>23</v>
      </c>
      <c r="D695" s="17" t="s">
        <v>1510</v>
      </c>
      <c r="E695" s="16">
        <v>45777</v>
      </c>
      <c r="F695" s="23" t="s">
        <v>68</v>
      </c>
      <c r="G695" s="51" t="s">
        <v>1511</v>
      </c>
      <c r="H695" s="56">
        <v>50999.040000000001</v>
      </c>
      <c r="I695" s="16">
        <v>45777</v>
      </c>
      <c r="J695" s="36">
        <v>45772</v>
      </c>
      <c r="K695" s="17">
        <v>7</v>
      </c>
      <c r="L695" s="34">
        <v>168</v>
      </c>
      <c r="M695" s="34">
        <v>7</v>
      </c>
      <c r="N695" s="22">
        <v>45779</v>
      </c>
      <c r="O695" s="18" t="s">
        <v>21</v>
      </c>
      <c r="P695" s="17" t="s">
        <v>1456</v>
      </c>
      <c r="Q695" s="17" t="s">
        <v>125</v>
      </c>
      <c r="R695" s="17" t="s">
        <v>102</v>
      </c>
      <c r="S695" s="17">
        <v>1016986</v>
      </c>
      <c r="T695" s="17" t="s">
        <v>804</v>
      </c>
      <c r="U695" s="18" t="s">
        <v>19</v>
      </c>
      <c r="V695" s="17"/>
    </row>
    <row r="696" spans="1:22" x14ac:dyDescent="0.3">
      <c r="A696" s="18" t="e">
        <f t="shared" si="12"/>
        <v>#REF!</v>
      </c>
      <c r="B696" s="17">
        <v>109</v>
      </c>
      <c r="C696" s="17" t="s">
        <v>23</v>
      </c>
      <c r="D696" s="17" t="s">
        <v>1512</v>
      </c>
      <c r="E696" s="16">
        <v>45777</v>
      </c>
      <c r="F696" s="21" t="s">
        <v>41</v>
      </c>
      <c r="G696" s="51" t="s">
        <v>1513</v>
      </c>
      <c r="H696" s="56">
        <v>205927.44</v>
      </c>
      <c r="I696" s="16">
        <v>45777</v>
      </c>
      <c r="J696" s="36">
        <v>45772</v>
      </c>
      <c r="K696" s="17">
        <v>21</v>
      </c>
      <c r="L696" s="34">
        <v>504</v>
      </c>
      <c r="M696" s="34">
        <v>21</v>
      </c>
      <c r="N696" s="22">
        <v>45779</v>
      </c>
      <c r="O696" s="18" t="s">
        <v>21</v>
      </c>
      <c r="P696" s="17" t="s">
        <v>1456</v>
      </c>
      <c r="Q696" s="17" t="s">
        <v>125</v>
      </c>
      <c r="R696" s="17" t="s">
        <v>102</v>
      </c>
      <c r="S696" s="17">
        <v>1016988</v>
      </c>
      <c r="T696" s="17" t="s">
        <v>804</v>
      </c>
      <c r="U696" s="18" t="s">
        <v>19</v>
      </c>
      <c r="V696" s="17"/>
    </row>
    <row r="697" spans="1:22" x14ac:dyDescent="0.3">
      <c r="A697" s="18" t="e">
        <f t="shared" si="12"/>
        <v>#REF!</v>
      </c>
      <c r="B697" s="17">
        <v>109</v>
      </c>
      <c r="C697" s="17" t="s">
        <v>23</v>
      </c>
      <c r="D697" s="17" t="s">
        <v>1514</v>
      </c>
      <c r="E697" s="16">
        <v>45777</v>
      </c>
      <c r="F697" s="21" t="s">
        <v>41</v>
      </c>
      <c r="G697" s="51" t="s">
        <v>1515</v>
      </c>
      <c r="H697" s="56">
        <v>400324.86</v>
      </c>
      <c r="I697" s="16">
        <v>45777</v>
      </c>
      <c r="J697" s="36">
        <v>45772</v>
      </c>
      <c r="K697" s="17">
        <v>43</v>
      </c>
      <c r="L697" s="34">
        <v>990</v>
      </c>
      <c r="M697" s="34">
        <v>43</v>
      </c>
      <c r="N697" s="22">
        <v>45779</v>
      </c>
      <c r="O697" s="18" t="s">
        <v>21</v>
      </c>
      <c r="P697" s="17" t="s">
        <v>1456</v>
      </c>
      <c r="Q697" s="17" t="s">
        <v>125</v>
      </c>
      <c r="R697" s="17" t="s">
        <v>102</v>
      </c>
      <c r="S697" s="17">
        <v>1016989</v>
      </c>
      <c r="T697" s="17" t="s">
        <v>804</v>
      </c>
      <c r="U697" s="18" t="s">
        <v>19</v>
      </c>
      <c r="V697" s="17"/>
    </row>
    <row r="698" spans="1:22" x14ac:dyDescent="0.3">
      <c r="A698" s="18" t="e">
        <f t="shared" si="12"/>
        <v>#REF!</v>
      </c>
      <c r="B698" s="17">
        <v>110</v>
      </c>
      <c r="C698" s="17" t="s">
        <v>23</v>
      </c>
      <c r="D698" s="17" t="s">
        <v>1516</v>
      </c>
      <c r="E698" s="16">
        <v>45777</v>
      </c>
      <c r="F698" s="24" t="s">
        <v>51</v>
      </c>
      <c r="G698" s="51" t="s">
        <v>1517</v>
      </c>
      <c r="H698" s="56">
        <v>29494.080000000002</v>
      </c>
      <c r="I698" s="16">
        <v>45777</v>
      </c>
      <c r="J698" s="36">
        <v>45772</v>
      </c>
      <c r="K698" s="17">
        <v>4</v>
      </c>
      <c r="L698" s="34">
        <v>96</v>
      </c>
      <c r="M698" s="34">
        <v>4</v>
      </c>
      <c r="N698" s="22">
        <v>45779</v>
      </c>
      <c r="O698" s="18" t="s">
        <v>21</v>
      </c>
      <c r="P698" s="17" t="s">
        <v>1456</v>
      </c>
      <c r="Q698" s="17" t="s">
        <v>124</v>
      </c>
      <c r="R698" s="17" t="s">
        <v>102</v>
      </c>
      <c r="S698" s="17">
        <v>1017015</v>
      </c>
      <c r="T698" s="17" t="s">
        <v>804</v>
      </c>
      <c r="U698" s="18" t="s">
        <v>19</v>
      </c>
      <c r="V698" s="17"/>
    </row>
    <row r="699" spans="1:22" x14ac:dyDescent="0.3">
      <c r="A699" s="18" t="e">
        <f t="shared" si="12"/>
        <v>#REF!</v>
      </c>
      <c r="B699" s="17">
        <v>110</v>
      </c>
      <c r="C699" s="17" t="s">
        <v>23</v>
      </c>
      <c r="D699" s="17" t="s">
        <v>1518</v>
      </c>
      <c r="E699" s="16">
        <v>45777</v>
      </c>
      <c r="F699" s="21" t="s">
        <v>129</v>
      </c>
      <c r="G699" s="51" t="s">
        <v>1519</v>
      </c>
      <c r="H699" s="56">
        <v>241608.72</v>
      </c>
      <c r="I699" s="16">
        <v>45777</v>
      </c>
      <c r="J699" s="36">
        <v>45772</v>
      </c>
      <c r="K699" s="17">
        <v>26</v>
      </c>
      <c r="L699" s="34">
        <v>624</v>
      </c>
      <c r="M699" s="34">
        <v>26</v>
      </c>
      <c r="N699" s="22">
        <v>45779</v>
      </c>
      <c r="O699" s="18" t="s">
        <v>21</v>
      </c>
      <c r="P699" s="17" t="s">
        <v>1456</v>
      </c>
      <c r="Q699" s="17" t="s">
        <v>124</v>
      </c>
      <c r="R699" s="17" t="s">
        <v>102</v>
      </c>
      <c r="S699" s="17">
        <v>1017016</v>
      </c>
      <c r="T699" s="17" t="s">
        <v>804</v>
      </c>
      <c r="U699" s="18" t="s">
        <v>19</v>
      </c>
      <c r="V699" s="17"/>
    </row>
    <row r="700" spans="1:22" x14ac:dyDescent="0.3">
      <c r="A700" s="18" t="e">
        <f t="shared" si="12"/>
        <v>#REF!</v>
      </c>
      <c r="B700" s="17">
        <v>110</v>
      </c>
      <c r="C700" s="17" t="s">
        <v>20</v>
      </c>
      <c r="D700" s="17" t="s">
        <v>1520</v>
      </c>
      <c r="E700" s="16">
        <v>45777</v>
      </c>
      <c r="F700" s="21" t="s">
        <v>47</v>
      </c>
      <c r="G700" s="51" t="s">
        <v>1521</v>
      </c>
      <c r="H700" s="56">
        <v>68648.5</v>
      </c>
      <c r="I700" s="16">
        <v>45777</v>
      </c>
      <c r="J700" s="36">
        <v>45772</v>
      </c>
      <c r="K700" s="17">
        <v>50</v>
      </c>
      <c r="L700" s="34">
        <v>50</v>
      </c>
      <c r="M700" s="34">
        <v>5</v>
      </c>
      <c r="N700" s="22">
        <v>45779</v>
      </c>
      <c r="O700" s="18" t="s">
        <v>21</v>
      </c>
      <c r="P700" s="17" t="s">
        <v>1456</v>
      </c>
      <c r="Q700" s="17" t="s">
        <v>124</v>
      </c>
      <c r="R700" s="17" t="s">
        <v>102</v>
      </c>
      <c r="S700" s="17">
        <v>1017017</v>
      </c>
      <c r="T700" s="17" t="s">
        <v>804</v>
      </c>
      <c r="U700" s="18" t="s">
        <v>19</v>
      </c>
      <c r="V700" s="17"/>
    </row>
    <row r="701" spans="1:22" x14ac:dyDescent="0.3">
      <c r="A701" s="18" t="e">
        <f t="shared" si="12"/>
        <v>#REF!</v>
      </c>
      <c r="B701" s="17">
        <v>110</v>
      </c>
      <c r="C701" s="17" t="s">
        <v>23</v>
      </c>
      <c r="D701" s="17" t="s">
        <v>1522</v>
      </c>
      <c r="E701" s="16">
        <v>45777</v>
      </c>
      <c r="F701" s="21" t="s">
        <v>118</v>
      </c>
      <c r="G701" s="51" t="s">
        <v>1523</v>
      </c>
      <c r="H701" s="56">
        <v>77439.839999999997</v>
      </c>
      <c r="I701" s="16">
        <v>45779</v>
      </c>
      <c r="J701" s="36">
        <v>45802</v>
      </c>
      <c r="K701" s="17">
        <v>9</v>
      </c>
      <c r="L701" s="34">
        <v>216</v>
      </c>
      <c r="M701" s="34">
        <v>9</v>
      </c>
      <c r="N701" s="22">
        <v>45779</v>
      </c>
      <c r="O701" s="18" t="s">
        <v>21</v>
      </c>
      <c r="P701" s="17" t="s">
        <v>1456</v>
      </c>
      <c r="Q701" s="17" t="s">
        <v>124</v>
      </c>
      <c r="R701" s="17" t="s">
        <v>102</v>
      </c>
      <c r="S701" s="17">
        <v>1016998</v>
      </c>
      <c r="T701" s="17" t="s">
        <v>804</v>
      </c>
      <c r="U701" s="18" t="s">
        <v>19</v>
      </c>
      <c r="V701" s="17"/>
    </row>
    <row r="702" spans="1:22" x14ac:dyDescent="0.3">
      <c r="A702" s="18" t="e">
        <f t="shared" si="12"/>
        <v>#REF!</v>
      </c>
      <c r="B702" s="17">
        <v>110</v>
      </c>
      <c r="C702" s="17" t="s">
        <v>23</v>
      </c>
      <c r="D702" s="17" t="s">
        <v>1524</v>
      </c>
      <c r="E702" s="16">
        <v>45777</v>
      </c>
      <c r="F702" s="21" t="s">
        <v>1525</v>
      </c>
      <c r="G702" s="51" t="s">
        <v>1526</v>
      </c>
      <c r="H702" s="56">
        <v>136790.76</v>
      </c>
      <c r="I702" s="16">
        <v>45779</v>
      </c>
      <c r="J702" s="36">
        <v>45802</v>
      </c>
      <c r="K702" s="17">
        <v>13</v>
      </c>
      <c r="L702" s="34">
        <v>300</v>
      </c>
      <c r="M702" s="34">
        <v>13</v>
      </c>
      <c r="N702" s="22">
        <v>45779</v>
      </c>
      <c r="O702" s="18" t="s">
        <v>21</v>
      </c>
      <c r="P702" s="17" t="s">
        <v>1456</v>
      </c>
      <c r="Q702" s="17" t="s">
        <v>124</v>
      </c>
      <c r="R702" s="17" t="s">
        <v>102</v>
      </c>
      <c r="S702" s="17">
        <v>1017034</v>
      </c>
      <c r="T702" s="17" t="s">
        <v>804</v>
      </c>
      <c r="U702" s="18" t="s">
        <v>19</v>
      </c>
      <c r="V702" s="17"/>
    </row>
    <row r="703" spans="1:22" x14ac:dyDescent="0.3">
      <c r="A703" s="18" t="e">
        <f t="shared" si="12"/>
        <v>#REF!</v>
      </c>
      <c r="B703" s="17">
        <v>110</v>
      </c>
      <c r="C703" s="17" t="s">
        <v>23</v>
      </c>
      <c r="D703" s="17" t="s">
        <v>1527</v>
      </c>
      <c r="E703" s="16">
        <v>45777</v>
      </c>
      <c r="F703" s="21" t="s">
        <v>53</v>
      </c>
      <c r="G703" s="51" t="s">
        <v>1528</v>
      </c>
      <c r="H703" s="56">
        <v>88531.199999999997</v>
      </c>
      <c r="I703" s="16">
        <v>45777</v>
      </c>
      <c r="J703" s="36">
        <v>45772</v>
      </c>
      <c r="K703" s="17">
        <v>8</v>
      </c>
      <c r="L703" s="34">
        <v>192</v>
      </c>
      <c r="M703" s="34">
        <v>8</v>
      </c>
      <c r="N703" s="22">
        <v>45779</v>
      </c>
      <c r="O703" s="18" t="s">
        <v>21</v>
      </c>
      <c r="P703" s="17" t="s">
        <v>1456</v>
      </c>
      <c r="Q703" s="17" t="s">
        <v>124</v>
      </c>
      <c r="R703" s="17" t="s">
        <v>102</v>
      </c>
      <c r="S703" s="17">
        <v>1016999</v>
      </c>
      <c r="T703" s="17" t="s">
        <v>804</v>
      </c>
      <c r="U703" s="18" t="s">
        <v>19</v>
      </c>
      <c r="V703" s="17"/>
    </row>
    <row r="704" spans="1:22" x14ac:dyDescent="0.3">
      <c r="A704" s="18" t="e">
        <f t="shared" si="12"/>
        <v>#REF!</v>
      </c>
      <c r="B704" s="17">
        <v>110</v>
      </c>
      <c r="C704" s="17" t="s">
        <v>23</v>
      </c>
      <c r="D704" s="17" t="s">
        <v>1529</v>
      </c>
      <c r="E704" s="16">
        <v>45777</v>
      </c>
      <c r="F704" s="23" t="s">
        <v>117</v>
      </c>
      <c r="G704" s="51" t="s">
        <v>1530</v>
      </c>
      <c r="H704" s="56">
        <v>92814.24</v>
      </c>
      <c r="I704" s="16">
        <v>45777</v>
      </c>
      <c r="J704" s="36">
        <v>45772</v>
      </c>
      <c r="K704" s="17">
        <v>10</v>
      </c>
      <c r="L704" s="34">
        <v>240</v>
      </c>
      <c r="M704" s="34">
        <v>10</v>
      </c>
      <c r="N704" s="22">
        <v>45779</v>
      </c>
      <c r="O704" s="18" t="s">
        <v>21</v>
      </c>
      <c r="P704" s="17" t="s">
        <v>1456</v>
      </c>
      <c r="Q704" s="17" t="s">
        <v>124</v>
      </c>
      <c r="R704" s="17" t="s">
        <v>102</v>
      </c>
      <c r="S704" s="17">
        <v>101700</v>
      </c>
      <c r="T704" s="17" t="s">
        <v>804</v>
      </c>
      <c r="U704" s="18" t="s">
        <v>19</v>
      </c>
      <c r="V704" s="17"/>
    </row>
    <row r="705" spans="1:22" x14ac:dyDescent="0.3">
      <c r="A705" s="18" t="e">
        <f t="shared" si="12"/>
        <v>#REF!</v>
      </c>
      <c r="B705" s="17">
        <v>110</v>
      </c>
      <c r="C705" s="17" t="s">
        <v>23</v>
      </c>
      <c r="D705" s="17" t="s">
        <v>1531</v>
      </c>
      <c r="E705" s="16">
        <v>45777</v>
      </c>
      <c r="F705" s="21" t="s">
        <v>49</v>
      </c>
      <c r="G705" s="51" t="s">
        <v>1532</v>
      </c>
      <c r="H705" s="56">
        <v>80505.119999999995</v>
      </c>
      <c r="I705" s="16">
        <v>45777</v>
      </c>
      <c r="J705" s="36">
        <v>45772</v>
      </c>
      <c r="K705" s="17">
        <v>10</v>
      </c>
      <c r="L705" s="34">
        <v>240</v>
      </c>
      <c r="M705" s="34">
        <v>10</v>
      </c>
      <c r="N705" s="22">
        <v>45779</v>
      </c>
      <c r="O705" s="18" t="s">
        <v>21</v>
      </c>
      <c r="P705" s="17" t="s">
        <v>1456</v>
      </c>
      <c r="Q705" s="17" t="s">
        <v>124</v>
      </c>
      <c r="R705" s="17" t="s">
        <v>102</v>
      </c>
      <c r="S705" s="17">
        <v>1017001</v>
      </c>
      <c r="T705" s="17" t="s">
        <v>804</v>
      </c>
      <c r="U705" s="18" t="s">
        <v>19</v>
      </c>
      <c r="V705" s="17"/>
    </row>
    <row r="706" spans="1:22" x14ac:dyDescent="0.3">
      <c r="A706" s="18" t="e">
        <f t="shared" si="12"/>
        <v>#REF!</v>
      </c>
      <c r="B706" s="17">
        <v>110</v>
      </c>
      <c r="C706" s="17" t="s">
        <v>23</v>
      </c>
      <c r="D706" s="17" t="s">
        <v>1533</v>
      </c>
      <c r="E706" s="16">
        <v>45777</v>
      </c>
      <c r="F706" s="25" t="s">
        <v>122</v>
      </c>
      <c r="G706" s="51" t="s">
        <v>1534</v>
      </c>
      <c r="H706" s="56">
        <v>73784.160000000003</v>
      </c>
      <c r="I706" s="16">
        <v>45777</v>
      </c>
      <c r="J706" s="36">
        <v>45772</v>
      </c>
      <c r="K706" s="17">
        <v>8</v>
      </c>
      <c r="L706" s="34">
        <v>192</v>
      </c>
      <c r="M706" s="34">
        <v>8</v>
      </c>
      <c r="N706" s="22">
        <v>45779</v>
      </c>
      <c r="O706" s="18" t="s">
        <v>21</v>
      </c>
      <c r="P706" s="17" t="s">
        <v>1456</v>
      </c>
      <c r="Q706" s="17" t="s">
        <v>124</v>
      </c>
      <c r="R706" s="17" t="s">
        <v>102</v>
      </c>
      <c r="S706" s="17">
        <v>1017002</v>
      </c>
      <c r="T706" s="17" t="s">
        <v>804</v>
      </c>
      <c r="U706" s="18" t="s">
        <v>19</v>
      </c>
      <c r="V706" s="17"/>
    </row>
    <row r="707" spans="1:22" x14ac:dyDescent="0.3">
      <c r="A707" s="18" t="e">
        <f t="shared" si="12"/>
        <v>#REF!</v>
      </c>
      <c r="B707" s="17">
        <v>110</v>
      </c>
      <c r="C707" s="17" t="s">
        <v>23</v>
      </c>
      <c r="D707" s="17" t="s">
        <v>1535</v>
      </c>
      <c r="E707" s="16">
        <v>45777</v>
      </c>
      <c r="F707" s="21" t="s">
        <v>64</v>
      </c>
      <c r="G707" s="51" t="s">
        <v>1536</v>
      </c>
      <c r="H707" s="56">
        <v>38098.32</v>
      </c>
      <c r="I707" s="16">
        <v>45777</v>
      </c>
      <c r="J707" s="36">
        <v>45772</v>
      </c>
      <c r="K707" s="17">
        <v>5</v>
      </c>
      <c r="L707" s="34">
        <v>120</v>
      </c>
      <c r="M707" s="34">
        <v>5</v>
      </c>
      <c r="N707" s="22">
        <v>45779</v>
      </c>
      <c r="O707" s="18" t="s">
        <v>21</v>
      </c>
      <c r="P707" s="17" t="s">
        <v>1456</v>
      </c>
      <c r="Q707" s="17" t="s">
        <v>124</v>
      </c>
      <c r="R707" s="17" t="s">
        <v>102</v>
      </c>
      <c r="S707" s="17">
        <v>1017003</v>
      </c>
      <c r="T707" s="17" t="s">
        <v>804</v>
      </c>
      <c r="U707" s="18" t="s">
        <v>19</v>
      </c>
      <c r="V707" s="17"/>
    </row>
    <row r="708" spans="1:22" x14ac:dyDescent="0.3">
      <c r="A708" s="18" t="e">
        <f t="shared" si="12"/>
        <v>#REF!</v>
      </c>
      <c r="B708" s="17">
        <v>110</v>
      </c>
      <c r="C708" s="17" t="s">
        <v>23</v>
      </c>
      <c r="D708" s="17" t="s">
        <v>1537</v>
      </c>
      <c r="E708" s="16">
        <v>45777</v>
      </c>
      <c r="F708" s="21" t="s">
        <v>1207</v>
      </c>
      <c r="G708" s="51" t="s">
        <v>1538</v>
      </c>
      <c r="H708" s="56">
        <v>58988.160000000003</v>
      </c>
      <c r="I708" s="16">
        <v>45777</v>
      </c>
      <c r="J708" s="36">
        <v>45772</v>
      </c>
      <c r="K708" s="17">
        <v>8</v>
      </c>
      <c r="L708" s="34">
        <v>192</v>
      </c>
      <c r="M708" s="34">
        <v>8</v>
      </c>
      <c r="N708" s="22">
        <v>45779</v>
      </c>
      <c r="O708" s="18" t="s">
        <v>21</v>
      </c>
      <c r="P708" s="17" t="s">
        <v>1456</v>
      </c>
      <c r="Q708" s="17" t="s">
        <v>124</v>
      </c>
      <c r="R708" s="17" t="s">
        <v>102</v>
      </c>
      <c r="S708" s="17">
        <v>1017004</v>
      </c>
      <c r="T708" s="17" t="s">
        <v>804</v>
      </c>
      <c r="U708" s="18" t="s">
        <v>19</v>
      </c>
      <c r="V708" s="17"/>
    </row>
    <row r="709" spans="1:22" x14ac:dyDescent="0.3">
      <c r="A709" s="18" t="e">
        <f t="shared" si="12"/>
        <v>#REF!</v>
      </c>
      <c r="B709" s="17">
        <v>110</v>
      </c>
      <c r="C709" s="17" t="s">
        <v>23</v>
      </c>
      <c r="D709" s="17" t="s">
        <v>1539</v>
      </c>
      <c r="E709" s="16">
        <v>45777</v>
      </c>
      <c r="F709" s="21" t="s">
        <v>33</v>
      </c>
      <c r="G709" s="51" t="s">
        <v>1540</v>
      </c>
      <c r="H709" s="56">
        <v>36855.360000000001</v>
      </c>
      <c r="I709" s="16">
        <v>45777</v>
      </c>
      <c r="J709" s="36">
        <v>45772</v>
      </c>
      <c r="K709" s="17">
        <v>6</v>
      </c>
      <c r="L709" s="34">
        <v>144</v>
      </c>
      <c r="M709" s="34">
        <v>6</v>
      </c>
      <c r="N709" s="22">
        <v>45779</v>
      </c>
      <c r="O709" s="18" t="s">
        <v>21</v>
      </c>
      <c r="P709" s="17" t="s">
        <v>1456</v>
      </c>
      <c r="Q709" s="17" t="s">
        <v>124</v>
      </c>
      <c r="R709" s="17" t="s">
        <v>102</v>
      </c>
      <c r="S709" s="17">
        <v>1017005</v>
      </c>
      <c r="T709" s="17" t="s">
        <v>804</v>
      </c>
      <c r="U709" s="18" t="s">
        <v>19</v>
      </c>
      <c r="V709" s="17"/>
    </row>
    <row r="710" spans="1:22" x14ac:dyDescent="0.3">
      <c r="A710" s="18" t="e">
        <f t="shared" si="12"/>
        <v>#REF!</v>
      </c>
      <c r="B710" s="17">
        <v>110</v>
      </c>
      <c r="C710" s="17" t="s">
        <v>23</v>
      </c>
      <c r="D710" s="17" t="s">
        <v>1541</v>
      </c>
      <c r="E710" s="16">
        <v>45777</v>
      </c>
      <c r="F710" s="21" t="s">
        <v>119</v>
      </c>
      <c r="G710" s="51" t="s">
        <v>1542</v>
      </c>
      <c r="H710" s="56">
        <v>140391.35999999999</v>
      </c>
      <c r="I710" s="16">
        <v>45777</v>
      </c>
      <c r="J710" s="36">
        <v>45772</v>
      </c>
      <c r="K710" s="17">
        <v>15</v>
      </c>
      <c r="L710" s="34">
        <v>360</v>
      </c>
      <c r="M710" s="34">
        <v>15</v>
      </c>
      <c r="N710" s="22">
        <v>45779</v>
      </c>
      <c r="O710" s="18" t="s">
        <v>21</v>
      </c>
      <c r="P710" s="17" t="s">
        <v>1456</v>
      </c>
      <c r="Q710" s="17" t="s">
        <v>124</v>
      </c>
      <c r="R710" s="17" t="s">
        <v>102</v>
      </c>
      <c r="S710" s="17">
        <v>1017006</v>
      </c>
      <c r="T710" s="17" t="s">
        <v>804</v>
      </c>
      <c r="U710" s="18" t="s">
        <v>19</v>
      </c>
      <c r="V710" s="17"/>
    </row>
    <row r="711" spans="1:22" x14ac:dyDescent="0.3">
      <c r="A711" s="18" t="e">
        <f t="shared" si="12"/>
        <v>#REF!</v>
      </c>
      <c r="B711" s="17">
        <v>110</v>
      </c>
      <c r="C711" s="17" t="s">
        <v>23</v>
      </c>
      <c r="D711" s="17" t="s">
        <v>1543</v>
      </c>
      <c r="E711" s="16">
        <v>45777</v>
      </c>
      <c r="F711" s="21" t="s">
        <v>28</v>
      </c>
      <c r="G711" s="51" t="s">
        <v>1544</v>
      </c>
      <c r="H711" s="56">
        <v>165996</v>
      </c>
      <c r="I711" s="16">
        <v>45777</v>
      </c>
      <c r="J711" s="36">
        <v>45772</v>
      </c>
      <c r="K711" s="17">
        <v>15</v>
      </c>
      <c r="L711" s="34">
        <v>360</v>
      </c>
      <c r="M711" s="34">
        <v>15</v>
      </c>
      <c r="N711" s="22">
        <v>45779</v>
      </c>
      <c r="O711" s="18" t="s">
        <v>21</v>
      </c>
      <c r="P711" s="17" t="s">
        <v>1456</v>
      </c>
      <c r="Q711" s="17" t="s">
        <v>124</v>
      </c>
      <c r="R711" s="17" t="s">
        <v>102</v>
      </c>
      <c r="S711" s="17">
        <v>1017007</v>
      </c>
      <c r="T711" s="17" t="s">
        <v>804</v>
      </c>
      <c r="U711" s="18" t="s">
        <v>19</v>
      </c>
      <c r="V711" s="17"/>
    </row>
    <row r="712" spans="1:22" x14ac:dyDescent="0.3">
      <c r="A712" s="18" t="e">
        <f t="shared" si="12"/>
        <v>#REF!</v>
      </c>
      <c r="B712" s="17">
        <v>110</v>
      </c>
      <c r="C712" s="17" t="s">
        <v>23</v>
      </c>
      <c r="D712" s="17" t="s">
        <v>1545</v>
      </c>
      <c r="E712" s="16">
        <v>45777</v>
      </c>
      <c r="F712" s="23" t="s">
        <v>39</v>
      </c>
      <c r="G712" s="51" t="s">
        <v>1546</v>
      </c>
      <c r="H712" s="56">
        <v>65118.48</v>
      </c>
      <c r="I712" s="16">
        <v>45777</v>
      </c>
      <c r="J712" s="36">
        <v>45772</v>
      </c>
      <c r="K712" s="17">
        <v>10</v>
      </c>
      <c r="L712" s="34">
        <v>240</v>
      </c>
      <c r="M712" s="34">
        <v>10</v>
      </c>
      <c r="N712" s="22">
        <v>45779</v>
      </c>
      <c r="O712" s="18" t="s">
        <v>21</v>
      </c>
      <c r="P712" s="17" t="s">
        <v>1456</v>
      </c>
      <c r="Q712" s="17" t="s">
        <v>124</v>
      </c>
      <c r="R712" s="17" t="s">
        <v>102</v>
      </c>
      <c r="S712" s="17">
        <v>1017008</v>
      </c>
      <c r="T712" s="17" t="s">
        <v>804</v>
      </c>
      <c r="U712" s="18" t="s">
        <v>19</v>
      </c>
      <c r="V712" s="17"/>
    </row>
    <row r="713" spans="1:22" x14ac:dyDescent="0.3">
      <c r="A713" s="18" t="e">
        <f t="shared" si="12"/>
        <v>#REF!</v>
      </c>
      <c r="B713" s="17">
        <v>110</v>
      </c>
      <c r="C713" s="17" t="s">
        <v>23</v>
      </c>
      <c r="D713" s="17" t="s">
        <v>1547</v>
      </c>
      <c r="E713" s="16">
        <v>45777</v>
      </c>
      <c r="F713" s="21" t="s">
        <v>118</v>
      </c>
      <c r="G713" s="51" t="s">
        <v>1548</v>
      </c>
      <c r="H713" s="56">
        <v>48537.120000000003</v>
      </c>
      <c r="I713" s="16">
        <v>45777</v>
      </c>
      <c r="J713" s="36">
        <v>45772</v>
      </c>
      <c r="K713" s="17">
        <v>7</v>
      </c>
      <c r="L713" s="34">
        <v>168</v>
      </c>
      <c r="M713" s="34">
        <v>7</v>
      </c>
      <c r="N713" s="22">
        <v>45779</v>
      </c>
      <c r="O713" s="18" t="s">
        <v>21</v>
      </c>
      <c r="P713" s="17" t="s">
        <v>1456</v>
      </c>
      <c r="Q713" s="17" t="s">
        <v>124</v>
      </c>
      <c r="R713" s="17" t="s">
        <v>102</v>
      </c>
      <c r="S713" s="17">
        <v>1017009</v>
      </c>
      <c r="T713" s="17" t="s">
        <v>804</v>
      </c>
      <c r="U713" s="18" t="s">
        <v>19</v>
      </c>
      <c r="V713" s="17"/>
    </row>
    <row r="714" spans="1:22" x14ac:dyDescent="0.3">
      <c r="A714" s="18" t="e">
        <f t="shared" si="12"/>
        <v>#REF!</v>
      </c>
      <c r="B714" s="17">
        <v>110</v>
      </c>
      <c r="C714" s="17" t="s">
        <v>23</v>
      </c>
      <c r="D714" s="17" t="s">
        <v>1549</v>
      </c>
      <c r="E714" s="16">
        <v>45777</v>
      </c>
      <c r="F714" s="21" t="s">
        <v>84</v>
      </c>
      <c r="G714" s="51" t="s">
        <v>1550</v>
      </c>
      <c r="H714" s="56">
        <v>59000.4</v>
      </c>
      <c r="I714" s="16">
        <v>45777</v>
      </c>
      <c r="J714" s="36">
        <v>45772</v>
      </c>
      <c r="K714" s="17">
        <v>7</v>
      </c>
      <c r="L714" s="34">
        <v>168</v>
      </c>
      <c r="M714" s="34">
        <v>7</v>
      </c>
      <c r="N714" s="22">
        <v>45779</v>
      </c>
      <c r="O714" s="18" t="s">
        <v>21</v>
      </c>
      <c r="P714" s="17" t="s">
        <v>1456</v>
      </c>
      <c r="Q714" s="17" t="s">
        <v>124</v>
      </c>
      <c r="R714" s="17" t="s">
        <v>102</v>
      </c>
      <c r="S714" s="17">
        <v>1017013</v>
      </c>
      <c r="T714" s="17" t="s">
        <v>804</v>
      </c>
      <c r="U714" s="18" t="s">
        <v>19</v>
      </c>
      <c r="V714" s="17"/>
    </row>
    <row r="715" spans="1:22" x14ac:dyDescent="0.3">
      <c r="A715" s="18" t="e">
        <f t="shared" si="12"/>
        <v>#REF!</v>
      </c>
      <c r="B715" s="17">
        <v>110</v>
      </c>
      <c r="C715" s="17" t="s">
        <v>23</v>
      </c>
      <c r="D715" s="17" t="s">
        <v>1551</v>
      </c>
      <c r="E715" s="16">
        <v>45777</v>
      </c>
      <c r="F715" s="21" t="s">
        <v>53</v>
      </c>
      <c r="G715" s="51" t="s">
        <v>1552</v>
      </c>
      <c r="H715" s="56">
        <v>66067</v>
      </c>
      <c r="I715" s="16">
        <v>45777</v>
      </c>
      <c r="J715" s="36">
        <v>45772</v>
      </c>
      <c r="K715" s="17">
        <v>8</v>
      </c>
      <c r="L715" s="34">
        <v>192</v>
      </c>
      <c r="M715" s="34">
        <v>8</v>
      </c>
      <c r="N715" s="22">
        <v>45779</v>
      </c>
      <c r="O715" s="18" t="s">
        <v>21</v>
      </c>
      <c r="P715" s="17" t="s">
        <v>1456</v>
      </c>
      <c r="Q715" s="17" t="s">
        <v>124</v>
      </c>
      <c r="R715" s="17" t="s">
        <v>102</v>
      </c>
      <c r="S715" s="17">
        <v>1017014</v>
      </c>
      <c r="T715" s="17" t="s">
        <v>804</v>
      </c>
      <c r="U715" s="18" t="s">
        <v>19</v>
      </c>
      <c r="V715" s="17"/>
    </row>
    <row r="716" spans="1:22" x14ac:dyDescent="0.3">
      <c r="A716" s="18" t="e">
        <f t="shared" si="12"/>
        <v>#REF!</v>
      </c>
      <c r="B716" s="17">
        <v>110</v>
      </c>
      <c r="C716" s="17" t="s">
        <v>23</v>
      </c>
      <c r="D716" s="17" t="s">
        <v>1549</v>
      </c>
      <c r="E716" s="16">
        <v>45777</v>
      </c>
      <c r="F716" s="21" t="s">
        <v>84</v>
      </c>
      <c r="G716" s="51" t="s">
        <v>1553</v>
      </c>
      <c r="H716" s="56">
        <v>12297.36</v>
      </c>
      <c r="I716" s="16">
        <v>45777</v>
      </c>
      <c r="J716" s="36">
        <v>45772</v>
      </c>
      <c r="K716" s="17">
        <v>1</v>
      </c>
      <c r="L716" s="34">
        <v>24</v>
      </c>
      <c r="M716" s="34">
        <v>1</v>
      </c>
      <c r="N716" s="22">
        <v>45779</v>
      </c>
      <c r="O716" s="18" t="s">
        <v>21</v>
      </c>
      <c r="P716" s="17" t="s">
        <v>1456</v>
      </c>
      <c r="Q716" s="17" t="s">
        <v>124</v>
      </c>
      <c r="R716" s="17" t="s">
        <v>102</v>
      </c>
      <c r="S716" s="17">
        <v>1017012</v>
      </c>
      <c r="T716" s="17" t="s">
        <v>804</v>
      </c>
      <c r="U716" s="18" t="s">
        <v>19</v>
      </c>
      <c r="V716" s="17"/>
    </row>
    <row r="717" spans="1:22" x14ac:dyDescent="0.3">
      <c r="A717" s="18" t="e">
        <f t="shared" si="12"/>
        <v>#REF!</v>
      </c>
      <c r="B717" s="17">
        <v>110</v>
      </c>
      <c r="C717" s="17" t="s">
        <v>23</v>
      </c>
      <c r="D717" s="17" t="s">
        <v>1554</v>
      </c>
      <c r="E717" s="16">
        <v>45777</v>
      </c>
      <c r="F717" s="21" t="s">
        <v>130</v>
      </c>
      <c r="G717" s="51" t="s">
        <v>1555</v>
      </c>
      <c r="H717" s="56">
        <v>61437.599999999999</v>
      </c>
      <c r="I717" s="16">
        <v>45777</v>
      </c>
      <c r="J717" s="36">
        <v>45772</v>
      </c>
      <c r="K717" s="17">
        <v>9</v>
      </c>
      <c r="L717" s="34">
        <v>216</v>
      </c>
      <c r="M717" s="34">
        <v>9</v>
      </c>
      <c r="N717" s="22">
        <v>45779</v>
      </c>
      <c r="O717" s="18" t="s">
        <v>21</v>
      </c>
      <c r="P717" s="17" t="s">
        <v>1456</v>
      </c>
      <c r="Q717" s="17" t="s">
        <v>124</v>
      </c>
      <c r="R717" s="17" t="s">
        <v>102</v>
      </c>
      <c r="S717" s="17">
        <v>1017010</v>
      </c>
      <c r="T717" s="17" t="s">
        <v>804</v>
      </c>
      <c r="U717" s="18" t="s">
        <v>19</v>
      </c>
      <c r="V717" s="17"/>
    </row>
    <row r="718" spans="1:22" x14ac:dyDescent="0.3">
      <c r="A718" s="18" t="e">
        <f t="shared" si="12"/>
        <v>#REF!</v>
      </c>
      <c r="B718" s="17">
        <v>110</v>
      </c>
      <c r="C718" s="17" t="s">
        <v>23</v>
      </c>
      <c r="D718" s="17" t="s">
        <v>1556</v>
      </c>
      <c r="E718" s="16">
        <v>45777</v>
      </c>
      <c r="F718" s="21" t="s">
        <v>130</v>
      </c>
      <c r="G718" s="51" t="s">
        <v>1557</v>
      </c>
      <c r="H718" s="56">
        <v>6142.56</v>
      </c>
      <c r="I718" s="16">
        <v>45777</v>
      </c>
      <c r="J718" s="36">
        <v>45772</v>
      </c>
      <c r="K718" s="17">
        <v>1</v>
      </c>
      <c r="L718" s="34">
        <v>24</v>
      </c>
      <c r="M718" s="34">
        <v>1</v>
      </c>
      <c r="N718" s="22">
        <v>45779</v>
      </c>
      <c r="O718" s="18" t="s">
        <v>21</v>
      </c>
      <c r="P718" s="17" t="s">
        <v>1456</v>
      </c>
      <c r="Q718" s="17" t="s">
        <v>124</v>
      </c>
      <c r="R718" s="17" t="s">
        <v>102</v>
      </c>
      <c r="S718" s="17">
        <v>1017011</v>
      </c>
      <c r="T718" s="17" t="s">
        <v>804</v>
      </c>
      <c r="U718" s="18" t="s">
        <v>19</v>
      </c>
      <c r="V718" s="17"/>
    </row>
    <row r="719" spans="1:22" x14ac:dyDescent="0.3">
      <c r="A719" s="18" t="e">
        <f t="shared" si="12"/>
        <v>#REF!</v>
      </c>
      <c r="B719" s="17">
        <v>111</v>
      </c>
      <c r="C719" s="17" t="s">
        <v>20</v>
      </c>
      <c r="D719" s="17" t="s">
        <v>1571</v>
      </c>
      <c r="E719" s="16">
        <v>45782</v>
      </c>
      <c r="F719" s="21" t="s">
        <v>47</v>
      </c>
      <c r="G719" s="51" t="s">
        <v>1572</v>
      </c>
      <c r="H719" s="56">
        <v>103921.67</v>
      </c>
      <c r="I719" s="16">
        <v>45783</v>
      </c>
      <c r="J719" s="36">
        <v>45802</v>
      </c>
      <c r="K719" s="17">
        <v>98</v>
      </c>
      <c r="L719" s="34">
        <v>98</v>
      </c>
      <c r="M719" s="34">
        <v>9</v>
      </c>
      <c r="N719" s="22">
        <v>45783</v>
      </c>
      <c r="O719" s="18" t="s">
        <v>21</v>
      </c>
      <c r="P719" s="17" t="s">
        <v>1456</v>
      </c>
      <c r="Q719" s="17" t="s">
        <v>1201</v>
      </c>
      <c r="R719" s="17" t="s">
        <v>102</v>
      </c>
      <c r="S719" s="17">
        <v>1017056</v>
      </c>
      <c r="T719" s="17" t="s">
        <v>804</v>
      </c>
      <c r="U719" s="18" t="s">
        <v>19</v>
      </c>
      <c r="V719" s="17"/>
    </row>
    <row r="720" spans="1:22" x14ac:dyDescent="0.3">
      <c r="A720" s="18" t="e">
        <f t="shared" si="12"/>
        <v>#REF!</v>
      </c>
      <c r="B720" s="17">
        <v>111</v>
      </c>
      <c r="C720" s="17" t="s">
        <v>20</v>
      </c>
      <c r="D720" s="17" t="s">
        <v>1566</v>
      </c>
      <c r="E720" s="16">
        <v>45778</v>
      </c>
      <c r="F720" s="21" t="s">
        <v>118</v>
      </c>
      <c r="G720" s="51" t="s">
        <v>1567</v>
      </c>
      <c r="H720" s="56">
        <v>30813</v>
      </c>
      <c r="I720" s="16">
        <v>45783</v>
      </c>
      <c r="J720" s="36">
        <v>45802</v>
      </c>
      <c r="K720" s="17">
        <v>20</v>
      </c>
      <c r="L720" s="34">
        <v>20</v>
      </c>
      <c r="M720" s="34">
        <v>2</v>
      </c>
      <c r="N720" s="22">
        <v>45783</v>
      </c>
      <c r="O720" s="18" t="s">
        <v>21</v>
      </c>
      <c r="P720" s="17" t="s">
        <v>1456</v>
      </c>
      <c r="Q720" s="17" t="s">
        <v>1201</v>
      </c>
      <c r="R720" s="17" t="s">
        <v>102</v>
      </c>
      <c r="S720" s="17">
        <v>1017051</v>
      </c>
      <c r="T720" s="17" t="s">
        <v>804</v>
      </c>
      <c r="U720" s="18" t="s">
        <v>19</v>
      </c>
      <c r="V720" s="17"/>
    </row>
    <row r="721" spans="1:22" x14ac:dyDescent="0.3">
      <c r="A721" s="18" t="e">
        <f t="shared" si="12"/>
        <v>#REF!</v>
      </c>
      <c r="B721" s="17">
        <v>111</v>
      </c>
      <c r="C721" s="17" t="s">
        <v>20</v>
      </c>
      <c r="D721" s="17" t="s">
        <v>1569</v>
      </c>
      <c r="E721" s="16">
        <v>45779</v>
      </c>
      <c r="F721" s="21" t="s">
        <v>35</v>
      </c>
      <c r="G721" s="51" t="s">
        <v>1570</v>
      </c>
      <c r="H721" s="56">
        <v>85234.4</v>
      </c>
      <c r="I721" s="16">
        <v>45783</v>
      </c>
      <c r="J721" s="36">
        <v>45802</v>
      </c>
      <c r="K721" s="17">
        <v>70</v>
      </c>
      <c r="L721" s="34">
        <v>70</v>
      </c>
      <c r="M721" s="34">
        <v>7</v>
      </c>
      <c r="N721" s="22">
        <v>45783</v>
      </c>
      <c r="O721" s="18" t="s">
        <v>21</v>
      </c>
      <c r="P721" s="17" t="s">
        <v>1456</v>
      </c>
      <c r="Q721" s="17" t="s">
        <v>1201</v>
      </c>
      <c r="R721" s="17" t="s">
        <v>102</v>
      </c>
      <c r="S721" s="17">
        <v>6502</v>
      </c>
      <c r="T721" s="17" t="s">
        <v>804</v>
      </c>
      <c r="U721" s="18" t="s">
        <v>19</v>
      </c>
      <c r="V721" s="17"/>
    </row>
    <row r="722" spans="1:22" x14ac:dyDescent="0.3">
      <c r="A722" s="18" t="e">
        <f t="shared" si="12"/>
        <v>#REF!</v>
      </c>
      <c r="B722" s="17">
        <v>111</v>
      </c>
      <c r="C722" s="17" t="s">
        <v>20</v>
      </c>
      <c r="D722" s="17" t="s">
        <v>1562</v>
      </c>
      <c r="E722" s="16">
        <v>45780</v>
      </c>
      <c r="F722" s="21" t="s">
        <v>113</v>
      </c>
      <c r="G722" s="51" t="s">
        <v>1563</v>
      </c>
      <c r="H722" s="56">
        <v>55178.400000000001</v>
      </c>
      <c r="I722" s="16">
        <v>45783</v>
      </c>
      <c r="J722" s="36">
        <v>45802</v>
      </c>
      <c r="K722" s="17">
        <v>60</v>
      </c>
      <c r="L722" s="34">
        <v>60</v>
      </c>
      <c r="M722" s="34">
        <v>5</v>
      </c>
      <c r="N722" s="22">
        <v>45783</v>
      </c>
      <c r="O722" s="18" t="s">
        <v>21</v>
      </c>
      <c r="P722" s="17" t="s">
        <v>1456</v>
      </c>
      <c r="Q722" s="17" t="s">
        <v>1201</v>
      </c>
      <c r="R722" s="17" t="s">
        <v>102</v>
      </c>
      <c r="S722" s="17">
        <v>1017058</v>
      </c>
      <c r="T722" s="17" t="s">
        <v>804</v>
      </c>
      <c r="U722" s="18" t="s">
        <v>19</v>
      </c>
      <c r="V722" s="17"/>
    </row>
    <row r="723" spans="1:22" x14ac:dyDescent="0.3">
      <c r="A723" s="18" t="e">
        <f t="shared" si="12"/>
        <v>#REF!</v>
      </c>
      <c r="B723" s="17">
        <v>111</v>
      </c>
      <c r="C723" s="17" t="s">
        <v>20</v>
      </c>
      <c r="D723" s="17" t="s">
        <v>1560</v>
      </c>
      <c r="E723" s="16">
        <v>45782</v>
      </c>
      <c r="F723" s="23" t="s">
        <v>28</v>
      </c>
      <c r="G723" s="51" t="s">
        <v>1561</v>
      </c>
      <c r="H723" s="56">
        <v>165535.20000000001</v>
      </c>
      <c r="I723" s="16">
        <v>45783</v>
      </c>
      <c r="J723" s="36">
        <v>45802</v>
      </c>
      <c r="K723" s="17">
        <v>180</v>
      </c>
      <c r="L723" s="34">
        <v>180</v>
      </c>
      <c r="M723" s="34">
        <v>15</v>
      </c>
      <c r="N723" s="22">
        <v>45783</v>
      </c>
      <c r="O723" s="18" t="s">
        <v>21</v>
      </c>
      <c r="P723" s="17" t="s">
        <v>1456</v>
      </c>
      <c r="Q723" s="17" t="s">
        <v>1201</v>
      </c>
      <c r="R723" s="17" t="s">
        <v>102</v>
      </c>
      <c r="S723" s="17">
        <v>1017057</v>
      </c>
      <c r="T723" s="17" t="s">
        <v>804</v>
      </c>
      <c r="U723" s="18" t="s">
        <v>19</v>
      </c>
      <c r="V723" s="17"/>
    </row>
    <row r="724" spans="1:22" x14ac:dyDescent="0.3">
      <c r="A724" s="18" t="e">
        <f t="shared" si="12"/>
        <v>#REF!</v>
      </c>
      <c r="B724" s="17">
        <v>111</v>
      </c>
      <c r="C724" s="17" t="s">
        <v>20</v>
      </c>
      <c r="D724" s="17" t="s">
        <v>1568</v>
      </c>
      <c r="E724" s="16">
        <v>45780</v>
      </c>
      <c r="F724" s="21" t="s">
        <v>1204</v>
      </c>
      <c r="G724" s="51" t="s">
        <v>1765</v>
      </c>
      <c r="H724" s="56">
        <v>90364.86</v>
      </c>
      <c r="I724" s="16">
        <v>45783</v>
      </c>
      <c r="J724" s="36">
        <v>45802</v>
      </c>
      <c r="K724" s="17">
        <v>104</v>
      </c>
      <c r="L724" s="34">
        <v>104</v>
      </c>
      <c r="M724" s="34">
        <v>10</v>
      </c>
      <c r="N724" s="22">
        <v>45783</v>
      </c>
      <c r="O724" s="18" t="s">
        <v>21</v>
      </c>
      <c r="P724" s="17" t="s">
        <v>1456</v>
      </c>
      <c r="Q724" s="17" t="s">
        <v>1201</v>
      </c>
      <c r="R724" s="17" t="s">
        <v>102</v>
      </c>
      <c r="S724" s="17">
        <v>6501</v>
      </c>
      <c r="T724" s="17" t="s">
        <v>804</v>
      </c>
      <c r="U724" s="18" t="s">
        <v>19</v>
      </c>
      <c r="V724" s="17"/>
    </row>
    <row r="725" spans="1:22" x14ac:dyDescent="0.3">
      <c r="A725" s="18" t="e">
        <f t="shared" si="12"/>
        <v>#REF!</v>
      </c>
      <c r="B725" s="17">
        <v>111</v>
      </c>
      <c r="C725" s="17" t="s">
        <v>23</v>
      </c>
      <c r="D725" s="17" t="s">
        <v>1573</v>
      </c>
      <c r="E725" s="16">
        <v>45780</v>
      </c>
      <c r="F725" s="21" t="s">
        <v>1204</v>
      </c>
      <c r="G725" s="51" t="s">
        <v>1574</v>
      </c>
      <c r="H725" s="56">
        <v>81106.559999999998</v>
      </c>
      <c r="I725" s="16">
        <v>45783</v>
      </c>
      <c r="J725" s="36">
        <v>45802</v>
      </c>
      <c r="K725" s="17">
        <v>312</v>
      </c>
      <c r="L725" s="34">
        <v>312</v>
      </c>
      <c r="M725" s="34">
        <v>15</v>
      </c>
      <c r="N725" s="22">
        <v>45783</v>
      </c>
      <c r="O725" s="18" t="s">
        <v>21</v>
      </c>
      <c r="P725" s="17" t="s">
        <v>1456</v>
      </c>
      <c r="Q725" s="17" t="s">
        <v>1201</v>
      </c>
      <c r="R725" s="17" t="s">
        <v>102</v>
      </c>
      <c r="S725" s="17">
        <v>6501</v>
      </c>
      <c r="T725" s="17" t="s">
        <v>804</v>
      </c>
      <c r="U725" s="18" t="s">
        <v>19</v>
      </c>
      <c r="V725" s="17"/>
    </row>
    <row r="726" spans="1:22" x14ac:dyDescent="0.3">
      <c r="A726" s="18" t="e">
        <f t="shared" si="12"/>
        <v>#REF!</v>
      </c>
      <c r="B726" s="17">
        <v>111</v>
      </c>
      <c r="C726" s="17" t="s">
        <v>20</v>
      </c>
      <c r="D726" s="29" t="s">
        <v>1564</v>
      </c>
      <c r="E726" s="16">
        <v>45782</v>
      </c>
      <c r="F726" s="21" t="s">
        <v>1204</v>
      </c>
      <c r="G726" s="51" t="s">
        <v>1565</v>
      </c>
      <c r="H726" s="56">
        <v>20906</v>
      </c>
      <c r="I726" s="16">
        <v>45783</v>
      </c>
      <c r="J726" s="36">
        <v>45802</v>
      </c>
      <c r="K726" s="17">
        <v>24</v>
      </c>
      <c r="L726" s="34">
        <v>24</v>
      </c>
      <c r="M726" s="34">
        <v>2</v>
      </c>
      <c r="N726" s="22">
        <v>45783</v>
      </c>
      <c r="O726" s="18" t="s">
        <v>21</v>
      </c>
      <c r="P726" s="17" t="s">
        <v>1456</v>
      </c>
      <c r="Q726" s="17" t="s">
        <v>1201</v>
      </c>
      <c r="R726" s="17" t="s">
        <v>102</v>
      </c>
      <c r="S726" s="17">
        <v>6501</v>
      </c>
      <c r="T726" s="17" t="s">
        <v>804</v>
      </c>
      <c r="U726" s="18" t="s">
        <v>19</v>
      </c>
      <c r="V726" s="17"/>
    </row>
    <row r="727" spans="1:22" x14ac:dyDescent="0.3">
      <c r="A727" s="18" t="e">
        <f t="shared" si="12"/>
        <v>#REF!</v>
      </c>
      <c r="B727" s="17">
        <v>111</v>
      </c>
      <c r="C727" s="17" t="s">
        <v>23</v>
      </c>
      <c r="D727" s="17" t="s">
        <v>1585</v>
      </c>
      <c r="E727" s="16">
        <v>45779</v>
      </c>
      <c r="F727" s="24" t="s">
        <v>51</v>
      </c>
      <c r="G727" s="51" t="s">
        <v>1586</v>
      </c>
      <c r="H727" s="56">
        <v>6142.56</v>
      </c>
      <c r="I727" s="16">
        <v>45783</v>
      </c>
      <c r="J727" s="36">
        <v>45802</v>
      </c>
      <c r="K727" s="17">
        <v>1</v>
      </c>
      <c r="L727" s="34">
        <v>24</v>
      </c>
      <c r="M727" s="34">
        <v>1</v>
      </c>
      <c r="N727" s="22">
        <v>45783</v>
      </c>
      <c r="O727" s="18" t="s">
        <v>21</v>
      </c>
      <c r="P727" s="17" t="s">
        <v>1456</v>
      </c>
      <c r="Q727" s="17" t="s">
        <v>1201</v>
      </c>
      <c r="R727" s="17" t="s">
        <v>102</v>
      </c>
      <c r="S727" s="17" t="s">
        <v>1623</v>
      </c>
      <c r="T727" s="17" t="s">
        <v>804</v>
      </c>
      <c r="U727" s="18" t="s">
        <v>19</v>
      </c>
      <c r="V727" s="17"/>
    </row>
    <row r="728" spans="1:22" x14ac:dyDescent="0.3">
      <c r="A728" s="18" t="e">
        <f t="shared" si="12"/>
        <v>#REF!</v>
      </c>
      <c r="B728" s="17">
        <v>111</v>
      </c>
      <c r="C728" s="17" t="s">
        <v>23</v>
      </c>
      <c r="D728" s="17" t="s">
        <v>1575</v>
      </c>
      <c r="E728" s="16">
        <v>45779</v>
      </c>
      <c r="F728" s="24" t="s">
        <v>51</v>
      </c>
      <c r="G728" s="51" t="s">
        <v>1576</v>
      </c>
      <c r="H728" s="56">
        <v>36879.839999999997</v>
      </c>
      <c r="I728" s="16">
        <v>45783</v>
      </c>
      <c r="J728" s="36">
        <v>45802</v>
      </c>
      <c r="K728" s="17">
        <v>4</v>
      </c>
      <c r="L728" s="34">
        <v>96</v>
      </c>
      <c r="M728" s="34">
        <v>4</v>
      </c>
      <c r="N728" s="22">
        <v>45783</v>
      </c>
      <c r="O728" s="18" t="s">
        <v>21</v>
      </c>
      <c r="P728" s="17" t="s">
        <v>1456</v>
      </c>
      <c r="Q728" s="17" t="s">
        <v>1201</v>
      </c>
      <c r="R728" s="17" t="s">
        <v>102</v>
      </c>
      <c r="S728" s="17">
        <v>1017052</v>
      </c>
      <c r="T728" s="17" t="s">
        <v>804</v>
      </c>
      <c r="U728" s="18" t="s">
        <v>19</v>
      </c>
      <c r="V728" s="17"/>
    </row>
    <row r="729" spans="1:22" x14ac:dyDescent="0.3">
      <c r="A729" s="18" t="e">
        <f t="shared" si="12"/>
        <v>#REF!</v>
      </c>
      <c r="B729" s="17">
        <v>111</v>
      </c>
      <c r="C729" s="17" t="s">
        <v>23</v>
      </c>
      <c r="D729" s="17" t="s">
        <v>1577</v>
      </c>
      <c r="E729" s="16">
        <v>45779</v>
      </c>
      <c r="F729" s="21" t="s">
        <v>575</v>
      </c>
      <c r="G729" s="51" t="s">
        <v>1578</v>
      </c>
      <c r="H729" s="56">
        <v>125580.18</v>
      </c>
      <c r="I729" s="16">
        <v>45783</v>
      </c>
      <c r="J729" s="36">
        <v>45802</v>
      </c>
      <c r="K729" s="17">
        <v>12</v>
      </c>
      <c r="L729" s="34">
        <v>282</v>
      </c>
      <c r="M729" s="34">
        <v>12</v>
      </c>
      <c r="N729" s="22">
        <v>45783</v>
      </c>
      <c r="O729" s="18" t="s">
        <v>21</v>
      </c>
      <c r="P729" s="17" t="s">
        <v>1456</v>
      </c>
      <c r="Q729" s="17" t="s">
        <v>1201</v>
      </c>
      <c r="R729" s="17" t="s">
        <v>102</v>
      </c>
      <c r="S729" s="17">
        <v>1017053</v>
      </c>
      <c r="T729" s="17" t="s">
        <v>804</v>
      </c>
      <c r="U729" s="18" t="s">
        <v>19</v>
      </c>
      <c r="V729" s="17"/>
    </row>
    <row r="730" spans="1:22" x14ac:dyDescent="0.3">
      <c r="A730" s="18" t="e">
        <f t="shared" si="12"/>
        <v>#REF!</v>
      </c>
      <c r="B730" s="17">
        <v>111</v>
      </c>
      <c r="C730" s="17" t="s">
        <v>23</v>
      </c>
      <c r="D730" s="17" t="s">
        <v>1558</v>
      </c>
      <c r="E730" s="16">
        <v>45779</v>
      </c>
      <c r="F730" s="21" t="s">
        <v>35</v>
      </c>
      <c r="G730" s="51" t="s">
        <v>1559</v>
      </c>
      <c r="H730" s="56">
        <v>76812.240000000005</v>
      </c>
      <c r="I730" s="16">
        <v>45783</v>
      </c>
      <c r="J730" s="36">
        <v>45802</v>
      </c>
      <c r="K730" s="17">
        <v>10</v>
      </c>
      <c r="L730" s="34">
        <v>240</v>
      </c>
      <c r="M730" s="34">
        <v>10</v>
      </c>
      <c r="N730" s="22">
        <v>45783</v>
      </c>
      <c r="O730" s="18" t="s">
        <v>21</v>
      </c>
      <c r="P730" s="17" t="s">
        <v>1456</v>
      </c>
      <c r="Q730" s="17" t="s">
        <v>1201</v>
      </c>
      <c r="R730" s="17" t="s">
        <v>102</v>
      </c>
      <c r="S730" s="17" t="s">
        <v>1623</v>
      </c>
      <c r="T730" s="17" t="s">
        <v>804</v>
      </c>
      <c r="U730" s="18" t="s">
        <v>19</v>
      </c>
      <c r="V730" s="17"/>
    </row>
    <row r="731" spans="1:22" x14ac:dyDescent="0.3">
      <c r="A731" s="18" t="e">
        <f t="shared" si="12"/>
        <v>#REF!</v>
      </c>
      <c r="B731" s="17">
        <v>111</v>
      </c>
      <c r="C731" s="17" t="s">
        <v>23</v>
      </c>
      <c r="D731" s="17" t="s">
        <v>1579</v>
      </c>
      <c r="E731" s="16">
        <v>45780</v>
      </c>
      <c r="F731" s="21" t="s">
        <v>580</v>
      </c>
      <c r="G731" s="51" t="s">
        <v>1580</v>
      </c>
      <c r="H731" s="56">
        <v>638019.6</v>
      </c>
      <c r="I731" s="16">
        <v>45783</v>
      </c>
      <c r="J731" s="36">
        <v>45802</v>
      </c>
      <c r="K731" s="17">
        <v>69</v>
      </c>
      <c r="L731" s="34">
        <v>1656</v>
      </c>
      <c r="M731" s="34">
        <v>69</v>
      </c>
      <c r="N731" s="22">
        <v>45783</v>
      </c>
      <c r="O731" s="18" t="s">
        <v>21</v>
      </c>
      <c r="P731" s="17" t="s">
        <v>1456</v>
      </c>
      <c r="Q731" s="17" t="s">
        <v>1201</v>
      </c>
      <c r="R731" s="17" t="s">
        <v>102</v>
      </c>
      <c r="S731" s="17">
        <v>1017050</v>
      </c>
      <c r="T731" s="17" t="s">
        <v>804</v>
      </c>
      <c r="U731" s="18" t="s">
        <v>19</v>
      </c>
      <c r="V731" s="17"/>
    </row>
    <row r="732" spans="1:22" x14ac:dyDescent="0.3">
      <c r="A732" s="18" t="e">
        <f t="shared" si="12"/>
        <v>#REF!</v>
      </c>
      <c r="B732" s="17">
        <v>111</v>
      </c>
      <c r="C732" s="17" t="s">
        <v>23</v>
      </c>
      <c r="D732" s="17" t="s">
        <v>1581</v>
      </c>
      <c r="E732" s="16">
        <v>45780</v>
      </c>
      <c r="F732" s="21" t="s">
        <v>929</v>
      </c>
      <c r="G732" s="51" t="s">
        <v>1582</v>
      </c>
      <c r="H732" s="56">
        <v>55332</v>
      </c>
      <c r="I732" s="16">
        <v>45783</v>
      </c>
      <c r="J732" s="36">
        <v>45802</v>
      </c>
      <c r="K732" s="17">
        <v>5</v>
      </c>
      <c r="L732" s="34">
        <v>120</v>
      </c>
      <c r="M732" s="34">
        <v>5</v>
      </c>
      <c r="N732" s="22">
        <v>45783</v>
      </c>
      <c r="O732" s="18" t="s">
        <v>21</v>
      </c>
      <c r="P732" s="17" t="s">
        <v>1456</v>
      </c>
      <c r="Q732" s="17" t="s">
        <v>1201</v>
      </c>
      <c r="R732" s="17" t="s">
        <v>102</v>
      </c>
      <c r="S732" s="17">
        <v>1017054</v>
      </c>
      <c r="T732" s="17" t="s">
        <v>804</v>
      </c>
      <c r="U732" s="18" t="s">
        <v>19</v>
      </c>
      <c r="V732" s="17"/>
    </row>
    <row r="733" spans="1:22" x14ac:dyDescent="0.3">
      <c r="A733" s="18" t="e">
        <f t="shared" si="12"/>
        <v>#REF!</v>
      </c>
      <c r="B733" s="17">
        <v>111</v>
      </c>
      <c r="C733" s="17" t="s">
        <v>23</v>
      </c>
      <c r="D733" s="17" t="s">
        <v>1583</v>
      </c>
      <c r="E733" s="16">
        <v>45782</v>
      </c>
      <c r="F733" s="21" t="s">
        <v>1207</v>
      </c>
      <c r="G733" s="51" t="s">
        <v>1584</v>
      </c>
      <c r="H733" s="56">
        <v>432185</v>
      </c>
      <c r="I733" s="16">
        <v>45783</v>
      </c>
      <c r="J733" s="36">
        <v>45802</v>
      </c>
      <c r="K733" s="17">
        <v>43</v>
      </c>
      <c r="L733" s="34">
        <v>954</v>
      </c>
      <c r="M733" s="34">
        <v>43</v>
      </c>
      <c r="N733" s="22">
        <v>45783</v>
      </c>
      <c r="O733" s="18" t="s">
        <v>21</v>
      </c>
      <c r="P733" s="17" t="s">
        <v>1456</v>
      </c>
      <c r="Q733" s="17" t="s">
        <v>1201</v>
      </c>
      <c r="R733" s="17" t="s">
        <v>102</v>
      </c>
      <c r="S733" s="17">
        <v>1017055</v>
      </c>
      <c r="T733" s="17" t="s">
        <v>804</v>
      </c>
      <c r="U733" s="18" t="s">
        <v>19</v>
      </c>
      <c r="V733" s="17"/>
    </row>
    <row r="734" spans="1:22" x14ac:dyDescent="0.3">
      <c r="A734" s="18" t="e">
        <f t="shared" si="12"/>
        <v>#REF!</v>
      </c>
      <c r="B734" s="17">
        <v>112</v>
      </c>
      <c r="C734" s="17" t="s">
        <v>23</v>
      </c>
      <c r="D734" s="17" t="s">
        <v>1605</v>
      </c>
      <c r="E734" s="16">
        <v>45783</v>
      </c>
      <c r="F734" s="21" t="s">
        <v>28</v>
      </c>
      <c r="G734" s="51" t="s">
        <v>1606</v>
      </c>
      <c r="H734" s="56">
        <v>64539.360000000001</v>
      </c>
      <c r="I734" s="16">
        <v>45786</v>
      </c>
      <c r="J734" s="36">
        <v>45802</v>
      </c>
      <c r="K734" s="17">
        <v>7</v>
      </c>
      <c r="L734" s="34">
        <v>168</v>
      </c>
      <c r="M734" s="34">
        <v>7</v>
      </c>
      <c r="N734" s="22">
        <v>45786</v>
      </c>
      <c r="O734" s="18" t="s">
        <v>21</v>
      </c>
      <c r="P734" s="17" t="s">
        <v>1456</v>
      </c>
      <c r="Q734" s="17" t="s">
        <v>124</v>
      </c>
      <c r="R734" s="17" t="s">
        <v>102</v>
      </c>
      <c r="S734" s="17">
        <v>1017116</v>
      </c>
      <c r="T734" s="17" t="s">
        <v>804</v>
      </c>
      <c r="U734" s="18" t="s">
        <v>19</v>
      </c>
      <c r="V734" s="17"/>
    </row>
    <row r="735" spans="1:22" x14ac:dyDescent="0.3">
      <c r="A735" s="18" t="e">
        <f t="shared" si="12"/>
        <v>#REF!</v>
      </c>
      <c r="B735" s="17">
        <v>112</v>
      </c>
      <c r="C735" s="17" t="s">
        <v>20</v>
      </c>
      <c r="D735" s="17" t="s">
        <v>1607</v>
      </c>
      <c r="E735" s="16">
        <v>45783</v>
      </c>
      <c r="F735" s="21" t="s">
        <v>64</v>
      </c>
      <c r="G735" s="51" t="s">
        <v>1608</v>
      </c>
      <c r="H735" s="56">
        <v>129227.38</v>
      </c>
      <c r="I735" s="16">
        <v>45786</v>
      </c>
      <c r="J735" s="36">
        <v>45802</v>
      </c>
      <c r="K735" s="17">
        <v>130</v>
      </c>
      <c r="L735" s="34">
        <v>130</v>
      </c>
      <c r="M735" s="34">
        <v>12</v>
      </c>
      <c r="N735" s="22">
        <v>45786</v>
      </c>
      <c r="O735" s="18" t="s">
        <v>21</v>
      </c>
      <c r="P735" s="17" t="s">
        <v>1456</v>
      </c>
      <c r="Q735" s="17" t="s">
        <v>124</v>
      </c>
      <c r="R735" s="17" t="s">
        <v>102</v>
      </c>
      <c r="S735" s="17">
        <v>1017114</v>
      </c>
      <c r="T735" s="17" t="s">
        <v>804</v>
      </c>
      <c r="U735" s="18" t="s">
        <v>19</v>
      </c>
      <c r="V735" s="17"/>
    </row>
    <row r="736" spans="1:22" x14ac:dyDescent="0.3">
      <c r="A736" s="18" t="e">
        <f t="shared" si="12"/>
        <v>#REF!</v>
      </c>
      <c r="B736" s="17">
        <v>112</v>
      </c>
      <c r="C736" s="17" t="s">
        <v>20</v>
      </c>
      <c r="D736" s="17" t="s">
        <v>1609</v>
      </c>
      <c r="E736" s="16">
        <v>45784</v>
      </c>
      <c r="F736" s="21" t="s">
        <v>132</v>
      </c>
      <c r="G736" s="51" t="s">
        <v>1610</v>
      </c>
      <c r="H736" s="56">
        <v>96139.96</v>
      </c>
      <c r="I736" s="16">
        <v>45786</v>
      </c>
      <c r="J736" s="36">
        <v>45802</v>
      </c>
      <c r="K736" s="17">
        <v>74</v>
      </c>
      <c r="L736" s="34">
        <v>74</v>
      </c>
      <c r="M736" s="34">
        <v>7</v>
      </c>
      <c r="N736" s="22">
        <v>45786</v>
      </c>
      <c r="O736" s="18" t="s">
        <v>21</v>
      </c>
      <c r="P736" s="17" t="s">
        <v>1456</v>
      </c>
      <c r="Q736" s="17" t="s">
        <v>124</v>
      </c>
      <c r="R736" s="17" t="s">
        <v>102</v>
      </c>
      <c r="S736" s="17">
        <v>1017121</v>
      </c>
      <c r="T736" s="17" t="s">
        <v>804</v>
      </c>
      <c r="U736" s="18" t="s">
        <v>19</v>
      </c>
      <c r="V736" s="17"/>
    </row>
    <row r="737" spans="1:22" x14ac:dyDescent="0.3">
      <c r="A737" s="18" t="e">
        <f t="shared" si="12"/>
        <v>#REF!</v>
      </c>
      <c r="B737" s="17">
        <v>112</v>
      </c>
      <c r="C737" s="17" t="s">
        <v>23</v>
      </c>
      <c r="D737" s="17" t="s">
        <v>1611</v>
      </c>
      <c r="E737" s="16">
        <v>45785</v>
      </c>
      <c r="F737" s="23" t="s">
        <v>84</v>
      </c>
      <c r="G737" s="51" t="s">
        <v>1612</v>
      </c>
      <c r="H737" s="56">
        <v>447430.56</v>
      </c>
      <c r="I737" s="16">
        <v>45786</v>
      </c>
      <c r="J737" s="36">
        <v>45802</v>
      </c>
      <c r="K737" s="17">
        <v>42</v>
      </c>
      <c r="L737" s="34">
        <v>1008</v>
      </c>
      <c r="M737" s="34">
        <v>42</v>
      </c>
      <c r="N737" s="22">
        <v>45786</v>
      </c>
      <c r="O737" s="18" t="s">
        <v>21</v>
      </c>
      <c r="P737" s="17" t="s">
        <v>1456</v>
      </c>
      <c r="Q737" s="17" t="s">
        <v>124</v>
      </c>
      <c r="R737" s="17" t="s">
        <v>102</v>
      </c>
      <c r="S737" s="17">
        <v>1017120</v>
      </c>
      <c r="T737" s="17" t="s">
        <v>804</v>
      </c>
      <c r="U737" s="18" t="s">
        <v>19</v>
      </c>
      <c r="V737" s="17"/>
    </row>
    <row r="738" spans="1:22" x14ac:dyDescent="0.3">
      <c r="A738" s="18" t="e">
        <f t="shared" si="12"/>
        <v>#REF!</v>
      </c>
      <c r="B738" s="17">
        <v>112</v>
      </c>
      <c r="C738" s="17" t="s">
        <v>20</v>
      </c>
      <c r="D738" s="17" t="s">
        <v>1613</v>
      </c>
      <c r="E738" s="16">
        <v>45782</v>
      </c>
      <c r="F738" s="21" t="s">
        <v>1207</v>
      </c>
      <c r="G738" s="51" t="s">
        <v>1614</v>
      </c>
      <c r="H738" s="56">
        <v>845978.28</v>
      </c>
      <c r="I738" s="16">
        <v>45786</v>
      </c>
      <c r="J738" s="36">
        <v>45802</v>
      </c>
      <c r="K738" s="17">
        <v>658</v>
      </c>
      <c r="L738" s="34">
        <v>658</v>
      </c>
      <c r="M738" s="34">
        <v>64</v>
      </c>
      <c r="N738" s="22">
        <v>45786</v>
      </c>
      <c r="O738" s="18" t="s">
        <v>21</v>
      </c>
      <c r="P738" s="17" t="s">
        <v>1456</v>
      </c>
      <c r="Q738" s="17" t="s">
        <v>124</v>
      </c>
      <c r="R738" s="17" t="s">
        <v>102</v>
      </c>
      <c r="S738" s="17">
        <v>1017119</v>
      </c>
      <c r="T738" s="17" t="s">
        <v>804</v>
      </c>
      <c r="U738" s="18" t="s">
        <v>19</v>
      </c>
      <c r="V738" s="17"/>
    </row>
    <row r="739" spans="1:22" x14ac:dyDescent="0.3">
      <c r="A739" s="18" t="e">
        <f t="shared" si="12"/>
        <v>#REF!</v>
      </c>
      <c r="B739" s="17">
        <v>112</v>
      </c>
      <c r="C739" s="17" t="s">
        <v>20</v>
      </c>
      <c r="D739" s="17" t="s">
        <v>1615</v>
      </c>
      <c r="E739" s="16">
        <v>45783</v>
      </c>
      <c r="F739" s="21" t="s">
        <v>130</v>
      </c>
      <c r="G739" s="51" t="s">
        <v>1616</v>
      </c>
      <c r="H739" s="56">
        <v>188037.9</v>
      </c>
      <c r="I739" s="16">
        <v>45786</v>
      </c>
      <c r="J739" s="36">
        <v>45802</v>
      </c>
      <c r="K739" s="17">
        <v>176</v>
      </c>
      <c r="L739" s="34">
        <v>176</v>
      </c>
      <c r="M739" s="34">
        <v>17</v>
      </c>
      <c r="N739" s="22">
        <v>45786</v>
      </c>
      <c r="O739" s="18" t="s">
        <v>21</v>
      </c>
      <c r="P739" s="17" t="s">
        <v>1456</v>
      </c>
      <c r="Q739" s="17" t="s">
        <v>124</v>
      </c>
      <c r="R739" s="17" t="s">
        <v>102</v>
      </c>
      <c r="S739" s="17">
        <v>1017118</v>
      </c>
      <c r="T739" s="17" t="s">
        <v>804</v>
      </c>
      <c r="U739" s="18" t="s">
        <v>19</v>
      </c>
      <c r="V739" s="17"/>
    </row>
    <row r="740" spans="1:22" x14ac:dyDescent="0.3">
      <c r="A740" s="18" t="e">
        <f t="shared" si="12"/>
        <v>#REF!</v>
      </c>
      <c r="B740" s="17">
        <v>112</v>
      </c>
      <c r="C740" s="17" t="s">
        <v>20</v>
      </c>
      <c r="D740" s="17" t="s">
        <v>1617</v>
      </c>
      <c r="E740" s="16">
        <v>45783</v>
      </c>
      <c r="F740" s="21" t="s">
        <v>35</v>
      </c>
      <c r="G740" s="51" t="s">
        <v>1618</v>
      </c>
      <c r="H740" s="56">
        <v>55178.400000000001</v>
      </c>
      <c r="I740" s="16">
        <v>45786</v>
      </c>
      <c r="J740" s="36">
        <v>45802</v>
      </c>
      <c r="K740" s="17">
        <v>5</v>
      </c>
      <c r="L740" s="34">
        <v>60</v>
      </c>
      <c r="M740" s="34">
        <v>5</v>
      </c>
      <c r="N740" s="22">
        <v>45786</v>
      </c>
      <c r="O740" s="18" t="s">
        <v>21</v>
      </c>
      <c r="P740" s="17" t="s">
        <v>1456</v>
      </c>
      <c r="Q740" s="17" t="s">
        <v>124</v>
      </c>
      <c r="R740" s="17" t="s">
        <v>102</v>
      </c>
      <c r="S740" s="17">
        <v>1017117</v>
      </c>
      <c r="T740" s="17" t="s">
        <v>804</v>
      </c>
      <c r="U740" s="18" t="s">
        <v>19</v>
      </c>
      <c r="V740" s="17"/>
    </row>
    <row r="741" spans="1:22" x14ac:dyDescent="0.3">
      <c r="A741" s="18" t="e">
        <f t="shared" si="12"/>
        <v>#REF!</v>
      </c>
      <c r="B741" s="17">
        <v>112</v>
      </c>
      <c r="C741" s="17" t="s">
        <v>23</v>
      </c>
      <c r="D741" s="17" t="s">
        <v>1619</v>
      </c>
      <c r="E741" s="16">
        <v>45785</v>
      </c>
      <c r="F741" s="23" t="s">
        <v>35</v>
      </c>
      <c r="G741" s="51" t="s">
        <v>1620</v>
      </c>
      <c r="H741" s="56">
        <v>156984.24</v>
      </c>
      <c r="I741" s="16">
        <v>45786</v>
      </c>
      <c r="J741" s="36">
        <v>45802</v>
      </c>
      <c r="K741" s="17">
        <v>17</v>
      </c>
      <c r="L741" s="34">
        <v>408</v>
      </c>
      <c r="M741" s="34">
        <v>17</v>
      </c>
      <c r="N741" s="22">
        <v>45786</v>
      </c>
      <c r="O741" s="18" t="s">
        <v>21</v>
      </c>
      <c r="P741" s="17" t="s">
        <v>1456</v>
      </c>
      <c r="Q741" s="17" t="s">
        <v>124</v>
      </c>
      <c r="R741" s="17" t="s">
        <v>102</v>
      </c>
      <c r="S741" s="17">
        <v>1017115</v>
      </c>
      <c r="T741" s="17" t="s">
        <v>804</v>
      </c>
      <c r="U741" s="18" t="s">
        <v>19</v>
      </c>
      <c r="V741" s="17"/>
    </row>
    <row r="742" spans="1:22" x14ac:dyDescent="0.3">
      <c r="A742" s="18" t="e">
        <f t="shared" si="12"/>
        <v>#REF!</v>
      </c>
      <c r="B742" s="17">
        <v>113</v>
      </c>
      <c r="C742" s="17" t="s">
        <v>20</v>
      </c>
      <c r="D742" s="17" t="s">
        <v>1587</v>
      </c>
      <c r="E742" s="16">
        <v>45784</v>
      </c>
      <c r="F742" s="21" t="s">
        <v>113</v>
      </c>
      <c r="G742" s="51" t="s">
        <v>1588</v>
      </c>
      <c r="H742" s="56">
        <v>91311.7</v>
      </c>
      <c r="I742" s="16">
        <v>45788</v>
      </c>
      <c r="J742" s="36">
        <v>45802</v>
      </c>
      <c r="K742" s="17">
        <v>70</v>
      </c>
      <c r="L742" s="34">
        <v>70</v>
      </c>
      <c r="M742" s="34">
        <v>7</v>
      </c>
      <c r="N742" s="22">
        <v>45788</v>
      </c>
      <c r="O742" s="18" t="s">
        <v>21</v>
      </c>
      <c r="P742" s="17" t="s">
        <v>1456</v>
      </c>
      <c r="Q742" s="17" t="s">
        <v>125</v>
      </c>
      <c r="R742" s="17" t="s">
        <v>102</v>
      </c>
      <c r="S742" s="17">
        <v>1017150</v>
      </c>
      <c r="T742" s="17" t="s">
        <v>804</v>
      </c>
      <c r="U742" s="18" t="s">
        <v>19</v>
      </c>
      <c r="V742" s="17"/>
    </row>
    <row r="743" spans="1:22" x14ac:dyDescent="0.3">
      <c r="A743" s="18" t="e">
        <f t="shared" si="12"/>
        <v>#REF!</v>
      </c>
      <c r="B743" s="17">
        <v>113</v>
      </c>
      <c r="C743" s="17" t="s">
        <v>20</v>
      </c>
      <c r="D743" s="17" t="s">
        <v>1589</v>
      </c>
      <c r="E743" s="16">
        <v>45785</v>
      </c>
      <c r="F743" s="21" t="s">
        <v>47</v>
      </c>
      <c r="G743" s="51" t="s">
        <v>1590</v>
      </c>
      <c r="H743" s="56">
        <v>248151</v>
      </c>
      <c r="I743" s="16">
        <v>45788</v>
      </c>
      <c r="J743" s="36">
        <v>45802</v>
      </c>
      <c r="K743" s="17">
        <v>190</v>
      </c>
      <c r="L743" s="34">
        <v>190</v>
      </c>
      <c r="M743" s="34">
        <v>19</v>
      </c>
      <c r="N743" s="22">
        <v>45788</v>
      </c>
      <c r="O743" s="18" t="s">
        <v>21</v>
      </c>
      <c r="P743" s="17" t="s">
        <v>1456</v>
      </c>
      <c r="Q743" s="17" t="s">
        <v>125</v>
      </c>
      <c r="R743" s="17" t="s">
        <v>102</v>
      </c>
      <c r="S743" s="17">
        <v>1017141</v>
      </c>
      <c r="T743" s="17" t="s">
        <v>804</v>
      </c>
      <c r="U743" s="18" t="s">
        <v>19</v>
      </c>
      <c r="V743" s="17"/>
    </row>
    <row r="744" spans="1:22" x14ac:dyDescent="0.3">
      <c r="A744" s="18" t="e">
        <f t="shared" si="12"/>
        <v>#REF!</v>
      </c>
      <c r="B744" s="17">
        <v>113</v>
      </c>
      <c r="C744" s="17" t="s">
        <v>20</v>
      </c>
      <c r="D744" s="17" t="s">
        <v>1591</v>
      </c>
      <c r="E744" s="16">
        <v>45784</v>
      </c>
      <c r="F744" s="21" t="s">
        <v>129</v>
      </c>
      <c r="G744" s="51" t="s">
        <v>1592</v>
      </c>
      <c r="H744" s="56">
        <v>216615.2</v>
      </c>
      <c r="I744" s="16">
        <v>45788</v>
      </c>
      <c r="J744" s="36">
        <v>45802</v>
      </c>
      <c r="K744" s="17">
        <v>190</v>
      </c>
      <c r="L744" s="34">
        <v>190</v>
      </c>
      <c r="M744" s="34">
        <v>19</v>
      </c>
      <c r="N744" s="22">
        <v>45788</v>
      </c>
      <c r="O744" s="18" t="s">
        <v>21</v>
      </c>
      <c r="P744" s="17" t="s">
        <v>1456</v>
      </c>
      <c r="Q744" s="17" t="s">
        <v>125</v>
      </c>
      <c r="R744" s="17" t="s">
        <v>102</v>
      </c>
      <c r="S744" s="17">
        <v>1017142</v>
      </c>
      <c r="T744" s="17" t="s">
        <v>804</v>
      </c>
      <c r="U744" s="18" t="s">
        <v>19</v>
      </c>
      <c r="V744" s="17"/>
    </row>
    <row r="745" spans="1:22" x14ac:dyDescent="0.3">
      <c r="A745" s="18" t="e">
        <f t="shared" si="12"/>
        <v>#REF!</v>
      </c>
      <c r="B745" s="17">
        <v>113</v>
      </c>
      <c r="C745" s="17" t="s">
        <v>20</v>
      </c>
      <c r="D745" s="17" t="s">
        <v>1593</v>
      </c>
      <c r="E745" s="16">
        <v>45785</v>
      </c>
      <c r="F745" s="25" t="s">
        <v>122</v>
      </c>
      <c r="G745" s="51" t="s">
        <v>1594</v>
      </c>
      <c r="H745" s="56">
        <v>427327</v>
      </c>
      <c r="I745" s="16">
        <v>45788</v>
      </c>
      <c r="J745" s="36">
        <v>45802</v>
      </c>
      <c r="K745" s="17">
        <v>320</v>
      </c>
      <c r="L745" s="34">
        <v>320</v>
      </c>
      <c r="M745" s="34">
        <v>32</v>
      </c>
      <c r="N745" s="22">
        <v>45788</v>
      </c>
      <c r="O745" s="18" t="s">
        <v>21</v>
      </c>
      <c r="P745" s="17" t="s">
        <v>1456</v>
      </c>
      <c r="Q745" s="17" t="s">
        <v>125</v>
      </c>
      <c r="R745" s="17" t="s">
        <v>102</v>
      </c>
      <c r="S745" s="17">
        <v>1017143</v>
      </c>
      <c r="T745" s="17" t="s">
        <v>804</v>
      </c>
      <c r="U745" s="18" t="s">
        <v>19</v>
      </c>
      <c r="V745" s="17"/>
    </row>
    <row r="746" spans="1:22" x14ac:dyDescent="0.3">
      <c r="A746" s="18" t="e">
        <f t="shared" si="12"/>
        <v>#REF!</v>
      </c>
      <c r="B746" s="17">
        <v>113</v>
      </c>
      <c r="C746" s="17" t="s">
        <v>20</v>
      </c>
      <c r="D746" s="17" t="s">
        <v>1595</v>
      </c>
      <c r="E746" s="16">
        <v>45784</v>
      </c>
      <c r="F746" s="21" t="s">
        <v>64</v>
      </c>
      <c r="G746" s="51" t="s">
        <v>1596</v>
      </c>
      <c r="H746" s="56">
        <v>442437.9</v>
      </c>
      <c r="I746" s="16">
        <v>45788</v>
      </c>
      <c r="J746" s="36">
        <v>45802</v>
      </c>
      <c r="K746" s="17">
        <v>320</v>
      </c>
      <c r="L746" s="34">
        <v>320</v>
      </c>
      <c r="M746" s="34">
        <v>32</v>
      </c>
      <c r="N746" s="22">
        <v>45788</v>
      </c>
      <c r="O746" s="18" t="s">
        <v>21</v>
      </c>
      <c r="P746" s="17" t="s">
        <v>1456</v>
      </c>
      <c r="Q746" s="17" t="s">
        <v>125</v>
      </c>
      <c r="R746" s="17" t="s">
        <v>102</v>
      </c>
      <c r="S746" s="17">
        <v>1017144</v>
      </c>
      <c r="T746" s="17" t="s">
        <v>804</v>
      </c>
      <c r="U746" s="18" t="s">
        <v>19</v>
      </c>
      <c r="V746" s="17"/>
    </row>
    <row r="747" spans="1:22" x14ac:dyDescent="0.3">
      <c r="A747" s="18" t="e">
        <f t="shared" si="12"/>
        <v>#REF!</v>
      </c>
      <c r="B747" s="17">
        <v>113</v>
      </c>
      <c r="C747" s="17" t="s">
        <v>20</v>
      </c>
      <c r="D747" s="17" t="s">
        <v>1597</v>
      </c>
      <c r="E747" s="16">
        <v>45784</v>
      </c>
      <c r="F747" s="21" t="s">
        <v>58</v>
      </c>
      <c r="G747" s="51" t="s">
        <v>1598</v>
      </c>
      <c r="H747" s="56">
        <v>179997</v>
      </c>
      <c r="I747" s="16">
        <v>45788</v>
      </c>
      <c r="J747" s="36">
        <v>45802</v>
      </c>
      <c r="K747" s="17">
        <v>130</v>
      </c>
      <c r="L747" s="34">
        <v>130</v>
      </c>
      <c r="M747" s="34">
        <v>13</v>
      </c>
      <c r="N747" s="22">
        <v>45788</v>
      </c>
      <c r="O747" s="18" t="s">
        <v>21</v>
      </c>
      <c r="P747" s="17" t="s">
        <v>1456</v>
      </c>
      <c r="Q747" s="17" t="s">
        <v>125</v>
      </c>
      <c r="R747" s="17" t="s">
        <v>102</v>
      </c>
      <c r="S747" s="17">
        <v>1017145</v>
      </c>
      <c r="T747" s="17" t="s">
        <v>804</v>
      </c>
      <c r="U747" s="18" t="s">
        <v>19</v>
      </c>
      <c r="V747" s="17"/>
    </row>
    <row r="748" spans="1:22" x14ac:dyDescent="0.3">
      <c r="A748" s="18" t="e">
        <f t="shared" si="12"/>
        <v>#REF!</v>
      </c>
      <c r="B748" s="17">
        <v>113</v>
      </c>
      <c r="C748" s="17" t="s">
        <v>20</v>
      </c>
      <c r="D748" s="17" t="s">
        <v>1599</v>
      </c>
      <c r="E748" s="16">
        <v>45784</v>
      </c>
      <c r="F748" s="21" t="s">
        <v>35</v>
      </c>
      <c r="G748" s="51" t="s">
        <v>1600</v>
      </c>
      <c r="H748" s="56">
        <v>93116.7</v>
      </c>
      <c r="I748" s="16">
        <v>45788</v>
      </c>
      <c r="J748" s="36">
        <v>45802</v>
      </c>
      <c r="K748" s="17">
        <v>80</v>
      </c>
      <c r="L748" s="34">
        <v>80</v>
      </c>
      <c r="M748" s="34">
        <v>8</v>
      </c>
      <c r="N748" s="22">
        <v>45788</v>
      </c>
      <c r="O748" s="18" t="s">
        <v>21</v>
      </c>
      <c r="P748" s="17" t="s">
        <v>1456</v>
      </c>
      <c r="Q748" s="17" t="s">
        <v>125</v>
      </c>
      <c r="R748" s="17" t="s">
        <v>102</v>
      </c>
      <c r="S748" s="17">
        <v>1017146</v>
      </c>
      <c r="T748" s="17" t="s">
        <v>804</v>
      </c>
      <c r="U748" s="18" t="s">
        <v>19</v>
      </c>
      <c r="V748" s="17"/>
    </row>
    <row r="749" spans="1:22" x14ac:dyDescent="0.3">
      <c r="A749" s="18" t="e">
        <f t="shared" si="12"/>
        <v>#REF!</v>
      </c>
      <c r="B749" s="17">
        <v>113</v>
      </c>
      <c r="C749" s="17" t="s">
        <v>20</v>
      </c>
      <c r="D749" s="17" t="s">
        <v>1601</v>
      </c>
      <c r="E749" s="16">
        <v>45784</v>
      </c>
      <c r="F749" s="21" t="s">
        <v>130</v>
      </c>
      <c r="G749" s="51" t="s">
        <v>1602</v>
      </c>
      <c r="H749" s="56">
        <v>462801.6</v>
      </c>
      <c r="I749" s="16">
        <v>45788</v>
      </c>
      <c r="J749" s="36">
        <v>45802</v>
      </c>
      <c r="K749" s="17">
        <v>340</v>
      </c>
      <c r="L749" s="34">
        <v>340</v>
      </c>
      <c r="M749" s="34">
        <v>34</v>
      </c>
      <c r="N749" s="22">
        <v>45788</v>
      </c>
      <c r="O749" s="18" t="s">
        <v>21</v>
      </c>
      <c r="P749" s="17" t="s">
        <v>1456</v>
      </c>
      <c r="Q749" s="17" t="s">
        <v>125</v>
      </c>
      <c r="R749" s="17" t="s">
        <v>102</v>
      </c>
      <c r="S749" s="17">
        <v>1017147</v>
      </c>
      <c r="T749" s="17" t="s">
        <v>804</v>
      </c>
      <c r="U749" s="18" t="s">
        <v>19</v>
      </c>
      <c r="V749" s="17"/>
    </row>
    <row r="750" spans="1:22" x14ac:dyDescent="0.3">
      <c r="A750" s="18" t="e">
        <f t="shared" si="12"/>
        <v>#REF!</v>
      </c>
      <c r="B750" s="17">
        <v>113</v>
      </c>
      <c r="C750" s="17" t="s">
        <v>20</v>
      </c>
      <c r="D750" s="17" t="s">
        <v>1603</v>
      </c>
      <c r="E750" s="16">
        <v>45785</v>
      </c>
      <c r="F750" s="21" t="s">
        <v>28</v>
      </c>
      <c r="G750" s="51" t="s">
        <v>1604</v>
      </c>
      <c r="H750" s="56">
        <v>615865</v>
      </c>
      <c r="I750" s="16">
        <v>45788</v>
      </c>
      <c r="J750" s="36">
        <v>45802</v>
      </c>
      <c r="K750" s="17">
        <v>450</v>
      </c>
      <c r="L750" s="34">
        <v>450</v>
      </c>
      <c r="M750" s="34">
        <v>45</v>
      </c>
      <c r="N750" s="22">
        <v>45788</v>
      </c>
      <c r="O750" s="18" t="s">
        <v>21</v>
      </c>
      <c r="P750" s="17" t="s">
        <v>1456</v>
      </c>
      <c r="Q750" s="17" t="s">
        <v>125</v>
      </c>
      <c r="R750" s="17" t="s">
        <v>102</v>
      </c>
      <c r="S750" s="17">
        <v>1017148</v>
      </c>
      <c r="T750" s="17" t="s">
        <v>804</v>
      </c>
      <c r="U750" s="18" t="s">
        <v>19</v>
      </c>
      <c r="V750" s="17"/>
    </row>
    <row r="751" spans="1:22" x14ac:dyDescent="0.3">
      <c r="A751" s="18" t="e">
        <f t="shared" si="12"/>
        <v>#REF!</v>
      </c>
      <c r="B751" s="17">
        <v>114</v>
      </c>
      <c r="C751" s="17" t="s">
        <v>20</v>
      </c>
      <c r="D751" s="17" t="s">
        <v>1621</v>
      </c>
      <c r="E751" s="16">
        <v>45784</v>
      </c>
      <c r="F751" s="21" t="s">
        <v>123</v>
      </c>
      <c r="G751" s="51" t="s">
        <v>1622</v>
      </c>
      <c r="H751" s="56">
        <v>213008.1</v>
      </c>
      <c r="I751" s="16">
        <v>45788</v>
      </c>
      <c r="J751" s="36">
        <v>45802</v>
      </c>
      <c r="K751" s="17">
        <v>150</v>
      </c>
      <c r="L751" s="34">
        <v>150</v>
      </c>
      <c r="M751" s="34">
        <v>15</v>
      </c>
      <c r="N751" s="22">
        <v>45790</v>
      </c>
      <c r="O751" s="18" t="s">
        <v>21</v>
      </c>
      <c r="P751" s="17" t="s">
        <v>1456</v>
      </c>
      <c r="Q751" s="17" t="s">
        <v>125</v>
      </c>
      <c r="R751" s="17" t="s">
        <v>102</v>
      </c>
      <c r="S751" s="17">
        <v>1017168</v>
      </c>
      <c r="T751" s="17" t="s">
        <v>804</v>
      </c>
      <c r="U751" s="18" t="s">
        <v>19</v>
      </c>
      <c r="V751" s="17"/>
    </row>
    <row r="752" spans="1:22" x14ac:dyDescent="0.3">
      <c r="A752" s="18" t="e">
        <f t="shared" si="12"/>
        <v>#REF!</v>
      </c>
      <c r="B752" s="17">
        <v>114</v>
      </c>
      <c r="C752" s="17" t="s">
        <v>23</v>
      </c>
      <c r="D752" s="17" t="s">
        <v>1624</v>
      </c>
      <c r="E752" s="16">
        <v>45786</v>
      </c>
      <c r="F752" s="25" t="s">
        <v>122</v>
      </c>
      <c r="G752" s="51" t="s">
        <v>1625</v>
      </c>
      <c r="H752" s="56">
        <v>140170.32</v>
      </c>
      <c r="I752" s="16">
        <v>45790</v>
      </c>
      <c r="J752" s="36">
        <v>45802</v>
      </c>
      <c r="K752" s="17">
        <v>14</v>
      </c>
      <c r="L752" s="34">
        <v>312</v>
      </c>
      <c r="M752" s="34">
        <v>14</v>
      </c>
      <c r="N752" s="22">
        <v>45790</v>
      </c>
      <c r="O752" s="18" t="s">
        <v>21</v>
      </c>
      <c r="P752" s="17" t="s">
        <v>1456</v>
      </c>
      <c r="Q752" s="17" t="s">
        <v>125</v>
      </c>
      <c r="R752" s="17" t="s">
        <v>102</v>
      </c>
      <c r="S752" s="17">
        <v>101717</v>
      </c>
      <c r="T752" s="17" t="s">
        <v>804</v>
      </c>
      <c r="U752" s="18" t="s">
        <v>19</v>
      </c>
      <c r="V752" s="17"/>
    </row>
    <row r="753" spans="1:22" x14ac:dyDescent="0.3">
      <c r="A753" s="18" t="e">
        <f t="shared" si="12"/>
        <v>#REF!</v>
      </c>
      <c r="B753" s="17">
        <v>114</v>
      </c>
      <c r="C753" s="17" t="s">
        <v>20</v>
      </c>
      <c r="D753" s="17" t="s">
        <v>1626</v>
      </c>
      <c r="E753" s="16">
        <v>45785</v>
      </c>
      <c r="F753" s="21" t="s">
        <v>1207</v>
      </c>
      <c r="G753" s="51" t="s">
        <v>1628</v>
      </c>
      <c r="H753" s="56">
        <v>370504.4</v>
      </c>
      <c r="I753" s="16">
        <v>45789</v>
      </c>
      <c r="J753" s="36">
        <v>45802</v>
      </c>
      <c r="K753" s="17">
        <v>270</v>
      </c>
      <c r="L753" s="34">
        <v>270</v>
      </c>
      <c r="M753" s="34">
        <v>27</v>
      </c>
      <c r="N753" s="22">
        <v>45790</v>
      </c>
      <c r="O753" s="18" t="s">
        <v>21</v>
      </c>
      <c r="P753" s="17" t="s">
        <v>1456</v>
      </c>
      <c r="Q753" s="17" t="s">
        <v>125</v>
      </c>
      <c r="R753" s="17" t="s">
        <v>102</v>
      </c>
      <c r="S753" s="17">
        <v>1017175</v>
      </c>
      <c r="T753" s="17" t="s">
        <v>804</v>
      </c>
      <c r="U753" s="18" t="s">
        <v>19</v>
      </c>
      <c r="V753" s="17"/>
    </row>
    <row r="754" spans="1:22" x14ac:dyDescent="0.3">
      <c r="A754" s="18" t="e">
        <f t="shared" si="12"/>
        <v>#REF!</v>
      </c>
      <c r="B754" s="17">
        <v>114</v>
      </c>
      <c r="C754" s="17" t="s">
        <v>20</v>
      </c>
      <c r="D754" s="17" t="s">
        <v>1627</v>
      </c>
      <c r="E754" s="16">
        <v>45785</v>
      </c>
      <c r="F754" s="21" t="s">
        <v>43</v>
      </c>
      <c r="G754" s="51" t="s">
        <v>1629</v>
      </c>
      <c r="H754" s="56">
        <v>88355.199999999997</v>
      </c>
      <c r="I754" s="16">
        <v>45789</v>
      </c>
      <c r="J754" s="36">
        <v>45802</v>
      </c>
      <c r="K754" s="17">
        <v>70</v>
      </c>
      <c r="L754" s="34">
        <v>70</v>
      </c>
      <c r="M754" s="34">
        <v>7</v>
      </c>
      <c r="N754" s="22">
        <v>45790</v>
      </c>
      <c r="O754" s="18" t="s">
        <v>21</v>
      </c>
      <c r="P754" s="17" t="s">
        <v>1456</v>
      </c>
      <c r="Q754" s="17" t="s">
        <v>125</v>
      </c>
      <c r="R754" s="17" t="s">
        <v>102</v>
      </c>
      <c r="S754" s="17">
        <v>1017170</v>
      </c>
      <c r="T754" s="17" t="s">
        <v>804</v>
      </c>
      <c r="U754" s="18" t="s">
        <v>19</v>
      </c>
      <c r="V754" s="17"/>
    </row>
    <row r="755" spans="1:22" x14ac:dyDescent="0.3">
      <c r="A755" s="18" t="e">
        <f t="shared" si="12"/>
        <v>#REF!</v>
      </c>
      <c r="B755" s="17">
        <v>114</v>
      </c>
      <c r="C755" s="17" t="s">
        <v>20</v>
      </c>
      <c r="D755" s="17" t="s">
        <v>1630</v>
      </c>
      <c r="E755" s="16">
        <v>45785</v>
      </c>
      <c r="F755" s="21" t="s">
        <v>28</v>
      </c>
      <c r="G755" s="51" t="s">
        <v>1631</v>
      </c>
      <c r="H755" s="56">
        <v>493839.8</v>
      </c>
      <c r="I755" s="16">
        <v>45789</v>
      </c>
      <c r="J755" s="36">
        <v>45802</v>
      </c>
      <c r="K755" s="17">
        <v>370</v>
      </c>
      <c r="L755" s="34">
        <v>370</v>
      </c>
      <c r="M755" s="34">
        <v>37</v>
      </c>
      <c r="N755" s="22">
        <v>45790</v>
      </c>
      <c r="O755" s="18" t="s">
        <v>21</v>
      </c>
      <c r="P755" s="17" t="s">
        <v>1456</v>
      </c>
      <c r="Q755" s="17" t="s">
        <v>125</v>
      </c>
      <c r="R755" s="17" t="s">
        <v>102</v>
      </c>
      <c r="S755" s="17">
        <v>1017172</v>
      </c>
      <c r="T755" s="17" t="s">
        <v>804</v>
      </c>
      <c r="U755" s="18" t="s">
        <v>19</v>
      </c>
      <c r="V755" s="17"/>
    </row>
    <row r="756" spans="1:22" x14ac:dyDescent="0.3">
      <c r="A756" s="18" t="e">
        <f t="shared" si="12"/>
        <v>#REF!</v>
      </c>
      <c r="B756" s="17">
        <v>114</v>
      </c>
      <c r="C756" s="17" t="s">
        <v>20</v>
      </c>
      <c r="D756" s="17" t="s">
        <v>1632</v>
      </c>
      <c r="E756" s="16">
        <v>45785</v>
      </c>
      <c r="F756" s="21" t="s">
        <v>53</v>
      </c>
      <c r="G756" s="51" t="s">
        <v>1633</v>
      </c>
      <c r="H756" s="56">
        <v>470352.4</v>
      </c>
      <c r="I756" s="16">
        <v>45789</v>
      </c>
      <c r="J756" s="36">
        <v>45802</v>
      </c>
      <c r="K756" s="17">
        <v>370</v>
      </c>
      <c r="L756" s="34">
        <v>370</v>
      </c>
      <c r="M756" s="34">
        <v>37</v>
      </c>
      <c r="N756" s="22">
        <v>45790</v>
      </c>
      <c r="O756" s="18" t="s">
        <v>21</v>
      </c>
      <c r="P756" s="17" t="s">
        <v>1456</v>
      </c>
      <c r="Q756" s="17" t="s">
        <v>125</v>
      </c>
      <c r="R756" s="17" t="s">
        <v>102</v>
      </c>
      <c r="S756" s="17">
        <v>1017176</v>
      </c>
      <c r="T756" s="17" t="s">
        <v>804</v>
      </c>
      <c r="U756" s="18" t="s">
        <v>19</v>
      </c>
      <c r="V756" s="17"/>
    </row>
    <row r="757" spans="1:22" x14ac:dyDescent="0.3">
      <c r="A757" s="18" t="e">
        <f t="shared" si="12"/>
        <v>#REF!</v>
      </c>
      <c r="B757" s="17">
        <v>114</v>
      </c>
      <c r="C757" s="17" t="s">
        <v>20</v>
      </c>
      <c r="D757" s="17" t="s">
        <v>1634</v>
      </c>
      <c r="E757" s="16">
        <v>45785</v>
      </c>
      <c r="F757" s="24" t="s">
        <v>51</v>
      </c>
      <c r="G757" s="51" t="s">
        <v>1635</v>
      </c>
      <c r="H757" s="56">
        <v>98703</v>
      </c>
      <c r="I757" s="16">
        <v>45789</v>
      </c>
      <c r="J757" s="36">
        <v>45802</v>
      </c>
      <c r="K757" s="17">
        <v>70</v>
      </c>
      <c r="L757" s="34">
        <v>70</v>
      </c>
      <c r="M757" s="34">
        <v>7</v>
      </c>
      <c r="N757" s="22">
        <v>45790</v>
      </c>
      <c r="O757" s="18" t="s">
        <v>21</v>
      </c>
      <c r="P757" s="17" t="s">
        <v>1456</v>
      </c>
      <c r="Q757" s="17" t="s">
        <v>125</v>
      </c>
      <c r="R757" s="17" t="s">
        <v>102</v>
      </c>
      <c r="S757" s="17">
        <v>1017173</v>
      </c>
      <c r="T757" s="17" t="s">
        <v>804</v>
      </c>
      <c r="U757" s="18" t="s">
        <v>19</v>
      </c>
      <c r="V757" s="17"/>
    </row>
    <row r="758" spans="1:22" x14ac:dyDescent="0.3">
      <c r="A758" s="18" t="e">
        <f t="shared" si="12"/>
        <v>#REF!</v>
      </c>
      <c r="B758" s="17">
        <v>114</v>
      </c>
      <c r="C758" s="17" t="s">
        <v>20</v>
      </c>
      <c r="D758" s="17" t="s">
        <v>1636</v>
      </c>
      <c r="E758" s="16">
        <v>45785</v>
      </c>
      <c r="F758" s="25" t="s">
        <v>122</v>
      </c>
      <c r="G758" s="51" t="s">
        <v>1637</v>
      </c>
      <c r="H758" s="56">
        <v>263223.43</v>
      </c>
      <c r="I758" s="16">
        <v>45789</v>
      </c>
      <c r="J758" s="36">
        <v>45802</v>
      </c>
      <c r="K758" s="17">
        <v>227</v>
      </c>
      <c r="L758" s="34">
        <v>227</v>
      </c>
      <c r="M758" s="34">
        <v>22</v>
      </c>
      <c r="N758" s="22">
        <v>45790</v>
      </c>
      <c r="O758" s="18" t="s">
        <v>21</v>
      </c>
      <c r="P758" s="17" t="s">
        <v>1456</v>
      </c>
      <c r="Q758" s="17" t="s">
        <v>125</v>
      </c>
      <c r="R758" s="17" t="s">
        <v>102</v>
      </c>
      <c r="S758" s="17">
        <v>1017167</v>
      </c>
      <c r="T758" s="17" t="s">
        <v>804</v>
      </c>
      <c r="U758" s="18" t="s">
        <v>19</v>
      </c>
      <c r="V758" s="17"/>
    </row>
    <row r="759" spans="1:22" x14ac:dyDescent="0.3">
      <c r="A759" s="18" t="e">
        <f t="shared" ref="A759:A822" si="13">A758+1</f>
        <v>#REF!</v>
      </c>
      <c r="B759" s="17">
        <v>114</v>
      </c>
      <c r="C759" s="17" t="s">
        <v>20</v>
      </c>
      <c r="D759" s="17" t="s">
        <v>1638</v>
      </c>
      <c r="E759" s="16">
        <v>45785</v>
      </c>
      <c r="F759" s="21" t="s">
        <v>132</v>
      </c>
      <c r="G759" s="51" t="s">
        <v>1639</v>
      </c>
      <c r="H759" s="56">
        <v>123172</v>
      </c>
      <c r="I759" s="16">
        <v>45789</v>
      </c>
      <c r="J759" s="36">
        <v>45802</v>
      </c>
      <c r="K759" s="17">
        <v>90</v>
      </c>
      <c r="L759" s="34">
        <v>90</v>
      </c>
      <c r="M759" s="34">
        <v>9</v>
      </c>
      <c r="N759" s="22">
        <v>45790</v>
      </c>
      <c r="O759" s="18" t="s">
        <v>21</v>
      </c>
      <c r="P759" s="17" t="s">
        <v>1456</v>
      </c>
      <c r="Q759" s="17" t="s">
        <v>125</v>
      </c>
      <c r="R759" s="17" t="s">
        <v>102</v>
      </c>
      <c r="S759" s="17">
        <v>1017169</v>
      </c>
      <c r="T759" s="17" t="s">
        <v>804</v>
      </c>
      <c r="U759" s="18" t="s">
        <v>19</v>
      </c>
      <c r="V759" s="17"/>
    </row>
    <row r="760" spans="1:22" x14ac:dyDescent="0.3">
      <c r="A760" s="18" t="e">
        <f t="shared" si="13"/>
        <v>#REF!</v>
      </c>
      <c r="B760" s="17">
        <v>114</v>
      </c>
      <c r="C760" s="17" t="s">
        <v>20</v>
      </c>
      <c r="D760" s="17" t="s">
        <v>1640</v>
      </c>
      <c r="E760" s="16">
        <v>45785</v>
      </c>
      <c r="F760" s="21" t="s">
        <v>89</v>
      </c>
      <c r="G760" s="51" t="s">
        <v>1641</v>
      </c>
      <c r="H760" s="56">
        <v>126456.5</v>
      </c>
      <c r="I760" s="16">
        <v>45789</v>
      </c>
      <c r="J760" s="36">
        <v>45802</v>
      </c>
      <c r="K760" s="17">
        <v>100</v>
      </c>
      <c r="L760" s="34">
        <v>100</v>
      </c>
      <c r="M760" s="34">
        <v>10</v>
      </c>
      <c r="N760" s="22">
        <v>45790</v>
      </c>
      <c r="O760" s="18" t="s">
        <v>21</v>
      </c>
      <c r="P760" s="17" t="s">
        <v>1456</v>
      </c>
      <c r="Q760" s="17" t="s">
        <v>125</v>
      </c>
      <c r="R760" s="17" t="s">
        <v>102</v>
      </c>
      <c r="S760" s="17" t="s">
        <v>1623</v>
      </c>
      <c r="T760" s="17" t="s">
        <v>804</v>
      </c>
      <c r="U760" s="18" t="s">
        <v>19</v>
      </c>
      <c r="V760" s="17"/>
    </row>
    <row r="761" spans="1:22" x14ac:dyDescent="0.3">
      <c r="A761" s="18" t="e">
        <f t="shared" si="13"/>
        <v>#REF!</v>
      </c>
      <c r="B761" s="17">
        <v>114</v>
      </c>
      <c r="C761" s="17" t="s">
        <v>20</v>
      </c>
      <c r="D761" s="17" t="s">
        <v>1642</v>
      </c>
      <c r="E761" s="16">
        <v>45785</v>
      </c>
      <c r="F761" s="21" t="s">
        <v>118</v>
      </c>
      <c r="G761" s="51" t="s">
        <v>1643</v>
      </c>
      <c r="H761" s="56">
        <v>239811.6</v>
      </c>
      <c r="I761" s="16">
        <v>45789</v>
      </c>
      <c r="J761" s="36">
        <v>45802</v>
      </c>
      <c r="K761" s="17">
        <v>104</v>
      </c>
      <c r="L761" s="34">
        <v>104</v>
      </c>
      <c r="M761" s="34">
        <v>10</v>
      </c>
      <c r="N761" s="22">
        <v>45790</v>
      </c>
      <c r="O761" s="18" t="s">
        <v>21</v>
      </c>
      <c r="P761" s="17" t="s">
        <v>1456</v>
      </c>
      <c r="Q761" s="17" t="s">
        <v>125</v>
      </c>
      <c r="R761" s="17" t="s">
        <v>102</v>
      </c>
      <c r="S761" s="17">
        <v>1017171</v>
      </c>
      <c r="T761" s="17" t="s">
        <v>804</v>
      </c>
      <c r="U761" s="18" t="s">
        <v>19</v>
      </c>
      <c r="V761" s="17"/>
    </row>
    <row r="762" spans="1:22" x14ac:dyDescent="0.3">
      <c r="A762" s="18" t="e">
        <f t="shared" si="13"/>
        <v>#REF!</v>
      </c>
      <c r="B762" s="17">
        <v>115</v>
      </c>
      <c r="C762" s="17" t="s">
        <v>20</v>
      </c>
      <c r="D762" s="17" t="s">
        <v>1644</v>
      </c>
      <c r="E762" s="16">
        <v>45791</v>
      </c>
      <c r="F762" s="23" t="s">
        <v>68</v>
      </c>
      <c r="G762" s="51" t="s">
        <v>1645</v>
      </c>
      <c r="H762" s="56">
        <v>101822.2</v>
      </c>
      <c r="I762" s="16">
        <v>45793</v>
      </c>
      <c r="J762" s="36">
        <v>45802</v>
      </c>
      <c r="K762" s="17">
        <v>80</v>
      </c>
      <c r="L762" s="34">
        <v>80</v>
      </c>
      <c r="M762" s="34">
        <v>8</v>
      </c>
      <c r="N762" s="22">
        <v>45793</v>
      </c>
      <c r="O762" s="18" t="s">
        <v>21</v>
      </c>
      <c r="P762" s="17" t="s">
        <v>1456</v>
      </c>
      <c r="Q762" s="17" t="s">
        <v>1201</v>
      </c>
      <c r="R762" s="17" t="s">
        <v>102</v>
      </c>
      <c r="S762" s="17" t="s">
        <v>1623</v>
      </c>
      <c r="T762" s="17" t="s">
        <v>804</v>
      </c>
      <c r="U762" s="18" t="s">
        <v>19</v>
      </c>
      <c r="V762" s="17"/>
    </row>
    <row r="763" spans="1:22" x14ac:dyDescent="0.3">
      <c r="A763" s="18" t="e">
        <f t="shared" si="13"/>
        <v>#REF!</v>
      </c>
      <c r="B763" s="17">
        <v>115</v>
      </c>
      <c r="C763" s="17" t="s">
        <v>20</v>
      </c>
      <c r="D763" s="17" t="s">
        <v>1646</v>
      </c>
      <c r="E763" s="16">
        <v>45790</v>
      </c>
      <c r="F763" s="37" t="s">
        <v>89</v>
      </c>
      <c r="G763" s="51" t="s">
        <v>1647</v>
      </c>
      <c r="H763" s="56">
        <v>105037.04</v>
      </c>
      <c r="I763" s="16">
        <v>45793</v>
      </c>
      <c r="J763" s="36">
        <v>45802</v>
      </c>
      <c r="K763" s="17">
        <v>106</v>
      </c>
      <c r="L763" s="34">
        <v>106</v>
      </c>
      <c r="M763" s="34">
        <v>10</v>
      </c>
      <c r="N763" s="22">
        <v>45793</v>
      </c>
      <c r="O763" s="18" t="s">
        <v>21</v>
      </c>
      <c r="P763" s="17" t="s">
        <v>1456</v>
      </c>
      <c r="Q763" s="17" t="s">
        <v>1201</v>
      </c>
      <c r="R763" s="17" t="s">
        <v>102</v>
      </c>
      <c r="S763" s="17" t="s">
        <v>1623</v>
      </c>
      <c r="T763" s="17" t="s">
        <v>804</v>
      </c>
      <c r="U763" s="18" t="s">
        <v>19</v>
      </c>
      <c r="V763" s="17"/>
    </row>
    <row r="764" spans="1:22" x14ac:dyDescent="0.3">
      <c r="A764" s="18" t="e">
        <f t="shared" si="13"/>
        <v>#REF!</v>
      </c>
      <c r="B764" s="17">
        <v>115</v>
      </c>
      <c r="C764" s="17" t="s">
        <v>20</v>
      </c>
      <c r="D764" s="17" t="s">
        <v>1648</v>
      </c>
      <c r="E764" s="16">
        <v>45790</v>
      </c>
      <c r="F764" s="21" t="s">
        <v>84</v>
      </c>
      <c r="G764" s="51" t="s">
        <v>1649</v>
      </c>
      <c r="H764" s="56">
        <v>140581.9</v>
      </c>
      <c r="I764" s="16">
        <v>45793</v>
      </c>
      <c r="J764" s="36">
        <v>45802</v>
      </c>
      <c r="K764" s="17">
        <v>100</v>
      </c>
      <c r="L764" s="34">
        <v>100</v>
      </c>
      <c r="M764" s="34">
        <v>10</v>
      </c>
      <c r="N764" s="22">
        <v>45793</v>
      </c>
      <c r="O764" s="18" t="s">
        <v>21</v>
      </c>
      <c r="P764" s="17" t="s">
        <v>1456</v>
      </c>
      <c r="Q764" s="17" t="s">
        <v>1201</v>
      </c>
      <c r="R764" s="17" t="s">
        <v>102</v>
      </c>
      <c r="S764" s="17" t="s">
        <v>1623</v>
      </c>
      <c r="T764" s="17" t="s">
        <v>804</v>
      </c>
      <c r="U764" s="18" t="s">
        <v>19</v>
      </c>
      <c r="V764" s="17"/>
    </row>
    <row r="765" spans="1:22" s="5" customFormat="1" x14ac:dyDescent="0.3">
      <c r="A765" s="18" t="e">
        <f t="shared" si="13"/>
        <v>#REF!</v>
      </c>
      <c r="B765" s="17">
        <v>115</v>
      </c>
      <c r="C765" s="17" t="s">
        <v>20</v>
      </c>
      <c r="D765" s="17" t="s">
        <v>1769</v>
      </c>
      <c r="E765" s="16">
        <v>45792</v>
      </c>
      <c r="F765" s="25" t="s">
        <v>122</v>
      </c>
      <c r="G765" s="29" t="s">
        <v>1766</v>
      </c>
      <c r="H765" s="57">
        <v>156021</v>
      </c>
      <c r="I765" s="16">
        <v>45793</v>
      </c>
      <c r="J765" s="36">
        <v>45802</v>
      </c>
      <c r="K765" s="17">
        <v>100</v>
      </c>
      <c r="L765" s="34">
        <v>100</v>
      </c>
      <c r="M765" s="34">
        <v>10</v>
      </c>
      <c r="N765" s="22">
        <v>45793</v>
      </c>
      <c r="O765" s="18" t="s">
        <v>1770</v>
      </c>
      <c r="P765" s="18" t="s">
        <v>1770</v>
      </c>
      <c r="Q765" s="18" t="s">
        <v>1770</v>
      </c>
      <c r="R765" s="18" t="s">
        <v>1770</v>
      </c>
      <c r="S765" s="18" t="s">
        <v>1770</v>
      </c>
      <c r="T765" s="18" t="s">
        <v>1770</v>
      </c>
      <c r="U765" s="18" t="s">
        <v>19</v>
      </c>
      <c r="V765" s="17"/>
    </row>
    <row r="766" spans="1:22" s="5" customFormat="1" x14ac:dyDescent="0.3">
      <c r="A766" s="18" t="e">
        <f t="shared" si="13"/>
        <v>#REF!</v>
      </c>
      <c r="B766" s="17">
        <v>115</v>
      </c>
      <c r="C766" s="17" t="s">
        <v>20</v>
      </c>
      <c r="D766" s="17" t="s">
        <v>1768</v>
      </c>
      <c r="E766" s="16">
        <v>45792</v>
      </c>
      <c r="F766" s="21" t="s">
        <v>118</v>
      </c>
      <c r="G766" s="29" t="s">
        <v>1767</v>
      </c>
      <c r="H766" s="57">
        <v>109771.16</v>
      </c>
      <c r="I766" s="16">
        <v>45793</v>
      </c>
      <c r="J766" s="36">
        <v>45802</v>
      </c>
      <c r="K766" s="17">
        <v>84</v>
      </c>
      <c r="L766" s="34">
        <v>84</v>
      </c>
      <c r="M766" s="34">
        <v>8</v>
      </c>
      <c r="N766" s="22">
        <v>45793</v>
      </c>
      <c r="O766" s="18" t="s">
        <v>1770</v>
      </c>
      <c r="P766" s="18" t="s">
        <v>1770</v>
      </c>
      <c r="Q766" s="18" t="s">
        <v>1770</v>
      </c>
      <c r="R766" s="18" t="s">
        <v>1770</v>
      </c>
      <c r="S766" s="18" t="s">
        <v>1770</v>
      </c>
      <c r="T766" s="18" t="s">
        <v>1770</v>
      </c>
      <c r="U766" s="18" t="s">
        <v>19</v>
      </c>
      <c r="V766" s="17"/>
    </row>
    <row r="767" spans="1:22" x14ac:dyDescent="0.3">
      <c r="A767" s="18" t="e">
        <f t="shared" si="13"/>
        <v>#REF!</v>
      </c>
      <c r="B767" s="17">
        <v>115</v>
      </c>
      <c r="C767" s="17" t="s">
        <v>20</v>
      </c>
      <c r="D767" s="17" t="s">
        <v>1650</v>
      </c>
      <c r="E767" s="16">
        <v>45790</v>
      </c>
      <c r="F767" s="37" t="s">
        <v>28</v>
      </c>
      <c r="G767" s="51" t="s">
        <v>1651</v>
      </c>
      <c r="H767" s="56">
        <v>102968.7</v>
      </c>
      <c r="I767" s="16">
        <v>45793</v>
      </c>
      <c r="J767" s="36">
        <v>45802</v>
      </c>
      <c r="K767" s="17">
        <v>100</v>
      </c>
      <c r="L767" s="34">
        <v>100</v>
      </c>
      <c r="M767" s="34">
        <v>10</v>
      </c>
      <c r="N767" s="22">
        <v>45793</v>
      </c>
      <c r="O767" s="18" t="s">
        <v>21</v>
      </c>
      <c r="P767" s="17" t="s">
        <v>1456</v>
      </c>
      <c r="Q767" s="17" t="s">
        <v>1201</v>
      </c>
      <c r="R767" s="17" t="s">
        <v>102</v>
      </c>
      <c r="S767" s="17" t="s">
        <v>1623</v>
      </c>
      <c r="T767" s="17" t="s">
        <v>804</v>
      </c>
      <c r="U767" s="18" t="s">
        <v>19</v>
      </c>
      <c r="V767" s="17"/>
    </row>
    <row r="768" spans="1:22" x14ac:dyDescent="0.3">
      <c r="A768" s="18" t="e">
        <f t="shared" si="13"/>
        <v>#REF!</v>
      </c>
      <c r="B768" s="17">
        <v>115</v>
      </c>
      <c r="C768" s="17" t="s">
        <v>20</v>
      </c>
      <c r="D768" s="17" t="s">
        <v>1652</v>
      </c>
      <c r="E768" s="16">
        <v>45786</v>
      </c>
      <c r="F768" s="21" t="s">
        <v>64</v>
      </c>
      <c r="G768" s="51" t="s">
        <v>1653</v>
      </c>
      <c r="H768" s="56">
        <v>675306.1</v>
      </c>
      <c r="I768" s="16">
        <v>45793</v>
      </c>
      <c r="J768" s="36">
        <v>45802</v>
      </c>
      <c r="K768" s="17">
        <v>560</v>
      </c>
      <c r="L768" s="34">
        <v>560</v>
      </c>
      <c r="M768" s="34">
        <v>53</v>
      </c>
      <c r="N768" s="22">
        <v>45793</v>
      </c>
      <c r="O768" s="18" t="s">
        <v>21</v>
      </c>
      <c r="P768" s="17" t="s">
        <v>1456</v>
      </c>
      <c r="Q768" s="17" t="s">
        <v>1201</v>
      </c>
      <c r="R768" s="17" t="s">
        <v>102</v>
      </c>
      <c r="S768" s="17" t="s">
        <v>1623</v>
      </c>
      <c r="T768" s="17" t="s">
        <v>804</v>
      </c>
      <c r="U768" s="18" t="s">
        <v>19</v>
      </c>
      <c r="V768" s="17"/>
    </row>
    <row r="769" spans="1:22" x14ac:dyDescent="0.3">
      <c r="A769" s="18" t="e">
        <f t="shared" si="13"/>
        <v>#REF!</v>
      </c>
      <c r="B769" s="17">
        <v>115</v>
      </c>
      <c r="C769" s="17" t="s">
        <v>23</v>
      </c>
      <c r="D769" s="17" t="s">
        <v>1654</v>
      </c>
      <c r="E769" s="16">
        <v>45793</v>
      </c>
      <c r="F769" s="21" t="s">
        <v>58</v>
      </c>
      <c r="G769" s="51" t="s">
        <v>1655</v>
      </c>
      <c r="H769" s="56">
        <v>273538.68</v>
      </c>
      <c r="I769" s="16">
        <v>45793</v>
      </c>
      <c r="J769" s="36">
        <v>45802</v>
      </c>
      <c r="K769" s="17">
        <v>27</v>
      </c>
      <c r="L769" s="34">
        <v>684</v>
      </c>
      <c r="M769" s="34">
        <v>27</v>
      </c>
      <c r="N769" s="22">
        <v>45793</v>
      </c>
      <c r="O769" s="18" t="s">
        <v>21</v>
      </c>
      <c r="P769" s="17" t="s">
        <v>1456</v>
      </c>
      <c r="Q769" s="17" t="s">
        <v>1201</v>
      </c>
      <c r="R769" s="17" t="s">
        <v>102</v>
      </c>
      <c r="S769" s="17" t="s">
        <v>1623</v>
      </c>
      <c r="T769" s="17" t="s">
        <v>804</v>
      </c>
      <c r="U769" s="18" t="s">
        <v>19</v>
      </c>
      <c r="V769" s="17"/>
    </row>
    <row r="770" spans="1:22" x14ac:dyDescent="0.3">
      <c r="A770" s="18" t="e">
        <f t="shared" si="13"/>
        <v>#REF!</v>
      </c>
      <c r="B770" s="17">
        <v>115</v>
      </c>
      <c r="C770" s="17" t="s">
        <v>23</v>
      </c>
      <c r="D770" s="17" t="s">
        <v>1656</v>
      </c>
      <c r="E770" s="16">
        <v>45789</v>
      </c>
      <c r="F770" s="21" t="s">
        <v>41</v>
      </c>
      <c r="G770" s="51" t="s">
        <v>1657</v>
      </c>
      <c r="H770" s="56">
        <v>110688.48</v>
      </c>
      <c r="I770" s="16">
        <v>45793</v>
      </c>
      <c r="J770" s="36">
        <v>45802</v>
      </c>
      <c r="K770" s="17">
        <v>8</v>
      </c>
      <c r="L770" s="34">
        <v>192</v>
      </c>
      <c r="M770" s="34">
        <v>8</v>
      </c>
      <c r="N770" s="22">
        <v>45793</v>
      </c>
      <c r="O770" s="18" t="s">
        <v>21</v>
      </c>
      <c r="P770" s="17" t="s">
        <v>1456</v>
      </c>
      <c r="Q770" s="17" t="s">
        <v>1201</v>
      </c>
      <c r="R770" s="17" t="s">
        <v>102</v>
      </c>
      <c r="S770" s="17" t="s">
        <v>1623</v>
      </c>
      <c r="T770" s="17" t="s">
        <v>804</v>
      </c>
      <c r="U770" s="18" t="s">
        <v>19</v>
      </c>
      <c r="V770" s="17"/>
    </row>
    <row r="771" spans="1:22" x14ac:dyDescent="0.3">
      <c r="A771" s="18" t="e">
        <f t="shared" si="13"/>
        <v>#REF!</v>
      </c>
      <c r="B771" s="17">
        <v>115</v>
      </c>
      <c r="C771" s="17" t="s">
        <v>23</v>
      </c>
      <c r="D771" s="17" t="s">
        <v>1658</v>
      </c>
      <c r="E771" s="16">
        <v>45791</v>
      </c>
      <c r="F771" s="21" t="s">
        <v>786</v>
      </c>
      <c r="G771" s="51" t="s">
        <v>1659</v>
      </c>
      <c r="H771" s="56">
        <v>282929.46000000002</v>
      </c>
      <c r="I771" s="16">
        <v>45793</v>
      </c>
      <c r="J771" s="36">
        <v>45802</v>
      </c>
      <c r="K771" s="17">
        <v>32</v>
      </c>
      <c r="L771" s="34">
        <v>714</v>
      </c>
      <c r="M771" s="34">
        <v>32</v>
      </c>
      <c r="N771" s="22">
        <v>45793</v>
      </c>
      <c r="O771" s="18" t="s">
        <v>21</v>
      </c>
      <c r="P771" s="17" t="s">
        <v>1456</v>
      </c>
      <c r="Q771" s="17" t="s">
        <v>1201</v>
      </c>
      <c r="R771" s="17" t="s">
        <v>102</v>
      </c>
      <c r="S771" s="17" t="s">
        <v>1623</v>
      </c>
      <c r="T771" s="17" t="s">
        <v>804</v>
      </c>
      <c r="U771" s="18" t="s">
        <v>19</v>
      </c>
      <c r="V771" s="17"/>
    </row>
    <row r="772" spans="1:22" x14ac:dyDescent="0.3">
      <c r="A772" s="18" t="e">
        <f t="shared" si="13"/>
        <v>#REF!</v>
      </c>
      <c r="B772" s="17">
        <v>115</v>
      </c>
      <c r="C772" s="17" t="s">
        <v>23</v>
      </c>
      <c r="D772" s="17" t="s">
        <v>1660</v>
      </c>
      <c r="E772" s="16">
        <v>45792</v>
      </c>
      <c r="F772" s="21" t="s">
        <v>35</v>
      </c>
      <c r="G772" s="51" t="s">
        <v>1661</v>
      </c>
      <c r="H772" s="56">
        <v>72861.119999999995</v>
      </c>
      <c r="I772" s="16">
        <v>45793</v>
      </c>
      <c r="J772" s="36">
        <v>45802</v>
      </c>
      <c r="K772" s="17">
        <v>11</v>
      </c>
      <c r="L772" s="34">
        <v>264</v>
      </c>
      <c r="M772" s="34">
        <v>11</v>
      </c>
      <c r="N772" s="22">
        <v>45793</v>
      </c>
      <c r="O772" s="18" t="s">
        <v>21</v>
      </c>
      <c r="P772" s="17" t="s">
        <v>1456</v>
      </c>
      <c r="Q772" s="17" t="s">
        <v>1201</v>
      </c>
      <c r="R772" s="17" t="s">
        <v>102</v>
      </c>
      <c r="S772" s="17" t="s">
        <v>1623</v>
      </c>
      <c r="T772" s="17" t="s">
        <v>804</v>
      </c>
      <c r="U772" s="18" t="s">
        <v>19</v>
      </c>
      <c r="V772" s="17"/>
    </row>
    <row r="773" spans="1:22" x14ac:dyDescent="0.3">
      <c r="A773" s="18" t="e">
        <f t="shared" si="13"/>
        <v>#REF!</v>
      </c>
      <c r="B773" s="17">
        <v>115</v>
      </c>
      <c r="C773" s="17" t="s">
        <v>20</v>
      </c>
      <c r="D773" s="17" t="s">
        <v>1662</v>
      </c>
      <c r="E773" s="16">
        <v>45792</v>
      </c>
      <c r="F773" s="21" t="s">
        <v>53</v>
      </c>
      <c r="G773" s="51" t="s">
        <v>1663</v>
      </c>
      <c r="H773" s="56">
        <v>201671.8</v>
      </c>
      <c r="I773" s="16">
        <v>45793</v>
      </c>
      <c r="J773" s="36">
        <v>45802</v>
      </c>
      <c r="K773" s="17">
        <v>170</v>
      </c>
      <c r="L773" s="34">
        <v>170</v>
      </c>
      <c r="M773" s="34">
        <v>17</v>
      </c>
      <c r="N773" s="22">
        <v>45793</v>
      </c>
      <c r="O773" s="18" t="s">
        <v>21</v>
      </c>
      <c r="P773" s="17" t="s">
        <v>1456</v>
      </c>
      <c r="Q773" s="17" t="s">
        <v>1201</v>
      </c>
      <c r="R773" s="17" t="s">
        <v>102</v>
      </c>
      <c r="S773" s="17" t="s">
        <v>1623</v>
      </c>
      <c r="T773" s="17" t="s">
        <v>804</v>
      </c>
      <c r="U773" s="18" t="s">
        <v>19</v>
      </c>
      <c r="V773" s="17"/>
    </row>
    <row r="774" spans="1:22" x14ac:dyDescent="0.3">
      <c r="A774" s="18" t="e">
        <f t="shared" si="13"/>
        <v>#REF!</v>
      </c>
      <c r="B774" s="17">
        <v>115</v>
      </c>
      <c r="C774" s="17" t="s">
        <v>20</v>
      </c>
      <c r="D774" s="17" t="s">
        <v>1664</v>
      </c>
      <c r="E774" s="16">
        <v>45791</v>
      </c>
      <c r="F774" s="21" t="s">
        <v>64</v>
      </c>
      <c r="G774" s="51" t="s">
        <v>1665</v>
      </c>
      <c r="H774" s="56">
        <v>521758.1</v>
      </c>
      <c r="I774" s="16">
        <v>45793</v>
      </c>
      <c r="J774" s="36">
        <v>45802</v>
      </c>
      <c r="K774" s="17">
        <v>400</v>
      </c>
      <c r="L774" s="34">
        <v>400</v>
      </c>
      <c r="M774" s="34">
        <v>40</v>
      </c>
      <c r="N774" s="22">
        <v>45793</v>
      </c>
      <c r="O774" s="18" t="s">
        <v>21</v>
      </c>
      <c r="P774" s="17" t="s">
        <v>1456</v>
      </c>
      <c r="Q774" s="17" t="s">
        <v>1201</v>
      </c>
      <c r="R774" s="17" t="s">
        <v>102</v>
      </c>
      <c r="S774" s="17" t="s">
        <v>1623</v>
      </c>
      <c r="T774" s="17" t="s">
        <v>804</v>
      </c>
      <c r="U774" s="18" t="s">
        <v>19</v>
      </c>
      <c r="V774" s="17"/>
    </row>
    <row r="775" spans="1:22" x14ac:dyDescent="0.3">
      <c r="A775" s="18" t="e">
        <f t="shared" si="13"/>
        <v>#REF!</v>
      </c>
      <c r="B775" s="17">
        <v>116</v>
      </c>
      <c r="C775" s="17" t="s">
        <v>23</v>
      </c>
      <c r="D775" s="17" t="s">
        <v>1666</v>
      </c>
      <c r="E775" s="16">
        <v>45797</v>
      </c>
      <c r="F775" s="21" t="s">
        <v>58</v>
      </c>
      <c r="G775" s="51" t="s">
        <v>1667</v>
      </c>
      <c r="H775" s="56">
        <v>109420.8</v>
      </c>
      <c r="I775" s="16">
        <v>45798</v>
      </c>
      <c r="J775" s="36">
        <v>45802</v>
      </c>
      <c r="K775" s="17">
        <v>11</v>
      </c>
      <c r="L775" s="34">
        <v>264</v>
      </c>
      <c r="M775" s="34">
        <v>11</v>
      </c>
      <c r="N775" s="22">
        <v>45798</v>
      </c>
      <c r="O775" s="18" t="s">
        <v>21</v>
      </c>
      <c r="P775" s="17" t="s">
        <v>1456</v>
      </c>
      <c r="Q775" s="17" t="s">
        <v>144</v>
      </c>
      <c r="R775" s="17" t="s">
        <v>102</v>
      </c>
      <c r="S775" s="17" t="s">
        <v>1623</v>
      </c>
      <c r="T775" s="17" t="s">
        <v>804</v>
      </c>
      <c r="U775" s="18" t="s">
        <v>19</v>
      </c>
      <c r="V775" s="17"/>
    </row>
    <row r="776" spans="1:22" x14ac:dyDescent="0.3">
      <c r="A776" s="18" t="e">
        <f t="shared" si="13"/>
        <v>#REF!</v>
      </c>
      <c r="B776" s="17">
        <v>116</v>
      </c>
      <c r="C776" s="17" t="s">
        <v>23</v>
      </c>
      <c r="D776" s="17" t="s">
        <v>1668</v>
      </c>
      <c r="E776" s="16">
        <v>45797</v>
      </c>
      <c r="F776" s="21" t="s">
        <v>41</v>
      </c>
      <c r="G776" s="51" t="s">
        <v>1669</v>
      </c>
      <c r="H776" s="56">
        <v>371523.72</v>
      </c>
      <c r="I776" s="16">
        <v>45798</v>
      </c>
      <c r="J776" s="36">
        <v>45802</v>
      </c>
      <c r="K776" s="17">
        <v>45</v>
      </c>
      <c r="L776" s="34">
        <v>1044</v>
      </c>
      <c r="M776" s="34">
        <v>45</v>
      </c>
      <c r="N776" s="22">
        <v>45798</v>
      </c>
      <c r="O776" s="18" t="s">
        <v>21</v>
      </c>
      <c r="P776" s="17" t="s">
        <v>1456</v>
      </c>
      <c r="Q776" s="17" t="s">
        <v>144</v>
      </c>
      <c r="R776" s="17" t="s">
        <v>102</v>
      </c>
      <c r="S776" s="17" t="s">
        <v>1623</v>
      </c>
      <c r="T776" s="17" t="s">
        <v>804</v>
      </c>
      <c r="U776" s="18" t="s">
        <v>19</v>
      </c>
      <c r="V776" s="17"/>
    </row>
    <row r="777" spans="1:22" x14ac:dyDescent="0.3">
      <c r="A777" s="18" t="e">
        <f t="shared" si="13"/>
        <v>#REF!</v>
      </c>
      <c r="B777" s="17">
        <v>116</v>
      </c>
      <c r="C777" s="17" t="s">
        <v>23</v>
      </c>
      <c r="D777" s="17" t="s">
        <v>1668</v>
      </c>
      <c r="E777" s="16">
        <v>45797</v>
      </c>
      <c r="F777" s="21" t="s">
        <v>41</v>
      </c>
      <c r="G777" s="51" t="s">
        <v>1670</v>
      </c>
      <c r="H777" s="56">
        <v>391242.12</v>
      </c>
      <c r="I777" s="16">
        <v>45798</v>
      </c>
      <c r="J777" s="36">
        <v>45802</v>
      </c>
      <c r="K777" s="17">
        <v>47</v>
      </c>
      <c r="L777" s="34">
        <v>996</v>
      </c>
      <c r="M777" s="34">
        <v>47</v>
      </c>
      <c r="N777" s="22">
        <v>45798</v>
      </c>
      <c r="O777" s="18" t="s">
        <v>21</v>
      </c>
      <c r="P777" s="17" t="s">
        <v>1456</v>
      </c>
      <c r="Q777" s="17" t="s">
        <v>144</v>
      </c>
      <c r="R777" s="17" t="s">
        <v>102</v>
      </c>
      <c r="S777" s="17" t="s">
        <v>1623</v>
      </c>
      <c r="T777" s="17" t="s">
        <v>804</v>
      </c>
      <c r="U777" s="18" t="s">
        <v>19</v>
      </c>
      <c r="V777" s="17"/>
    </row>
    <row r="778" spans="1:22" x14ac:dyDescent="0.3">
      <c r="A778" s="18" t="e">
        <f t="shared" si="13"/>
        <v>#REF!</v>
      </c>
      <c r="B778" s="17">
        <v>116</v>
      </c>
      <c r="C778" s="17" t="s">
        <v>20</v>
      </c>
      <c r="D778" s="17" t="s">
        <v>1671</v>
      </c>
      <c r="E778" s="16">
        <v>45797</v>
      </c>
      <c r="F778" s="21" t="s">
        <v>1471</v>
      </c>
      <c r="G778" s="51" t="s">
        <v>1672</v>
      </c>
      <c r="H778" s="56">
        <v>137032.39000000001</v>
      </c>
      <c r="I778" s="16">
        <v>45798</v>
      </c>
      <c r="J778" s="36">
        <v>45802</v>
      </c>
      <c r="K778" s="17">
        <v>111</v>
      </c>
      <c r="L778" s="34">
        <v>111</v>
      </c>
      <c r="M778" s="34">
        <v>11</v>
      </c>
      <c r="N778" s="22">
        <v>45798</v>
      </c>
      <c r="O778" s="18" t="s">
        <v>21</v>
      </c>
      <c r="P778" s="17" t="s">
        <v>1456</v>
      </c>
      <c r="Q778" s="17" t="s">
        <v>144</v>
      </c>
      <c r="R778" s="17" t="s">
        <v>102</v>
      </c>
      <c r="S778" s="17" t="s">
        <v>1623</v>
      </c>
      <c r="T778" s="17" t="s">
        <v>804</v>
      </c>
      <c r="U778" s="18" t="s">
        <v>19</v>
      </c>
      <c r="V778" s="17"/>
    </row>
    <row r="779" spans="1:22" x14ac:dyDescent="0.3">
      <c r="A779" s="18" t="e">
        <f t="shared" si="13"/>
        <v>#REF!</v>
      </c>
      <c r="B779" s="17">
        <v>116</v>
      </c>
      <c r="C779" s="17" t="s">
        <v>20</v>
      </c>
      <c r="D779" s="17" t="s">
        <v>1673</v>
      </c>
      <c r="E779" s="16">
        <v>45797</v>
      </c>
      <c r="F779" s="21" t="s">
        <v>35</v>
      </c>
      <c r="G779" s="51" t="s">
        <v>1674</v>
      </c>
      <c r="H779" s="56">
        <v>463540.86</v>
      </c>
      <c r="I779" s="16">
        <v>45798</v>
      </c>
      <c r="J779" s="36">
        <v>45802</v>
      </c>
      <c r="K779" s="17">
        <v>144</v>
      </c>
      <c r="L779" s="34">
        <v>144</v>
      </c>
      <c r="M779" s="34">
        <v>14</v>
      </c>
      <c r="N779" s="22">
        <v>45798</v>
      </c>
      <c r="O779" s="18" t="s">
        <v>21</v>
      </c>
      <c r="P779" s="17" t="s">
        <v>1456</v>
      </c>
      <c r="Q779" s="17" t="s">
        <v>144</v>
      </c>
      <c r="R779" s="17" t="s">
        <v>102</v>
      </c>
      <c r="S779" s="17" t="s">
        <v>1623</v>
      </c>
      <c r="T779" s="17" t="s">
        <v>804</v>
      </c>
      <c r="U779" s="18" t="s">
        <v>19</v>
      </c>
      <c r="V779" s="17"/>
    </row>
    <row r="780" spans="1:22" x14ac:dyDescent="0.3">
      <c r="A780" s="18" t="e">
        <f t="shared" si="13"/>
        <v>#REF!</v>
      </c>
      <c r="B780" s="17">
        <v>116</v>
      </c>
      <c r="C780" s="17" t="s">
        <v>20</v>
      </c>
      <c r="D780" s="17" t="s">
        <v>1675</v>
      </c>
      <c r="E780" s="16">
        <v>45797</v>
      </c>
      <c r="F780" s="21" t="s">
        <v>118</v>
      </c>
      <c r="G780" s="51" t="s">
        <v>1676</v>
      </c>
      <c r="H780" s="56">
        <v>77088.56</v>
      </c>
      <c r="I780" s="16">
        <v>45798</v>
      </c>
      <c r="J780" s="36">
        <v>45802</v>
      </c>
      <c r="K780" s="17">
        <v>64</v>
      </c>
      <c r="L780" s="34">
        <v>64</v>
      </c>
      <c r="M780" s="34">
        <v>6</v>
      </c>
      <c r="N780" s="22">
        <v>45798</v>
      </c>
      <c r="O780" s="18" t="s">
        <v>21</v>
      </c>
      <c r="P780" s="17" t="s">
        <v>1456</v>
      </c>
      <c r="Q780" s="17" t="s">
        <v>144</v>
      </c>
      <c r="R780" s="17" t="s">
        <v>102</v>
      </c>
      <c r="S780" s="17" t="s">
        <v>1623</v>
      </c>
      <c r="T780" s="17" t="s">
        <v>804</v>
      </c>
      <c r="U780" s="18" t="s">
        <v>19</v>
      </c>
      <c r="V780" s="17"/>
    </row>
    <row r="781" spans="1:22" x14ac:dyDescent="0.3">
      <c r="A781" s="18" t="e">
        <f t="shared" si="13"/>
        <v>#REF!</v>
      </c>
      <c r="B781" s="17">
        <v>117</v>
      </c>
      <c r="C781" s="17" t="s">
        <v>23</v>
      </c>
      <c r="D781" s="17" t="s">
        <v>1677</v>
      </c>
      <c r="E781" s="16">
        <v>45799</v>
      </c>
      <c r="F781" s="21" t="s">
        <v>1204</v>
      </c>
      <c r="G781" s="51" t="s">
        <v>1678</v>
      </c>
      <c r="H781" s="56">
        <v>345502.84</v>
      </c>
      <c r="I781" s="16">
        <v>45799</v>
      </c>
      <c r="J781" s="36">
        <v>45802</v>
      </c>
      <c r="K781" s="17">
        <v>52</v>
      </c>
      <c r="L781" s="34">
        <v>1332</v>
      </c>
      <c r="M781" s="34">
        <v>52</v>
      </c>
      <c r="N781" s="22">
        <v>45799</v>
      </c>
      <c r="O781" s="18" t="s">
        <v>21</v>
      </c>
      <c r="P781" s="17" t="s">
        <v>1456</v>
      </c>
      <c r="Q781" s="17" t="s">
        <v>124</v>
      </c>
      <c r="R781" s="17" t="s">
        <v>102</v>
      </c>
      <c r="S781" s="17" t="s">
        <v>1623</v>
      </c>
      <c r="T781" s="17" t="s">
        <v>804</v>
      </c>
      <c r="U781" s="18" t="s">
        <v>19</v>
      </c>
      <c r="V781" s="17"/>
    </row>
    <row r="782" spans="1:22" x14ac:dyDescent="0.3">
      <c r="A782" s="18" t="e">
        <f t="shared" si="13"/>
        <v>#REF!</v>
      </c>
      <c r="B782" s="17">
        <v>117</v>
      </c>
      <c r="C782" s="17" t="s">
        <v>20</v>
      </c>
      <c r="D782" s="17" t="s">
        <v>1680</v>
      </c>
      <c r="E782" s="16">
        <v>45799</v>
      </c>
      <c r="F782" s="21" t="s">
        <v>129</v>
      </c>
      <c r="G782" s="51" t="s">
        <v>1679</v>
      </c>
      <c r="H782" s="56">
        <v>149279.20000000001</v>
      </c>
      <c r="I782" s="16">
        <v>45799</v>
      </c>
      <c r="J782" s="36">
        <v>45802</v>
      </c>
      <c r="K782" s="17">
        <v>150</v>
      </c>
      <c r="L782" s="34">
        <v>150</v>
      </c>
      <c r="M782" s="34">
        <v>13</v>
      </c>
      <c r="N782" s="22">
        <v>45799</v>
      </c>
      <c r="O782" s="18" t="s">
        <v>21</v>
      </c>
      <c r="P782" s="17" t="s">
        <v>1456</v>
      </c>
      <c r="Q782" s="17" t="s">
        <v>144</v>
      </c>
      <c r="R782" s="17" t="s">
        <v>102</v>
      </c>
      <c r="S782" s="17" t="s">
        <v>1623</v>
      </c>
      <c r="T782" s="17" t="s">
        <v>804</v>
      </c>
      <c r="U782" s="18" t="s">
        <v>19</v>
      </c>
      <c r="V782" s="17"/>
    </row>
    <row r="783" spans="1:22" x14ac:dyDescent="0.3">
      <c r="A783" s="18" t="e">
        <f t="shared" si="13"/>
        <v>#REF!</v>
      </c>
      <c r="B783" s="17">
        <v>117</v>
      </c>
      <c r="C783" s="17" t="s">
        <v>23</v>
      </c>
      <c r="D783" s="17" t="s">
        <v>1681</v>
      </c>
      <c r="E783" s="16">
        <v>45799</v>
      </c>
      <c r="F783" s="21" t="s">
        <v>129</v>
      </c>
      <c r="G783" s="51" t="s">
        <v>1682</v>
      </c>
      <c r="H783" s="56">
        <v>100421.52</v>
      </c>
      <c r="I783" s="16">
        <v>45799</v>
      </c>
      <c r="J783" s="36">
        <v>45802</v>
      </c>
      <c r="K783" s="17">
        <v>11</v>
      </c>
      <c r="L783" s="34">
        <v>264</v>
      </c>
      <c r="M783" s="34">
        <v>11</v>
      </c>
      <c r="N783" s="22">
        <v>45799</v>
      </c>
      <c r="O783" s="18" t="s">
        <v>21</v>
      </c>
      <c r="P783" s="17" t="s">
        <v>1456</v>
      </c>
      <c r="Q783" s="17" t="s">
        <v>144</v>
      </c>
      <c r="R783" s="17" t="s">
        <v>102</v>
      </c>
      <c r="S783" s="17" t="s">
        <v>1623</v>
      </c>
      <c r="T783" s="17" t="s">
        <v>804</v>
      </c>
      <c r="U783" s="18" t="s">
        <v>19</v>
      </c>
      <c r="V783" s="17"/>
    </row>
    <row r="784" spans="1:22" x14ac:dyDescent="0.3">
      <c r="A784" s="18" t="e">
        <f t="shared" si="13"/>
        <v>#REF!</v>
      </c>
      <c r="B784" s="17">
        <v>117</v>
      </c>
      <c r="C784" s="17" t="s">
        <v>23</v>
      </c>
      <c r="D784" s="17" t="s">
        <v>1683</v>
      </c>
      <c r="E784" s="16">
        <v>45799</v>
      </c>
      <c r="F784" s="21" t="s">
        <v>575</v>
      </c>
      <c r="G784" s="51" t="s">
        <v>1684</v>
      </c>
      <c r="H784" s="56">
        <v>351994.36</v>
      </c>
      <c r="I784" s="16">
        <v>45799</v>
      </c>
      <c r="J784" s="36">
        <v>45802</v>
      </c>
      <c r="K784" s="17">
        <v>31</v>
      </c>
      <c r="L784" s="34">
        <v>744</v>
      </c>
      <c r="M784" s="34">
        <v>31</v>
      </c>
      <c r="N784" s="22">
        <v>45799</v>
      </c>
      <c r="O784" s="18" t="s">
        <v>21</v>
      </c>
      <c r="P784" s="17" t="s">
        <v>1456</v>
      </c>
      <c r="Q784" s="17" t="s">
        <v>144</v>
      </c>
      <c r="R784" s="17" t="s">
        <v>102</v>
      </c>
      <c r="S784" s="17" t="s">
        <v>1623</v>
      </c>
      <c r="T784" s="17" t="s">
        <v>804</v>
      </c>
      <c r="U784" s="18" t="s">
        <v>19</v>
      </c>
      <c r="V784" s="17"/>
    </row>
    <row r="785" spans="1:22" x14ac:dyDescent="0.3">
      <c r="A785" s="18" t="e">
        <f t="shared" si="13"/>
        <v>#REF!</v>
      </c>
      <c r="B785" s="17">
        <v>117</v>
      </c>
      <c r="C785" s="17" t="s">
        <v>23</v>
      </c>
      <c r="D785" s="17" t="s">
        <v>1685</v>
      </c>
      <c r="E785" s="16">
        <v>45799</v>
      </c>
      <c r="F785" s="21" t="s">
        <v>41</v>
      </c>
      <c r="G785" s="51" t="s">
        <v>1686</v>
      </c>
      <c r="H785" s="56">
        <v>279700.08</v>
      </c>
      <c r="I785" s="16">
        <v>45799</v>
      </c>
      <c r="J785" s="36">
        <v>45802</v>
      </c>
      <c r="K785" s="17">
        <v>28</v>
      </c>
      <c r="L785" s="34">
        <v>672</v>
      </c>
      <c r="M785" s="34">
        <v>28</v>
      </c>
      <c r="N785" s="22">
        <v>45799</v>
      </c>
      <c r="O785" s="18" t="s">
        <v>21</v>
      </c>
      <c r="P785" s="17" t="s">
        <v>1456</v>
      </c>
      <c r="Q785" s="17" t="s">
        <v>144</v>
      </c>
      <c r="R785" s="17" t="s">
        <v>102</v>
      </c>
      <c r="S785" s="17" t="s">
        <v>1623</v>
      </c>
      <c r="T785" s="17" t="s">
        <v>804</v>
      </c>
      <c r="U785" s="18" t="s">
        <v>19</v>
      </c>
      <c r="V785" s="17"/>
    </row>
    <row r="786" spans="1:22" x14ac:dyDescent="0.3">
      <c r="A786" s="18" t="e">
        <f t="shared" si="13"/>
        <v>#REF!</v>
      </c>
      <c r="B786" s="17">
        <v>118</v>
      </c>
      <c r="C786" s="17" t="s">
        <v>20</v>
      </c>
      <c r="D786" s="17" t="s">
        <v>1687</v>
      </c>
      <c r="E786" s="16">
        <v>45800</v>
      </c>
      <c r="F786" s="21" t="s">
        <v>131</v>
      </c>
      <c r="G786" s="51" t="s">
        <v>1688</v>
      </c>
      <c r="H786" s="56">
        <v>103464.66</v>
      </c>
      <c r="I786" s="16">
        <v>45805</v>
      </c>
      <c r="J786" s="36">
        <v>45802</v>
      </c>
      <c r="K786" s="17">
        <v>79</v>
      </c>
      <c r="L786" s="34">
        <v>79</v>
      </c>
      <c r="M786" s="34">
        <v>8</v>
      </c>
      <c r="N786" s="22">
        <v>45805</v>
      </c>
      <c r="O786" s="18" t="s">
        <v>21</v>
      </c>
      <c r="P786" s="17" t="s">
        <v>1456</v>
      </c>
      <c r="Q786" s="17" t="s">
        <v>144</v>
      </c>
      <c r="R786" s="17" t="s">
        <v>102</v>
      </c>
      <c r="S786" s="17" t="s">
        <v>1623</v>
      </c>
      <c r="T786" s="17" t="s">
        <v>804</v>
      </c>
      <c r="U786" s="18" t="s">
        <v>19</v>
      </c>
      <c r="V786" s="17"/>
    </row>
    <row r="787" spans="1:22" x14ac:dyDescent="0.3">
      <c r="A787" s="18" t="e">
        <f t="shared" si="13"/>
        <v>#REF!</v>
      </c>
      <c r="B787" s="17">
        <v>118</v>
      </c>
      <c r="C787" s="17" t="s">
        <v>20</v>
      </c>
      <c r="D787" s="17" t="s">
        <v>1689</v>
      </c>
      <c r="E787" s="16">
        <v>45800</v>
      </c>
      <c r="F787" s="21" t="s">
        <v>64</v>
      </c>
      <c r="G787" s="51" t="s">
        <v>1690</v>
      </c>
      <c r="H787" s="56">
        <v>52552</v>
      </c>
      <c r="I787" s="16">
        <v>45805</v>
      </c>
      <c r="J787" s="36">
        <v>45802</v>
      </c>
      <c r="K787" s="17">
        <v>50</v>
      </c>
      <c r="L787" s="34">
        <v>50</v>
      </c>
      <c r="M787" s="34">
        <v>5</v>
      </c>
      <c r="N787" s="22">
        <v>45805</v>
      </c>
      <c r="O787" s="18" t="s">
        <v>21</v>
      </c>
      <c r="P787" s="17" t="s">
        <v>1456</v>
      </c>
      <c r="Q787" s="17" t="s">
        <v>144</v>
      </c>
      <c r="R787" s="17" t="s">
        <v>102</v>
      </c>
      <c r="S787" s="17" t="s">
        <v>1623</v>
      </c>
      <c r="T787" s="17" t="s">
        <v>804</v>
      </c>
      <c r="U787" s="18" t="s">
        <v>19</v>
      </c>
      <c r="V787" s="17"/>
    </row>
    <row r="788" spans="1:22" x14ac:dyDescent="0.3">
      <c r="A788" s="18" t="e">
        <f t="shared" si="13"/>
        <v>#REF!</v>
      </c>
      <c r="B788" s="17">
        <v>118</v>
      </c>
      <c r="C788" s="17" t="s">
        <v>20</v>
      </c>
      <c r="D788" s="17" t="s">
        <v>1691</v>
      </c>
      <c r="E788" s="16">
        <v>45800</v>
      </c>
      <c r="F788" s="21" t="s">
        <v>33</v>
      </c>
      <c r="G788" s="51" t="s">
        <v>1692</v>
      </c>
      <c r="H788" s="56">
        <v>33107.040000000001</v>
      </c>
      <c r="I788" s="16">
        <v>45805</v>
      </c>
      <c r="J788" s="36">
        <v>45802</v>
      </c>
      <c r="K788" s="17">
        <v>36</v>
      </c>
      <c r="L788" s="34">
        <v>36</v>
      </c>
      <c r="M788" s="34">
        <v>3</v>
      </c>
      <c r="N788" s="22">
        <v>45805</v>
      </c>
      <c r="O788" s="18" t="s">
        <v>21</v>
      </c>
      <c r="P788" s="17" t="s">
        <v>1456</v>
      </c>
      <c r="Q788" s="17" t="s">
        <v>144</v>
      </c>
      <c r="R788" s="17" t="s">
        <v>102</v>
      </c>
      <c r="S788" s="17" t="s">
        <v>1623</v>
      </c>
      <c r="T788" s="17" t="s">
        <v>804</v>
      </c>
      <c r="U788" s="18" t="s">
        <v>19</v>
      </c>
      <c r="V788" s="17"/>
    </row>
    <row r="789" spans="1:22" x14ac:dyDescent="0.3">
      <c r="A789" s="18" t="e">
        <f t="shared" si="13"/>
        <v>#REF!</v>
      </c>
      <c r="B789" s="17">
        <v>118</v>
      </c>
      <c r="C789" s="17" t="s">
        <v>20</v>
      </c>
      <c r="D789" s="17" t="s">
        <v>1693</v>
      </c>
      <c r="E789" s="16">
        <v>45800</v>
      </c>
      <c r="F789" s="21" t="s">
        <v>123</v>
      </c>
      <c r="G789" s="51" t="s">
        <v>1694</v>
      </c>
      <c r="H789" s="56">
        <v>575910</v>
      </c>
      <c r="I789" s="16">
        <v>45805</v>
      </c>
      <c r="J789" s="36">
        <v>45802</v>
      </c>
      <c r="K789" s="17">
        <v>90</v>
      </c>
      <c r="L789" s="34">
        <v>90</v>
      </c>
      <c r="M789" s="34">
        <v>9</v>
      </c>
      <c r="N789" s="22">
        <v>45805</v>
      </c>
      <c r="O789" s="18" t="s">
        <v>21</v>
      </c>
      <c r="P789" s="17" t="s">
        <v>1456</v>
      </c>
      <c r="Q789" s="17" t="s">
        <v>144</v>
      </c>
      <c r="R789" s="17" t="s">
        <v>102</v>
      </c>
      <c r="S789" s="17" t="s">
        <v>1623</v>
      </c>
      <c r="T789" s="17" t="s">
        <v>804</v>
      </c>
      <c r="U789" s="18" t="s">
        <v>19</v>
      </c>
      <c r="V789" s="17"/>
    </row>
    <row r="790" spans="1:22" x14ac:dyDescent="0.3">
      <c r="A790" s="18" t="e">
        <f t="shared" si="13"/>
        <v>#REF!</v>
      </c>
      <c r="B790" s="17">
        <v>118</v>
      </c>
      <c r="C790" s="17" t="s">
        <v>20</v>
      </c>
      <c r="D790" s="17" t="s">
        <v>1695</v>
      </c>
      <c r="E790" s="16">
        <v>45801</v>
      </c>
      <c r="F790" s="25" t="s">
        <v>122</v>
      </c>
      <c r="G790" s="51" t="s">
        <v>1696</v>
      </c>
      <c r="H790" s="56">
        <v>66214.080000000002</v>
      </c>
      <c r="I790" s="16">
        <v>45805</v>
      </c>
      <c r="J790" s="36">
        <v>45802</v>
      </c>
      <c r="K790" s="17">
        <v>72</v>
      </c>
      <c r="L790" s="34">
        <v>72</v>
      </c>
      <c r="M790" s="34">
        <v>6</v>
      </c>
      <c r="N790" s="22">
        <v>45805</v>
      </c>
      <c r="O790" s="18" t="s">
        <v>21</v>
      </c>
      <c r="P790" s="17" t="s">
        <v>1456</v>
      </c>
      <c r="Q790" s="17" t="s">
        <v>144</v>
      </c>
      <c r="R790" s="17" t="s">
        <v>102</v>
      </c>
      <c r="S790" s="17" t="s">
        <v>1623</v>
      </c>
      <c r="T790" s="17" t="s">
        <v>804</v>
      </c>
      <c r="U790" s="18" t="s">
        <v>19</v>
      </c>
      <c r="V790" s="17"/>
    </row>
    <row r="791" spans="1:22" x14ac:dyDescent="0.3">
      <c r="A791" s="18" t="e">
        <f t="shared" si="13"/>
        <v>#REF!</v>
      </c>
      <c r="B791" s="17">
        <v>118</v>
      </c>
      <c r="C791" s="17" t="s">
        <v>20</v>
      </c>
      <c r="D791" s="17" t="s">
        <v>1697</v>
      </c>
      <c r="E791" s="16">
        <v>45803</v>
      </c>
      <c r="F791" s="21" t="s">
        <v>35</v>
      </c>
      <c r="G791" s="51" t="s">
        <v>1698</v>
      </c>
      <c r="H791" s="56">
        <v>107732</v>
      </c>
      <c r="I791" s="16">
        <v>45805</v>
      </c>
      <c r="J791" s="36">
        <v>45802</v>
      </c>
      <c r="K791" s="17">
        <v>100</v>
      </c>
      <c r="L791" s="34">
        <v>100</v>
      </c>
      <c r="M791" s="34">
        <v>9</v>
      </c>
      <c r="N791" s="22">
        <v>45805</v>
      </c>
      <c r="O791" s="18" t="s">
        <v>21</v>
      </c>
      <c r="P791" s="17" t="s">
        <v>1456</v>
      </c>
      <c r="Q791" s="17" t="s">
        <v>144</v>
      </c>
      <c r="R791" s="17" t="s">
        <v>102</v>
      </c>
      <c r="S791" s="17" t="s">
        <v>1623</v>
      </c>
      <c r="T791" s="17" t="s">
        <v>804</v>
      </c>
      <c r="U791" s="18" t="s">
        <v>19</v>
      </c>
      <c r="V791" s="17"/>
    </row>
    <row r="792" spans="1:22" x14ac:dyDescent="0.3">
      <c r="A792" s="18" t="e">
        <f t="shared" si="13"/>
        <v>#REF!</v>
      </c>
      <c r="B792" s="17">
        <v>118</v>
      </c>
      <c r="C792" s="17" t="s">
        <v>20</v>
      </c>
      <c r="D792" s="17" t="s">
        <v>1699</v>
      </c>
      <c r="E792" s="16">
        <v>45804</v>
      </c>
      <c r="F792" s="21" t="s">
        <v>117</v>
      </c>
      <c r="G792" s="51" t="s">
        <v>1700</v>
      </c>
      <c r="H792" s="56">
        <v>33107.040000000001</v>
      </c>
      <c r="I792" s="16">
        <v>45805</v>
      </c>
      <c r="J792" s="36">
        <v>45802</v>
      </c>
      <c r="K792" s="17">
        <v>36</v>
      </c>
      <c r="L792" s="34">
        <v>36</v>
      </c>
      <c r="M792" s="34">
        <v>3</v>
      </c>
      <c r="N792" s="22">
        <v>45805</v>
      </c>
      <c r="O792" s="18" t="s">
        <v>21</v>
      </c>
      <c r="P792" s="17" t="s">
        <v>1456</v>
      </c>
      <c r="Q792" s="17" t="s">
        <v>144</v>
      </c>
      <c r="R792" s="17" t="s">
        <v>102</v>
      </c>
      <c r="S792" s="17" t="s">
        <v>1623</v>
      </c>
      <c r="T792" s="17" t="s">
        <v>804</v>
      </c>
      <c r="U792" s="18" t="s">
        <v>19</v>
      </c>
      <c r="V792" s="17"/>
    </row>
    <row r="793" spans="1:22" x14ac:dyDescent="0.3">
      <c r="A793" s="18" t="e">
        <f t="shared" si="13"/>
        <v>#REF!</v>
      </c>
      <c r="B793" s="17">
        <v>118</v>
      </c>
      <c r="C793" s="17" t="s">
        <v>23</v>
      </c>
      <c r="D793" s="17" t="s">
        <v>1701</v>
      </c>
      <c r="E793" s="16">
        <v>45800</v>
      </c>
      <c r="F793" s="21" t="s">
        <v>33</v>
      </c>
      <c r="G793" s="51" t="s">
        <v>1702</v>
      </c>
      <c r="H793" s="56">
        <v>65868.960000000006</v>
      </c>
      <c r="I793" s="16">
        <v>45805</v>
      </c>
      <c r="J793" s="36">
        <v>45802</v>
      </c>
      <c r="K793" s="17">
        <v>9</v>
      </c>
      <c r="L793" s="34">
        <v>216</v>
      </c>
      <c r="M793" s="34">
        <v>9</v>
      </c>
      <c r="N793" s="22">
        <v>45805</v>
      </c>
      <c r="O793" s="18" t="s">
        <v>21</v>
      </c>
      <c r="P793" s="17" t="s">
        <v>1456</v>
      </c>
      <c r="Q793" s="17" t="s">
        <v>144</v>
      </c>
      <c r="R793" s="17" t="s">
        <v>102</v>
      </c>
      <c r="S793" s="17" t="s">
        <v>1623</v>
      </c>
      <c r="T793" s="17" t="s">
        <v>804</v>
      </c>
      <c r="U793" s="18" t="s">
        <v>19</v>
      </c>
      <c r="V793" s="17"/>
    </row>
    <row r="794" spans="1:22" x14ac:dyDescent="0.3">
      <c r="A794" s="18" t="e">
        <f t="shared" si="13"/>
        <v>#REF!</v>
      </c>
      <c r="B794" s="17">
        <v>118</v>
      </c>
      <c r="C794" s="17" t="s">
        <v>23</v>
      </c>
      <c r="D794" s="17" t="s">
        <v>1703</v>
      </c>
      <c r="E794" s="16">
        <v>45799</v>
      </c>
      <c r="F794" s="21" t="s">
        <v>58</v>
      </c>
      <c r="G794" s="51" t="s">
        <v>1704</v>
      </c>
      <c r="H794" s="56">
        <v>111241.44</v>
      </c>
      <c r="I794" s="16">
        <v>45805</v>
      </c>
      <c r="J794" s="36">
        <v>45802</v>
      </c>
      <c r="K794" s="17">
        <v>13</v>
      </c>
      <c r="L794" s="34">
        <v>312</v>
      </c>
      <c r="M794" s="34">
        <v>13</v>
      </c>
      <c r="N794" s="22">
        <v>45805</v>
      </c>
      <c r="O794" s="18" t="s">
        <v>21</v>
      </c>
      <c r="P794" s="17" t="s">
        <v>1456</v>
      </c>
      <c r="Q794" s="17" t="s">
        <v>144</v>
      </c>
      <c r="R794" s="17" t="s">
        <v>102</v>
      </c>
      <c r="S794" s="17" t="s">
        <v>1623</v>
      </c>
      <c r="T794" s="17" t="s">
        <v>804</v>
      </c>
      <c r="U794" s="18" t="s">
        <v>19</v>
      </c>
      <c r="V794" s="17"/>
    </row>
    <row r="795" spans="1:22" x14ac:dyDescent="0.3">
      <c r="A795" s="18" t="e">
        <f t="shared" si="13"/>
        <v>#REF!</v>
      </c>
      <c r="B795" s="17">
        <v>118</v>
      </c>
      <c r="C795" s="17" t="s">
        <v>23</v>
      </c>
      <c r="D795" s="17" t="s">
        <v>1705</v>
      </c>
      <c r="E795" s="16">
        <v>45804</v>
      </c>
      <c r="F795" s="21" t="s">
        <v>929</v>
      </c>
      <c r="G795" s="51" t="s">
        <v>1706</v>
      </c>
      <c r="H795" s="56">
        <v>402095.04</v>
      </c>
      <c r="I795" s="16">
        <v>45805</v>
      </c>
      <c r="J795" s="36">
        <v>45802</v>
      </c>
      <c r="K795" s="17">
        <v>49</v>
      </c>
      <c r="L795" s="34">
        <v>936</v>
      </c>
      <c r="M795" s="34">
        <v>49</v>
      </c>
      <c r="N795" s="22">
        <v>45805</v>
      </c>
      <c r="O795" s="18" t="s">
        <v>21</v>
      </c>
      <c r="P795" s="17" t="s">
        <v>1456</v>
      </c>
      <c r="Q795" s="17" t="s">
        <v>144</v>
      </c>
      <c r="R795" s="17" t="s">
        <v>102</v>
      </c>
      <c r="S795" s="17" t="s">
        <v>1623</v>
      </c>
      <c r="T795" s="17" t="s">
        <v>804</v>
      </c>
      <c r="U795" s="18" t="s">
        <v>19</v>
      </c>
      <c r="V795" s="17"/>
    </row>
    <row r="796" spans="1:22" x14ac:dyDescent="0.3">
      <c r="A796" s="18" t="e">
        <f t="shared" si="13"/>
        <v>#REF!</v>
      </c>
      <c r="B796" s="17">
        <v>118</v>
      </c>
      <c r="C796" s="17" t="s">
        <v>23</v>
      </c>
      <c r="D796" s="17" t="s">
        <v>1707</v>
      </c>
      <c r="E796" s="16">
        <v>45799</v>
      </c>
      <c r="F796" s="21" t="s">
        <v>35</v>
      </c>
      <c r="G796" s="51" t="s">
        <v>1708</v>
      </c>
      <c r="H796" s="56">
        <v>30712.799999999999</v>
      </c>
      <c r="I796" s="16">
        <v>45805</v>
      </c>
      <c r="J796" s="36">
        <v>45802</v>
      </c>
      <c r="K796" s="17">
        <v>5</v>
      </c>
      <c r="L796" s="34">
        <v>120</v>
      </c>
      <c r="M796" s="34">
        <v>5</v>
      </c>
      <c r="N796" s="22">
        <v>45805</v>
      </c>
      <c r="O796" s="18" t="s">
        <v>21</v>
      </c>
      <c r="P796" s="17" t="s">
        <v>1456</v>
      </c>
      <c r="Q796" s="17" t="s">
        <v>144</v>
      </c>
      <c r="R796" s="17" t="s">
        <v>102</v>
      </c>
      <c r="S796" s="17" t="s">
        <v>1623</v>
      </c>
      <c r="T796" s="17" t="s">
        <v>804</v>
      </c>
      <c r="U796" s="18" t="s">
        <v>19</v>
      </c>
      <c r="V796" s="17"/>
    </row>
    <row r="797" spans="1:22" x14ac:dyDescent="0.3">
      <c r="A797" s="18" t="e">
        <f t="shared" si="13"/>
        <v>#REF!</v>
      </c>
      <c r="B797" s="17">
        <v>118</v>
      </c>
      <c r="C797" s="17" t="s">
        <v>23</v>
      </c>
      <c r="D797" s="17" t="s">
        <v>1709</v>
      </c>
      <c r="E797" s="16">
        <v>45799</v>
      </c>
      <c r="F797" s="21" t="s">
        <v>130</v>
      </c>
      <c r="G797" s="51" t="s">
        <v>1710</v>
      </c>
      <c r="H797" s="56">
        <v>115839.72</v>
      </c>
      <c r="I797" s="16">
        <v>45805</v>
      </c>
      <c r="J797" s="36">
        <v>45802</v>
      </c>
      <c r="K797" s="17">
        <v>17</v>
      </c>
      <c r="L797" s="34">
        <v>348</v>
      </c>
      <c r="M797" s="34">
        <v>17</v>
      </c>
      <c r="N797" s="22">
        <v>45805</v>
      </c>
      <c r="O797" s="18" t="s">
        <v>21</v>
      </c>
      <c r="P797" s="17" t="s">
        <v>1456</v>
      </c>
      <c r="Q797" s="17" t="s">
        <v>144</v>
      </c>
      <c r="R797" s="17" t="s">
        <v>102</v>
      </c>
      <c r="S797" s="17" t="s">
        <v>1623</v>
      </c>
      <c r="T797" s="17" t="s">
        <v>804</v>
      </c>
      <c r="U797" s="18" t="s">
        <v>19</v>
      </c>
      <c r="V797" s="17"/>
    </row>
    <row r="798" spans="1:22" x14ac:dyDescent="0.3">
      <c r="A798" s="18" t="e">
        <f t="shared" si="13"/>
        <v>#REF!</v>
      </c>
      <c r="B798" s="17">
        <v>118</v>
      </c>
      <c r="C798" s="17" t="s">
        <v>23</v>
      </c>
      <c r="D798" s="17" t="s">
        <v>1711</v>
      </c>
      <c r="E798" s="16">
        <v>45804</v>
      </c>
      <c r="F798" s="21" t="s">
        <v>117</v>
      </c>
      <c r="G798" s="51" t="s">
        <v>1712</v>
      </c>
      <c r="H798" s="56">
        <v>18439.919999999998</v>
      </c>
      <c r="I798" s="16">
        <v>45805</v>
      </c>
      <c r="J798" s="36">
        <v>45802</v>
      </c>
      <c r="K798" s="17">
        <v>2</v>
      </c>
      <c r="L798" s="34">
        <v>48</v>
      </c>
      <c r="M798" s="34">
        <v>2</v>
      </c>
      <c r="N798" s="22">
        <v>45805</v>
      </c>
      <c r="O798" s="18" t="s">
        <v>21</v>
      </c>
      <c r="P798" s="17" t="s">
        <v>1456</v>
      </c>
      <c r="Q798" s="17" t="s">
        <v>144</v>
      </c>
      <c r="R798" s="17" t="s">
        <v>102</v>
      </c>
      <c r="S798" s="17" t="s">
        <v>1623</v>
      </c>
      <c r="T798" s="17" t="s">
        <v>804</v>
      </c>
      <c r="U798" s="18" t="s">
        <v>19</v>
      </c>
      <c r="V798" s="17"/>
    </row>
    <row r="799" spans="1:22" x14ac:dyDescent="0.3">
      <c r="A799" s="18" t="e">
        <f t="shared" si="13"/>
        <v>#REF!</v>
      </c>
      <c r="B799" s="17">
        <v>118</v>
      </c>
      <c r="C799" s="17" t="s">
        <v>23</v>
      </c>
      <c r="D799" s="17" t="s">
        <v>1713</v>
      </c>
      <c r="E799" s="16">
        <v>45804</v>
      </c>
      <c r="F799" s="21" t="s">
        <v>580</v>
      </c>
      <c r="G799" s="51" t="s">
        <v>1714</v>
      </c>
      <c r="H799" s="56">
        <v>93430.56</v>
      </c>
      <c r="I799" s="16">
        <v>45805</v>
      </c>
      <c r="J799" s="36">
        <v>45802</v>
      </c>
      <c r="K799" s="17">
        <v>10</v>
      </c>
      <c r="L799" s="34">
        <v>240</v>
      </c>
      <c r="M799" s="34">
        <v>10</v>
      </c>
      <c r="N799" s="22">
        <v>45805</v>
      </c>
      <c r="O799" s="18" t="s">
        <v>21</v>
      </c>
      <c r="P799" s="17" t="s">
        <v>1456</v>
      </c>
      <c r="Q799" s="17" t="s">
        <v>144</v>
      </c>
      <c r="R799" s="17" t="s">
        <v>102</v>
      </c>
      <c r="S799" s="17" t="s">
        <v>1623</v>
      </c>
      <c r="T799" s="17" t="s">
        <v>804</v>
      </c>
      <c r="U799" s="18" t="s">
        <v>19</v>
      </c>
      <c r="V799" s="17"/>
    </row>
    <row r="800" spans="1:22" x14ac:dyDescent="0.3">
      <c r="A800" s="18" t="e">
        <f t="shared" si="13"/>
        <v>#REF!</v>
      </c>
      <c r="B800" s="17">
        <v>118</v>
      </c>
      <c r="C800" s="17" t="s">
        <v>23</v>
      </c>
      <c r="D800" s="17" t="s">
        <v>1715</v>
      </c>
      <c r="E800" s="16">
        <v>45800</v>
      </c>
      <c r="F800" s="25" t="s">
        <v>122</v>
      </c>
      <c r="G800" s="51" t="s">
        <v>1716</v>
      </c>
      <c r="H800" s="56">
        <v>54076.56</v>
      </c>
      <c r="I800" s="16">
        <v>45805</v>
      </c>
      <c r="J800" s="36">
        <v>45802</v>
      </c>
      <c r="K800" s="17">
        <v>12</v>
      </c>
      <c r="L800" s="34">
        <v>168</v>
      </c>
      <c r="M800" s="34">
        <v>12</v>
      </c>
      <c r="N800" s="22">
        <v>45805</v>
      </c>
      <c r="O800" s="18" t="s">
        <v>21</v>
      </c>
      <c r="P800" s="17" t="s">
        <v>1456</v>
      </c>
      <c r="Q800" s="17" t="s">
        <v>144</v>
      </c>
      <c r="R800" s="17" t="s">
        <v>102</v>
      </c>
      <c r="S800" s="17" t="s">
        <v>1623</v>
      </c>
      <c r="T800" s="17" t="s">
        <v>804</v>
      </c>
      <c r="U800" s="18" t="s">
        <v>19</v>
      </c>
      <c r="V800" s="17"/>
    </row>
    <row r="801" spans="1:22" x14ac:dyDescent="0.3">
      <c r="A801" s="18" t="e">
        <f t="shared" si="13"/>
        <v>#REF!</v>
      </c>
      <c r="B801" s="17">
        <v>118</v>
      </c>
      <c r="C801" s="17" t="s">
        <v>23</v>
      </c>
      <c r="D801" s="17" t="s">
        <v>1717</v>
      </c>
      <c r="E801" s="16">
        <v>45804</v>
      </c>
      <c r="F801" s="21" t="s">
        <v>41</v>
      </c>
      <c r="G801" s="51" t="s">
        <v>1718</v>
      </c>
      <c r="H801" s="56">
        <v>140158.07999999999</v>
      </c>
      <c r="I801" s="16">
        <v>45805</v>
      </c>
      <c r="J801" s="36">
        <v>45802</v>
      </c>
      <c r="K801" s="17">
        <v>14</v>
      </c>
      <c r="L801" s="34">
        <v>336</v>
      </c>
      <c r="M801" s="34">
        <v>14</v>
      </c>
      <c r="N801" s="22">
        <v>45805</v>
      </c>
      <c r="O801" s="18" t="s">
        <v>21</v>
      </c>
      <c r="P801" s="17" t="s">
        <v>1456</v>
      </c>
      <c r="Q801" s="17" t="s">
        <v>144</v>
      </c>
      <c r="R801" s="17" t="s">
        <v>102</v>
      </c>
      <c r="S801" s="17" t="s">
        <v>1623</v>
      </c>
      <c r="T801" s="17" t="s">
        <v>804</v>
      </c>
      <c r="U801" s="18" t="s">
        <v>19</v>
      </c>
      <c r="V801" s="17"/>
    </row>
    <row r="802" spans="1:22" x14ac:dyDescent="0.3">
      <c r="A802" s="18" t="e">
        <f t="shared" si="13"/>
        <v>#REF!</v>
      </c>
      <c r="B802" s="17">
        <v>118</v>
      </c>
      <c r="C802" s="17" t="s">
        <v>23</v>
      </c>
      <c r="D802" s="17" t="s">
        <v>1719</v>
      </c>
      <c r="E802" s="16">
        <v>45804</v>
      </c>
      <c r="F802" s="21" t="s">
        <v>53</v>
      </c>
      <c r="G802" s="51" t="s">
        <v>1720</v>
      </c>
      <c r="H802" s="56">
        <v>77249.759999999995</v>
      </c>
      <c r="I802" s="16">
        <v>45805</v>
      </c>
      <c r="J802" s="36">
        <v>45802</v>
      </c>
      <c r="K802" s="17">
        <v>7</v>
      </c>
      <c r="L802" s="34">
        <v>84</v>
      </c>
      <c r="M802" s="34">
        <v>7</v>
      </c>
      <c r="N802" s="22">
        <v>45805</v>
      </c>
      <c r="O802" s="18" t="s">
        <v>21</v>
      </c>
      <c r="P802" s="17" t="s">
        <v>1456</v>
      </c>
      <c r="Q802" s="17" t="s">
        <v>144</v>
      </c>
      <c r="R802" s="17" t="s">
        <v>102</v>
      </c>
      <c r="S802" s="17" t="s">
        <v>1623</v>
      </c>
      <c r="T802" s="17" t="s">
        <v>804</v>
      </c>
      <c r="U802" s="18" t="s">
        <v>19</v>
      </c>
      <c r="V802" s="17"/>
    </row>
    <row r="803" spans="1:22" x14ac:dyDescent="0.3">
      <c r="A803" s="18" t="e">
        <f t="shared" si="13"/>
        <v>#REF!</v>
      </c>
      <c r="B803" s="17">
        <v>119</v>
      </c>
      <c r="C803" s="17" t="s">
        <v>20</v>
      </c>
      <c r="D803" s="40" t="s">
        <v>1721</v>
      </c>
      <c r="E803" s="16">
        <v>45805</v>
      </c>
      <c r="F803" s="21" t="s">
        <v>47</v>
      </c>
      <c r="G803" s="51" t="s">
        <v>1743</v>
      </c>
      <c r="H803" s="57">
        <v>56295.62</v>
      </c>
      <c r="I803" s="16">
        <v>45808</v>
      </c>
      <c r="J803" s="36">
        <v>45802</v>
      </c>
      <c r="K803" s="17">
        <v>58</v>
      </c>
      <c r="L803" s="34">
        <v>58</v>
      </c>
      <c r="M803" s="34">
        <v>5</v>
      </c>
      <c r="N803" s="22">
        <v>45810</v>
      </c>
      <c r="O803" s="18" t="s">
        <v>21</v>
      </c>
      <c r="P803" s="17" t="s">
        <v>1456</v>
      </c>
      <c r="Q803" s="17" t="s">
        <v>124</v>
      </c>
      <c r="R803" s="17" t="s">
        <v>102</v>
      </c>
      <c r="S803" s="17" t="s">
        <v>1623</v>
      </c>
      <c r="T803" s="17" t="s">
        <v>804</v>
      </c>
      <c r="U803" s="18" t="s">
        <v>19</v>
      </c>
      <c r="V803" s="17"/>
    </row>
    <row r="804" spans="1:22" x14ac:dyDescent="0.3">
      <c r="A804" s="18" t="e">
        <f t="shared" si="13"/>
        <v>#REF!</v>
      </c>
      <c r="B804" s="17">
        <v>119</v>
      </c>
      <c r="C804" s="17" t="s">
        <v>20</v>
      </c>
      <c r="D804" s="29" t="s">
        <v>1752</v>
      </c>
      <c r="E804" s="16">
        <v>45805</v>
      </c>
      <c r="F804" s="23" t="s">
        <v>35</v>
      </c>
      <c r="G804" s="51" t="s">
        <v>1744</v>
      </c>
      <c r="H804" s="57">
        <v>286741.7</v>
      </c>
      <c r="I804" s="16">
        <v>45808</v>
      </c>
      <c r="J804" s="36">
        <v>45802</v>
      </c>
      <c r="K804" s="17">
        <v>240</v>
      </c>
      <c r="L804" s="34">
        <v>240</v>
      </c>
      <c r="M804" s="34">
        <v>23</v>
      </c>
      <c r="N804" s="22">
        <v>45810</v>
      </c>
      <c r="O804" s="18" t="s">
        <v>21</v>
      </c>
      <c r="P804" s="17" t="s">
        <v>1456</v>
      </c>
      <c r="Q804" s="17" t="s">
        <v>124</v>
      </c>
      <c r="R804" s="17" t="s">
        <v>102</v>
      </c>
      <c r="S804" s="17" t="s">
        <v>1623</v>
      </c>
      <c r="T804" s="17" t="s">
        <v>804</v>
      </c>
      <c r="U804" s="18" t="s">
        <v>19</v>
      </c>
      <c r="V804" s="17"/>
    </row>
    <row r="805" spans="1:22" x14ac:dyDescent="0.3">
      <c r="A805" s="18" t="e">
        <f t="shared" si="13"/>
        <v>#REF!</v>
      </c>
      <c r="B805" s="17">
        <v>119</v>
      </c>
      <c r="C805" s="17" t="s">
        <v>20</v>
      </c>
      <c r="D805" s="29" t="s">
        <v>1722</v>
      </c>
      <c r="E805" s="16">
        <v>45806</v>
      </c>
      <c r="F805" s="21" t="s">
        <v>53</v>
      </c>
      <c r="G805" s="51" t="s">
        <v>1745</v>
      </c>
      <c r="H805" s="57">
        <v>83756.2</v>
      </c>
      <c r="I805" s="16">
        <v>45808</v>
      </c>
      <c r="J805" s="36">
        <v>45802</v>
      </c>
      <c r="K805" s="17">
        <v>70</v>
      </c>
      <c r="L805" s="34">
        <v>70</v>
      </c>
      <c r="M805" s="34">
        <v>7</v>
      </c>
      <c r="N805" s="22">
        <v>45810</v>
      </c>
      <c r="O805" s="18" t="s">
        <v>21</v>
      </c>
      <c r="P805" s="17" t="s">
        <v>1456</v>
      </c>
      <c r="Q805" s="17" t="s">
        <v>124</v>
      </c>
      <c r="R805" s="17" t="s">
        <v>102</v>
      </c>
      <c r="S805" s="17" t="s">
        <v>1623</v>
      </c>
      <c r="T805" s="17" t="s">
        <v>804</v>
      </c>
      <c r="U805" s="18" t="s">
        <v>19</v>
      </c>
      <c r="V805" s="17"/>
    </row>
    <row r="806" spans="1:22" x14ac:dyDescent="0.3">
      <c r="A806" s="18" t="e">
        <f t="shared" si="13"/>
        <v>#REF!</v>
      </c>
      <c r="B806" s="17">
        <v>119</v>
      </c>
      <c r="C806" s="17" t="s">
        <v>20</v>
      </c>
      <c r="D806" s="17" t="s">
        <v>1723</v>
      </c>
      <c r="E806" s="16">
        <v>45807</v>
      </c>
      <c r="F806" s="21" t="s">
        <v>129</v>
      </c>
      <c r="G806" s="51" t="s">
        <v>1746</v>
      </c>
      <c r="H806" s="57">
        <v>151584.70000000001</v>
      </c>
      <c r="I806" s="16">
        <v>45808</v>
      </c>
      <c r="J806" s="36">
        <v>45802</v>
      </c>
      <c r="K806" s="17">
        <v>110</v>
      </c>
      <c r="L806" s="34">
        <v>110</v>
      </c>
      <c r="M806" s="34">
        <v>11</v>
      </c>
      <c r="N806" s="22">
        <v>45810</v>
      </c>
      <c r="O806" s="18" t="s">
        <v>21</v>
      </c>
      <c r="P806" s="17" t="s">
        <v>1456</v>
      </c>
      <c r="Q806" s="17" t="s">
        <v>124</v>
      </c>
      <c r="R806" s="17" t="s">
        <v>102</v>
      </c>
      <c r="S806" s="17" t="s">
        <v>1623</v>
      </c>
      <c r="T806" s="17" t="s">
        <v>804</v>
      </c>
      <c r="U806" s="18" t="s">
        <v>19</v>
      </c>
      <c r="V806" s="17"/>
    </row>
    <row r="807" spans="1:22" x14ac:dyDescent="0.3">
      <c r="A807" s="18" t="e">
        <f t="shared" si="13"/>
        <v>#REF!</v>
      </c>
      <c r="B807" s="17">
        <v>119</v>
      </c>
      <c r="C807" s="17" t="s">
        <v>20</v>
      </c>
      <c r="D807" s="17" t="s">
        <v>1724</v>
      </c>
      <c r="E807" s="16">
        <v>45807</v>
      </c>
      <c r="F807" s="25" t="s">
        <v>122</v>
      </c>
      <c r="G807" s="51" t="s">
        <v>1747</v>
      </c>
      <c r="H807" s="57">
        <v>151584.70000000001</v>
      </c>
      <c r="I807" s="16">
        <v>45808</v>
      </c>
      <c r="J807" s="36">
        <v>45802</v>
      </c>
      <c r="K807" s="17">
        <v>380</v>
      </c>
      <c r="L807" s="34">
        <v>380</v>
      </c>
      <c r="M807" s="34">
        <v>38</v>
      </c>
      <c r="N807" s="22">
        <v>45810</v>
      </c>
      <c r="O807" s="18" t="s">
        <v>21</v>
      </c>
      <c r="P807" s="17" t="s">
        <v>1456</v>
      </c>
      <c r="Q807" s="17" t="s">
        <v>124</v>
      </c>
      <c r="R807" s="17" t="s">
        <v>102</v>
      </c>
      <c r="S807" s="17" t="s">
        <v>1623</v>
      </c>
      <c r="T807" s="17" t="s">
        <v>804</v>
      </c>
      <c r="U807" s="18" t="s">
        <v>19</v>
      </c>
      <c r="V807" s="17"/>
    </row>
    <row r="808" spans="1:22" x14ac:dyDescent="0.3">
      <c r="A808" s="18" t="e">
        <f t="shared" si="13"/>
        <v>#REF!</v>
      </c>
      <c r="B808" s="17">
        <v>119</v>
      </c>
      <c r="C808" s="17" t="s">
        <v>20</v>
      </c>
      <c r="D808" s="17" t="s">
        <v>1725</v>
      </c>
      <c r="E808" s="16">
        <v>45807</v>
      </c>
      <c r="F808" s="21" t="s">
        <v>58</v>
      </c>
      <c r="G808" s="51" t="s">
        <v>1748</v>
      </c>
      <c r="H808" s="57">
        <v>95089.5</v>
      </c>
      <c r="I808" s="16">
        <v>45808</v>
      </c>
      <c r="J808" s="36">
        <v>45802</v>
      </c>
      <c r="K808" s="17">
        <v>70</v>
      </c>
      <c r="L808" s="34">
        <v>70</v>
      </c>
      <c r="M808" s="34">
        <v>7</v>
      </c>
      <c r="N808" s="22">
        <v>45810</v>
      </c>
      <c r="O808" s="18" t="s">
        <v>21</v>
      </c>
      <c r="P808" s="17" t="s">
        <v>1456</v>
      </c>
      <c r="Q808" s="17" t="s">
        <v>124</v>
      </c>
      <c r="R808" s="17" t="s">
        <v>102</v>
      </c>
      <c r="S808" s="17" t="s">
        <v>1623</v>
      </c>
      <c r="T808" s="17" t="s">
        <v>804</v>
      </c>
      <c r="U808" s="18" t="s">
        <v>19</v>
      </c>
      <c r="V808" s="17"/>
    </row>
    <row r="809" spans="1:22" x14ac:dyDescent="0.3">
      <c r="A809" s="18" t="e">
        <f t="shared" si="13"/>
        <v>#REF!</v>
      </c>
      <c r="B809" s="17">
        <v>119</v>
      </c>
      <c r="C809" s="17" t="s">
        <v>20</v>
      </c>
      <c r="D809" s="17" t="s">
        <v>1726</v>
      </c>
      <c r="E809" s="16">
        <v>45807</v>
      </c>
      <c r="F809" s="21" t="s">
        <v>113</v>
      </c>
      <c r="G809" s="51" t="s">
        <v>1749</v>
      </c>
      <c r="H809" s="57">
        <v>151254.9</v>
      </c>
      <c r="I809" s="16">
        <v>45808</v>
      </c>
      <c r="J809" s="36">
        <v>45802</v>
      </c>
      <c r="K809" s="17">
        <v>120</v>
      </c>
      <c r="L809" s="34">
        <v>120</v>
      </c>
      <c r="M809" s="34">
        <v>12</v>
      </c>
      <c r="N809" s="22">
        <v>45810</v>
      </c>
      <c r="O809" s="18" t="s">
        <v>21</v>
      </c>
      <c r="P809" s="17" t="s">
        <v>1456</v>
      </c>
      <c r="Q809" s="17" t="s">
        <v>124</v>
      </c>
      <c r="R809" s="17" t="s">
        <v>102</v>
      </c>
      <c r="S809" s="17" t="s">
        <v>1623</v>
      </c>
      <c r="T809" s="17" t="s">
        <v>804</v>
      </c>
      <c r="U809" s="18" t="s">
        <v>19</v>
      </c>
      <c r="V809" s="17"/>
    </row>
    <row r="810" spans="1:22" x14ac:dyDescent="0.3">
      <c r="A810" s="18" t="e">
        <f t="shared" si="13"/>
        <v>#REF!</v>
      </c>
      <c r="B810" s="17">
        <v>119</v>
      </c>
      <c r="C810" s="17" t="s">
        <v>20</v>
      </c>
      <c r="D810" s="17" t="s">
        <v>1727</v>
      </c>
      <c r="E810" s="16">
        <v>45807</v>
      </c>
      <c r="F810" s="21" t="s">
        <v>137</v>
      </c>
      <c r="G810" s="51" t="s">
        <v>1750</v>
      </c>
      <c r="H810" s="57">
        <v>109706.2</v>
      </c>
      <c r="I810" s="16">
        <v>45808</v>
      </c>
      <c r="J810" s="36">
        <v>45802</v>
      </c>
      <c r="K810" s="17">
        <v>80</v>
      </c>
      <c r="L810" s="34">
        <v>80</v>
      </c>
      <c r="M810" s="34">
        <v>8</v>
      </c>
      <c r="N810" s="22">
        <v>45810</v>
      </c>
      <c r="O810" s="18" t="s">
        <v>21</v>
      </c>
      <c r="P810" s="17" t="s">
        <v>1456</v>
      </c>
      <c r="Q810" s="17" t="s">
        <v>124</v>
      </c>
      <c r="R810" s="17" t="s">
        <v>102</v>
      </c>
      <c r="S810" s="17" t="s">
        <v>1623</v>
      </c>
      <c r="T810" s="17" t="s">
        <v>804</v>
      </c>
      <c r="U810" s="18" t="s">
        <v>19</v>
      </c>
      <c r="V810" s="17"/>
    </row>
    <row r="811" spans="1:22" x14ac:dyDescent="0.3">
      <c r="A811" s="18" t="e">
        <f t="shared" si="13"/>
        <v>#REF!</v>
      </c>
      <c r="B811" s="17">
        <v>119</v>
      </c>
      <c r="C811" s="17" t="s">
        <v>20</v>
      </c>
      <c r="D811" s="17" t="s">
        <v>1728</v>
      </c>
      <c r="E811" s="16">
        <v>45807</v>
      </c>
      <c r="F811" s="21" t="s">
        <v>28</v>
      </c>
      <c r="G811" s="51" t="s">
        <v>1751</v>
      </c>
      <c r="H811" s="57">
        <v>659743.78</v>
      </c>
      <c r="I811" s="16">
        <v>45808</v>
      </c>
      <c r="J811" s="36">
        <v>45802</v>
      </c>
      <c r="K811" s="17">
        <v>502</v>
      </c>
      <c r="L811" s="34">
        <v>502</v>
      </c>
      <c r="M811" s="34">
        <v>50</v>
      </c>
      <c r="N811" s="22">
        <v>45810</v>
      </c>
      <c r="O811" s="18" t="s">
        <v>21</v>
      </c>
      <c r="P811" s="17" t="s">
        <v>1456</v>
      </c>
      <c r="Q811" s="17" t="s">
        <v>124</v>
      </c>
      <c r="R811" s="17" t="s">
        <v>102</v>
      </c>
      <c r="S811" s="17" t="s">
        <v>1623</v>
      </c>
      <c r="T811" s="17" t="s">
        <v>804</v>
      </c>
      <c r="U811" s="18" t="s">
        <v>19</v>
      </c>
      <c r="V811" s="17"/>
    </row>
    <row r="812" spans="1:22" x14ac:dyDescent="0.3">
      <c r="A812" s="18" t="e">
        <f t="shared" si="13"/>
        <v>#REF!</v>
      </c>
      <c r="B812" s="17">
        <v>120</v>
      </c>
      <c r="C812" s="17" t="s">
        <v>20</v>
      </c>
      <c r="D812" s="17" t="s">
        <v>1729</v>
      </c>
      <c r="E812" s="16">
        <v>45807</v>
      </c>
      <c r="F812" s="21" t="s">
        <v>130</v>
      </c>
      <c r="G812" s="51" t="s">
        <v>1736</v>
      </c>
      <c r="H812" s="57">
        <v>221218.8</v>
      </c>
      <c r="I812" s="16">
        <v>45808</v>
      </c>
      <c r="J812" s="36">
        <v>45802</v>
      </c>
      <c r="K812" s="17">
        <v>160</v>
      </c>
      <c r="L812" s="34">
        <v>160</v>
      </c>
      <c r="M812" s="34">
        <v>16</v>
      </c>
      <c r="N812" s="22">
        <v>45811</v>
      </c>
      <c r="O812" s="18" t="s">
        <v>21</v>
      </c>
      <c r="P812" s="17" t="s">
        <v>1456</v>
      </c>
      <c r="Q812" s="17" t="s">
        <v>140</v>
      </c>
      <c r="R812" s="17" t="s">
        <v>102</v>
      </c>
      <c r="S812" s="17" t="s">
        <v>1623</v>
      </c>
      <c r="T812" s="17" t="s">
        <v>804</v>
      </c>
      <c r="U812" s="18" t="s">
        <v>19</v>
      </c>
      <c r="V812" s="17"/>
    </row>
    <row r="813" spans="1:22" x14ac:dyDescent="0.3">
      <c r="A813" s="18" t="e">
        <f t="shared" si="13"/>
        <v>#REF!</v>
      </c>
      <c r="B813" s="17">
        <v>120</v>
      </c>
      <c r="C813" s="17" t="s">
        <v>20</v>
      </c>
      <c r="D813" s="17" t="s">
        <v>1730</v>
      </c>
      <c r="E813" s="16">
        <v>45807</v>
      </c>
      <c r="F813" s="21" t="s">
        <v>64</v>
      </c>
      <c r="G813" s="51" t="s">
        <v>1737</v>
      </c>
      <c r="H813" s="57">
        <v>761697.3</v>
      </c>
      <c r="I813" s="16">
        <v>45808</v>
      </c>
      <c r="J813" s="36">
        <v>45802</v>
      </c>
      <c r="K813" s="17">
        <v>580</v>
      </c>
      <c r="L813" s="34">
        <v>580</v>
      </c>
      <c r="M813" s="34">
        <v>58</v>
      </c>
      <c r="N813" s="22">
        <v>45811</v>
      </c>
      <c r="O813" s="18" t="s">
        <v>21</v>
      </c>
      <c r="P813" s="17" t="s">
        <v>1456</v>
      </c>
      <c r="Q813" s="17" t="s">
        <v>140</v>
      </c>
      <c r="R813" s="17" t="s">
        <v>102</v>
      </c>
      <c r="S813" s="17" t="s">
        <v>1623</v>
      </c>
      <c r="T813" s="17" t="s">
        <v>804</v>
      </c>
      <c r="U813" s="18" t="s">
        <v>19</v>
      </c>
      <c r="V813" s="17"/>
    </row>
    <row r="814" spans="1:22" x14ac:dyDescent="0.3">
      <c r="A814" s="18" t="e">
        <f t="shared" si="13"/>
        <v>#REF!</v>
      </c>
      <c r="B814" s="17">
        <v>120</v>
      </c>
      <c r="C814" s="17" t="s">
        <v>20</v>
      </c>
      <c r="D814" s="17" t="s">
        <v>1731</v>
      </c>
      <c r="E814" s="16">
        <v>45807</v>
      </c>
      <c r="F814" s="21" t="s">
        <v>131</v>
      </c>
      <c r="G814" s="51" t="s">
        <v>1738</v>
      </c>
      <c r="H814" s="57">
        <v>122021.6</v>
      </c>
      <c r="I814" s="16">
        <v>45808</v>
      </c>
      <c r="J814" s="36">
        <v>45802</v>
      </c>
      <c r="K814" s="17">
        <v>100</v>
      </c>
      <c r="L814" s="34">
        <v>100</v>
      </c>
      <c r="M814" s="34">
        <v>10</v>
      </c>
      <c r="N814" s="22">
        <v>45811</v>
      </c>
      <c r="O814" s="18" t="s">
        <v>21</v>
      </c>
      <c r="P814" s="17" t="s">
        <v>1456</v>
      </c>
      <c r="Q814" s="17" t="s">
        <v>140</v>
      </c>
      <c r="R814" s="17" t="s">
        <v>102</v>
      </c>
      <c r="S814" s="17" t="s">
        <v>1623</v>
      </c>
      <c r="T814" s="17" t="s">
        <v>804</v>
      </c>
      <c r="U814" s="18" t="s">
        <v>19</v>
      </c>
      <c r="V814" s="17"/>
    </row>
    <row r="815" spans="1:22" x14ac:dyDescent="0.3">
      <c r="A815" s="18" t="e">
        <f t="shared" si="13"/>
        <v>#REF!</v>
      </c>
      <c r="B815" s="17">
        <v>120</v>
      </c>
      <c r="C815" s="17" t="s">
        <v>20</v>
      </c>
      <c r="D815" s="17" t="s">
        <v>1732</v>
      </c>
      <c r="E815" s="16">
        <v>45807</v>
      </c>
      <c r="F815" s="21" t="s">
        <v>117</v>
      </c>
      <c r="G815" s="51" t="s">
        <v>1739</v>
      </c>
      <c r="H815" s="57">
        <v>150435.1</v>
      </c>
      <c r="I815" s="16">
        <v>45808</v>
      </c>
      <c r="J815" s="36">
        <v>45802</v>
      </c>
      <c r="K815" s="17">
        <v>110</v>
      </c>
      <c r="L815" s="34">
        <v>110</v>
      </c>
      <c r="M815" s="34">
        <v>11</v>
      </c>
      <c r="N815" s="22">
        <v>45811</v>
      </c>
      <c r="O815" s="18" t="s">
        <v>21</v>
      </c>
      <c r="P815" s="17" t="s">
        <v>1456</v>
      </c>
      <c r="Q815" s="17" t="s">
        <v>140</v>
      </c>
      <c r="R815" s="17" t="s">
        <v>102</v>
      </c>
      <c r="S815" s="17" t="s">
        <v>1623</v>
      </c>
      <c r="T815" s="17" t="s">
        <v>804</v>
      </c>
      <c r="U815" s="18" t="s">
        <v>19</v>
      </c>
      <c r="V815" s="17"/>
    </row>
    <row r="816" spans="1:22" x14ac:dyDescent="0.3">
      <c r="A816" s="18" t="e">
        <f t="shared" si="13"/>
        <v>#REF!</v>
      </c>
      <c r="B816" s="17">
        <v>120</v>
      </c>
      <c r="C816" s="17" t="s">
        <v>20</v>
      </c>
      <c r="D816" s="17" t="s">
        <v>1733</v>
      </c>
      <c r="E816" s="16">
        <v>45807</v>
      </c>
      <c r="F816" s="21" t="s">
        <v>1207</v>
      </c>
      <c r="G816" s="51" t="s">
        <v>1740</v>
      </c>
      <c r="H816" s="57">
        <v>121366.2</v>
      </c>
      <c r="I816" s="16">
        <v>45808</v>
      </c>
      <c r="J816" s="36">
        <v>45802</v>
      </c>
      <c r="K816" s="17">
        <v>90</v>
      </c>
      <c r="L816" s="34">
        <v>90</v>
      </c>
      <c r="M816" s="34">
        <v>9</v>
      </c>
      <c r="N816" s="22">
        <v>45811</v>
      </c>
      <c r="O816" s="18" t="s">
        <v>21</v>
      </c>
      <c r="P816" s="17" t="s">
        <v>1456</v>
      </c>
      <c r="Q816" s="17" t="s">
        <v>140</v>
      </c>
      <c r="R816" s="17" t="s">
        <v>102</v>
      </c>
      <c r="S816" s="17" t="s">
        <v>1623</v>
      </c>
      <c r="T816" s="17" t="s">
        <v>804</v>
      </c>
      <c r="U816" s="18" t="s">
        <v>19</v>
      </c>
      <c r="V816" s="17"/>
    </row>
    <row r="817" spans="1:22" x14ac:dyDescent="0.3">
      <c r="A817" s="18" t="e">
        <f t="shared" si="13"/>
        <v>#REF!</v>
      </c>
      <c r="B817" s="17">
        <v>120</v>
      </c>
      <c r="C817" s="17" t="s">
        <v>20</v>
      </c>
      <c r="D817" s="17" t="s">
        <v>1734</v>
      </c>
      <c r="E817" s="16">
        <v>45807</v>
      </c>
      <c r="F817" s="21" t="s">
        <v>47</v>
      </c>
      <c r="G817" s="51" t="s">
        <v>1741</v>
      </c>
      <c r="H817" s="57">
        <v>9196.4</v>
      </c>
      <c r="I817" s="16">
        <v>45808</v>
      </c>
      <c r="J817" s="36">
        <v>45802</v>
      </c>
      <c r="K817" s="17">
        <v>10</v>
      </c>
      <c r="L817" s="34">
        <v>10</v>
      </c>
      <c r="M817" s="34">
        <v>1</v>
      </c>
      <c r="N817" s="22">
        <v>45811</v>
      </c>
      <c r="O817" s="18" t="s">
        <v>21</v>
      </c>
      <c r="P817" s="17" t="s">
        <v>1456</v>
      </c>
      <c r="Q817" s="17" t="s">
        <v>140</v>
      </c>
      <c r="R817" s="17" t="s">
        <v>102</v>
      </c>
      <c r="S817" s="17" t="s">
        <v>1623</v>
      </c>
      <c r="T817" s="17" t="s">
        <v>804</v>
      </c>
      <c r="U817" s="18" t="s">
        <v>19</v>
      </c>
      <c r="V817" s="17"/>
    </row>
    <row r="818" spans="1:22" x14ac:dyDescent="0.3">
      <c r="A818" s="18" t="e">
        <f t="shared" si="13"/>
        <v>#REF!</v>
      </c>
      <c r="B818" s="17">
        <v>120</v>
      </c>
      <c r="C818" s="17" t="s">
        <v>20</v>
      </c>
      <c r="D818" s="17" t="s">
        <v>1735</v>
      </c>
      <c r="E818" s="16">
        <v>45807</v>
      </c>
      <c r="F818" s="23" t="s">
        <v>43</v>
      </c>
      <c r="G818" s="51" t="s">
        <v>1742</v>
      </c>
      <c r="H818" s="57">
        <v>22071.360000000001</v>
      </c>
      <c r="I818" s="16">
        <v>45808</v>
      </c>
      <c r="J818" s="36">
        <v>45802</v>
      </c>
      <c r="K818" s="17">
        <v>24</v>
      </c>
      <c r="L818" s="34">
        <v>24</v>
      </c>
      <c r="M818" s="34">
        <v>2</v>
      </c>
      <c r="N818" s="22">
        <v>45811</v>
      </c>
      <c r="O818" s="18" t="s">
        <v>21</v>
      </c>
      <c r="P818" s="17" t="s">
        <v>1456</v>
      </c>
      <c r="Q818" s="17" t="s">
        <v>140</v>
      </c>
      <c r="R818" s="17" t="s">
        <v>102</v>
      </c>
      <c r="S818" s="17" t="s">
        <v>1623</v>
      </c>
      <c r="T818" s="17" t="s">
        <v>804</v>
      </c>
      <c r="U818" s="18" t="s">
        <v>19</v>
      </c>
      <c r="V818" s="17"/>
    </row>
    <row r="819" spans="1:22" x14ac:dyDescent="0.3">
      <c r="A819" s="18" t="e">
        <f t="shared" si="13"/>
        <v>#REF!</v>
      </c>
      <c r="B819" s="17">
        <v>119</v>
      </c>
      <c r="C819" s="17" t="s">
        <v>23</v>
      </c>
      <c r="D819" s="17" t="s">
        <v>1753</v>
      </c>
      <c r="E819" s="16">
        <v>45800</v>
      </c>
      <c r="F819" s="21" t="s">
        <v>786</v>
      </c>
      <c r="G819" s="51" t="s">
        <v>1758</v>
      </c>
      <c r="H819" s="57">
        <v>62065.2</v>
      </c>
      <c r="I819" s="16">
        <v>45808</v>
      </c>
      <c r="J819" s="36">
        <v>45802</v>
      </c>
      <c r="K819" s="17">
        <v>12</v>
      </c>
      <c r="L819" s="34">
        <v>192</v>
      </c>
      <c r="M819" s="34">
        <v>12</v>
      </c>
      <c r="N819" s="22">
        <v>45810</v>
      </c>
      <c r="O819" s="17" t="s">
        <v>21</v>
      </c>
      <c r="P819" s="17" t="s">
        <v>1456</v>
      </c>
      <c r="Q819" s="17" t="s">
        <v>124</v>
      </c>
      <c r="R819" s="17" t="s">
        <v>102</v>
      </c>
      <c r="S819" s="17" t="s">
        <v>1623</v>
      </c>
      <c r="T819" s="17" t="s">
        <v>804</v>
      </c>
      <c r="U819" s="18" t="s">
        <v>19</v>
      </c>
      <c r="V819" s="17"/>
    </row>
    <row r="820" spans="1:22" x14ac:dyDescent="0.3">
      <c r="A820" s="18" t="e">
        <f t="shared" si="13"/>
        <v>#REF!</v>
      </c>
      <c r="B820" s="17">
        <v>119</v>
      </c>
      <c r="C820" s="17" t="s">
        <v>23</v>
      </c>
      <c r="D820" s="17" t="s">
        <v>1754</v>
      </c>
      <c r="E820" s="16">
        <v>45805</v>
      </c>
      <c r="F820" s="21" t="s">
        <v>350</v>
      </c>
      <c r="G820" s="51" t="s">
        <v>1759</v>
      </c>
      <c r="H820" s="57">
        <v>47028.6</v>
      </c>
      <c r="I820" s="16">
        <v>45808</v>
      </c>
      <c r="J820" s="36">
        <v>45802</v>
      </c>
      <c r="K820" s="17">
        <v>6</v>
      </c>
      <c r="L820" s="34">
        <v>108</v>
      </c>
      <c r="M820" s="34">
        <v>6</v>
      </c>
      <c r="N820" s="22">
        <v>45810</v>
      </c>
      <c r="O820" s="17" t="s">
        <v>21</v>
      </c>
      <c r="P820" s="17" t="s">
        <v>1456</v>
      </c>
      <c r="Q820" s="17" t="s">
        <v>124</v>
      </c>
      <c r="R820" s="17" t="s">
        <v>102</v>
      </c>
      <c r="S820" s="17" t="s">
        <v>1623</v>
      </c>
      <c r="T820" s="17" t="s">
        <v>804</v>
      </c>
      <c r="U820" s="18" t="s">
        <v>19</v>
      </c>
      <c r="V820" s="17"/>
    </row>
    <row r="821" spans="1:22" x14ac:dyDescent="0.3">
      <c r="A821" s="18" t="e">
        <f t="shared" si="13"/>
        <v>#REF!</v>
      </c>
      <c r="B821" s="17">
        <v>119</v>
      </c>
      <c r="C821" s="17" t="s">
        <v>23</v>
      </c>
      <c r="D821" s="17" t="s">
        <v>1755</v>
      </c>
      <c r="E821" s="16">
        <v>45806</v>
      </c>
      <c r="F821" s="21" t="s">
        <v>64</v>
      </c>
      <c r="G821" s="51" t="s">
        <v>1760</v>
      </c>
      <c r="H821" s="57">
        <v>154892.4</v>
      </c>
      <c r="I821" s="16">
        <v>45808</v>
      </c>
      <c r="J821" s="36">
        <v>45802</v>
      </c>
      <c r="K821" s="17">
        <v>17</v>
      </c>
      <c r="L821" s="34">
        <v>408</v>
      </c>
      <c r="M821" s="34">
        <v>17</v>
      </c>
      <c r="N821" s="22">
        <v>45810</v>
      </c>
      <c r="O821" s="17" t="s">
        <v>21</v>
      </c>
      <c r="P821" s="17" t="s">
        <v>1456</v>
      </c>
      <c r="Q821" s="17" t="s">
        <v>124</v>
      </c>
      <c r="R821" s="17" t="s">
        <v>102</v>
      </c>
      <c r="S821" s="17" t="s">
        <v>1623</v>
      </c>
      <c r="T821" s="17" t="s">
        <v>804</v>
      </c>
      <c r="U821" s="18" t="s">
        <v>19</v>
      </c>
      <c r="V821" s="17"/>
    </row>
    <row r="822" spans="1:22" x14ac:dyDescent="0.3">
      <c r="A822" s="18" t="e">
        <f t="shared" si="13"/>
        <v>#REF!</v>
      </c>
      <c r="B822" s="17">
        <v>119</v>
      </c>
      <c r="C822" s="17" t="s">
        <v>23</v>
      </c>
      <c r="D822" s="17" t="s">
        <v>1756</v>
      </c>
      <c r="E822" s="16">
        <v>45807</v>
      </c>
      <c r="F822" s="21" t="s">
        <v>28</v>
      </c>
      <c r="G822" s="51" t="s">
        <v>1764</v>
      </c>
      <c r="H822" s="57">
        <v>300103.32</v>
      </c>
      <c r="I822" s="16">
        <v>45808</v>
      </c>
      <c r="J822" s="36">
        <v>45802</v>
      </c>
      <c r="K822" s="17">
        <v>29</v>
      </c>
      <c r="L822" s="34">
        <v>684</v>
      </c>
      <c r="M822" s="34">
        <v>29</v>
      </c>
      <c r="N822" s="22">
        <v>45810</v>
      </c>
      <c r="O822" s="17" t="s">
        <v>21</v>
      </c>
      <c r="P822" s="17" t="s">
        <v>1456</v>
      </c>
      <c r="Q822" s="17" t="s">
        <v>124</v>
      </c>
      <c r="R822" s="17" t="s">
        <v>102</v>
      </c>
      <c r="S822" s="17" t="s">
        <v>1623</v>
      </c>
      <c r="T822" s="17" t="s">
        <v>804</v>
      </c>
      <c r="U822" s="18" t="s">
        <v>19</v>
      </c>
      <c r="V822" s="17"/>
    </row>
    <row r="823" spans="1:22" x14ac:dyDescent="0.3">
      <c r="A823" s="18" t="e">
        <f t="shared" ref="A823:A867" si="14">A822+1</f>
        <v>#REF!</v>
      </c>
      <c r="B823" s="17">
        <v>119</v>
      </c>
      <c r="C823" s="17" t="s">
        <v>23</v>
      </c>
      <c r="D823" s="29" t="s">
        <v>1757</v>
      </c>
      <c r="E823" s="16">
        <v>45808</v>
      </c>
      <c r="F823" s="23" t="s">
        <v>131</v>
      </c>
      <c r="G823" s="51" t="s">
        <v>1762</v>
      </c>
      <c r="H823" s="57">
        <v>66398.399999999994</v>
      </c>
      <c r="I823" s="16">
        <v>45808</v>
      </c>
      <c r="J823" s="36">
        <v>45802</v>
      </c>
      <c r="K823" s="17">
        <v>6</v>
      </c>
      <c r="L823" s="34">
        <v>144</v>
      </c>
      <c r="M823" s="34">
        <v>6</v>
      </c>
      <c r="N823" s="22">
        <v>45810</v>
      </c>
      <c r="O823" s="17" t="s">
        <v>21</v>
      </c>
      <c r="P823" s="17" t="s">
        <v>1456</v>
      </c>
      <c r="Q823" s="17" t="s">
        <v>124</v>
      </c>
      <c r="R823" s="17" t="s">
        <v>102</v>
      </c>
      <c r="S823" s="17" t="s">
        <v>1623</v>
      </c>
      <c r="T823" s="17" t="s">
        <v>804</v>
      </c>
      <c r="U823" s="18" t="s">
        <v>19</v>
      </c>
      <c r="V823" s="17"/>
    </row>
    <row r="824" spans="1:22" x14ac:dyDescent="0.3">
      <c r="A824" s="18" t="e">
        <f t="shared" si="14"/>
        <v>#REF!</v>
      </c>
      <c r="B824" s="17">
        <v>120</v>
      </c>
      <c r="C824" s="17" t="s">
        <v>23</v>
      </c>
      <c r="D824" s="29" t="s">
        <v>1763</v>
      </c>
      <c r="E824" s="16">
        <v>45808</v>
      </c>
      <c r="F824" s="23" t="s">
        <v>43</v>
      </c>
      <c r="G824" s="51" t="s">
        <v>1761</v>
      </c>
      <c r="H824" s="57">
        <v>49792.56</v>
      </c>
      <c r="I824" s="16">
        <v>45808</v>
      </c>
      <c r="J824" s="36">
        <v>45802</v>
      </c>
      <c r="K824" s="17">
        <v>5</v>
      </c>
      <c r="L824" s="34">
        <v>120</v>
      </c>
      <c r="M824" s="34">
        <v>5</v>
      </c>
      <c r="N824" s="22">
        <v>45811</v>
      </c>
      <c r="O824" s="17" t="s">
        <v>21</v>
      </c>
      <c r="P824" s="17" t="s">
        <v>1456</v>
      </c>
      <c r="Q824" s="17" t="s">
        <v>140</v>
      </c>
      <c r="R824" s="17" t="s">
        <v>102</v>
      </c>
      <c r="S824" s="17" t="s">
        <v>1623</v>
      </c>
      <c r="T824" s="17" t="s">
        <v>804</v>
      </c>
      <c r="U824" s="18" t="s">
        <v>19</v>
      </c>
      <c r="V824" s="17"/>
    </row>
    <row r="825" spans="1:22" x14ac:dyDescent="0.3">
      <c r="A825" s="18" t="e">
        <f t="shared" si="14"/>
        <v>#REF!</v>
      </c>
      <c r="B825" s="17">
        <v>120</v>
      </c>
      <c r="C825" s="17" t="s">
        <v>20</v>
      </c>
      <c r="D825" s="17" t="s">
        <v>1771</v>
      </c>
      <c r="E825" s="16">
        <v>45810</v>
      </c>
      <c r="F825" s="23" t="s">
        <v>728</v>
      </c>
      <c r="G825" s="51" t="s">
        <v>1772</v>
      </c>
      <c r="H825" s="56">
        <v>133551.98000000001</v>
      </c>
      <c r="I825" s="16">
        <v>45811</v>
      </c>
      <c r="J825" s="36">
        <v>45833</v>
      </c>
      <c r="K825" s="17">
        <v>102</v>
      </c>
      <c r="L825" s="34">
        <v>102</v>
      </c>
      <c r="M825" s="34">
        <v>10</v>
      </c>
      <c r="N825" s="22">
        <v>45811</v>
      </c>
      <c r="O825" s="17" t="s">
        <v>21</v>
      </c>
      <c r="P825" s="17" t="s">
        <v>1456</v>
      </c>
      <c r="Q825" s="17" t="s">
        <v>140</v>
      </c>
      <c r="R825" s="17" t="s">
        <v>102</v>
      </c>
      <c r="S825" s="17" t="s">
        <v>1623</v>
      </c>
      <c r="T825" s="17" t="s">
        <v>804</v>
      </c>
      <c r="U825" s="18" t="s">
        <v>19</v>
      </c>
      <c r="V825" s="17"/>
    </row>
    <row r="826" spans="1:22" x14ac:dyDescent="0.3">
      <c r="A826" s="18" t="e">
        <f t="shared" si="14"/>
        <v>#REF!</v>
      </c>
      <c r="B826" s="17">
        <v>120</v>
      </c>
      <c r="C826" s="17" t="s">
        <v>23</v>
      </c>
      <c r="D826" s="29" t="s">
        <v>1773</v>
      </c>
      <c r="E826" s="16">
        <v>45810</v>
      </c>
      <c r="F826" s="21" t="s">
        <v>35</v>
      </c>
      <c r="G826" s="51" t="s">
        <v>1774</v>
      </c>
      <c r="H826" s="56">
        <v>42265.599999999999</v>
      </c>
      <c r="I826" s="16">
        <v>45811</v>
      </c>
      <c r="J826" s="36">
        <v>45833</v>
      </c>
      <c r="K826" s="17">
        <v>96</v>
      </c>
      <c r="L826" s="34">
        <v>96</v>
      </c>
      <c r="M826" s="34">
        <v>4</v>
      </c>
      <c r="N826" s="22">
        <v>45811</v>
      </c>
      <c r="O826" s="17" t="s">
        <v>21</v>
      </c>
      <c r="P826" s="17" t="s">
        <v>1456</v>
      </c>
      <c r="Q826" s="17" t="s">
        <v>140</v>
      </c>
      <c r="R826" s="17" t="s">
        <v>102</v>
      </c>
      <c r="S826" s="17" t="s">
        <v>1623</v>
      </c>
      <c r="T826" s="17" t="s">
        <v>804</v>
      </c>
      <c r="U826" s="18" t="s">
        <v>19</v>
      </c>
      <c r="V826" s="17"/>
    </row>
    <row r="827" spans="1:22" x14ac:dyDescent="0.3">
      <c r="A827" s="18" t="e">
        <f t="shared" si="14"/>
        <v>#REF!</v>
      </c>
      <c r="B827" s="17">
        <v>120</v>
      </c>
      <c r="C827" s="17" t="s">
        <v>23</v>
      </c>
      <c r="D827" s="29" t="s">
        <v>1775</v>
      </c>
      <c r="E827" s="16">
        <v>45810</v>
      </c>
      <c r="F827" s="21" t="s">
        <v>929</v>
      </c>
      <c r="G827" s="51" t="s">
        <v>1776</v>
      </c>
      <c r="H827" s="56">
        <v>354838.8</v>
      </c>
      <c r="I827" s="16">
        <v>45811</v>
      </c>
      <c r="J827" s="36">
        <v>45833</v>
      </c>
      <c r="K827" s="17">
        <v>1164</v>
      </c>
      <c r="L827" s="34">
        <v>1164</v>
      </c>
      <c r="M827" s="34">
        <v>39</v>
      </c>
      <c r="N827" s="22">
        <v>45811</v>
      </c>
      <c r="O827" s="17" t="s">
        <v>21</v>
      </c>
      <c r="P827" s="17" t="s">
        <v>1456</v>
      </c>
      <c r="Q827" s="17" t="s">
        <v>140</v>
      </c>
      <c r="R827" s="17" t="s">
        <v>102</v>
      </c>
      <c r="S827" s="17" t="s">
        <v>1623</v>
      </c>
      <c r="T827" s="17" t="s">
        <v>804</v>
      </c>
      <c r="U827" s="18" t="s">
        <v>19</v>
      </c>
      <c r="V827" s="17"/>
    </row>
    <row r="828" spans="1:22" x14ac:dyDescent="0.3">
      <c r="A828" s="18" t="e">
        <f t="shared" si="14"/>
        <v>#REF!</v>
      </c>
      <c r="B828" s="17">
        <v>120</v>
      </c>
      <c r="C828" s="17" t="s">
        <v>23</v>
      </c>
      <c r="D828" s="29" t="s">
        <v>1775</v>
      </c>
      <c r="E828" s="16">
        <v>45810</v>
      </c>
      <c r="F828" s="21" t="s">
        <v>929</v>
      </c>
      <c r="G828" s="51" t="s">
        <v>1777</v>
      </c>
      <c r="H828" s="56">
        <v>289702</v>
      </c>
      <c r="I828" s="16">
        <v>45811</v>
      </c>
      <c r="J828" s="36">
        <v>45833</v>
      </c>
      <c r="K828" s="17">
        <v>960</v>
      </c>
      <c r="L828" s="34">
        <v>960</v>
      </c>
      <c r="M828" s="34">
        <v>30</v>
      </c>
      <c r="N828" s="22">
        <v>45811</v>
      </c>
      <c r="O828" s="17" t="s">
        <v>21</v>
      </c>
      <c r="P828" s="17" t="s">
        <v>1456</v>
      </c>
      <c r="Q828" s="17" t="s">
        <v>140</v>
      </c>
      <c r="R828" s="17" t="s">
        <v>102</v>
      </c>
      <c r="S828" s="17" t="s">
        <v>1623</v>
      </c>
      <c r="T828" s="17" t="s">
        <v>804</v>
      </c>
      <c r="U828" s="18" t="s">
        <v>19</v>
      </c>
      <c r="V828" s="17"/>
    </row>
    <row r="829" spans="1:22" x14ac:dyDescent="0.3">
      <c r="A829" s="18" t="e">
        <f t="shared" si="14"/>
        <v>#REF!</v>
      </c>
      <c r="B829" s="17">
        <v>120</v>
      </c>
      <c r="C829" s="17" t="s">
        <v>23</v>
      </c>
      <c r="D829" s="29" t="s">
        <v>1775</v>
      </c>
      <c r="E829" s="16">
        <v>45810</v>
      </c>
      <c r="F829" s="21" t="s">
        <v>929</v>
      </c>
      <c r="G829" s="51" t="s">
        <v>1778</v>
      </c>
      <c r="H829" s="56">
        <v>232449.78</v>
      </c>
      <c r="I829" s="16">
        <v>45811</v>
      </c>
      <c r="J829" s="36">
        <v>45833</v>
      </c>
      <c r="K829" s="17">
        <v>690</v>
      </c>
      <c r="L829" s="34">
        <v>690</v>
      </c>
      <c r="M829" s="34">
        <v>30</v>
      </c>
      <c r="N829" s="22">
        <v>45811</v>
      </c>
      <c r="O829" s="17" t="s">
        <v>21</v>
      </c>
      <c r="P829" s="17" t="s">
        <v>1456</v>
      </c>
      <c r="Q829" s="17" t="s">
        <v>140</v>
      </c>
      <c r="R829" s="17" t="s">
        <v>102</v>
      </c>
      <c r="S829" s="17" t="s">
        <v>1623</v>
      </c>
      <c r="T829" s="17" t="s">
        <v>804</v>
      </c>
      <c r="U829" s="18" t="s">
        <v>19</v>
      </c>
      <c r="V829" s="17"/>
    </row>
    <row r="830" spans="1:22" x14ac:dyDescent="0.3">
      <c r="A830" s="18" t="e">
        <f t="shared" si="14"/>
        <v>#REF!</v>
      </c>
      <c r="B830" s="17">
        <v>121</v>
      </c>
      <c r="C830" s="17" t="s">
        <v>23</v>
      </c>
      <c r="D830" s="17" t="s">
        <v>1779</v>
      </c>
      <c r="E830" s="16">
        <v>45810</v>
      </c>
      <c r="F830" s="21" t="s">
        <v>929</v>
      </c>
      <c r="G830" s="51" t="s">
        <v>1792</v>
      </c>
      <c r="H830" s="56">
        <v>190488</v>
      </c>
      <c r="I830" s="16">
        <v>45812</v>
      </c>
      <c r="J830" s="36">
        <v>45833</v>
      </c>
      <c r="K830" s="17">
        <v>20</v>
      </c>
      <c r="L830" s="34">
        <v>600</v>
      </c>
      <c r="M830" s="34">
        <v>20</v>
      </c>
      <c r="N830" s="22">
        <v>45812</v>
      </c>
      <c r="O830" s="17" t="s">
        <v>21</v>
      </c>
      <c r="P830" s="17" t="s">
        <v>1456</v>
      </c>
      <c r="Q830" s="17" t="s">
        <v>140</v>
      </c>
      <c r="R830" s="17" t="s">
        <v>102</v>
      </c>
      <c r="S830" s="17" t="s">
        <v>1623</v>
      </c>
      <c r="T830" s="17" t="s">
        <v>804</v>
      </c>
      <c r="U830" s="18" t="s">
        <v>19</v>
      </c>
      <c r="V830" s="17"/>
    </row>
    <row r="831" spans="1:22" x14ac:dyDescent="0.3">
      <c r="A831" s="18" t="e">
        <f t="shared" si="14"/>
        <v>#REF!</v>
      </c>
      <c r="B831" s="17">
        <v>121</v>
      </c>
      <c r="C831" s="17" t="s">
        <v>23</v>
      </c>
      <c r="D831" s="17" t="s">
        <v>1780</v>
      </c>
      <c r="E831" s="16">
        <v>45811</v>
      </c>
      <c r="F831" s="21" t="s">
        <v>41</v>
      </c>
      <c r="G831" s="51" t="s">
        <v>1791</v>
      </c>
      <c r="H831" s="56">
        <v>344264.88</v>
      </c>
      <c r="I831" s="16">
        <v>45812</v>
      </c>
      <c r="J831" s="36">
        <v>45833</v>
      </c>
      <c r="K831" s="17">
        <v>33</v>
      </c>
      <c r="L831" s="34">
        <v>792</v>
      </c>
      <c r="M831" s="34">
        <v>33</v>
      </c>
      <c r="N831" s="22">
        <v>45812</v>
      </c>
      <c r="O831" s="17" t="s">
        <v>21</v>
      </c>
      <c r="P831" s="17" t="s">
        <v>1456</v>
      </c>
      <c r="Q831" s="17" t="s">
        <v>140</v>
      </c>
      <c r="R831" s="17" t="s">
        <v>102</v>
      </c>
      <c r="S831" s="17" t="s">
        <v>1623</v>
      </c>
      <c r="T831" s="17" t="s">
        <v>804</v>
      </c>
      <c r="U831" s="18" t="s">
        <v>19</v>
      </c>
      <c r="V831" s="17"/>
    </row>
    <row r="832" spans="1:22" x14ac:dyDescent="0.3">
      <c r="A832" s="18" t="e">
        <f t="shared" si="14"/>
        <v>#REF!</v>
      </c>
      <c r="B832" s="17">
        <v>121</v>
      </c>
      <c r="C832" s="17" t="s">
        <v>23</v>
      </c>
      <c r="D832" s="17" t="s">
        <v>1781</v>
      </c>
      <c r="E832" s="16">
        <v>45811</v>
      </c>
      <c r="F832" s="21" t="s">
        <v>41</v>
      </c>
      <c r="G832" s="51" t="s">
        <v>1790</v>
      </c>
      <c r="H832" s="56">
        <v>217560.48</v>
      </c>
      <c r="I832" s="16">
        <v>45812</v>
      </c>
      <c r="J832" s="36">
        <v>45833</v>
      </c>
      <c r="K832" s="17">
        <v>28</v>
      </c>
      <c r="L832" s="34">
        <v>624</v>
      </c>
      <c r="M832" s="34">
        <v>28</v>
      </c>
      <c r="N832" s="22">
        <v>45812</v>
      </c>
      <c r="O832" s="17" t="s">
        <v>21</v>
      </c>
      <c r="P832" s="17" t="s">
        <v>1456</v>
      </c>
      <c r="Q832" s="17" t="s">
        <v>140</v>
      </c>
      <c r="R832" s="17" t="s">
        <v>102</v>
      </c>
      <c r="S832" s="17" t="s">
        <v>1623</v>
      </c>
      <c r="T832" s="17" t="s">
        <v>804</v>
      </c>
      <c r="U832" s="18" t="s">
        <v>19</v>
      </c>
      <c r="V832" s="17"/>
    </row>
    <row r="833" spans="1:22" x14ac:dyDescent="0.3">
      <c r="A833" s="18" t="e">
        <f t="shared" si="14"/>
        <v>#REF!</v>
      </c>
      <c r="B833" s="17">
        <v>121</v>
      </c>
      <c r="C833" s="17" t="s">
        <v>23</v>
      </c>
      <c r="D833" s="17" t="s">
        <v>1782</v>
      </c>
      <c r="E833" s="16">
        <v>45811</v>
      </c>
      <c r="F833" s="21" t="s">
        <v>41</v>
      </c>
      <c r="G833" s="51" t="s">
        <v>1794</v>
      </c>
      <c r="H833" s="56">
        <v>296293.2</v>
      </c>
      <c r="I833" s="16">
        <v>45812</v>
      </c>
      <c r="J833" s="36">
        <v>45833</v>
      </c>
      <c r="K833" s="17">
        <v>35</v>
      </c>
      <c r="L833" s="34">
        <v>720</v>
      </c>
      <c r="M833" s="34">
        <v>35</v>
      </c>
      <c r="N833" s="22">
        <v>45812</v>
      </c>
      <c r="O833" s="17" t="s">
        <v>21</v>
      </c>
      <c r="P833" s="17" t="s">
        <v>1456</v>
      </c>
      <c r="Q833" s="17" t="s">
        <v>140</v>
      </c>
      <c r="R833" s="17" t="s">
        <v>102</v>
      </c>
      <c r="S833" s="17" t="s">
        <v>1623</v>
      </c>
      <c r="T833" s="17" t="s">
        <v>804</v>
      </c>
      <c r="U833" s="18" t="s">
        <v>19</v>
      </c>
      <c r="V833" s="17"/>
    </row>
    <row r="834" spans="1:22" x14ac:dyDescent="0.3">
      <c r="A834" s="18" t="e">
        <f t="shared" si="14"/>
        <v>#REF!</v>
      </c>
      <c r="B834" s="17">
        <v>121</v>
      </c>
      <c r="C834" s="17" t="s">
        <v>23</v>
      </c>
      <c r="D834" s="17" t="s">
        <v>1783</v>
      </c>
      <c r="E834" s="16">
        <v>45811</v>
      </c>
      <c r="F834" s="21" t="s">
        <v>41</v>
      </c>
      <c r="G834" s="51" t="s">
        <v>1793</v>
      </c>
      <c r="H834" s="56">
        <v>196067.76</v>
      </c>
      <c r="I834" s="16">
        <v>45812</v>
      </c>
      <c r="J834" s="36">
        <v>45833</v>
      </c>
      <c r="K834" s="17">
        <v>22</v>
      </c>
      <c r="L834" s="34">
        <v>528</v>
      </c>
      <c r="M834" s="34">
        <v>22</v>
      </c>
      <c r="N834" s="22">
        <v>45812</v>
      </c>
      <c r="O834" s="17" t="s">
        <v>21</v>
      </c>
      <c r="P834" s="17" t="s">
        <v>1456</v>
      </c>
      <c r="Q834" s="17" t="s">
        <v>140</v>
      </c>
      <c r="R834" s="17" t="s">
        <v>102</v>
      </c>
      <c r="S834" s="17" t="s">
        <v>1623</v>
      </c>
      <c r="T834" s="17" t="s">
        <v>804</v>
      </c>
      <c r="U834" s="18" t="s">
        <v>19</v>
      </c>
      <c r="V834" s="17"/>
    </row>
    <row r="835" spans="1:22" x14ac:dyDescent="0.3">
      <c r="A835" s="18" t="e">
        <f t="shared" si="14"/>
        <v>#REF!</v>
      </c>
      <c r="B835" s="17">
        <v>121</v>
      </c>
      <c r="C835" s="17" t="s">
        <v>23</v>
      </c>
      <c r="D835" s="17" t="s">
        <v>1784</v>
      </c>
      <c r="E835" s="16">
        <v>45811</v>
      </c>
      <c r="F835" s="21" t="s">
        <v>41</v>
      </c>
      <c r="G835" s="51" t="s">
        <v>1789</v>
      </c>
      <c r="H835" s="56">
        <v>29506.32</v>
      </c>
      <c r="I835" s="16">
        <v>45812</v>
      </c>
      <c r="J835" s="36">
        <v>45833</v>
      </c>
      <c r="K835" s="17">
        <v>6</v>
      </c>
      <c r="L835" s="34">
        <v>72</v>
      </c>
      <c r="M835" s="34">
        <v>6</v>
      </c>
      <c r="N835" s="22">
        <v>45812</v>
      </c>
      <c r="O835" s="17" t="s">
        <v>21</v>
      </c>
      <c r="P835" s="17" t="s">
        <v>1456</v>
      </c>
      <c r="Q835" s="17" t="s">
        <v>140</v>
      </c>
      <c r="R835" s="17" t="s">
        <v>102</v>
      </c>
      <c r="S835" s="17" t="s">
        <v>1623</v>
      </c>
      <c r="T835" s="17" t="s">
        <v>804</v>
      </c>
      <c r="U835" s="18" t="s">
        <v>19</v>
      </c>
      <c r="V835" s="17"/>
    </row>
    <row r="836" spans="1:22" x14ac:dyDescent="0.3">
      <c r="A836" s="18" t="e">
        <f t="shared" si="14"/>
        <v>#REF!</v>
      </c>
      <c r="B836" s="17">
        <v>121</v>
      </c>
      <c r="C836" s="17" t="s">
        <v>20</v>
      </c>
      <c r="D836" s="29" t="s">
        <v>1785</v>
      </c>
      <c r="E836" s="16">
        <v>45807</v>
      </c>
      <c r="F836" s="21" t="s">
        <v>1204</v>
      </c>
      <c r="G836" s="52" t="s">
        <v>1918</v>
      </c>
      <c r="H836" s="56">
        <v>32319.919999999998</v>
      </c>
      <c r="I836" s="16">
        <v>45812</v>
      </c>
      <c r="J836" s="36">
        <v>45833</v>
      </c>
      <c r="K836" s="17">
        <v>38</v>
      </c>
      <c r="L836" s="34">
        <v>38</v>
      </c>
      <c r="M836" s="34">
        <v>4</v>
      </c>
      <c r="N836" s="22">
        <v>45812</v>
      </c>
      <c r="O836" s="17" t="s">
        <v>21</v>
      </c>
      <c r="P836" s="17" t="s">
        <v>1456</v>
      </c>
      <c r="Q836" s="17" t="s">
        <v>140</v>
      </c>
      <c r="R836" s="17" t="s">
        <v>102</v>
      </c>
      <c r="S836" s="17" t="s">
        <v>1623</v>
      </c>
      <c r="T836" s="17" t="s">
        <v>804</v>
      </c>
      <c r="U836" s="18" t="s">
        <v>19</v>
      </c>
      <c r="V836" s="17"/>
    </row>
    <row r="837" spans="1:22" x14ac:dyDescent="0.3">
      <c r="A837" s="18" t="e">
        <f t="shared" si="14"/>
        <v>#REF!</v>
      </c>
      <c r="B837" s="17">
        <v>121</v>
      </c>
      <c r="C837" s="17" t="s">
        <v>20</v>
      </c>
      <c r="D837" s="17" t="s">
        <v>1786</v>
      </c>
      <c r="E837" s="16">
        <v>45811</v>
      </c>
      <c r="F837" s="21" t="s">
        <v>35</v>
      </c>
      <c r="G837" s="52" t="s">
        <v>1920</v>
      </c>
      <c r="H837" s="57">
        <v>57972.1</v>
      </c>
      <c r="I837" s="16">
        <v>45812</v>
      </c>
      <c r="J837" s="36">
        <v>45833</v>
      </c>
      <c r="K837" s="17">
        <v>50</v>
      </c>
      <c r="L837" s="34">
        <v>50</v>
      </c>
      <c r="M837" s="34"/>
      <c r="N837" s="17" t="s">
        <v>1795</v>
      </c>
      <c r="O837" s="18" t="s">
        <v>1770</v>
      </c>
      <c r="P837" s="18" t="s">
        <v>1770</v>
      </c>
      <c r="Q837" s="18" t="s">
        <v>1770</v>
      </c>
      <c r="R837" s="18" t="s">
        <v>1770</v>
      </c>
      <c r="S837" s="18" t="s">
        <v>1770</v>
      </c>
      <c r="T837" s="18" t="s">
        <v>1770</v>
      </c>
      <c r="U837" s="18" t="s">
        <v>19</v>
      </c>
      <c r="V837" s="17"/>
    </row>
    <row r="838" spans="1:22" x14ac:dyDescent="0.3">
      <c r="A838" s="18" t="e">
        <f t="shared" si="14"/>
        <v>#REF!</v>
      </c>
      <c r="B838" s="17">
        <v>121</v>
      </c>
      <c r="C838" s="17" t="s">
        <v>20</v>
      </c>
      <c r="D838" s="17" t="s">
        <v>1787</v>
      </c>
      <c r="E838" s="16">
        <v>45811</v>
      </c>
      <c r="F838" s="21" t="s">
        <v>123</v>
      </c>
      <c r="G838" s="52" t="s">
        <v>1921</v>
      </c>
      <c r="H838" s="57">
        <v>94593.600000000006</v>
      </c>
      <c r="I838" s="16">
        <v>45812</v>
      </c>
      <c r="J838" s="36">
        <v>45833</v>
      </c>
      <c r="K838" s="17">
        <v>90</v>
      </c>
      <c r="L838" s="34">
        <v>90</v>
      </c>
      <c r="M838" s="34"/>
      <c r="N838" s="17" t="s">
        <v>1795</v>
      </c>
      <c r="O838" s="18" t="s">
        <v>1770</v>
      </c>
      <c r="P838" s="18" t="s">
        <v>1770</v>
      </c>
      <c r="Q838" s="18" t="s">
        <v>1770</v>
      </c>
      <c r="R838" s="18" t="s">
        <v>1770</v>
      </c>
      <c r="S838" s="18" t="s">
        <v>1770</v>
      </c>
      <c r="T838" s="18" t="s">
        <v>1770</v>
      </c>
      <c r="U838" s="18" t="s">
        <v>19</v>
      </c>
      <c r="V838" s="17"/>
    </row>
    <row r="839" spans="1:22" x14ac:dyDescent="0.3">
      <c r="A839" s="18" t="e">
        <f t="shared" si="14"/>
        <v>#REF!</v>
      </c>
      <c r="B839" s="17">
        <v>121</v>
      </c>
      <c r="C839" s="17" t="s">
        <v>20</v>
      </c>
      <c r="D839" s="17" t="s">
        <v>1788</v>
      </c>
      <c r="E839" s="16">
        <v>45811</v>
      </c>
      <c r="F839" s="21" t="s">
        <v>118</v>
      </c>
      <c r="G839" s="52" t="s">
        <v>1919</v>
      </c>
      <c r="H839" s="57">
        <v>22071.360000000001</v>
      </c>
      <c r="I839" s="16">
        <v>45812</v>
      </c>
      <c r="J839" s="36">
        <v>45833</v>
      </c>
      <c r="K839" s="17">
        <v>24</v>
      </c>
      <c r="L839" s="34">
        <v>24</v>
      </c>
      <c r="M839" s="34"/>
      <c r="N839" s="17" t="s">
        <v>1795</v>
      </c>
      <c r="O839" s="18" t="s">
        <v>1770</v>
      </c>
      <c r="P839" s="18" t="s">
        <v>1770</v>
      </c>
      <c r="Q839" s="18" t="s">
        <v>1770</v>
      </c>
      <c r="R839" s="18" t="s">
        <v>1770</v>
      </c>
      <c r="S839" s="18" t="s">
        <v>1770</v>
      </c>
      <c r="T839" s="18" t="s">
        <v>1770</v>
      </c>
      <c r="U839" s="18" t="s">
        <v>19</v>
      </c>
      <c r="V839" s="17"/>
    </row>
    <row r="840" spans="1:22" x14ac:dyDescent="0.3">
      <c r="A840" s="18" t="e">
        <f t="shared" si="14"/>
        <v>#REF!</v>
      </c>
      <c r="B840" s="17">
        <v>122</v>
      </c>
      <c r="C840" s="17" t="s">
        <v>20</v>
      </c>
      <c r="D840" s="17" t="s">
        <v>1801</v>
      </c>
      <c r="E840" s="16">
        <v>45812</v>
      </c>
      <c r="F840" s="21" t="s">
        <v>47</v>
      </c>
      <c r="G840" s="51" t="s">
        <v>1802</v>
      </c>
      <c r="H840" s="57">
        <v>150890.72</v>
      </c>
      <c r="I840" s="16">
        <v>45817</v>
      </c>
      <c r="J840" s="36">
        <v>45833</v>
      </c>
      <c r="K840" s="17">
        <v>138</v>
      </c>
      <c r="L840" s="34">
        <v>138</v>
      </c>
      <c r="M840" s="34">
        <v>13</v>
      </c>
      <c r="N840" s="22">
        <v>45817</v>
      </c>
      <c r="O840" s="18" t="s">
        <v>21</v>
      </c>
      <c r="P840" s="18" t="s">
        <v>1456</v>
      </c>
      <c r="Q840" s="17" t="s">
        <v>101</v>
      </c>
      <c r="R840" s="17" t="s">
        <v>102</v>
      </c>
      <c r="S840" s="17" t="s">
        <v>1623</v>
      </c>
      <c r="T840" s="17" t="s">
        <v>804</v>
      </c>
      <c r="U840" s="18" t="s">
        <v>19</v>
      </c>
      <c r="V840" s="17"/>
    </row>
    <row r="841" spans="1:22" x14ac:dyDescent="0.3">
      <c r="A841" s="18" t="e">
        <f t="shared" si="14"/>
        <v>#REF!</v>
      </c>
      <c r="B841" s="17">
        <v>122</v>
      </c>
      <c r="C841" s="17" t="s">
        <v>20</v>
      </c>
      <c r="D841" s="17" t="s">
        <v>1796</v>
      </c>
      <c r="E841" s="16">
        <v>45812</v>
      </c>
      <c r="F841" s="21" t="s">
        <v>28</v>
      </c>
      <c r="G841" s="51" t="s">
        <v>1803</v>
      </c>
      <c r="H841" s="57">
        <v>275250.40000000002</v>
      </c>
      <c r="I841" s="16">
        <v>45817</v>
      </c>
      <c r="J841" s="36">
        <v>45833</v>
      </c>
      <c r="K841" s="34">
        <v>200</v>
      </c>
      <c r="L841" s="34">
        <v>200</v>
      </c>
      <c r="M841" s="34">
        <v>20</v>
      </c>
      <c r="N841" s="22">
        <v>45817</v>
      </c>
      <c r="O841" s="18" t="s">
        <v>21</v>
      </c>
      <c r="P841" s="18" t="s">
        <v>1456</v>
      </c>
      <c r="Q841" s="17" t="s">
        <v>101</v>
      </c>
      <c r="R841" s="17" t="s">
        <v>102</v>
      </c>
      <c r="S841" s="17" t="s">
        <v>1623</v>
      </c>
      <c r="T841" s="17" t="s">
        <v>804</v>
      </c>
      <c r="U841" s="18" t="s">
        <v>19</v>
      </c>
      <c r="V841" s="17"/>
    </row>
    <row r="842" spans="1:22" x14ac:dyDescent="0.3">
      <c r="A842" s="18" t="e">
        <f t="shared" si="14"/>
        <v>#REF!</v>
      </c>
      <c r="B842" s="17">
        <v>122</v>
      </c>
      <c r="C842" s="17" t="s">
        <v>20</v>
      </c>
      <c r="D842" s="29" t="s">
        <v>1797</v>
      </c>
      <c r="E842" s="16">
        <v>45814</v>
      </c>
      <c r="F842" s="23" t="s">
        <v>35</v>
      </c>
      <c r="G842" s="51" t="s">
        <v>1804</v>
      </c>
      <c r="H842" s="57">
        <v>57315.199999999997</v>
      </c>
      <c r="I842" s="16">
        <v>45817</v>
      </c>
      <c r="J842" s="36">
        <v>45833</v>
      </c>
      <c r="K842" s="34">
        <v>50</v>
      </c>
      <c r="L842" s="34">
        <v>50</v>
      </c>
      <c r="M842" s="34">
        <v>5</v>
      </c>
      <c r="N842" s="22">
        <v>45817</v>
      </c>
      <c r="O842" s="18" t="s">
        <v>21</v>
      </c>
      <c r="P842" s="18" t="s">
        <v>1456</v>
      </c>
      <c r="Q842" s="17" t="s">
        <v>101</v>
      </c>
      <c r="R842" s="17" t="s">
        <v>102</v>
      </c>
      <c r="S842" s="17" t="s">
        <v>1623</v>
      </c>
      <c r="T842" s="17" t="s">
        <v>804</v>
      </c>
      <c r="U842" s="18" t="s">
        <v>19</v>
      </c>
      <c r="V842" s="17"/>
    </row>
    <row r="843" spans="1:22" x14ac:dyDescent="0.3">
      <c r="A843" s="18" t="e">
        <f t="shared" si="14"/>
        <v>#REF!</v>
      </c>
      <c r="B843" s="17">
        <v>122</v>
      </c>
      <c r="C843" s="17" t="s">
        <v>23</v>
      </c>
      <c r="D843" s="17" t="s">
        <v>1798</v>
      </c>
      <c r="E843" s="16">
        <v>45813</v>
      </c>
      <c r="F843" s="21" t="s">
        <v>580</v>
      </c>
      <c r="G843" s="51" t="s">
        <v>1807</v>
      </c>
      <c r="H843" s="57">
        <v>122320.8</v>
      </c>
      <c r="I843" s="16">
        <v>45817</v>
      </c>
      <c r="J843" s="36">
        <v>45833</v>
      </c>
      <c r="K843" s="17">
        <v>13</v>
      </c>
      <c r="L843" s="34">
        <v>312</v>
      </c>
      <c r="M843" s="34">
        <v>13</v>
      </c>
      <c r="N843" s="22">
        <v>45817</v>
      </c>
      <c r="O843" s="18" t="s">
        <v>21</v>
      </c>
      <c r="P843" s="18" t="s">
        <v>1456</v>
      </c>
      <c r="Q843" s="17" t="s">
        <v>101</v>
      </c>
      <c r="R843" s="17" t="s">
        <v>102</v>
      </c>
      <c r="S843" s="17" t="s">
        <v>1623</v>
      </c>
      <c r="T843" s="17" t="s">
        <v>804</v>
      </c>
      <c r="U843" s="18" t="s">
        <v>19</v>
      </c>
      <c r="V843" s="17"/>
    </row>
    <row r="844" spans="1:22" x14ac:dyDescent="0.3">
      <c r="A844" s="18" t="e">
        <f t="shared" si="14"/>
        <v>#REF!</v>
      </c>
      <c r="B844" s="17">
        <v>122</v>
      </c>
      <c r="C844" s="17" t="s">
        <v>23</v>
      </c>
      <c r="D844" s="17" t="s">
        <v>1799</v>
      </c>
      <c r="E844" s="16">
        <v>45813</v>
      </c>
      <c r="F844" s="21" t="s">
        <v>58</v>
      </c>
      <c r="G844" s="51" t="s">
        <v>1806</v>
      </c>
      <c r="H844" s="57">
        <v>571330.31999999995</v>
      </c>
      <c r="I844" s="16">
        <v>45817</v>
      </c>
      <c r="J844" s="36">
        <v>45833</v>
      </c>
      <c r="K844" s="17">
        <v>60</v>
      </c>
      <c r="L844" s="34">
        <v>1392</v>
      </c>
      <c r="M844" s="34">
        <v>60</v>
      </c>
      <c r="N844" s="22">
        <v>45817</v>
      </c>
      <c r="O844" s="18" t="s">
        <v>21</v>
      </c>
      <c r="P844" s="18" t="s">
        <v>1456</v>
      </c>
      <c r="Q844" s="17" t="s">
        <v>101</v>
      </c>
      <c r="R844" s="17" t="s">
        <v>102</v>
      </c>
      <c r="S844" s="17" t="s">
        <v>1623</v>
      </c>
      <c r="T844" s="17" t="s">
        <v>804</v>
      </c>
      <c r="U844" s="18" t="s">
        <v>19</v>
      </c>
      <c r="V844" s="17"/>
    </row>
    <row r="845" spans="1:22" x14ac:dyDescent="0.3">
      <c r="A845" s="18" t="e">
        <f t="shared" si="14"/>
        <v>#REF!</v>
      </c>
      <c r="B845" s="17">
        <v>122</v>
      </c>
      <c r="C845" s="17" t="s">
        <v>23</v>
      </c>
      <c r="D845" s="29" t="s">
        <v>1800</v>
      </c>
      <c r="E845" s="16">
        <v>45814</v>
      </c>
      <c r="F845" s="21" t="s">
        <v>929</v>
      </c>
      <c r="G845" s="51" t="s">
        <v>1805</v>
      </c>
      <c r="H845" s="57">
        <v>117571.5</v>
      </c>
      <c r="I845" s="16">
        <v>45817</v>
      </c>
      <c r="J845" s="36">
        <v>45833</v>
      </c>
      <c r="K845" s="17">
        <v>15</v>
      </c>
      <c r="L845" s="34">
        <v>270</v>
      </c>
      <c r="M845" s="34">
        <v>15</v>
      </c>
      <c r="N845" s="22">
        <v>45817</v>
      </c>
      <c r="O845" s="18" t="s">
        <v>21</v>
      </c>
      <c r="P845" s="18" t="s">
        <v>1456</v>
      </c>
      <c r="Q845" s="17" t="s">
        <v>101</v>
      </c>
      <c r="R845" s="17" t="s">
        <v>102</v>
      </c>
      <c r="S845" s="17" t="s">
        <v>1623</v>
      </c>
      <c r="T845" s="17" t="s">
        <v>804</v>
      </c>
      <c r="U845" s="18" t="s">
        <v>19</v>
      </c>
      <c r="V845" s="17"/>
    </row>
    <row r="846" spans="1:22" x14ac:dyDescent="0.3">
      <c r="A846" s="18" t="e">
        <f t="shared" si="14"/>
        <v>#REF!</v>
      </c>
      <c r="B846" s="17">
        <v>123</v>
      </c>
      <c r="C846" s="17" t="s">
        <v>23</v>
      </c>
      <c r="D846" s="17" t="s">
        <v>1809</v>
      </c>
      <c r="E846" s="16">
        <v>45827</v>
      </c>
      <c r="F846" s="21" t="s">
        <v>58</v>
      </c>
      <c r="G846" s="51" t="s">
        <v>1808</v>
      </c>
      <c r="H846" s="57">
        <v>95880.24</v>
      </c>
      <c r="I846" s="16">
        <v>45833</v>
      </c>
      <c r="J846" s="36">
        <v>45833</v>
      </c>
      <c r="K846" s="17">
        <v>11</v>
      </c>
      <c r="L846" s="34">
        <v>264</v>
      </c>
      <c r="M846" s="34">
        <v>11</v>
      </c>
      <c r="N846" s="41">
        <v>45835</v>
      </c>
      <c r="O846" s="18" t="s">
        <v>21</v>
      </c>
      <c r="P846" s="18" t="s">
        <v>1456</v>
      </c>
      <c r="Q846" s="17" t="s">
        <v>140</v>
      </c>
      <c r="R846" s="17" t="s">
        <v>102</v>
      </c>
      <c r="S846" s="17">
        <v>10232225</v>
      </c>
      <c r="T846" s="17" t="s">
        <v>804</v>
      </c>
      <c r="U846" s="18" t="s">
        <v>19</v>
      </c>
      <c r="V846" s="17"/>
    </row>
    <row r="847" spans="1:22" x14ac:dyDescent="0.3">
      <c r="A847" s="18" t="e">
        <f t="shared" si="14"/>
        <v>#REF!</v>
      </c>
      <c r="B847" s="17">
        <v>123</v>
      </c>
      <c r="C847" s="17" t="s">
        <v>23</v>
      </c>
      <c r="D847" s="17" t="s">
        <v>1810</v>
      </c>
      <c r="E847" s="16">
        <v>45825</v>
      </c>
      <c r="F847" s="24" t="s">
        <v>51</v>
      </c>
      <c r="G847" s="51" t="s">
        <v>1811</v>
      </c>
      <c r="H847" s="57">
        <v>95880.24</v>
      </c>
      <c r="I847" s="16">
        <v>45834</v>
      </c>
      <c r="J847" s="36">
        <v>45833</v>
      </c>
      <c r="K847" s="17">
        <v>9</v>
      </c>
      <c r="L847" s="34">
        <v>216</v>
      </c>
      <c r="M847" s="34">
        <v>9</v>
      </c>
      <c r="N847" s="41">
        <v>45835</v>
      </c>
      <c r="O847" s="18" t="s">
        <v>21</v>
      </c>
      <c r="P847" s="18" t="s">
        <v>1456</v>
      </c>
      <c r="Q847" s="17" t="s">
        <v>140</v>
      </c>
      <c r="R847" s="17" t="s">
        <v>102</v>
      </c>
      <c r="S847" s="17">
        <v>10232157</v>
      </c>
      <c r="T847" s="17" t="s">
        <v>804</v>
      </c>
      <c r="U847" s="18" t="s">
        <v>19</v>
      </c>
      <c r="V847" s="17"/>
    </row>
    <row r="848" spans="1:22" x14ac:dyDescent="0.3">
      <c r="A848" s="18" t="e">
        <f t="shared" si="14"/>
        <v>#REF!</v>
      </c>
      <c r="B848" s="17">
        <v>123</v>
      </c>
      <c r="C848" s="17" t="s">
        <v>23</v>
      </c>
      <c r="D848" s="17" t="s">
        <v>1812</v>
      </c>
      <c r="E848" s="16">
        <v>45827</v>
      </c>
      <c r="F848" s="21" t="s">
        <v>64</v>
      </c>
      <c r="G848" s="51" t="s">
        <v>1813</v>
      </c>
      <c r="H848" s="57">
        <v>106343.03999999999</v>
      </c>
      <c r="I848" s="16">
        <v>45835</v>
      </c>
      <c r="J848" s="36">
        <v>45833</v>
      </c>
      <c r="K848" s="17">
        <v>11</v>
      </c>
      <c r="L848" s="34">
        <v>264</v>
      </c>
      <c r="M848" s="34">
        <v>11</v>
      </c>
      <c r="N848" s="41">
        <v>45835</v>
      </c>
      <c r="O848" s="18" t="s">
        <v>21</v>
      </c>
      <c r="P848" s="18" t="s">
        <v>1456</v>
      </c>
      <c r="Q848" s="17" t="s">
        <v>140</v>
      </c>
      <c r="R848" s="17" t="s">
        <v>102</v>
      </c>
      <c r="S848" s="17">
        <v>10232191</v>
      </c>
      <c r="T848" s="17" t="s">
        <v>804</v>
      </c>
      <c r="U848" s="18" t="s">
        <v>19</v>
      </c>
      <c r="V848" s="17"/>
    </row>
    <row r="849" spans="1:22" x14ac:dyDescent="0.3">
      <c r="A849" s="18" t="e">
        <f t="shared" si="14"/>
        <v>#REF!</v>
      </c>
      <c r="B849" s="17">
        <v>123</v>
      </c>
      <c r="C849" s="17" t="s">
        <v>23</v>
      </c>
      <c r="D849" s="17" t="s">
        <v>1814</v>
      </c>
      <c r="E849" s="16">
        <v>45827</v>
      </c>
      <c r="F849" s="21" t="s">
        <v>53</v>
      </c>
      <c r="G849" s="51" t="s">
        <v>1815</v>
      </c>
      <c r="H849" s="57">
        <v>120474.96</v>
      </c>
      <c r="I849" s="16">
        <v>45834</v>
      </c>
      <c r="J849" s="36">
        <v>45833</v>
      </c>
      <c r="K849" s="17">
        <v>13</v>
      </c>
      <c r="L849" s="34">
        <v>312</v>
      </c>
      <c r="M849" s="34">
        <v>13</v>
      </c>
      <c r="N849" s="41">
        <v>45835</v>
      </c>
      <c r="O849" s="18" t="s">
        <v>21</v>
      </c>
      <c r="P849" s="18" t="s">
        <v>1456</v>
      </c>
      <c r="Q849" s="17" t="s">
        <v>140</v>
      </c>
      <c r="R849" s="17" t="s">
        <v>102</v>
      </c>
      <c r="S849" s="17">
        <v>10232227</v>
      </c>
      <c r="T849" s="17" t="s">
        <v>804</v>
      </c>
      <c r="U849" s="18" t="s">
        <v>19</v>
      </c>
      <c r="V849" s="17"/>
    </row>
    <row r="850" spans="1:22" x14ac:dyDescent="0.3">
      <c r="A850" s="18" t="e">
        <f t="shared" si="14"/>
        <v>#REF!</v>
      </c>
      <c r="B850" s="17">
        <v>123</v>
      </c>
      <c r="C850" s="17" t="s">
        <v>20</v>
      </c>
      <c r="D850" s="17" t="s">
        <v>1816</v>
      </c>
      <c r="E850" s="16">
        <v>45827</v>
      </c>
      <c r="F850" s="21" t="s">
        <v>35</v>
      </c>
      <c r="G850" s="51" t="s">
        <v>1817</v>
      </c>
      <c r="H850" s="57">
        <v>383727.94</v>
      </c>
      <c r="I850" s="16">
        <v>45834</v>
      </c>
      <c r="J850" s="36">
        <v>45833</v>
      </c>
      <c r="K850" s="17">
        <v>366</v>
      </c>
      <c r="L850" s="34">
        <v>366</v>
      </c>
      <c r="M850" s="34">
        <v>34</v>
      </c>
      <c r="N850" s="41">
        <v>45835</v>
      </c>
      <c r="O850" s="18" t="s">
        <v>21</v>
      </c>
      <c r="P850" s="18" t="s">
        <v>1456</v>
      </c>
      <c r="Q850" s="17" t="s">
        <v>140</v>
      </c>
      <c r="R850" s="17" t="s">
        <v>102</v>
      </c>
      <c r="S850" s="17">
        <v>10232156</v>
      </c>
      <c r="T850" s="17" t="s">
        <v>804</v>
      </c>
      <c r="U850" s="18" t="s">
        <v>19</v>
      </c>
      <c r="V850" s="17"/>
    </row>
    <row r="851" spans="1:22" x14ac:dyDescent="0.3">
      <c r="A851" s="18" t="e">
        <f t="shared" si="14"/>
        <v>#REF!</v>
      </c>
      <c r="B851" s="17">
        <v>123</v>
      </c>
      <c r="C851" s="17" t="s">
        <v>20</v>
      </c>
      <c r="D851" s="17" t="s">
        <v>1818</v>
      </c>
      <c r="E851" s="16">
        <v>45825</v>
      </c>
      <c r="F851" s="21" t="s">
        <v>35</v>
      </c>
      <c r="G851" s="51" t="s">
        <v>1819</v>
      </c>
      <c r="H851" s="57">
        <v>99783.42</v>
      </c>
      <c r="I851" s="16">
        <v>45834</v>
      </c>
      <c r="J851" s="36">
        <v>45833</v>
      </c>
      <c r="K851" s="17">
        <v>93</v>
      </c>
      <c r="L851" s="34">
        <v>93</v>
      </c>
      <c r="M851" s="34">
        <v>10</v>
      </c>
      <c r="N851" s="41">
        <v>45835</v>
      </c>
      <c r="O851" s="18" t="s">
        <v>21</v>
      </c>
      <c r="P851" s="18" t="s">
        <v>1456</v>
      </c>
      <c r="Q851" s="17" t="s">
        <v>140</v>
      </c>
      <c r="R851" s="17" t="s">
        <v>102</v>
      </c>
      <c r="S851" s="17">
        <v>10232152</v>
      </c>
      <c r="T851" s="17" t="s">
        <v>804</v>
      </c>
      <c r="U851" s="18" t="s">
        <v>19</v>
      </c>
      <c r="V851" s="17"/>
    </row>
    <row r="852" spans="1:22" x14ac:dyDescent="0.3">
      <c r="A852" s="18" t="e">
        <f t="shared" si="14"/>
        <v>#REF!</v>
      </c>
      <c r="B852" s="17">
        <v>123</v>
      </c>
      <c r="C852" s="17" t="s">
        <v>20</v>
      </c>
      <c r="D852" s="17" t="s">
        <v>1820</v>
      </c>
      <c r="E852" s="16">
        <v>45828</v>
      </c>
      <c r="F852" s="21" t="s">
        <v>131</v>
      </c>
      <c r="G852" s="51" t="s">
        <v>1821</v>
      </c>
      <c r="H852" s="57">
        <v>209456.46</v>
      </c>
      <c r="I852" s="16">
        <v>45834</v>
      </c>
      <c r="J852" s="36">
        <v>45833</v>
      </c>
      <c r="K852" s="17">
        <v>174</v>
      </c>
      <c r="L852" s="34">
        <v>174</v>
      </c>
      <c r="M852" s="34">
        <v>17</v>
      </c>
      <c r="N852" s="41">
        <v>45835</v>
      </c>
      <c r="O852" s="18" t="s">
        <v>21</v>
      </c>
      <c r="P852" s="18" t="s">
        <v>1456</v>
      </c>
      <c r="Q852" s="17" t="s">
        <v>140</v>
      </c>
      <c r="R852" s="17" t="s">
        <v>102</v>
      </c>
      <c r="S852" s="17">
        <v>10232212</v>
      </c>
      <c r="T852" s="17" t="s">
        <v>804</v>
      </c>
      <c r="U852" s="18" t="s">
        <v>19</v>
      </c>
      <c r="V852" s="17"/>
    </row>
    <row r="853" spans="1:22" x14ac:dyDescent="0.3">
      <c r="A853" s="18" t="e">
        <f t="shared" si="14"/>
        <v>#REF!</v>
      </c>
      <c r="B853" s="17">
        <v>123</v>
      </c>
      <c r="C853" s="17" t="s">
        <v>23</v>
      </c>
      <c r="D853" s="17" t="s">
        <v>1822</v>
      </c>
      <c r="E853" s="16">
        <v>45820</v>
      </c>
      <c r="F853" s="21" t="s">
        <v>84</v>
      </c>
      <c r="G853" s="51" t="s">
        <v>1824</v>
      </c>
      <c r="H853" s="57">
        <v>296240.82</v>
      </c>
      <c r="I853" s="16">
        <v>45834</v>
      </c>
      <c r="J853" s="36">
        <v>45833</v>
      </c>
      <c r="K853" s="17">
        <v>30</v>
      </c>
      <c r="L853" s="34">
        <v>714</v>
      </c>
      <c r="M853" s="34">
        <v>30</v>
      </c>
      <c r="N853" s="41">
        <v>45835</v>
      </c>
      <c r="O853" s="18" t="s">
        <v>21</v>
      </c>
      <c r="P853" s="18" t="s">
        <v>1456</v>
      </c>
      <c r="Q853" s="17" t="s">
        <v>140</v>
      </c>
      <c r="R853" s="17" t="s">
        <v>102</v>
      </c>
      <c r="S853" s="17">
        <v>10232211</v>
      </c>
      <c r="T853" s="17" t="s">
        <v>804</v>
      </c>
      <c r="U853" s="18" t="s">
        <v>19</v>
      </c>
      <c r="V853" s="17"/>
    </row>
    <row r="854" spans="1:22" x14ac:dyDescent="0.3">
      <c r="A854" s="18" t="e">
        <f t="shared" si="14"/>
        <v>#REF!</v>
      </c>
      <c r="B854" s="17">
        <v>123</v>
      </c>
      <c r="C854" s="17" t="s">
        <v>23</v>
      </c>
      <c r="D854" s="17" t="s">
        <v>1520</v>
      </c>
      <c r="E854" s="16">
        <v>45825</v>
      </c>
      <c r="F854" s="21" t="s">
        <v>43</v>
      </c>
      <c r="G854" s="51" t="s">
        <v>1825</v>
      </c>
      <c r="H854" s="57">
        <v>36879.839999999997</v>
      </c>
      <c r="I854" s="16">
        <v>45834</v>
      </c>
      <c r="J854" s="36">
        <v>45833</v>
      </c>
      <c r="K854" s="17">
        <v>4</v>
      </c>
      <c r="L854" s="34">
        <v>96</v>
      </c>
      <c r="M854" s="34">
        <v>4</v>
      </c>
      <c r="N854" s="41">
        <v>45835</v>
      </c>
      <c r="O854" s="18" t="s">
        <v>21</v>
      </c>
      <c r="P854" s="18" t="s">
        <v>1456</v>
      </c>
      <c r="Q854" s="17" t="s">
        <v>140</v>
      </c>
      <c r="R854" s="17" t="s">
        <v>102</v>
      </c>
      <c r="S854" s="17">
        <v>10232220</v>
      </c>
      <c r="T854" s="17" t="s">
        <v>804</v>
      </c>
      <c r="U854" s="18" t="s">
        <v>19</v>
      </c>
      <c r="V854" s="17"/>
    </row>
    <row r="855" spans="1:22" x14ac:dyDescent="0.3">
      <c r="A855" s="18" t="e">
        <f t="shared" si="14"/>
        <v>#REF!</v>
      </c>
      <c r="B855" s="17">
        <v>123</v>
      </c>
      <c r="C855" s="17" t="s">
        <v>23</v>
      </c>
      <c r="D855" s="17" t="s">
        <v>1823</v>
      </c>
      <c r="E855" s="16">
        <v>45825</v>
      </c>
      <c r="F855" s="21" t="s">
        <v>28</v>
      </c>
      <c r="G855" s="51" t="s">
        <v>1826</v>
      </c>
      <c r="H855" s="57">
        <v>39341.760000000002</v>
      </c>
      <c r="I855" s="16">
        <v>45834</v>
      </c>
      <c r="J855" s="36">
        <v>45833</v>
      </c>
      <c r="K855" s="17">
        <v>4</v>
      </c>
      <c r="L855" s="34">
        <v>96</v>
      </c>
      <c r="M855" s="34">
        <v>4</v>
      </c>
      <c r="N855" s="41">
        <v>45835</v>
      </c>
      <c r="O855" s="18" t="s">
        <v>21</v>
      </c>
      <c r="P855" s="18" t="s">
        <v>1456</v>
      </c>
      <c r="Q855" s="17" t="s">
        <v>140</v>
      </c>
      <c r="R855" s="17" t="s">
        <v>102</v>
      </c>
      <c r="S855" s="17">
        <v>10232153</v>
      </c>
      <c r="T855" s="17" t="s">
        <v>804</v>
      </c>
      <c r="U855" s="18" t="s">
        <v>19</v>
      </c>
      <c r="V855" s="17"/>
    </row>
    <row r="856" spans="1:22" x14ac:dyDescent="0.3">
      <c r="A856" s="18" t="e">
        <f t="shared" si="14"/>
        <v>#REF!</v>
      </c>
      <c r="B856" s="17">
        <v>123</v>
      </c>
      <c r="C856" s="17" t="s">
        <v>20</v>
      </c>
      <c r="D856" s="17" t="s">
        <v>1827</v>
      </c>
      <c r="E856" s="16">
        <v>45818</v>
      </c>
      <c r="F856" s="21" t="s">
        <v>119</v>
      </c>
      <c r="G856" s="51" t="s">
        <v>1835</v>
      </c>
      <c r="H856" s="57">
        <v>153487.84</v>
      </c>
      <c r="I856" s="16">
        <v>45834</v>
      </c>
      <c r="J856" s="36">
        <v>45833</v>
      </c>
      <c r="K856" s="17">
        <v>126</v>
      </c>
      <c r="L856" s="34">
        <v>126</v>
      </c>
      <c r="M856" s="34">
        <v>12</v>
      </c>
      <c r="N856" s="41">
        <v>45835</v>
      </c>
      <c r="O856" s="18" t="s">
        <v>21</v>
      </c>
      <c r="P856" s="18" t="s">
        <v>1456</v>
      </c>
      <c r="Q856" s="17" t="s">
        <v>140</v>
      </c>
      <c r="R856" s="17" t="s">
        <v>102</v>
      </c>
      <c r="S856" s="17">
        <v>10232215</v>
      </c>
      <c r="T856" s="17" t="s">
        <v>804</v>
      </c>
      <c r="U856" s="18" t="s">
        <v>19</v>
      </c>
      <c r="V856" s="17"/>
    </row>
    <row r="857" spans="1:22" x14ac:dyDescent="0.3">
      <c r="A857" s="18" t="e">
        <f t="shared" si="14"/>
        <v>#REF!</v>
      </c>
      <c r="B857" s="17">
        <v>123</v>
      </c>
      <c r="C857" s="17" t="s">
        <v>20</v>
      </c>
      <c r="D857" s="17" t="s">
        <v>1828</v>
      </c>
      <c r="E857" s="16">
        <v>45821</v>
      </c>
      <c r="F857" s="21" t="s">
        <v>113</v>
      </c>
      <c r="G857" s="51" t="s">
        <v>1836</v>
      </c>
      <c r="H857" s="57">
        <v>40464.160000000003</v>
      </c>
      <c r="I857" s="16">
        <v>45834</v>
      </c>
      <c r="J857" s="36">
        <v>45833</v>
      </c>
      <c r="K857" s="17">
        <v>44</v>
      </c>
      <c r="L857" s="34">
        <v>44</v>
      </c>
      <c r="M857" s="34">
        <v>4</v>
      </c>
      <c r="N857" s="41">
        <v>45835</v>
      </c>
      <c r="O857" s="18" t="s">
        <v>21</v>
      </c>
      <c r="P857" s="18" t="s">
        <v>1456</v>
      </c>
      <c r="Q857" s="17" t="s">
        <v>140</v>
      </c>
      <c r="R857" s="17" t="s">
        <v>102</v>
      </c>
      <c r="S857" s="17">
        <v>10232189</v>
      </c>
      <c r="T857" s="17" t="s">
        <v>804</v>
      </c>
      <c r="U857" s="18" t="s">
        <v>19</v>
      </c>
      <c r="V857" s="17"/>
    </row>
    <row r="858" spans="1:22" x14ac:dyDescent="0.3">
      <c r="A858" s="18" t="e">
        <f t="shared" si="14"/>
        <v>#REF!</v>
      </c>
      <c r="B858" s="17">
        <v>123</v>
      </c>
      <c r="C858" s="17" t="s">
        <v>20</v>
      </c>
      <c r="D858" s="17" t="s">
        <v>1829</v>
      </c>
      <c r="E858" s="16">
        <v>45821</v>
      </c>
      <c r="F858" s="21" t="s">
        <v>123</v>
      </c>
      <c r="G858" s="51" t="s">
        <v>1837</v>
      </c>
      <c r="H858" s="57">
        <v>74623.360000000001</v>
      </c>
      <c r="I858" s="16">
        <v>45834</v>
      </c>
      <c r="J858" s="36">
        <v>45833</v>
      </c>
      <c r="K858" s="17">
        <v>74</v>
      </c>
      <c r="L858" s="34">
        <v>74</v>
      </c>
      <c r="M858" s="34">
        <v>7</v>
      </c>
      <c r="N858" s="41">
        <v>45835</v>
      </c>
      <c r="O858" s="18" t="s">
        <v>21</v>
      </c>
      <c r="P858" s="18" t="s">
        <v>1456</v>
      </c>
      <c r="Q858" s="17" t="s">
        <v>140</v>
      </c>
      <c r="R858" s="17" t="s">
        <v>102</v>
      </c>
      <c r="S858" s="17">
        <v>10232154</v>
      </c>
      <c r="T858" s="17" t="s">
        <v>804</v>
      </c>
      <c r="U858" s="18" t="s">
        <v>19</v>
      </c>
      <c r="V858" s="17"/>
    </row>
    <row r="859" spans="1:22" x14ac:dyDescent="0.3">
      <c r="A859" s="18" t="e">
        <f t="shared" si="14"/>
        <v>#REF!</v>
      </c>
      <c r="B859" s="17">
        <v>123</v>
      </c>
      <c r="C859" s="17" t="s">
        <v>20</v>
      </c>
      <c r="D859" s="17" t="s">
        <v>1830</v>
      </c>
      <c r="E859" s="16">
        <v>45821</v>
      </c>
      <c r="F859" s="24" t="s">
        <v>51</v>
      </c>
      <c r="G859" s="51" t="s">
        <v>1838</v>
      </c>
      <c r="H859" s="57">
        <v>44142.720000000001</v>
      </c>
      <c r="I859" s="16">
        <v>45834</v>
      </c>
      <c r="J859" s="36">
        <v>45833</v>
      </c>
      <c r="K859" s="17">
        <v>48</v>
      </c>
      <c r="L859" s="34">
        <v>48</v>
      </c>
      <c r="M859" s="34">
        <v>4</v>
      </c>
      <c r="N859" s="41">
        <v>45835</v>
      </c>
      <c r="O859" s="18" t="s">
        <v>21</v>
      </c>
      <c r="P859" s="18" t="s">
        <v>1456</v>
      </c>
      <c r="Q859" s="17" t="s">
        <v>140</v>
      </c>
      <c r="R859" s="17" t="s">
        <v>102</v>
      </c>
      <c r="S859" s="17">
        <v>10232149</v>
      </c>
      <c r="T859" s="17" t="s">
        <v>804</v>
      </c>
      <c r="U859" s="18" t="s">
        <v>19</v>
      </c>
      <c r="V859" s="17"/>
    </row>
    <row r="860" spans="1:22" x14ac:dyDescent="0.3">
      <c r="A860" s="18" t="e">
        <f t="shared" si="14"/>
        <v>#REF!</v>
      </c>
      <c r="B860" s="17">
        <v>123</v>
      </c>
      <c r="C860" s="17" t="s">
        <v>20</v>
      </c>
      <c r="D860" s="17" t="s">
        <v>1831</v>
      </c>
      <c r="E860" s="16">
        <v>45825</v>
      </c>
      <c r="F860" s="21" t="s">
        <v>64</v>
      </c>
      <c r="G860" s="51" t="s">
        <v>1839</v>
      </c>
      <c r="H860" s="57">
        <v>60437.599999999999</v>
      </c>
      <c r="I860" s="16">
        <v>45834</v>
      </c>
      <c r="J860" s="36">
        <v>45833</v>
      </c>
      <c r="K860" s="17">
        <v>40</v>
      </c>
      <c r="L860" s="34">
        <v>40</v>
      </c>
      <c r="M860" s="34">
        <v>4</v>
      </c>
      <c r="N860" s="41">
        <v>45835</v>
      </c>
      <c r="O860" s="18" t="s">
        <v>21</v>
      </c>
      <c r="P860" s="18" t="s">
        <v>1456</v>
      </c>
      <c r="Q860" s="17" t="s">
        <v>140</v>
      </c>
      <c r="R860" s="17" t="s">
        <v>102</v>
      </c>
      <c r="S860" s="17">
        <v>10232192</v>
      </c>
      <c r="T860" s="17" t="s">
        <v>804</v>
      </c>
      <c r="U860" s="18" t="s">
        <v>19</v>
      </c>
      <c r="V860" s="17"/>
    </row>
    <row r="861" spans="1:22" x14ac:dyDescent="0.3">
      <c r="A861" s="18" t="e">
        <f t="shared" si="14"/>
        <v>#REF!</v>
      </c>
      <c r="B861" s="17">
        <v>123</v>
      </c>
      <c r="C861" s="17" t="s">
        <v>20</v>
      </c>
      <c r="D861" s="17" t="s">
        <v>1832</v>
      </c>
      <c r="E861" s="16">
        <v>45827</v>
      </c>
      <c r="F861" s="21" t="s">
        <v>53</v>
      </c>
      <c r="G861" s="51" t="s">
        <v>1840</v>
      </c>
      <c r="H861" s="57">
        <v>146093.44</v>
      </c>
      <c r="I861" s="16">
        <v>45834</v>
      </c>
      <c r="J861" s="36">
        <v>45833</v>
      </c>
      <c r="K861" s="17">
        <v>146</v>
      </c>
      <c r="L861" s="34">
        <v>146</v>
      </c>
      <c r="M861" s="34">
        <v>13</v>
      </c>
      <c r="N861" s="41">
        <v>45835</v>
      </c>
      <c r="O861" s="18" t="s">
        <v>21</v>
      </c>
      <c r="P861" s="18" t="s">
        <v>1456</v>
      </c>
      <c r="Q861" s="17" t="s">
        <v>140</v>
      </c>
      <c r="R861" s="17" t="s">
        <v>102</v>
      </c>
      <c r="S861" s="17">
        <v>10232229</v>
      </c>
      <c r="T861" s="17" t="s">
        <v>804</v>
      </c>
      <c r="U861" s="18" t="s">
        <v>19</v>
      </c>
      <c r="V861" s="17"/>
    </row>
    <row r="862" spans="1:22" x14ac:dyDescent="0.3">
      <c r="A862" s="18" t="e">
        <f t="shared" si="14"/>
        <v>#REF!</v>
      </c>
      <c r="B862" s="17">
        <v>123</v>
      </c>
      <c r="C862" s="17" t="s">
        <v>20</v>
      </c>
      <c r="D862" s="17" t="s">
        <v>1833</v>
      </c>
      <c r="E862" s="16">
        <v>45827</v>
      </c>
      <c r="F862" s="21" t="s">
        <v>64</v>
      </c>
      <c r="G862" s="51" t="s">
        <v>1841</v>
      </c>
      <c r="H862" s="57">
        <v>179171</v>
      </c>
      <c r="I862" s="16">
        <v>45834</v>
      </c>
      <c r="J862" s="36">
        <v>45833</v>
      </c>
      <c r="K862" s="17">
        <v>160</v>
      </c>
      <c r="L862" s="34">
        <v>160</v>
      </c>
      <c r="M862" s="34">
        <v>15</v>
      </c>
      <c r="N862" s="41">
        <v>45835</v>
      </c>
      <c r="O862" s="18" t="s">
        <v>21</v>
      </c>
      <c r="P862" s="18" t="s">
        <v>1456</v>
      </c>
      <c r="Q862" s="17" t="s">
        <v>140</v>
      </c>
      <c r="R862" s="17" t="s">
        <v>102</v>
      </c>
      <c r="S862" s="17">
        <v>10232190</v>
      </c>
      <c r="T862" s="17" t="s">
        <v>804</v>
      </c>
      <c r="U862" s="18" t="s">
        <v>19</v>
      </c>
      <c r="V862" s="17"/>
    </row>
    <row r="863" spans="1:22" x14ac:dyDescent="0.3">
      <c r="A863" s="18" t="e">
        <f t="shared" si="14"/>
        <v>#REF!</v>
      </c>
      <c r="B863" s="17">
        <v>123</v>
      </c>
      <c r="C863" s="17" t="s">
        <v>20</v>
      </c>
      <c r="D863" s="17" t="s">
        <v>1834</v>
      </c>
      <c r="E863" s="16">
        <v>45828</v>
      </c>
      <c r="F863" s="23" t="s">
        <v>129</v>
      </c>
      <c r="G863" s="51" t="s">
        <v>1842</v>
      </c>
      <c r="H863" s="57">
        <v>286735.59999999998</v>
      </c>
      <c r="I863" s="16">
        <v>45834</v>
      </c>
      <c r="J863" s="36">
        <v>45833</v>
      </c>
      <c r="K863" s="17">
        <v>280</v>
      </c>
      <c r="L863" s="34">
        <v>280</v>
      </c>
      <c r="M863" s="34">
        <v>26</v>
      </c>
      <c r="N863" s="41">
        <v>45835</v>
      </c>
      <c r="O863" s="18" t="s">
        <v>21</v>
      </c>
      <c r="P863" s="18" t="s">
        <v>1456</v>
      </c>
      <c r="Q863" s="17" t="s">
        <v>140</v>
      </c>
      <c r="R863" s="17" t="s">
        <v>102</v>
      </c>
      <c r="S863" s="17">
        <v>10232155</v>
      </c>
      <c r="T863" s="17" t="s">
        <v>804</v>
      </c>
      <c r="U863" s="18" t="s">
        <v>19</v>
      </c>
      <c r="V863" s="17"/>
    </row>
    <row r="864" spans="1:22" x14ac:dyDescent="0.3">
      <c r="A864" s="18" t="e">
        <f t="shared" si="14"/>
        <v>#REF!</v>
      </c>
      <c r="B864" s="17">
        <v>123</v>
      </c>
      <c r="C864" s="17" t="s">
        <v>1845</v>
      </c>
      <c r="D864" s="29" t="s">
        <v>1843</v>
      </c>
      <c r="E864" s="16">
        <v>45828</v>
      </c>
      <c r="F864" s="21" t="s">
        <v>1204</v>
      </c>
      <c r="G864" s="52" t="s">
        <v>1917</v>
      </c>
      <c r="H864" s="57">
        <v>11335.1</v>
      </c>
      <c r="I864" s="16">
        <v>45834</v>
      </c>
      <c r="J864" s="36">
        <v>45833</v>
      </c>
      <c r="K864" s="17">
        <v>10</v>
      </c>
      <c r="L864" s="34">
        <v>10</v>
      </c>
      <c r="M864" s="34">
        <v>1</v>
      </c>
      <c r="N864" s="41">
        <v>45835</v>
      </c>
      <c r="O864" s="18" t="s">
        <v>21</v>
      </c>
      <c r="P864" s="18" t="s">
        <v>1456</v>
      </c>
      <c r="Q864" s="17" t="s">
        <v>140</v>
      </c>
      <c r="R864" s="17" t="s">
        <v>102</v>
      </c>
      <c r="S864" s="17">
        <v>10232232</v>
      </c>
      <c r="T864" s="17" t="s">
        <v>804</v>
      </c>
      <c r="U864" s="18" t="s">
        <v>19</v>
      </c>
      <c r="V864" s="17"/>
    </row>
    <row r="865" spans="1:22" x14ac:dyDescent="0.3">
      <c r="A865" s="18" t="e">
        <f t="shared" si="14"/>
        <v>#REF!</v>
      </c>
      <c r="B865" s="17">
        <v>123</v>
      </c>
      <c r="C865" s="17" t="s">
        <v>1845</v>
      </c>
      <c r="D865" s="29" t="s">
        <v>1844</v>
      </c>
      <c r="E865" s="16">
        <v>45828</v>
      </c>
      <c r="F865" s="21" t="s">
        <v>1204</v>
      </c>
      <c r="G865" s="52" t="s">
        <v>1916</v>
      </c>
      <c r="H865" s="57">
        <v>3111.08</v>
      </c>
      <c r="I865" s="16">
        <v>45834</v>
      </c>
      <c r="J865" s="36">
        <v>45833</v>
      </c>
      <c r="K865" s="17">
        <v>4</v>
      </c>
      <c r="L865" s="34">
        <v>4</v>
      </c>
      <c r="M865" s="34">
        <v>1</v>
      </c>
      <c r="N865" s="41">
        <v>45835</v>
      </c>
      <c r="O865" s="18" t="s">
        <v>21</v>
      </c>
      <c r="P865" s="18" t="s">
        <v>1456</v>
      </c>
      <c r="Q865" s="17" t="s">
        <v>140</v>
      </c>
      <c r="R865" s="17" t="s">
        <v>102</v>
      </c>
      <c r="S865" s="17">
        <v>10232164</v>
      </c>
      <c r="T865" s="17" t="s">
        <v>804</v>
      </c>
      <c r="U865" s="18" t="s">
        <v>19</v>
      </c>
      <c r="V865" s="17"/>
    </row>
    <row r="866" spans="1:22" x14ac:dyDescent="0.3">
      <c r="A866" s="18" t="e">
        <f t="shared" si="14"/>
        <v>#REF!</v>
      </c>
      <c r="B866" s="17">
        <v>124</v>
      </c>
      <c r="C866" s="17" t="s">
        <v>23</v>
      </c>
      <c r="D866" s="17" t="s">
        <v>1846</v>
      </c>
      <c r="E866" s="16">
        <v>45821</v>
      </c>
      <c r="F866" s="21" t="s">
        <v>929</v>
      </c>
      <c r="G866" s="51" t="s">
        <v>1848</v>
      </c>
      <c r="H866" s="57">
        <v>315973.92</v>
      </c>
      <c r="I866" s="16">
        <v>45835</v>
      </c>
      <c r="J866" s="36">
        <v>45833</v>
      </c>
      <c r="K866" s="17">
        <v>30</v>
      </c>
      <c r="L866" s="34">
        <v>720</v>
      </c>
      <c r="M866" s="34">
        <v>30</v>
      </c>
      <c r="N866" s="41">
        <v>45835</v>
      </c>
      <c r="O866" s="18" t="s">
        <v>21</v>
      </c>
      <c r="P866" s="18" t="s">
        <v>1456</v>
      </c>
      <c r="Q866" s="17" t="s">
        <v>124</v>
      </c>
      <c r="R866" s="17" t="s">
        <v>102</v>
      </c>
      <c r="S866" s="17">
        <v>10232142</v>
      </c>
      <c r="T866" s="17" t="s">
        <v>804</v>
      </c>
      <c r="U866" s="18" t="s">
        <v>19</v>
      </c>
      <c r="V866" s="17"/>
    </row>
    <row r="867" spans="1:22" x14ac:dyDescent="0.3">
      <c r="A867" s="18" t="e">
        <f t="shared" si="14"/>
        <v>#REF!</v>
      </c>
      <c r="B867" s="17">
        <v>124</v>
      </c>
      <c r="C867" s="17" t="s">
        <v>23</v>
      </c>
      <c r="D867" s="17" t="s">
        <v>1846</v>
      </c>
      <c r="E867" s="16">
        <v>45821</v>
      </c>
      <c r="F867" s="21" t="s">
        <v>929</v>
      </c>
      <c r="G867" s="51" t="s">
        <v>1849</v>
      </c>
      <c r="H867" s="57">
        <v>255713.28</v>
      </c>
      <c r="I867" s="16">
        <v>45835</v>
      </c>
      <c r="J867" s="36">
        <v>45833</v>
      </c>
      <c r="K867" s="17">
        <v>25</v>
      </c>
      <c r="L867" s="34">
        <v>600</v>
      </c>
      <c r="M867" s="34">
        <v>25</v>
      </c>
      <c r="N867" s="41">
        <v>45835</v>
      </c>
      <c r="O867" s="18" t="s">
        <v>21</v>
      </c>
      <c r="P867" s="18" t="s">
        <v>1456</v>
      </c>
      <c r="Q867" s="17" t="s">
        <v>124</v>
      </c>
      <c r="R867" s="17" t="s">
        <v>102</v>
      </c>
      <c r="S867" s="17">
        <v>10232140</v>
      </c>
      <c r="T867" s="17" t="s">
        <v>804</v>
      </c>
      <c r="U867" s="18" t="s">
        <v>19</v>
      </c>
      <c r="V867" s="17"/>
    </row>
    <row r="868" spans="1:22" x14ac:dyDescent="0.3">
      <c r="A868" s="18" t="e">
        <f>A866+1</f>
        <v>#REF!</v>
      </c>
      <c r="B868" s="17">
        <v>124</v>
      </c>
      <c r="C868" s="17" t="s">
        <v>23</v>
      </c>
      <c r="D868" s="17" t="s">
        <v>1847</v>
      </c>
      <c r="E868" s="16">
        <v>45821</v>
      </c>
      <c r="F868" s="21" t="s">
        <v>929</v>
      </c>
      <c r="G868" s="51" t="s">
        <v>1850</v>
      </c>
      <c r="H868" s="57">
        <v>256951.44</v>
      </c>
      <c r="I868" s="16">
        <v>45835</v>
      </c>
      <c r="J868" s="36">
        <v>45833</v>
      </c>
      <c r="K868" s="17">
        <v>30</v>
      </c>
      <c r="L868" s="34">
        <v>600</v>
      </c>
      <c r="M868" s="34">
        <v>30</v>
      </c>
      <c r="N868" s="41">
        <v>45835</v>
      </c>
      <c r="O868" s="18" t="s">
        <v>21</v>
      </c>
      <c r="P868" s="18" t="s">
        <v>1456</v>
      </c>
      <c r="Q868" s="17" t="s">
        <v>124</v>
      </c>
      <c r="R868" s="17" t="s">
        <v>102</v>
      </c>
      <c r="S868" s="17">
        <v>10232143</v>
      </c>
      <c r="T868" s="17" t="s">
        <v>804</v>
      </c>
      <c r="U868" s="18" t="s">
        <v>19</v>
      </c>
      <c r="V868" s="17"/>
    </row>
    <row r="869" spans="1:22" x14ac:dyDescent="0.3">
      <c r="A869" s="18" t="e">
        <f>A867+1</f>
        <v>#REF!</v>
      </c>
      <c r="B869" s="17">
        <v>124</v>
      </c>
      <c r="C869" s="17" t="s">
        <v>23</v>
      </c>
      <c r="D869" s="17" t="s">
        <v>1847</v>
      </c>
      <c r="E869" s="16">
        <v>45821</v>
      </c>
      <c r="F869" s="21" t="s">
        <v>929</v>
      </c>
      <c r="G869" s="51" t="s">
        <v>1851</v>
      </c>
      <c r="H869" s="57">
        <v>298746.71999999997</v>
      </c>
      <c r="I869" s="16">
        <v>45835</v>
      </c>
      <c r="J869" s="36">
        <v>45833</v>
      </c>
      <c r="K869" s="17">
        <v>29</v>
      </c>
      <c r="L869" s="34">
        <v>696</v>
      </c>
      <c r="M869" s="34">
        <v>29</v>
      </c>
      <c r="N869" s="41">
        <v>45835</v>
      </c>
      <c r="O869" s="18" t="s">
        <v>21</v>
      </c>
      <c r="P869" s="18" t="s">
        <v>1456</v>
      </c>
      <c r="Q869" s="17" t="s">
        <v>124</v>
      </c>
      <c r="R869" s="17" t="s">
        <v>102</v>
      </c>
      <c r="S869" s="17">
        <v>10232141</v>
      </c>
      <c r="T869" s="17" t="s">
        <v>804</v>
      </c>
      <c r="U869" s="18" t="s">
        <v>19</v>
      </c>
      <c r="V869" s="17"/>
    </row>
    <row r="870" spans="1:22" x14ac:dyDescent="0.3">
      <c r="A870" s="18" t="e">
        <f>A868+1</f>
        <v>#REF!</v>
      </c>
      <c r="B870" s="17">
        <v>124</v>
      </c>
      <c r="C870" s="17" t="s">
        <v>23</v>
      </c>
      <c r="D870" s="17" t="s">
        <v>1852</v>
      </c>
      <c r="E870" s="16">
        <v>45825</v>
      </c>
      <c r="F870" s="23" t="s">
        <v>39</v>
      </c>
      <c r="G870" s="51" t="s">
        <v>1853</v>
      </c>
      <c r="H870" s="57">
        <v>187968.48</v>
      </c>
      <c r="I870" s="16">
        <v>45834</v>
      </c>
      <c r="J870" s="36">
        <v>45833</v>
      </c>
      <c r="K870" s="17">
        <v>20</v>
      </c>
      <c r="L870" s="34">
        <v>480</v>
      </c>
      <c r="M870" s="34">
        <v>20</v>
      </c>
      <c r="N870" s="41">
        <v>45835</v>
      </c>
      <c r="O870" s="18" t="s">
        <v>21</v>
      </c>
      <c r="P870" s="18" t="s">
        <v>1456</v>
      </c>
      <c r="Q870" s="17" t="s">
        <v>124</v>
      </c>
      <c r="R870" s="17" t="s">
        <v>102</v>
      </c>
      <c r="S870" s="17">
        <v>10232151</v>
      </c>
      <c r="T870" s="17" t="s">
        <v>804</v>
      </c>
      <c r="U870" s="18" t="s">
        <v>19</v>
      </c>
      <c r="V870" s="17"/>
    </row>
    <row r="871" spans="1:22" x14ac:dyDescent="0.3">
      <c r="A871" s="18" t="e">
        <f t="shared" ref="A871:A930" si="15">A869+1</f>
        <v>#REF!</v>
      </c>
      <c r="B871" s="17">
        <v>125</v>
      </c>
      <c r="C871" s="17" t="s">
        <v>23</v>
      </c>
      <c r="D871" s="17" t="s">
        <v>1855</v>
      </c>
      <c r="E871" s="16">
        <v>45825</v>
      </c>
      <c r="F871" s="21" t="s">
        <v>35</v>
      </c>
      <c r="G871" s="51" t="s">
        <v>1854</v>
      </c>
      <c r="H871" s="57">
        <v>330034.56</v>
      </c>
      <c r="I871" s="16">
        <v>45834</v>
      </c>
      <c r="J871" s="36">
        <v>45833</v>
      </c>
      <c r="K871" s="17">
        <v>39</v>
      </c>
      <c r="L871" s="34">
        <v>936</v>
      </c>
      <c r="M871" s="34">
        <v>39</v>
      </c>
      <c r="N871" s="41">
        <v>45836</v>
      </c>
      <c r="O871" s="18" t="s">
        <v>21</v>
      </c>
      <c r="P871" s="18" t="s">
        <v>1456</v>
      </c>
      <c r="Q871" s="17" t="s">
        <v>140</v>
      </c>
      <c r="R871" s="17" t="s">
        <v>102</v>
      </c>
      <c r="S871" s="17" t="s">
        <v>1623</v>
      </c>
      <c r="T871" s="17" t="s">
        <v>804</v>
      </c>
      <c r="U871" s="18" t="s">
        <v>19</v>
      </c>
      <c r="V871" s="17"/>
    </row>
    <row r="872" spans="1:22" x14ac:dyDescent="0.3">
      <c r="A872" s="18" t="e">
        <f t="shared" si="15"/>
        <v>#REF!</v>
      </c>
      <c r="B872" s="17">
        <v>125</v>
      </c>
      <c r="C872" s="17" t="s">
        <v>23</v>
      </c>
      <c r="D872" s="17" t="s">
        <v>1856</v>
      </c>
      <c r="E872" s="16">
        <v>45826</v>
      </c>
      <c r="F872" s="21" t="s">
        <v>119</v>
      </c>
      <c r="G872" s="51" t="s">
        <v>1857</v>
      </c>
      <c r="H872" s="57">
        <v>61462.32</v>
      </c>
      <c r="I872" s="16">
        <v>45834</v>
      </c>
      <c r="J872" s="36">
        <v>45833</v>
      </c>
      <c r="K872" s="17">
        <v>7</v>
      </c>
      <c r="L872" s="34">
        <v>168</v>
      </c>
      <c r="M872" s="34">
        <v>7</v>
      </c>
      <c r="N872" s="41">
        <v>45836</v>
      </c>
      <c r="O872" s="18" t="s">
        <v>21</v>
      </c>
      <c r="P872" s="18" t="s">
        <v>1456</v>
      </c>
      <c r="Q872" s="17" t="s">
        <v>140</v>
      </c>
      <c r="R872" s="17" t="s">
        <v>102</v>
      </c>
      <c r="S872" s="17">
        <v>10232214</v>
      </c>
      <c r="T872" s="17" t="s">
        <v>804</v>
      </c>
      <c r="U872" s="18" t="s">
        <v>19</v>
      </c>
      <c r="V872" s="17"/>
    </row>
    <row r="873" spans="1:22" x14ac:dyDescent="0.3">
      <c r="A873" s="18" t="e">
        <f t="shared" si="15"/>
        <v>#REF!</v>
      </c>
      <c r="B873" s="17">
        <v>125</v>
      </c>
      <c r="C873" s="17" t="s">
        <v>23</v>
      </c>
      <c r="D873" s="17" t="s">
        <v>1858</v>
      </c>
      <c r="E873" s="16">
        <v>45827</v>
      </c>
      <c r="F873" s="21" t="s">
        <v>575</v>
      </c>
      <c r="G873" s="51" t="s">
        <v>1862</v>
      </c>
      <c r="H873" s="57">
        <v>343979.28</v>
      </c>
      <c r="I873" s="16">
        <v>45834</v>
      </c>
      <c r="J873" s="36">
        <v>45833</v>
      </c>
      <c r="K873" s="17">
        <v>36</v>
      </c>
      <c r="L873" s="34">
        <v>864</v>
      </c>
      <c r="M873" s="34">
        <v>36</v>
      </c>
      <c r="N873" s="41">
        <v>45836</v>
      </c>
      <c r="O873" s="18" t="s">
        <v>21</v>
      </c>
      <c r="P873" s="18" t="s">
        <v>1456</v>
      </c>
      <c r="Q873" s="17" t="s">
        <v>140</v>
      </c>
      <c r="R873" s="17" t="s">
        <v>102</v>
      </c>
      <c r="S873" s="17">
        <v>10232195</v>
      </c>
      <c r="T873" s="17" t="s">
        <v>804</v>
      </c>
      <c r="U873" s="18" t="s">
        <v>19</v>
      </c>
      <c r="V873" s="17"/>
    </row>
    <row r="874" spans="1:22" x14ac:dyDescent="0.3">
      <c r="A874" s="18" t="e">
        <f t="shared" si="15"/>
        <v>#REF!</v>
      </c>
      <c r="B874" s="17">
        <v>125</v>
      </c>
      <c r="C874" s="17" t="s">
        <v>23</v>
      </c>
      <c r="D874" s="17" t="s">
        <v>1859</v>
      </c>
      <c r="E874" s="16">
        <v>45827</v>
      </c>
      <c r="F874" s="21" t="s">
        <v>575</v>
      </c>
      <c r="G874" s="51" t="s">
        <v>1863</v>
      </c>
      <c r="H874" s="57">
        <v>344451.96</v>
      </c>
      <c r="I874" s="16">
        <v>45834</v>
      </c>
      <c r="J874" s="36">
        <v>45833</v>
      </c>
      <c r="K874" s="17">
        <v>37</v>
      </c>
      <c r="L874" s="34">
        <v>1020</v>
      </c>
      <c r="M874" s="34">
        <v>37</v>
      </c>
      <c r="N874" s="41">
        <v>45836</v>
      </c>
      <c r="O874" s="18" t="s">
        <v>21</v>
      </c>
      <c r="P874" s="18" t="s">
        <v>1456</v>
      </c>
      <c r="Q874" s="17" t="s">
        <v>140</v>
      </c>
      <c r="R874" s="17" t="s">
        <v>102</v>
      </c>
      <c r="S874" s="17" t="s">
        <v>1623</v>
      </c>
      <c r="T874" s="17" t="s">
        <v>804</v>
      </c>
      <c r="U874" s="18" t="s">
        <v>19</v>
      </c>
      <c r="V874" s="17"/>
    </row>
    <row r="875" spans="1:22" x14ac:dyDescent="0.3">
      <c r="A875" s="18" t="e">
        <f t="shared" si="15"/>
        <v>#REF!</v>
      </c>
      <c r="B875" s="17">
        <v>125</v>
      </c>
      <c r="C875" s="17" t="s">
        <v>23</v>
      </c>
      <c r="D875" s="17" t="s">
        <v>1860</v>
      </c>
      <c r="E875" s="16">
        <v>45832</v>
      </c>
      <c r="F875" s="21" t="s">
        <v>41</v>
      </c>
      <c r="G875" s="51" t="s">
        <v>1864</v>
      </c>
      <c r="H875" s="57">
        <v>399595.68</v>
      </c>
      <c r="I875" s="16">
        <v>45834</v>
      </c>
      <c r="J875" s="36">
        <v>45833</v>
      </c>
      <c r="K875" s="17">
        <v>38</v>
      </c>
      <c r="L875" s="34">
        <v>912</v>
      </c>
      <c r="M875" s="34">
        <v>38</v>
      </c>
      <c r="N875" s="41">
        <v>45836</v>
      </c>
      <c r="O875" s="18" t="s">
        <v>21</v>
      </c>
      <c r="P875" s="18" t="s">
        <v>1456</v>
      </c>
      <c r="Q875" s="17" t="s">
        <v>140</v>
      </c>
      <c r="R875" s="17" t="s">
        <v>102</v>
      </c>
      <c r="S875" s="17">
        <v>10232194</v>
      </c>
      <c r="T875" s="17" t="s">
        <v>804</v>
      </c>
      <c r="U875" s="18" t="s">
        <v>19</v>
      </c>
      <c r="V875" s="17"/>
    </row>
    <row r="876" spans="1:22" x14ac:dyDescent="0.3">
      <c r="A876" s="18" t="e">
        <f t="shared" si="15"/>
        <v>#REF!</v>
      </c>
      <c r="B876" s="17">
        <v>125</v>
      </c>
      <c r="C876" s="17" t="s">
        <v>23</v>
      </c>
      <c r="D876" s="17" t="s">
        <v>1861</v>
      </c>
      <c r="E876" s="16">
        <v>45832</v>
      </c>
      <c r="F876" s="21" t="s">
        <v>41</v>
      </c>
      <c r="G876" s="51" t="s">
        <v>1865</v>
      </c>
      <c r="H876" s="57">
        <v>244245.36</v>
      </c>
      <c r="I876" s="16">
        <v>45834</v>
      </c>
      <c r="J876" s="36">
        <v>45833</v>
      </c>
      <c r="K876" s="17">
        <v>27</v>
      </c>
      <c r="L876" s="34">
        <v>792</v>
      </c>
      <c r="M876" s="34">
        <v>27</v>
      </c>
      <c r="N876" s="41">
        <v>45836</v>
      </c>
      <c r="O876" s="18" t="s">
        <v>21</v>
      </c>
      <c r="P876" s="18" t="s">
        <v>1456</v>
      </c>
      <c r="Q876" s="17" t="s">
        <v>140</v>
      </c>
      <c r="R876" s="17" t="s">
        <v>102</v>
      </c>
      <c r="S876" s="17">
        <v>10232197</v>
      </c>
      <c r="T876" s="17" t="s">
        <v>804</v>
      </c>
      <c r="U876" s="18" t="s">
        <v>19</v>
      </c>
      <c r="V876" s="17"/>
    </row>
    <row r="877" spans="1:22" x14ac:dyDescent="0.3">
      <c r="A877" s="18" t="e">
        <f t="shared" si="15"/>
        <v>#REF!</v>
      </c>
      <c r="B877" s="17">
        <v>126</v>
      </c>
      <c r="C877" s="17" t="s">
        <v>23</v>
      </c>
      <c r="D877" s="17" t="s">
        <v>1866</v>
      </c>
      <c r="E877" s="16">
        <v>45825</v>
      </c>
      <c r="F877" s="21" t="s">
        <v>113</v>
      </c>
      <c r="G877" s="51" t="s">
        <v>1867</v>
      </c>
      <c r="H877" s="57">
        <v>123552</v>
      </c>
      <c r="I877" s="16">
        <v>45834</v>
      </c>
      <c r="J877" s="36">
        <v>45833</v>
      </c>
      <c r="K877" s="17">
        <v>13</v>
      </c>
      <c r="L877" s="34">
        <v>312</v>
      </c>
      <c r="M877" s="34">
        <v>13</v>
      </c>
      <c r="N877" s="41">
        <v>45837</v>
      </c>
      <c r="O877" s="18" t="s">
        <v>21</v>
      </c>
      <c r="P877" s="18" t="s">
        <v>1456</v>
      </c>
      <c r="Q877" s="17" t="s">
        <v>140</v>
      </c>
      <c r="R877" s="17" t="s">
        <v>102</v>
      </c>
      <c r="S877" s="17">
        <v>10232223</v>
      </c>
      <c r="T877" s="17" t="s">
        <v>804</v>
      </c>
      <c r="U877" s="18" t="s">
        <v>19</v>
      </c>
      <c r="V877" s="17"/>
    </row>
    <row r="878" spans="1:22" x14ac:dyDescent="0.3">
      <c r="A878" s="18" t="e">
        <f t="shared" si="15"/>
        <v>#REF!</v>
      </c>
      <c r="B878" s="17">
        <v>126</v>
      </c>
      <c r="C878" s="17" t="s">
        <v>1845</v>
      </c>
      <c r="D878" s="17" t="s">
        <v>1868</v>
      </c>
      <c r="E878" s="16">
        <v>45827</v>
      </c>
      <c r="F878" s="21" t="s">
        <v>1204</v>
      </c>
      <c r="G878" s="51" t="s">
        <v>1869</v>
      </c>
      <c r="H878" s="57">
        <v>120112.78</v>
      </c>
      <c r="I878" s="16">
        <v>45834</v>
      </c>
      <c r="J878" s="36">
        <v>45833</v>
      </c>
      <c r="K878" s="17">
        <v>17</v>
      </c>
      <c r="L878" s="34">
        <v>408</v>
      </c>
      <c r="M878" s="34">
        <v>17</v>
      </c>
      <c r="N878" s="41">
        <v>45837</v>
      </c>
      <c r="O878" s="18" t="s">
        <v>21</v>
      </c>
      <c r="P878" s="18" t="s">
        <v>1456</v>
      </c>
      <c r="Q878" s="17" t="s">
        <v>140</v>
      </c>
      <c r="R878" s="17" t="s">
        <v>102</v>
      </c>
      <c r="S878" s="17">
        <v>10232231</v>
      </c>
      <c r="T878" s="17" t="s">
        <v>804</v>
      </c>
      <c r="U878" s="18" t="s">
        <v>19</v>
      </c>
      <c r="V878" s="17"/>
    </row>
    <row r="879" spans="1:22" x14ac:dyDescent="0.3">
      <c r="A879" s="18" t="e">
        <f t="shared" si="15"/>
        <v>#REF!</v>
      </c>
      <c r="B879" s="17">
        <v>126</v>
      </c>
      <c r="C879" s="17" t="s">
        <v>23</v>
      </c>
      <c r="D879" s="17" t="s">
        <v>1870</v>
      </c>
      <c r="E879" s="16">
        <v>45832</v>
      </c>
      <c r="F879" s="21" t="s">
        <v>41</v>
      </c>
      <c r="G879" s="51" t="s">
        <v>1871</v>
      </c>
      <c r="H879" s="57">
        <v>279860.40000000002</v>
      </c>
      <c r="I879" s="16">
        <v>45834</v>
      </c>
      <c r="J879" s="36">
        <v>45833</v>
      </c>
      <c r="K879" s="17">
        <v>25</v>
      </c>
      <c r="L879" s="34">
        <v>600</v>
      </c>
      <c r="M879" s="34">
        <v>25</v>
      </c>
      <c r="N879" s="41">
        <v>45837</v>
      </c>
      <c r="O879" s="18" t="s">
        <v>21</v>
      </c>
      <c r="P879" s="18" t="s">
        <v>1456</v>
      </c>
      <c r="Q879" s="17" t="s">
        <v>140</v>
      </c>
      <c r="R879" s="17" t="s">
        <v>102</v>
      </c>
      <c r="S879" s="17">
        <v>10232217</v>
      </c>
      <c r="T879" s="17" t="s">
        <v>804</v>
      </c>
      <c r="U879" s="18" t="s">
        <v>19</v>
      </c>
      <c r="V879" s="17"/>
    </row>
    <row r="880" spans="1:22" x14ac:dyDescent="0.3">
      <c r="A880" s="18" t="e">
        <f t="shared" si="15"/>
        <v>#REF!</v>
      </c>
      <c r="B880" s="17">
        <v>126</v>
      </c>
      <c r="C880" s="17" t="s">
        <v>23</v>
      </c>
      <c r="D880" s="17" t="s">
        <v>1872</v>
      </c>
      <c r="E880" s="16">
        <v>45826</v>
      </c>
      <c r="F880" s="21" t="s">
        <v>129</v>
      </c>
      <c r="G880" s="51" t="s">
        <v>1873</v>
      </c>
      <c r="H880" s="57">
        <v>271715.28000000003</v>
      </c>
      <c r="I880" s="16">
        <v>45834</v>
      </c>
      <c r="J880" s="36">
        <v>45833</v>
      </c>
      <c r="K880" s="17">
        <v>31</v>
      </c>
      <c r="L880" s="34">
        <v>744</v>
      </c>
      <c r="M880" s="34">
        <v>31</v>
      </c>
      <c r="N880" s="41">
        <v>45837</v>
      </c>
      <c r="O880" s="18" t="s">
        <v>21</v>
      </c>
      <c r="P880" s="18" t="s">
        <v>1456</v>
      </c>
      <c r="Q880" s="17" t="s">
        <v>140</v>
      </c>
      <c r="R880" s="17" t="s">
        <v>102</v>
      </c>
      <c r="S880" s="17" t="s">
        <v>1623</v>
      </c>
      <c r="T880" s="17" t="s">
        <v>804</v>
      </c>
      <c r="U880" s="18" t="s">
        <v>19</v>
      </c>
      <c r="V880" s="17"/>
    </row>
    <row r="881" spans="1:22" x14ac:dyDescent="0.3">
      <c r="A881" s="18" t="e">
        <f t="shared" si="15"/>
        <v>#REF!</v>
      </c>
      <c r="B881" s="17">
        <v>126</v>
      </c>
      <c r="C881" s="17" t="s">
        <v>23</v>
      </c>
      <c r="D881" s="17" t="s">
        <v>1875</v>
      </c>
      <c r="E881" s="16">
        <v>45832</v>
      </c>
      <c r="F881" s="21" t="s">
        <v>1207</v>
      </c>
      <c r="G881" s="51" t="s">
        <v>1874</v>
      </c>
      <c r="H881" s="57">
        <v>154862.28</v>
      </c>
      <c r="I881" s="16">
        <v>45834</v>
      </c>
      <c r="J881" s="36">
        <v>45833</v>
      </c>
      <c r="K881" s="17">
        <v>25</v>
      </c>
      <c r="L881" s="34">
        <v>468</v>
      </c>
      <c r="M881" s="34">
        <v>25</v>
      </c>
      <c r="N881" s="41">
        <v>45837</v>
      </c>
      <c r="O881" s="18" t="s">
        <v>21</v>
      </c>
      <c r="P881" s="18" t="s">
        <v>1456</v>
      </c>
      <c r="Q881" s="17" t="s">
        <v>140</v>
      </c>
      <c r="R881" s="17" t="s">
        <v>102</v>
      </c>
      <c r="S881" s="17">
        <v>10232213</v>
      </c>
      <c r="T881" s="17" t="s">
        <v>804</v>
      </c>
      <c r="U881" s="18" t="s">
        <v>19</v>
      </c>
      <c r="V881" s="17"/>
    </row>
    <row r="882" spans="1:22" x14ac:dyDescent="0.3">
      <c r="A882" s="18" t="e">
        <f t="shared" si="15"/>
        <v>#REF!</v>
      </c>
      <c r="B882" s="17">
        <v>126</v>
      </c>
      <c r="C882" s="17" t="s">
        <v>23</v>
      </c>
      <c r="D882" s="17" t="s">
        <v>1876</v>
      </c>
      <c r="E882" s="16">
        <v>45822</v>
      </c>
      <c r="F882" s="21" t="s">
        <v>929</v>
      </c>
      <c r="G882" s="51" t="s">
        <v>1881</v>
      </c>
      <c r="H882" s="57">
        <v>110602.8</v>
      </c>
      <c r="I882" s="16">
        <v>45834</v>
      </c>
      <c r="J882" s="36">
        <v>45833</v>
      </c>
      <c r="K882" s="17">
        <v>30</v>
      </c>
      <c r="L882" s="34">
        <v>360</v>
      </c>
      <c r="M882" s="34">
        <v>30</v>
      </c>
      <c r="N882" s="41">
        <v>45837</v>
      </c>
      <c r="O882" s="18" t="s">
        <v>21</v>
      </c>
      <c r="P882" s="18" t="s">
        <v>1456</v>
      </c>
      <c r="Q882" s="17" t="s">
        <v>140</v>
      </c>
      <c r="R882" s="17" t="s">
        <v>102</v>
      </c>
      <c r="S882" s="17">
        <v>10232219</v>
      </c>
      <c r="T882" s="17" t="s">
        <v>804</v>
      </c>
      <c r="U882" s="18" t="s">
        <v>19</v>
      </c>
      <c r="V882" s="17"/>
    </row>
    <row r="883" spans="1:22" x14ac:dyDescent="0.3">
      <c r="A883" s="18" t="e">
        <f t="shared" si="15"/>
        <v>#REF!</v>
      </c>
      <c r="B883" s="17">
        <v>126</v>
      </c>
      <c r="C883" s="17" t="s">
        <v>23</v>
      </c>
      <c r="D883" s="17" t="s">
        <v>1877</v>
      </c>
      <c r="E883" s="16">
        <v>45824</v>
      </c>
      <c r="F883" s="21" t="s">
        <v>117</v>
      </c>
      <c r="G883" s="51" t="s">
        <v>1882</v>
      </c>
      <c r="H883" s="57">
        <v>51614.64</v>
      </c>
      <c r="I883" s="16">
        <v>45834</v>
      </c>
      <c r="J883" s="36">
        <v>45833</v>
      </c>
      <c r="K883" s="17">
        <v>7</v>
      </c>
      <c r="L883" s="34">
        <v>168</v>
      </c>
      <c r="M883" s="34">
        <v>7</v>
      </c>
      <c r="N883" s="41">
        <v>45837</v>
      </c>
      <c r="O883" s="18" t="s">
        <v>21</v>
      </c>
      <c r="P883" s="18" t="s">
        <v>1456</v>
      </c>
      <c r="Q883" s="17" t="s">
        <v>140</v>
      </c>
      <c r="R883" s="17" t="s">
        <v>102</v>
      </c>
      <c r="S883" s="17" t="s">
        <v>1623</v>
      </c>
      <c r="T883" s="17" t="s">
        <v>804</v>
      </c>
      <c r="U883" s="18" t="s">
        <v>19</v>
      </c>
      <c r="V883" s="17"/>
    </row>
    <row r="884" spans="1:22" x14ac:dyDescent="0.3">
      <c r="A884" s="18" t="e">
        <f t="shared" si="15"/>
        <v>#REF!</v>
      </c>
      <c r="B884" s="17">
        <v>126</v>
      </c>
      <c r="C884" s="17" t="s">
        <v>23</v>
      </c>
      <c r="D884" s="17" t="s">
        <v>1878</v>
      </c>
      <c r="E884" s="16">
        <v>45828</v>
      </c>
      <c r="F884" s="21" t="s">
        <v>118</v>
      </c>
      <c r="G884" s="51" t="s">
        <v>1883</v>
      </c>
      <c r="H884" s="57">
        <v>59012.639999999999</v>
      </c>
      <c r="I884" s="16">
        <v>45834</v>
      </c>
      <c r="J884" s="36">
        <v>45833</v>
      </c>
      <c r="K884" s="17">
        <v>6</v>
      </c>
      <c r="L884" s="34">
        <v>144</v>
      </c>
      <c r="M884" s="34">
        <v>6</v>
      </c>
      <c r="N884" s="41">
        <v>45837</v>
      </c>
      <c r="O884" s="18" t="s">
        <v>21</v>
      </c>
      <c r="P884" s="18" t="s">
        <v>1456</v>
      </c>
      <c r="Q884" s="17" t="s">
        <v>140</v>
      </c>
      <c r="R884" s="17" t="s">
        <v>102</v>
      </c>
      <c r="S884" s="17" t="s">
        <v>1623</v>
      </c>
      <c r="T884" s="17" t="s">
        <v>804</v>
      </c>
      <c r="U884" s="18" t="s">
        <v>19</v>
      </c>
      <c r="V884" s="17"/>
    </row>
    <row r="885" spans="1:22" x14ac:dyDescent="0.3">
      <c r="A885" s="18" t="e">
        <f t="shared" si="15"/>
        <v>#REF!</v>
      </c>
      <c r="B885" s="17">
        <v>126</v>
      </c>
      <c r="C885" s="17" t="s">
        <v>23</v>
      </c>
      <c r="D885" s="17" t="s">
        <v>1879</v>
      </c>
      <c r="E885" s="16">
        <v>45829</v>
      </c>
      <c r="F885" s="21" t="s">
        <v>33</v>
      </c>
      <c r="G885" s="51" t="s">
        <v>1884</v>
      </c>
      <c r="H885" s="57">
        <v>87263.52</v>
      </c>
      <c r="I885" s="16">
        <v>45834</v>
      </c>
      <c r="J885" s="36">
        <v>45833</v>
      </c>
      <c r="K885" s="17">
        <v>11</v>
      </c>
      <c r="L885" s="34">
        <v>264</v>
      </c>
      <c r="M885" s="34">
        <v>11</v>
      </c>
      <c r="N885" s="41">
        <v>45837</v>
      </c>
      <c r="O885" s="18" t="s">
        <v>21</v>
      </c>
      <c r="P885" s="18" t="s">
        <v>1456</v>
      </c>
      <c r="Q885" s="17" t="s">
        <v>140</v>
      </c>
      <c r="R885" s="17" t="s">
        <v>102</v>
      </c>
      <c r="S885" s="17" t="s">
        <v>1623</v>
      </c>
      <c r="T885" s="17" t="s">
        <v>804</v>
      </c>
      <c r="U885" s="18" t="s">
        <v>19</v>
      </c>
      <c r="V885" s="17"/>
    </row>
    <row r="886" spans="1:22" x14ac:dyDescent="0.3">
      <c r="A886" s="18" t="e">
        <f t="shared" si="15"/>
        <v>#REF!</v>
      </c>
      <c r="B886" s="17">
        <v>126</v>
      </c>
      <c r="C886" s="17" t="s">
        <v>23</v>
      </c>
      <c r="D886" s="17" t="s">
        <v>1880</v>
      </c>
      <c r="E886" s="16">
        <v>45832</v>
      </c>
      <c r="F886" s="23" t="s">
        <v>68</v>
      </c>
      <c r="G886" s="51" t="s">
        <v>1885</v>
      </c>
      <c r="H886" s="57">
        <v>138890.4</v>
      </c>
      <c r="I886" s="16">
        <v>45834</v>
      </c>
      <c r="J886" s="36">
        <v>45833</v>
      </c>
      <c r="K886" s="17">
        <v>17</v>
      </c>
      <c r="L886" s="34">
        <v>408</v>
      </c>
      <c r="M886" s="34">
        <v>17</v>
      </c>
      <c r="N886" s="41">
        <v>45837</v>
      </c>
      <c r="O886" s="18" t="s">
        <v>21</v>
      </c>
      <c r="P886" s="18" t="s">
        <v>1456</v>
      </c>
      <c r="Q886" s="17" t="s">
        <v>140</v>
      </c>
      <c r="R886" s="17" t="s">
        <v>102</v>
      </c>
      <c r="S886" s="17" t="s">
        <v>1623</v>
      </c>
      <c r="T886" s="17" t="s">
        <v>804</v>
      </c>
      <c r="U886" s="18" t="s">
        <v>19</v>
      </c>
      <c r="V886" s="17"/>
    </row>
    <row r="887" spans="1:22" x14ac:dyDescent="0.3">
      <c r="A887" s="18" t="e">
        <f t="shared" si="15"/>
        <v>#REF!</v>
      </c>
      <c r="B887" s="17">
        <v>127</v>
      </c>
      <c r="C887" s="17" t="s">
        <v>23</v>
      </c>
      <c r="D887" s="17" t="s">
        <v>1886</v>
      </c>
      <c r="E887" s="16">
        <v>45831</v>
      </c>
      <c r="F887" s="21" t="s">
        <v>131</v>
      </c>
      <c r="G887" s="51" t="s">
        <v>1894</v>
      </c>
      <c r="H887" s="57">
        <v>144158.16</v>
      </c>
      <c r="I887" s="16">
        <v>45834</v>
      </c>
      <c r="J887" s="36">
        <v>45833</v>
      </c>
      <c r="K887" s="17">
        <v>15</v>
      </c>
      <c r="L887" s="34">
        <v>360</v>
      </c>
      <c r="M887" s="34">
        <v>15</v>
      </c>
      <c r="N887" s="41">
        <v>45839</v>
      </c>
      <c r="O887" s="18" t="s">
        <v>21</v>
      </c>
      <c r="P887" s="18" t="s">
        <v>1456</v>
      </c>
      <c r="Q887" s="17" t="s">
        <v>140</v>
      </c>
      <c r="R887" s="17" t="s">
        <v>102</v>
      </c>
      <c r="S887" s="17" t="s">
        <v>1623</v>
      </c>
      <c r="T887" s="17" t="s">
        <v>804</v>
      </c>
      <c r="U887" s="18" t="s">
        <v>19</v>
      </c>
      <c r="V887" s="17"/>
    </row>
    <row r="888" spans="1:22" x14ac:dyDescent="0.3">
      <c r="A888" s="18" t="e">
        <f t="shared" si="15"/>
        <v>#REF!</v>
      </c>
      <c r="B888" s="17">
        <v>127</v>
      </c>
      <c r="C888" s="17" t="s">
        <v>23</v>
      </c>
      <c r="D888" s="17" t="s">
        <v>1887</v>
      </c>
      <c r="E888" s="16">
        <v>45833</v>
      </c>
      <c r="F888" s="21" t="s">
        <v>929</v>
      </c>
      <c r="G888" s="51" t="s">
        <v>1901</v>
      </c>
      <c r="H888" s="57">
        <v>376251.48</v>
      </c>
      <c r="I888" s="16">
        <v>45838</v>
      </c>
      <c r="J888" s="36">
        <v>45833</v>
      </c>
      <c r="K888" s="17">
        <v>39</v>
      </c>
      <c r="L888" s="34">
        <v>828</v>
      </c>
      <c r="M888" s="34">
        <v>39</v>
      </c>
      <c r="N888" s="41">
        <v>45839</v>
      </c>
      <c r="O888" s="18" t="s">
        <v>21</v>
      </c>
      <c r="P888" s="18" t="s">
        <v>1456</v>
      </c>
      <c r="Q888" s="17" t="s">
        <v>140</v>
      </c>
      <c r="R888" s="17" t="s">
        <v>102</v>
      </c>
      <c r="S888" s="17" t="s">
        <v>1623</v>
      </c>
      <c r="T888" s="17" t="s">
        <v>804</v>
      </c>
      <c r="U888" s="18" t="s">
        <v>19</v>
      </c>
      <c r="V888" s="17"/>
    </row>
    <row r="889" spans="1:22" x14ac:dyDescent="0.3">
      <c r="A889" s="18" t="e">
        <f t="shared" si="15"/>
        <v>#REF!</v>
      </c>
      <c r="B889" s="17">
        <v>127</v>
      </c>
      <c r="C889" s="17" t="s">
        <v>23</v>
      </c>
      <c r="D889" s="17" t="s">
        <v>1888</v>
      </c>
      <c r="E889" s="16">
        <v>45833</v>
      </c>
      <c r="F889" s="21" t="s">
        <v>929</v>
      </c>
      <c r="G889" s="51" t="s">
        <v>1896</v>
      </c>
      <c r="H889" s="57">
        <v>427824</v>
      </c>
      <c r="I889" s="16">
        <v>45838</v>
      </c>
      <c r="J889" s="36">
        <v>45833</v>
      </c>
      <c r="K889" s="17">
        <v>42</v>
      </c>
      <c r="L889" s="34">
        <v>1008</v>
      </c>
      <c r="M889" s="34">
        <v>42</v>
      </c>
      <c r="N889" s="41">
        <v>45839</v>
      </c>
      <c r="O889" s="18" t="s">
        <v>21</v>
      </c>
      <c r="P889" s="18" t="s">
        <v>1456</v>
      </c>
      <c r="Q889" s="17" t="s">
        <v>140</v>
      </c>
      <c r="R889" s="17" t="s">
        <v>102</v>
      </c>
      <c r="S889" s="17" t="s">
        <v>1623</v>
      </c>
      <c r="T889" s="17" t="s">
        <v>804</v>
      </c>
      <c r="U889" s="18" t="s">
        <v>19</v>
      </c>
      <c r="V889" s="17"/>
    </row>
    <row r="890" spans="1:22" x14ac:dyDescent="0.3">
      <c r="A890" s="18" t="e">
        <f t="shared" si="15"/>
        <v>#REF!</v>
      </c>
      <c r="B890" s="17">
        <v>127</v>
      </c>
      <c r="C890" s="17" t="s">
        <v>23</v>
      </c>
      <c r="D890" s="17" t="s">
        <v>1889</v>
      </c>
      <c r="E890" s="16">
        <v>45833</v>
      </c>
      <c r="F890" s="21" t="s">
        <v>929</v>
      </c>
      <c r="G890" s="51" t="s">
        <v>1897</v>
      </c>
      <c r="H890" s="57">
        <v>109395.6</v>
      </c>
      <c r="I890" s="16">
        <v>45838</v>
      </c>
      <c r="J890" s="36">
        <v>45833</v>
      </c>
      <c r="K890" s="17">
        <v>18</v>
      </c>
      <c r="L890" s="34">
        <v>312</v>
      </c>
      <c r="M890" s="34">
        <v>18</v>
      </c>
      <c r="N890" s="41">
        <v>45839</v>
      </c>
      <c r="O890" s="18" t="s">
        <v>21</v>
      </c>
      <c r="P890" s="18" t="s">
        <v>1456</v>
      </c>
      <c r="Q890" s="17" t="s">
        <v>140</v>
      </c>
      <c r="R890" s="17" t="s">
        <v>102</v>
      </c>
      <c r="S890" s="17" t="s">
        <v>1623</v>
      </c>
      <c r="T890" s="17" t="s">
        <v>804</v>
      </c>
      <c r="U890" s="18" t="s">
        <v>19</v>
      </c>
      <c r="V890" s="17"/>
    </row>
    <row r="891" spans="1:22" x14ac:dyDescent="0.3">
      <c r="A891" s="18" t="e">
        <f t="shared" si="15"/>
        <v>#REF!</v>
      </c>
      <c r="B891" s="17">
        <v>127</v>
      </c>
      <c r="C891" s="17" t="s">
        <v>23</v>
      </c>
      <c r="D891" s="17" t="s">
        <v>1890</v>
      </c>
      <c r="E891" s="16">
        <v>45834</v>
      </c>
      <c r="F891" s="21" t="s">
        <v>929</v>
      </c>
      <c r="G891" s="51" t="s">
        <v>1898</v>
      </c>
      <c r="H891" s="57">
        <v>107191.67999999999</v>
      </c>
      <c r="I891" s="16">
        <v>45838</v>
      </c>
      <c r="J891" s="36">
        <v>45833</v>
      </c>
      <c r="K891" s="17">
        <v>12</v>
      </c>
      <c r="L891" s="34">
        <v>288</v>
      </c>
      <c r="M891" s="34">
        <v>12</v>
      </c>
      <c r="N891" s="41">
        <v>45839</v>
      </c>
      <c r="O891" s="18" t="s">
        <v>21</v>
      </c>
      <c r="P891" s="18" t="s">
        <v>1456</v>
      </c>
      <c r="Q891" s="17" t="s">
        <v>140</v>
      </c>
      <c r="R891" s="17" t="s">
        <v>102</v>
      </c>
      <c r="S891" s="17" t="s">
        <v>1623</v>
      </c>
      <c r="T891" s="17" t="s">
        <v>804</v>
      </c>
      <c r="U891" s="18" t="s">
        <v>19</v>
      </c>
      <c r="V891" s="17"/>
    </row>
    <row r="892" spans="1:22" x14ac:dyDescent="0.3">
      <c r="A892" s="18" t="e">
        <f t="shared" si="15"/>
        <v>#REF!</v>
      </c>
      <c r="B892" s="17">
        <v>127</v>
      </c>
      <c r="C892" s="17" t="s">
        <v>23</v>
      </c>
      <c r="D892" s="17" t="s">
        <v>1891</v>
      </c>
      <c r="E892" s="16">
        <v>45834</v>
      </c>
      <c r="F892" s="21" t="s">
        <v>113</v>
      </c>
      <c r="G892" s="51" t="s">
        <v>1899</v>
      </c>
      <c r="H892" s="57">
        <v>24594.720000000001</v>
      </c>
      <c r="I892" s="16">
        <v>45838</v>
      </c>
      <c r="J892" s="36">
        <v>45833</v>
      </c>
      <c r="K892" s="17">
        <v>2</v>
      </c>
      <c r="L892" s="34">
        <v>48</v>
      </c>
      <c r="M892" s="34">
        <v>2</v>
      </c>
      <c r="N892" s="41">
        <v>45839</v>
      </c>
      <c r="O892" s="18" t="s">
        <v>21</v>
      </c>
      <c r="P892" s="18" t="s">
        <v>1456</v>
      </c>
      <c r="Q892" s="17" t="s">
        <v>140</v>
      </c>
      <c r="R892" s="17" t="s">
        <v>102</v>
      </c>
      <c r="S892" s="17" t="s">
        <v>1623</v>
      </c>
      <c r="T892" s="17" t="s">
        <v>804</v>
      </c>
      <c r="U892" s="18" t="s">
        <v>19</v>
      </c>
      <c r="V892" s="17"/>
    </row>
    <row r="893" spans="1:22" x14ac:dyDescent="0.3">
      <c r="A893" s="18" t="e">
        <f t="shared" si="15"/>
        <v>#REF!</v>
      </c>
      <c r="B893" s="17">
        <v>127</v>
      </c>
      <c r="C893" s="17" t="s">
        <v>23</v>
      </c>
      <c r="D893" s="17" t="s">
        <v>1892</v>
      </c>
      <c r="E893" s="16">
        <v>45834</v>
      </c>
      <c r="F893" s="21" t="s">
        <v>43</v>
      </c>
      <c r="G893" s="51" t="s">
        <v>1900</v>
      </c>
      <c r="H893" s="57">
        <v>67001.279999999999</v>
      </c>
      <c r="I893" s="16">
        <v>45838</v>
      </c>
      <c r="J893" s="36">
        <v>45833</v>
      </c>
      <c r="K893" s="17">
        <v>7</v>
      </c>
      <c r="L893" s="34">
        <v>168</v>
      </c>
      <c r="M893" s="34">
        <v>7</v>
      </c>
      <c r="N893" s="41">
        <v>45839</v>
      </c>
      <c r="O893" s="18" t="s">
        <v>21</v>
      </c>
      <c r="P893" s="18" t="s">
        <v>1456</v>
      </c>
      <c r="Q893" s="17" t="s">
        <v>140</v>
      </c>
      <c r="R893" s="17" t="s">
        <v>102</v>
      </c>
      <c r="S893" s="17" t="s">
        <v>1623</v>
      </c>
      <c r="T893" s="17" t="s">
        <v>804</v>
      </c>
      <c r="U893" s="18" t="s">
        <v>19</v>
      </c>
      <c r="V893" s="17"/>
    </row>
    <row r="894" spans="1:22" x14ac:dyDescent="0.3">
      <c r="A894" s="18" t="e">
        <f t="shared" si="15"/>
        <v>#REF!</v>
      </c>
      <c r="B894" s="17">
        <v>127</v>
      </c>
      <c r="C894" s="17" t="s">
        <v>23</v>
      </c>
      <c r="D894" s="17" t="s">
        <v>1893</v>
      </c>
      <c r="E894" s="16">
        <v>45836</v>
      </c>
      <c r="F894" s="23" t="s">
        <v>68</v>
      </c>
      <c r="G894" s="51" t="s">
        <v>1895</v>
      </c>
      <c r="H894" s="57">
        <v>314093.28000000003</v>
      </c>
      <c r="I894" s="16">
        <v>45838</v>
      </c>
      <c r="J894" s="36">
        <v>45833</v>
      </c>
      <c r="K894" s="17">
        <v>34</v>
      </c>
      <c r="L894" s="34">
        <v>816</v>
      </c>
      <c r="M894" s="34">
        <v>34</v>
      </c>
      <c r="N894" s="41">
        <v>45839</v>
      </c>
      <c r="O894" s="18" t="s">
        <v>21</v>
      </c>
      <c r="P894" s="18" t="s">
        <v>1456</v>
      </c>
      <c r="Q894" s="17" t="s">
        <v>140</v>
      </c>
      <c r="R894" s="17" t="s">
        <v>102</v>
      </c>
      <c r="S894" s="17" t="s">
        <v>1623</v>
      </c>
      <c r="T894" s="17" t="s">
        <v>804</v>
      </c>
      <c r="U894" s="18" t="s">
        <v>19</v>
      </c>
      <c r="V894" s="17"/>
    </row>
    <row r="895" spans="1:22" x14ac:dyDescent="0.3">
      <c r="A895" s="18" t="e">
        <f t="shared" si="15"/>
        <v>#REF!</v>
      </c>
      <c r="B895" s="17">
        <v>128</v>
      </c>
      <c r="C895" s="17" t="s">
        <v>23</v>
      </c>
      <c r="D895" s="17" t="s">
        <v>1902</v>
      </c>
      <c r="E895" s="16">
        <v>45836</v>
      </c>
      <c r="F895" s="21" t="s">
        <v>117</v>
      </c>
      <c r="G895" s="51" t="s">
        <v>1909</v>
      </c>
      <c r="H895" s="57">
        <v>108165.36</v>
      </c>
      <c r="I895" s="16">
        <v>45838</v>
      </c>
      <c r="J895" s="36">
        <v>45833</v>
      </c>
      <c r="K895" s="17">
        <v>13</v>
      </c>
      <c r="L895" s="34">
        <v>312</v>
      </c>
      <c r="M895" s="34">
        <v>13</v>
      </c>
      <c r="N895" s="41">
        <v>45841</v>
      </c>
      <c r="O895" s="18" t="s">
        <v>21</v>
      </c>
      <c r="P895" s="18" t="s">
        <v>1456</v>
      </c>
      <c r="Q895" s="17" t="s">
        <v>140</v>
      </c>
      <c r="R895" s="17" t="s">
        <v>102</v>
      </c>
      <c r="S895" s="17" t="s">
        <v>1623</v>
      </c>
      <c r="T895" s="17" t="s">
        <v>804</v>
      </c>
      <c r="U895" s="18" t="s">
        <v>19</v>
      </c>
      <c r="V895" s="17"/>
    </row>
    <row r="896" spans="1:22" x14ac:dyDescent="0.3">
      <c r="A896" s="18" t="e">
        <f t="shared" si="15"/>
        <v>#REF!</v>
      </c>
      <c r="B896" s="17">
        <v>128</v>
      </c>
      <c r="C896" s="17" t="s">
        <v>23</v>
      </c>
      <c r="D896" s="17" t="s">
        <v>1903</v>
      </c>
      <c r="E896" s="16">
        <v>45836</v>
      </c>
      <c r="F896" s="21" t="s">
        <v>119</v>
      </c>
      <c r="G896" s="51" t="s">
        <v>1910</v>
      </c>
      <c r="H896" s="57">
        <v>148725.35999999999</v>
      </c>
      <c r="I896" s="16">
        <v>45838</v>
      </c>
      <c r="J896" s="36">
        <v>45833</v>
      </c>
      <c r="K896" s="17">
        <v>18</v>
      </c>
      <c r="L896" s="34">
        <v>432</v>
      </c>
      <c r="M896" s="34">
        <v>18</v>
      </c>
      <c r="N896" s="41">
        <v>45841</v>
      </c>
      <c r="O896" s="18" t="s">
        <v>21</v>
      </c>
      <c r="P896" s="18" t="s">
        <v>1456</v>
      </c>
      <c r="Q896" s="17" t="s">
        <v>140</v>
      </c>
      <c r="R896" s="17" t="s">
        <v>102</v>
      </c>
      <c r="S896" s="17" t="s">
        <v>1623</v>
      </c>
      <c r="T896" s="17" t="s">
        <v>804</v>
      </c>
      <c r="U896" s="18" t="s">
        <v>19</v>
      </c>
      <c r="V896" s="17"/>
    </row>
    <row r="897" spans="1:22" x14ac:dyDescent="0.3">
      <c r="A897" s="18" t="e">
        <f t="shared" si="15"/>
        <v>#REF!</v>
      </c>
      <c r="B897" s="17">
        <v>128</v>
      </c>
      <c r="C897" s="17" t="s">
        <v>23</v>
      </c>
      <c r="D897" s="17" t="s">
        <v>1904</v>
      </c>
      <c r="E897" s="16">
        <v>45836</v>
      </c>
      <c r="F897" s="21" t="s">
        <v>33</v>
      </c>
      <c r="G897" s="51" t="s">
        <v>1911</v>
      </c>
      <c r="H897" s="57">
        <v>115526.39999999999</v>
      </c>
      <c r="I897" s="16">
        <v>45838</v>
      </c>
      <c r="J897" s="36">
        <v>45833</v>
      </c>
      <c r="K897" s="17">
        <v>15</v>
      </c>
      <c r="L897" s="34">
        <f>K897*24</f>
        <v>360</v>
      </c>
      <c r="M897" s="34">
        <v>15</v>
      </c>
      <c r="N897" s="41">
        <v>45841</v>
      </c>
      <c r="O897" s="18" t="s">
        <v>21</v>
      </c>
      <c r="P897" s="18" t="s">
        <v>1456</v>
      </c>
      <c r="Q897" s="17" t="s">
        <v>140</v>
      </c>
      <c r="R897" s="17" t="s">
        <v>102</v>
      </c>
      <c r="S897" s="17" t="s">
        <v>1623</v>
      </c>
      <c r="T897" s="17" t="s">
        <v>804</v>
      </c>
      <c r="U897" s="18" t="s">
        <v>19</v>
      </c>
      <c r="V897" s="17"/>
    </row>
    <row r="898" spans="1:22" x14ac:dyDescent="0.3">
      <c r="A898" s="18" t="e">
        <f t="shared" si="15"/>
        <v>#REF!</v>
      </c>
      <c r="B898" s="17">
        <v>128</v>
      </c>
      <c r="C898" s="17" t="s">
        <v>23</v>
      </c>
      <c r="D898" s="17" t="s">
        <v>1905</v>
      </c>
      <c r="E898" s="16">
        <v>45838</v>
      </c>
      <c r="F898" s="21" t="s">
        <v>786</v>
      </c>
      <c r="G898" s="51" t="s">
        <v>1912</v>
      </c>
      <c r="H898" s="57">
        <v>81145.440000000002</v>
      </c>
      <c r="I898" s="16">
        <v>45838</v>
      </c>
      <c r="J898" s="36">
        <v>45833</v>
      </c>
      <c r="K898" s="17">
        <v>8</v>
      </c>
      <c r="L898" s="34">
        <v>192</v>
      </c>
      <c r="M898" s="34">
        <v>8</v>
      </c>
      <c r="N898" s="41">
        <v>45841</v>
      </c>
      <c r="O898" s="18" t="s">
        <v>21</v>
      </c>
      <c r="P898" s="18" t="s">
        <v>1456</v>
      </c>
      <c r="Q898" s="17" t="s">
        <v>140</v>
      </c>
      <c r="R898" s="17" t="s">
        <v>102</v>
      </c>
      <c r="S898" s="17" t="s">
        <v>1623</v>
      </c>
      <c r="T898" s="17" t="s">
        <v>804</v>
      </c>
      <c r="U898" s="18" t="s">
        <v>19</v>
      </c>
      <c r="V898" s="17"/>
    </row>
    <row r="899" spans="1:22" x14ac:dyDescent="0.3">
      <c r="A899" s="18" t="e">
        <f t="shared" si="15"/>
        <v>#REF!</v>
      </c>
      <c r="B899" s="17">
        <v>128</v>
      </c>
      <c r="C899" s="17" t="s">
        <v>23</v>
      </c>
      <c r="D899" s="17" t="s">
        <v>1906</v>
      </c>
      <c r="E899" s="16">
        <v>45838</v>
      </c>
      <c r="F899" s="23" t="s">
        <v>39</v>
      </c>
      <c r="G899" s="51" t="s">
        <v>1913</v>
      </c>
      <c r="H899" s="57">
        <v>99806.399999999994</v>
      </c>
      <c r="I899" s="16">
        <v>45838</v>
      </c>
      <c r="J899" s="36">
        <v>45833</v>
      </c>
      <c r="K899" s="17">
        <v>12</v>
      </c>
      <c r="L899" s="34">
        <v>288</v>
      </c>
      <c r="M899" s="34">
        <v>12</v>
      </c>
      <c r="N899" s="41">
        <v>45841</v>
      </c>
      <c r="O899" s="18" t="s">
        <v>21</v>
      </c>
      <c r="P899" s="18" t="s">
        <v>1456</v>
      </c>
      <c r="Q899" s="17" t="s">
        <v>140</v>
      </c>
      <c r="R899" s="17" t="s">
        <v>102</v>
      </c>
      <c r="S899" s="17" t="s">
        <v>1623</v>
      </c>
      <c r="T899" s="17" t="s">
        <v>804</v>
      </c>
      <c r="U899" s="18" t="s">
        <v>19</v>
      </c>
      <c r="V899" s="17"/>
    </row>
    <row r="900" spans="1:22" x14ac:dyDescent="0.3">
      <c r="A900" s="18" t="e">
        <f t="shared" si="15"/>
        <v>#REF!</v>
      </c>
      <c r="B900" s="17">
        <v>128</v>
      </c>
      <c r="C900" s="17" t="s">
        <v>23</v>
      </c>
      <c r="D900" s="17" t="s">
        <v>1907</v>
      </c>
      <c r="E900" s="16">
        <v>45838</v>
      </c>
      <c r="F900" s="23" t="s">
        <v>130</v>
      </c>
      <c r="G900" s="51" t="s">
        <v>1914</v>
      </c>
      <c r="H900" s="57">
        <v>70542.899999999994</v>
      </c>
      <c r="I900" s="16">
        <v>45838</v>
      </c>
      <c r="J900" s="36">
        <v>45833</v>
      </c>
      <c r="K900" s="17">
        <v>9</v>
      </c>
      <c r="L900" s="34">
        <v>162</v>
      </c>
      <c r="M900" s="34">
        <v>9</v>
      </c>
      <c r="N900" s="41">
        <v>45841</v>
      </c>
      <c r="O900" s="18" t="s">
        <v>21</v>
      </c>
      <c r="P900" s="18" t="s">
        <v>1456</v>
      </c>
      <c r="Q900" s="17" t="s">
        <v>140</v>
      </c>
      <c r="R900" s="17" t="s">
        <v>102</v>
      </c>
      <c r="S900" s="17" t="s">
        <v>1623</v>
      </c>
      <c r="T900" s="17" t="s">
        <v>804</v>
      </c>
      <c r="U900" s="18" t="s">
        <v>19</v>
      </c>
      <c r="V900" s="17"/>
    </row>
    <row r="901" spans="1:22" x14ac:dyDescent="0.3">
      <c r="A901" s="18" t="e">
        <f t="shared" si="15"/>
        <v>#REF!</v>
      </c>
      <c r="B901" s="17">
        <v>128</v>
      </c>
      <c r="C901" s="17" t="s">
        <v>23</v>
      </c>
      <c r="D901" s="17" t="s">
        <v>1908</v>
      </c>
      <c r="E901" s="16">
        <v>45838</v>
      </c>
      <c r="F901" s="23" t="s">
        <v>89</v>
      </c>
      <c r="G901" s="51" t="s">
        <v>1915</v>
      </c>
      <c r="H901" s="56">
        <v>170562.96</v>
      </c>
      <c r="I901" s="16">
        <v>45839</v>
      </c>
      <c r="J901" s="36">
        <v>45863</v>
      </c>
      <c r="K901" s="17">
        <v>20</v>
      </c>
      <c r="L901" s="34">
        <v>480</v>
      </c>
      <c r="M901" s="34">
        <v>20</v>
      </c>
      <c r="N901" s="41">
        <v>45841</v>
      </c>
      <c r="O901" s="18" t="s">
        <v>21</v>
      </c>
      <c r="P901" s="18" t="s">
        <v>1456</v>
      </c>
      <c r="Q901" s="17" t="s">
        <v>140</v>
      </c>
      <c r="R901" s="17" t="s">
        <v>102</v>
      </c>
      <c r="S901" s="17" t="s">
        <v>1623</v>
      </c>
      <c r="T901" s="17" t="s">
        <v>804</v>
      </c>
      <c r="U901" s="18" t="s">
        <v>19</v>
      </c>
      <c r="V901" s="17"/>
    </row>
    <row r="902" spans="1:22" x14ac:dyDescent="0.3">
      <c r="A902" s="18" t="e">
        <f t="shared" si="15"/>
        <v>#REF!</v>
      </c>
      <c r="B902" s="17">
        <v>129</v>
      </c>
      <c r="C902" s="17" t="s">
        <v>23</v>
      </c>
      <c r="D902" s="17" t="s">
        <v>1922</v>
      </c>
      <c r="E902" s="16">
        <v>45846</v>
      </c>
      <c r="F902" s="21" t="s">
        <v>28</v>
      </c>
      <c r="G902" s="51" t="s">
        <v>1923</v>
      </c>
      <c r="H902" s="56">
        <v>106945.92</v>
      </c>
      <c r="I902" s="16">
        <v>45848</v>
      </c>
      <c r="J902" s="36">
        <v>45863</v>
      </c>
      <c r="K902" s="17">
        <v>12</v>
      </c>
      <c r="L902" s="34">
        <v>288</v>
      </c>
      <c r="M902" s="34">
        <v>12</v>
      </c>
      <c r="N902" s="41">
        <v>45849</v>
      </c>
      <c r="O902" s="18" t="s">
        <v>21</v>
      </c>
      <c r="P902" s="18" t="s">
        <v>1456</v>
      </c>
      <c r="Q902" s="17" t="s">
        <v>127</v>
      </c>
      <c r="R902" s="17" t="s">
        <v>102</v>
      </c>
      <c r="S902" s="17" t="s">
        <v>1623</v>
      </c>
      <c r="T902" s="17" t="s">
        <v>804</v>
      </c>
      <c r="U902" s="18" t="s">
        <v>19</v>
      </c>
      <c r="V902" s="17"/>
    </row>
    <row r="903" spans="1:22" x14ac:dyDescent="0.3">
      <c r="A903" s="18" t="e">
        <f t="shared" si="15"/>
        <v>#REF!</v>
      </c>
      <c r="B903" s="17">
        <v>129</v>
      </c>
      <c r="C903" s="17" t="s">
        <v>23</v>
      </c>
      <c r="D903" s="17" t="s">
        <v>1924</v>
      </c>
      <c r="E903" s="16">
        <v>45846</v>
      </c>
      <c r="F903" s="21" t="s">
        <v>1207</v>
      </c>
      <c r="G903" s="51" t="s">
        <v>1925</v>
      </c>
      <c r="H903" s="56">
        <v>62704.800000000003</v>
      </c>
      <c r="I903" s="16">
        <v>45848</v>
      </c>
      <c r="J903" s="36">
        <v>45863</v>
      </c>
      <c r="K903" s="17">
        <v>6</v>
      </c>
      <c r="L903" s="34">
        <v>144</v>
      </c>
      <c r="M903" s="34">
        <v>6</v>
      </c>
      <c r="N903" s="41">
        <v>45849</v>
      </c>
      <c r="O903" s="18" t="s">
        <v>21</v>
      </c>
      <c r="P903" s="18" t="s">
        <v>1456</v>
      </c>
      <c r="Q903" s="17" t="s">
        <v>127</v>
      </c>
      <c r="R903" s="17" t="s">
        <v>102</v>
      </c>
      <c r="S903" s="17" t="s">
        <v>1623</v>
      </c>
      <c r="T903" s="17" t="s">
        <v>804</v>
      </c>
      <c r="U903" s="18" t="s">
        <v>19</v>
      </c>
      <c r="V903" s="17"/>
    </row>
    <row r="904" spans="1:22" x14ac:dyDescent="0.3">
      <c r="A904" s="18" t="e">
        <f t="shared" si="15"/>
        <v>#REF!</v>
      </c>
      <c r="B904" s="17">
        <v>129</v>
      </c>
      <c r="C904" s="17" t="s">
        <v>23</v>
      </c>
      <c r="D904" s="17" t="s">
        <v>1926</v>
      </c>
      <c r="E904" s="16">
        <v>45846</v>
      </c>
      <c r="F904" s="23" t="s">
        <v>68</v>
      </c>
      <c r="G904" s="51" t="s">
        <v>1927</v>
      </c>
      <c r="H904" s="56">
        <v>62704.800000000003</v>
      </c>
      <c r="I904" s="16">
        <v>45848</v>
      </c>
      <c r="J904" s="36">
        <v>45863</v>
      </c>
      <c r="K904" s="17">
        <v>6</v>
      </c>
      <c r="L904" s="34">
        <v>144</v>
      </c>
      <c r="M904" s="34">
        <v>6</v>
      </c>
      <c r="N904" s="41">
        <v>45849</v>
      </c>
      <c r="O904" s="18" t="s">
        <v>21</v>
      </c>
      <c r="P904" s="18" t="s">
        <v>1456</v>
      </c>
      <c r="Q904" s="17" t="s">
        <v>127</v>
      </c>
      <c r="R904" s="17" t="s">
        <v>102</v>
      </c>
      <c r="S904" s="17" t="s">
        <v>1623</v>
      </c>
      <c r="T904" s="17" t="s">
        <v>804</v>
      </c>
      <c r="U904" s="18" t="s">
        <v>19</v>
      </c>
      <c r="V904" s="17"/>
    </row>
    <row r="905" spans="1:22" x14ac:dyDescent="0.3">
      <c r="A905" s="18" t="e">
        <f t="shared" si="15"/>
        <v>#REF!</v>
      </c>
      <c r="B905" s="17">
        <v>129</v>
      </c>
      <c r="C905" s="17" t="s">
        <v>23</v>
      </c>
      <c r="D905" s="17" t="s">
        <v>1928</v>
      </c>
      <c r="E905" s="16">
        <v>45846</v>
      </c>
      <c r="F905" s="23" t="s">
        <v>39</v>
      </c>
      <c r="G905" s="51" t="s">
        <v>1929</v>
      </c>
      <c r="H905" s="56">
        <v>62704.4</v>
      </c>
      <c r="I905" s="16">
        <v>45848</v>
      </c>
      <c r="J905" s="36">
        <v>45863</v>
      </c>
      <c r="K905" s="17">
        <v>6</v>
      </c>
      <c r="L905" s="34">
        <v>144</v>
      </c>
      <c r="M905" s="34">
        <v>6</v>
      </c>
      <c r="N905" s="41">
        <v>45849</v>
      </c>
      <c r="O905" s="18" t="s">
        <v>21</v>
      </c>
      <c r="P905" s="18" t="s">
        <v>1456</v>
      </c>
      <c r="Q905" s="17" t="s">
        <v>127</v>
      </c>
      <c r="R905" s="17" t="s">
        <v>102</v>
      </c>
      <c r="S905" s="17" t="s">
        <v>1623</v>
      </c>
      <c r="T905" s="17" t="s">
        <v>804</v>
      </c>
      <c r="U905" s="18" t="s">
        <v>19</v>
      </c>
      <c r="V905" s="17"/>
    </row>
    <row r="906" spans="1:22" x14ac:dyDescent="0.3">
      <c r="A906" s="18" t="e">
        <f t="shared" si="15"/>
        <v>#REF!</v>
      </c>
      <c r="B906" s="17">
        <v>129</v>
      </c>
      <c r="C906" s="17" t="s">
        <v>23</v>
      </c>
      <c r="D906" s="17" t="s">
        <v>1930</v>
      </c>
      <c r="E906" s="16">
        <v>45846</v>
      </c>
      <c r="F906" s="21" t="s">
        <v>123</v>
      </c>
      <c r="G906" s="51" t="s">
        <v>1931</v>
      </c>
      <c r="H906" s="56">
        <v>124004.34</v>
      </c>
      <c r="I906" s="16">
        <v>45848</v>
      </c>
      <c r="J906" s="36">
        <v>45863</v>
      </c>
      <c r="K906" s="17">
        <v>14</v>
      </c>
      <c r="L906" s="34">
        <v>330</v>
      </c>
      <c r="M906" s="34">
        <v>14</v>
      </c>
      <c r="N906" s="41">
        <v>45849</v>
      </c>
      <c r="O906" s="18" t="s">
        <v>21</v>
      </c>
      <c r="P906" s="18" t="s">
        <v>1456</v>
      </c>
      <c r="Q906" s="17" t="s">
        <v>127</v>
      </c>
      <c r="R906" s="17" t="s">
        <v>102</v>
      </c>
      <c r="S906" s="17" t="s">
        <v>1623</v>
      </c>
      <c r="T906" s="17" t="s">
        <v>804</v>
      </c>
      <c r="U906" s="18" t="s">
        <v>19</v>
      </c>
      <c r="V906" s="17"/>
    </row>
    <row r="907" spans="1:22" x14ac:dyDescent="0.3">
      <c r="A907" s="18" t="e">
        <f t="shared" si="15"/>
        <v>#REF!</v>
      </c>
      <c r="B907" s="17">
        <v>129</v>
      </c>
      <c r="C907" s="17" t="s">
        <v>23</v>
      </c>
      <c r="D907" s="17" t="s">
        <v>1932</v>
      </c>
      <c r="E907" s="16">
        <v>45846</v>
      </c>
      <c r="F907" s="21" t="s">
        <v>33</v>
      </c>
      <c r="G907" s="51" t="s">
        <v>1933</v>
      </c>
      <c r="H907" s="56">
        <v>101406.96</v>
      </c>
      <c r="I907" s="16">
        <v>45848</v>
      </c>
      <c r="J907" s="36">
        <v>45863</v>
      </c>
      <c r="K907" s="17">
        <v>12</v>
      </c>
      <c r="L907" s="34">
        <v>288</v>
      </c>
      <c r="M907" s="34">
        <v>12</v>
      </c>
      <c r="N907" s="41">
        <v>45849</v>
      </c>
      <c r="O907" s="18" t="s">
        <v>21</v>
      </c>
      <c r="P907" s="18" t="s">
        <v>1456</v>
      </c>
      <c r="Q907" s="17" t="s">
        <v>127</v>
      </c>
      <c r="R907" s="17" t="s">
        <v>102</v>
      </c>
      <c r="S907" s="17" t="s">
        <v>1623</v>
      </c>
      <c r="T907" s="17" t="s">
        <v>804</v>
      </c>
      <c r="U907" s="18" t="s">
        <v>19</v>
      </c>
      <c r="V907" s="17"/>
    </row>
    <row r="908" spans="1:22" x14ac:dyDescent="0.3">
      <c r="A908" s="18" t="e">
        <f t="shared" si="15"/>
        <v>#REF!</v>
      </c>
      <c r="B908" s="17">
        <v>129</v>
      </c>
      <c r="C908" s="17" t="s">
        <v>23</v>
      </c>
      <c r="D908" s="17" t="s">
        <v>1934</v>
      </c>
      <c r="E908" s="16">
        <v>45846</v>
      </c>
      <c r="F908" s="21" t="s">
        <v>35</v>
      </c>
      <c r="G908" s="51" t="s">
        <v>1935</v>
      </c>
      <c r="H908" s="56">
        <v>159175.92000000001</v>
      </c>
      <c r="I908" s="16">
        <v>45848</v>
      </c>
      <c r="J908" s="36">
        <v>45863</v>
      </c>
      <c r="K908" s="17">
        <v>19</v>
      </c>
      <c r="L908" s="34">
        <v>456</v>
      </c>
      <c r="M908" s="34">
        <v>19</v>
      </c>
      <c r="N908" s="41">
        <v>45849</v>
      </c>
      <c r="O908" s="18" t="s">
        <v>21</v>
      </c>
      <c r="P908" s="18" t="s">
        <v>1456</v>
      </c>
      <c r="Q908" s="17" t="s">
        <v>127</v>
      </c>
      <c r="R908" s="17" t="s">
        <v>102</v>
      </c>
      <c r="S908" s="17" t="s">
        <v>1623</v>
      </c>
      <c r="T908" s="17" t="s">
        <v>804</v>
      </c>
      <c r="U908" s="18" t="s">
        <v>19</v>
      </c>
      <c r="V908" s="17"/>
    </row>
    <row r="909" spans="1:22" x14ac:dyDescent="0.3">
      <c r="A909" s="18" t="e">
        <f t="shared" si="15"/>
        <v>#REF!</v>
      </c>
      <c r="B909" s="17">
        <v>129</v>
      </c>
      <c r="C909" s="17" t="s">
        <v>23</v>
      </c>
      <c r="D909" s="17" t="s">
        <v>1719</v>
      </c>
      <c r="E909" s="16">
        <v>45846</v>
      </c>
      <c r="F909" s="21" t="s">
        <v>129</v>
      </c>
      <c r="G909" s="51" t="s">
        <v>1936</v>
      </c>
      <c r="H909" s="56">
        <v>199926.72</v>
      </c>
      <c r="I909" s="16">
        <v>45848</v>
      </c>
      <c r="J909" s="36">
        <v>45863</v>
      </c>
      <c r="K909" s="17">
        <v>22</v>
      </c>
      <c r="L909" s="34">
        <v>588</v>
      </c>
      <c r="M909" s="34">
        <v>22</v>
      </c>
      <c r="N909" s="41">
        <v>45849</v>
      </c>
      <c r="O909" s="18" t="s">
        <v>21</v>
      </c>
      <c r="P909" s="18" t="s">
        <v>1456</v>
      </c>
      <c r="Q909" s="17" t="s">
        <v>127</v>
      </c>
      <c r="R909" s="17" t="s">
        <v>102</v>
      </c>
      <c r="S909" s="17" t="s">
        <v>1623</v>
      </c>
      <c r="T909" s="17" t="s">
        <v>804</v>
      </c>
      <c r="U909" s="18" t="s">
        <v>19</v>
      </c>
      <c r="V909" s="17"/>
    </row>
    <row r="910" spans="1:22" x14ac:dyDescent="0.3">
      <c r="A910" s="18" t="e">
        <f t="shared" si="15"/>
        <v>#REF!</v>
      </c>
      <c r="B910" s="17">
        <v>129</v>
      </c>
      <c r="C910" s="17" t="s">
        <v>23</v>
      </c>
      <c r="D910" s="17" t="s">
        <v>1937</v>
      </c>
      <c r="E910" s="16">
        <v>45846</v>
      </c>
      <c r="F910" s="21" t="s">
        <v>575</v>
      </c>
      <c r="G910" s="51" t="s">
        <v>1938</v>
      </c>
      <c r="H910" s="56">
        <v>174570.48</v>
      </c>
      <c r="I910" s="16">
        <v>45848</v>
      </c>
      <c r="J910" s="36">
        <v>45863</v>
      </c>
      <c r="K910" s="17">
        <v>18</v>
      </c>
      <c r="L910" s="34">
        <v>432</v>
      </c>
      <c r="M910" s="34">
        <v>18</v>
      </c>
      <c r="N910" s="41">
        <v>45849</v>
      </c>
      <c r="O910" s="18" t="s">
        <v>21</v>
      </c>
      <c r="P910" s="18" t="s">
        <v>1456</v>
      </c>
      <c r="Q910" s="17" t="s">
        <v>127</v>
      </c>
      <c r="R910" s="17" t="s">
        <v>102</v>
      </c>
      <c r="S910" s="17" t="s">
        <v>1623</v>
      </c>
      <c r="T910" s="17" t="s">
        <v>804</v>
      </c>
      <c r="U910" s="18" t="s">
        <v>19</v>
      </c>
      <c r="V910" s="17"/>
    </row>
    <row r="911" spans="1:22" x14ac:dyDescent="0.3">
      <c r="A911" s="18" t="e">
        <f t="shared" si="15"/>
        <v>#REF!</v>
      </c>
      <c r="B911" s="17">
        <v>129</v>
      </c>
      <c r="C911" s="17" t="s">
        <v>23</v>
      </c>
      <c r="D911" s="17" t="s">
        <v>1939</v>
      </c>
      <c r="E911" s="16">
        <v>45846</v>
      </c>
      <c r="F911" s="21" t="s">
        <v>58</v>
      </c>
      <c r="G911" s="51" t="s">
        <v>1940</v>
      </c>
      <c r="H911" s="56">
        <v>173344.32</v>
      </c>
      <c r="I911" s="16">
        <v>45848</v>
      </c>
      <c r="J911" s="36">
        <v>45863</v>
      </c>
      <c r="K911" s="17">
        <v>18</v>
      </c>
      <c r="L911" s="34">
        <v>432</v>
      </c>
      <c r="M911" s="34">
        <v>18</v>
      </c>
      <c r="N911" s="41">
        <v>45849</v>
      </c>
      <c r="O911" s="18" t="s">
        <v>21</v>
      </c>
      <c r="P911" s="18" t="s">
        <v>1456</v>
      </c>
      <c r="Q911" s="17" t="s">
        <v>127</v>
      </c>
      <c r="R911" s="17" t="s">
        <v>102</v>
      </c>
      <c r="S911" s="17" t="s">
        <v>1623</v>
      </c>
      <c r="T911" s="17" t="s">
        <v>804</v>
      </c>
      <c r="U911" s="18" t="s">
        <v>19</v>
      </c>
      <c r="V911" s="17"/>
    </row>
    <row r="912" spans="1:22" x14ac:dyDescent="0.3">
      <c r="A912" s="18" t="e">
        <f t="shared" si="15"/>
        <v>#REF!</v>
      </c>
      <c r="B912" s="17">
        <v>129</v>
      </c>
      <c r="C912" s="17" t="s">
        <v>23</v>
      </c>
      <c r="D912" s="17" t="s">
        <v>1941</v>
      </c>
      <c r="E912" s="16">
        <v>45846</v>
      </c>
      <c r="F912" s="21" t="s">
        <v>49</v>
      </c>
      <c r="G912" s="51" t="s">
        <v>1942</v>
      </c>
      <c r="H912" s="56">
        <v>139454.48000000001</v>
      </c>
      <c r="I912" s="16">
        <v>45848</v>
      </c>
      <c r="J912" s="36">
        <v>45863</v>
      </c>
      <c r="K912" s="17">
        <v>13</v>
      </c>
      <c r="L912" s="34">
        <v>312</v>
      </c>
      <c r="M912" s="34">
        <v>13</v>
      </c>
      <c r="N912" s="41">
        <v>45849</v>
      </c>
      <c r="O912" s="18" t="s">
        <v>21</v>
      </c>
      <c r="P912" s="18" t="s">
        <v>1456</v>
      </c>
      <c r="Q912" s="17" t="s">
        <v>127</v>
      </c>
      <c r="R912" s="17" t="s">
        <v>102</v>
      </c>
      <c r="S912" s="17" t="s">
        <v>1623</v>
      </c>
      <c r="T912" s="17" t="s">
        <v>804</v>
      </c>
      <c r="U912" s="18" t="s">
        <v>19</v>
      </c>
      <c r="V912" s="17"/>
    </row>
    <row r="913" spans="1:22" x14ac:dyDescent="0.3">
      <c r="A913" s="18" t="e">
        <f t="shared" si="15"/>
        <v>#REF!</v>
      </c>
      <c r="B913" s="17">
        <v>129</v>
      </c>
      <c r="C913" s="17" t="s">
        <v>1943</v>
      </c>
      <c r="D913" s="17" t="s">
        <v>1944</v>
      </c>
      <c r="E913" s="16">
        <v>45846</v>
      </c>
      <c r="F913" s="21" t="s">
        <v>1204</v>
      </c>
      <c r="G913" s="52" t="s">
        <v>1945</v>
      </c>
      <c r="H913" s="56">
        <v>120056.86</v>
      </c>
      <c r="I913" s="16">
        <v>45848</v>
      </c>
      <c r="J913" s="36">
        <v>45863</v>
      </c>
      <c r="K913" s="17">
        <v>21</v>
      </c>
      <c r="L913" s="34">
        <v>618</v>
      </c>
      <c r="M913" s="34">
        <v>21</v>
      </c>
      <c r="N913" s="41">
        <v>45849</v>
      </c>
      <c r="O913" s="18" t="s">
        <v>21</v>
      </c>
      <c r="P913" s="18" t="s">
        <v>1456</v>
      </c>
      <c r="Q913" s="17" t="s">
        <v>127</v>
      </c>
      <c r="R913" s="17" t="s">
        <v>102</v>
      </c>
      <c r="S913" s="17" t="s">
        <v>1623</v>
      </c>
      <c r="T913" s="17" t="s">
        <v>804</v>
      </c>
      <c r="U913" s="18" t="s">
        <v>19</v>
      </c>
      <c r="V913" s="17"/>
    </row>
    <row r="914" spans="1:22" x14ac:dyDescent="0.3">
      <c r="A914" s="18" t="e">
        <f t="shared" si="15"/>
        <v>#REF!</v>
      </c>
      <c r="B914" s="17">
        <v>129</v>
      </c>
      <c r="C914" s="17" t="s">
        <v>23</v>
      </c>
      <c r="D914" s="17" t="s">
        <v>1946</v>
      </c>
      <c r="E914" s="16">
        <v>45846</v>
      </c>
      <c r="F914" s="21" t="s">
        <v>64</v>
      </c>
      <c r="G914" s="51" t="s">
        <v>1947</v>
      </c>
      <c r="H914" s="56">
        <v>101430.96</v>
      </c>
      <c r="I914" s="16">
        <v>45848</v>
      </c>
      <c r="J914" s="36">
        <v>45863</v>
      </c>
      <c r="K914" s="17">
        <v>10</v>
      </c>
      <c r="L914" s="34">
        <v>240</v>
      </c>
      <c r="M914" s="34">
        <v>10</v>
      </c>
      <c r="N914" s="41">
        <v>45849</v>
      </c>
      <c r="O914" s="18" t="s">
        <v>21</v>
      </c>
      <c r="P914" s="18" t="s">
        <v>1456</v>
      </c>
      <c r="Q914" s="17" t="s">
        <v>127</v>
      </c>
      <c r="R914" s="17" t="s">
        <v>102</v>
      </c>
      <c r="S914" s="17" t="s">
        <v>1623</v>
      </c>
      <c r="T914" s="17" t="s">
        <v>804</v>
      </c>
      <c r="U914" s="18" t="s">
        <v>19</v>
      </c>
      <c r="V914" s="17"/>
    </row>
    <row r="915" spans="1:22" x14ac:dyDescent="0.3">
      <c r="A915" s="18" t="e">
        <f>#REF!+1</f>
        <v>#REF!</v>
      </c>
      <c r="B915" s="17">
        <v>130</v>
      </c>
      <c r="C915" s="17" t="s">
        <v>20</v>
      </c>
      <c r="D915" s="17" t="s">
        <v>1948</v>
      </c>
      <c r="E915" s="16">
        <v>45852</v>
      </c>
      <c r="F915" s="21" t="s">
        <v>47</v>
      </c>
      <c r="G915" s="52" t="s">
        <v>1966</v>
      </c>
      <c r="H915" s="57">
        <v>105765.8</v>
      </c>
      <c r="I915" s="16">
        <v>45852</v>
      </c>
      <c r="J915" s="36">
        <v>45863</v>
      </c>
      <c r="K915" s="17">
        <v>70</v>
      </c>
      <c r="L915" s="34">
        <v>70</v>
      </c>
      <c r="M915" s="34">
        <v>7</v>
      </c>
      <c r="N915" s="41">
        <v>45853</v>
      </c>
      <c r="O915" s="18" t="s">
        <v>21</v>
      </c>
      <c r="P915" s="18" t="s">
        <v>1456</v>
      </c>
      <c r="Q915" s="17" t="s">
        <v>140</v>
      </c>
      <c r="R915" s="17" t="s">
        <v>102</v>
      </c>
      <c r="S915" s="17" t="s">
        <v>1623</v>
      </c>
      <c r="T915" s="17" t="s">
        <v>804</v>
      </c>
      <c r="U915" s="18" t="s">
        <v>19</v>
      </c>
      <c r="V915" s="17"/>
    </row>
    <row r="916" spans="1:22" x14ac:dyDescent="0.3">
      <c r="A916" s="18" t="e">
        <f>#REF!+1</f>
        <v>#REF!</v>
      </c>
      <c r="B916" s="17">
        <v>130</v>
      </c>
      <c r="C916" s="17" t="s">
        <v>20</v>
      </c>
      <c r="D916" s="17" t="s">
        <v>1949</v>
      </c>
      <c r="E916" s="16">
        <v>45852</v>
      </c>
      <c r="F916" s="21" t="s">
        <v>130</v>
      </c>
      <c r="G916" s="52" t="s">
        <v>1967</v>
      </c>
      <c r="H916" s="57">
        <v>160290.20000000001</v>
      </c>
      <c r="I916" s="16">
        <v>45852</v>
      </c>
      <c r="J916" s="36">
        <v>45863</v>
      </c>
      <c r="K916" s="17">
        <v>110</v>
      </c>
      <c r="L916" s="34">
        <v>110</v>
      </c>
      <c r="M916" s="34">
        <v>11</v>
      </c>
      <c r="N916" s="41">
        <v>45853</v>
      </c>
      <c r="O916" s="18" t="s">
        <v>21</v>
      </c>
      <c r="P916" s="18" t="s">
        <v>1456</v>
      </c>
      <c r="Q916" s="17" t="s">
        <v>140</v>
      </c>
      <c r="R916" s="17" t="s">
        <v>102</v>
      </c>
      <c r="S916" s="17" t="s">
        <v>1623</v>
      </c>
      <c r="T916" s="17" t="s">
        <v>804</v>
      </c>
      <c r="U916" s="18" t="s">
        <v>19</v>
      </c>
      <c r="V916" s="17"/>
    </row>
    <row r="917" spans="1:22" x14ac:dyDescent="0.3">
      <c r="A917" s="18" t="e">
        <f t="shared" si="15"/>
        <v>#REF!</v>
      </c>
      <c r="B917" s="17">
        <v>130</v>
      </c>
      <c r="C917" s="17" t="s">
        <v>20</v>
      </c>
      <c r="D917" s="17" t="s">
        <v>1950</v>
      </c>
      <c r="E917" s="16">
        <v>45852</v>
      </c>
      <c r="F917" s="21" t="s">
        <v>35</v>
      </c>
      <c r="G917" s="52" t="s">
        <v>1968</v>
      </c>
      <c r="H917" s="57">
        <v>145180.79999999999</v>
      </c>
      <c r="I917" s="16">
        <v>45852</v>
      </c>
      <c r="J917" s="36">
        <v>45863</v>
      </c>
      <c r="K917" s="17">
        <v>100</v>
      </c>
      <c r="L917" s="34">
        <v>100</v>
      </c>
      <c r="M917" s="34">
        <v>10</v>
      </c>
      <c r="N917" s="41">
        <v>45853</v>
      </c>
      <c r="O917" s="18" t="s">
        <v>21</v>
      </c>
      <c r="P917" s="18" t="s">
        <v>1456</v>
      </c>
      <c r="Q917" s="17" t="s">
        <v>140</v>
      </c>
      <c r="R917" s="17" t="s">
        <v>102</v>
      </c>
      <c r="S917" s="17" t="s">
        <v>1623</v>
      </c>
      <c r="T917" s="17" t="s">
        <v>804</v>
      </c>
      <c r="U917" s="18" t="s">
        <v>19</v>
      </c>
      <c r="V917" s="17"/>
    </row>
    <row r="918" spans="1:22" x14ac:dyDescent="0.3">
      <c r="A918" s="18" t="e">
        <f t="shared" si="15"/>
        <v>#REF!</v>
      </c>
      <c r="B918" s="17">
        <v>130</v>
      </c>
      <c r="C918" s="17" t="s">
        <v>20</v>
      </c>
      <c r="D918" s="17" t="s">
        <v>1951</v>
      </c>
      <c r="E918" s="16">
        <v>45852</v>
      </c>
      <c r="F918" s="21" t="s">
        <v>64</v>
      </c>
      <c r="G918" s="52" t="s">
        <v>1969</v>
      </c>
      <c r="H918" s="57">
        <v>266023.36</v>
      </c>
      <c r="I918" s="16">
        <v>45852</v>
      </c>
      <c r="J918" s="36">
        <v>45863</v>
      </c>
      <c r="K918" s="17">
        <v>179</v>
      </c>
      <c r="L918" s="34">
        <v>179</v>
      </c>
      <c r="M918" s="34">
        <v>18</v>
      </c>
      <c r="N918" s="41">
        <v>45853</v>
      </c>
      <c r="O918" s="18" t="s">
        <v>21</v>
      </c>
      <c r="P918" s="18" t="s">
        <v>1456</v>
      </c>
      <c r="Q918" s="17" t="s">
        <v>140</v>
      </c>
      <c r="R918" s="17" t="s">
        <v>102</v>
      </c>
      <c r="S918" s="17" t="s">
        <v>1623</v>
      </c>
      <c r="T918" s="17" t="s">
        <v>804</v>
      </c>
      <c r="U918" s="18" t="s">
        <v>19</v>
      </c>
      <c r="V918" s="17"/>
    </row>
    <row r="919" spans="1:22" x14ac:dyDescent="0.3">
      <c r="A919" s="18" t="e">
        <f t="shared" si="15"/>
        <v>#REF!</v>
      </c>
      <c r="B919" s="17">
        <v>130</v>
      </c>
      <c r="C919" s="17" t="s">
        <v>20</v>
      </c>
      <c r="D919" s="17" t="s">
        <v>1952</v>
      </c>
      <c r="E919" s="16">
        <v>45852</v>
      </c>
      <c r="F919" s="21" t="s">
        <v>119</v>
      </c>
      <c r="G919" s="52" t="s">
        <v>1970</v>
      </c>
      <c r="H919" s="57">
        <v>145180.79999999999</v>
      </c>
      <c r="I919" s="16">
        <v>45852</v>
      </c>
      <c r="J919" s="36">
        <v>45863</v>
      </c>
      <c r="K919" s="17">
        <v>100</v>
      </c>
      <c r="L919" s="34">
        <v>100</v>
      </c>
      <c r="M919" s="34">
        <v>10</v>
      </c>
      <c r="N919" s="41">
        <v>45853</v>
      </c>
      <c r="O919" s="18" t="s">
        <v>21</v>
      </c>
      <c r="P919" s="18" t="s">
        <v>1456</v>
      </c>
      <c r="Q919" s="17" t="s">
        <v>140</v>
      </c>
      <c r="R919" s="17" t="s">
        <v>102</v>
      </c>
      <c r="S919" s="17" t="s">
        <v>1623</v>
      </c>
      <c r="T919" s="17" t="s">
        <v>804</v>
      </c>
      <c r="U919" s="18" t="s">
        <v>19</v>
      </c>
      <c r="V919" s="17"/>
    </row>
    <row r="920" spans="1:22" x14ac:dyDescent="0.3">
      <c r="A920" s="18" t="e">
        <f>#REF!+1</f>
        <v>#REF!</v>
      </c>
      <c r="B920" s="17">
        <v>130</v>
      </c>
      <c r="C920" s="17" t="s">
        <v>23</v>
      </c>
      <c r="D920" s="17" t="s">
        <v>1974</v>
      </c>
      <c r="E920" s="16">
        <v>45846</v>
      </c>
      <c r="F920" s="21" t="s">
        <v>580</v>
      </c>
      <c r="G920" s="52" t="s">
        <v>1975</v>
      </c>
      <c r="H920" s="57">
        <v>165934.07999999999</v>
      </c>
      <c r="I920" s="16">
        <v>45849</v>
      </c>
      <c r="J920" s="36">
        <v>45863</v>
      </c>
      <c r="K920" s="17">
        <v>20</v>
      </c>
      <c r="L920" s="34">
        <v>480</v>
      </c>
      <c r="M920" s="34">
        <v>20</v>
      </c>
      <c r="N920" s="41">
        <v>45853</v>
      </c>
      <c r="O920" s="18" t="s">
        <v>21</v>
      </c>
      <c r="P920" s="18" t="s">
        <v>1456</v>
      </c>
      <c r="Q920" s="17" t="s">
        <v>140</v>
      </c>
      <c r="R920" s="17" t="s">
        <v>102</v>
      </c>
      <c r="S920" s="17" t="s">
        <v>1623</v>
      </c>
      <c r="T920" s="17" t="s">
        <v>804</v>
      </c>
      <c r="U920" s="18" t="s">
        <v>19</v>
      </c>
      <c r="V920" s="17"/>
    </row>
    <row r="921" spans="1:22" x14ac:dyDescent="0.3">
      <c r="A921" s="18" t="e">
        <f>#REF!+1</f>
        <v>#REF!</v>
      </c>
      <c r="B921" s="17">
        <v>130</v>
      </c>
      <c r="C921" s="17" t="s">
        <v>23</v>
      </c>
      <c r="D921" s="17" t="s">
        <v>1953</v>
      </c>
      <c r="E921" s="16">
        <v>45847</v>
      </c>
      <c r="F921" s="21" t="s">
        <v>58</v>
      </c>
      <c r="G921" s="52" t="s">
        <v>1959</v>
      </c>
      <c r="H921" s="57">
        <v>336314.46</v>
      </c>
      <c r="I921" s="16">
        <v>45852</v>
      </c>
      <c r="J921" s="36">
        <v>45863</v>
      </c>
      <c r="K921" s="17">
        <v>32</v>
      </c>
      <c r="L921" s="34">
        <v>750</v>
      </c>
      <c r="M921" s="34">
        <v>32</v>
      </c>
      <c r="N921" s="41">
        <v>45853</v>
      </c>
      <c r="O921" s="18" t="s">
        <v>21</v>
      </c>
      <c r="P921" s="18" t="s">
        <v>1456</v>
      </c>
      <c r="Q921" s="17" t="s">
        <v>140</v>
      </c>
      <c r="R921" s="17" t="s">
        <v>102</v>
      </c>
      <c r="S921" s="17" t="s">
        <v>1623</v>
      </c>
      <c r="T921" s="17" t="s">
        <v>804</v>
      </c>
      <c r="U921" s="18" t="s">
        <v>19</v>
      </c>
      <c r="V921" s="17"/>
    </row>
    <row r="922" spans="1:22" x14ac:dyDescent="0.3">
      <c r="A922" s="18" t="e">
        <f t="shared" si="15"/>
        <v>#REF!</v>
      </c>
      <c r="B922" s="17">
        <v>130</v>
      </c>
      <c r="C922" s="17" t="s">
        <v>23</v>
      </c>
      <c r="D922" s="17" t="s">
        <v>1971</v>
      </c>
      <c r="E922" s="16">
        <v>45849</v>
      </c>
      <c r="F922" s="21" t="s">
        <v>580</v>
      </c>
      <c r="G922" s="52" t="s">
        <v>1972</v>
      </c>
      <c r="H922" s="57">
        <v>115587.84</v>
      </c>
      <c r="I922" s="16">
        <v>45852</v>
      </c>
      <c r="J922" s="36">
        <v>45863</v>
      </c>
      <c r="K922" s="17">
        <v>10</v>
      </c>
      <c r="L922" s="34">
        <v>240</v>
      </c>
      <c r="M922" s="34">
        <v>10</v>
      </c>
      <c r="N922" s="41">
        <v>45853</v>
      </c>
      <c r="O922" s="18" t="s">
        <v>21</v>
      </c>
      <c r="P922" s="18" t="s">
        <v>1456</v>
      </c>
      <c r="Q922" s="17" t="s">
        <v>140</v>
      </c>
      <c r="R922" s="17" t="s">
        <v>102</v>
      </c>
      <c r="S922" s="17" t="s">
        <v>1623</v>
      </c>
      <c r="T922" s="17" t="s">
        <v>804</v>
      </c>
      <c r="U922" s="18" t="s">
        <v>19</v>
      </c>
      <c r="V922" s="17"/>
    </row>
    <row r="923" spans="1:22" x14ac:dyDescent="0.3">
      <c r="A923" s="18" t="e">
        <f t="shared" si="15"/>
        <v>#REF!</v>
      </c>
      <c r="B923" s="17">
        <v>130</v>
      </c>
      <c r="C923" s="17" t="s">
        <v>23</v>
      </c>
      <c r="D923" s="17" t="s">
        <v>1954</v>
      </c>
      <c r="E923" s="16">
        <v>45849</v>
      </c>
      <c r="F923" s="21" t="s">
        <v>41</v>
      </c>
      <c r="G923" s="52" t="s">
        <v>1960</v>
      </c>
      <c r="H923" s="57">
        <v>94057.2</v>
      </c>
      <c r="I923" s="16">
        <v>45852</v>
      </c>
      <c r="J923" s="36">
        <v>45863</v>
      </c>
      <c r="K923" s="17">
        <v>9</v>
      </c>
      <c r="L923" s="34">
        <v>216</v>
      </c>
      <c r="M923" s="34">
        <v>9</v>
      </c>
      <c r="N923" s="41">
        <v>45853</v>
      </c>
      <c r="O923" s="18" t="s">
        <v>21</v>
      </c>
      <c r="P923" s="18" t="s">
        <v>1456</v>
      </c>
      <c r="Q923" s="17" t="s">
        <v>140</v>
      </c>
      <c r="R923" s="17" t="s">
        <v>102</v>
      </c>
      <c r="S923" s="17" t="s">
        <v>1623</v>
      </c>
      <c r="T923" s="17" t="s">
        <v>804</v>
      </c>
      <c r="U923" s="18" t="s">
        <v>19</v>
      </c>
      <c r="V923" s="17"/>
    </row>
    <row r="924" spans="1:22" x14ac:dyDescent="0.3">
      <c r="A924" s="18" t="e">
        <f t="shared" si="15"/>
        <v>#REF!</v>
      </c>
      <c r="B924" s="17">
        <v>130</v>
      </c>
      <c r="C924" s="17" t="s">
        <v>23</v>
      </c>
      <c r="D924" s="17" t="s">
        <v>1961</v>
      </c>
      <c r="E924" s="16">
        <v>45849</v>
      </c>
      <c r="F924" s="21" t="s">
        <v>35</v>
      </c>
      <c r="G924" s="52" t="s">
        <v>1962</v>
      </c>
      <c r="H924" s="57">
        <v>67568.160000000003</v>
      </c>
      <c r="I924" s="16">
        <v>45852</v>
      </c>
      <c r="J924" s="36">
        <v>45863</v>
      </c>
      <c r="K924" s="17">
        <v>11</v>
      </c>
      <c r="L924" s="34">
        <v>264</v>
      </c>
      <c r="M924" s="34">
        <v>11</v>
      </c>
      <c r="N924" s="41">
        <v>45853</v>
      </c>
      <c r="O924" s="18" t="s">
        <v>21</v>
      </c>
      <c r="P924" s="18" t="s">
        <v>1456</v>
      </c>
      <c r="Q924" s="17" t="s">
        <v>140</v>
      </c>
      <c r="R924" s="17" t="s">
        <v>102</v>
      </c>
      <c r="S924" s="17" t="s">
        <v>1623</v>
      </c>
      <c r="T924" s="17" t="s">
        <v>804</v>
      </c>
      <c r="U924" s="18" t="s">
        <v>19</v>
      </c>
      <c r="V924" s="17"/>
    </row>
    <row r="925" spans="1:22" x14ac:dyDescent="0.3">
      <c r="A925" s="18" t="e">
        <f t="shared" si="15"/>
        <v>#REF!</v>
      </c>
      <c r="B925" s="17">
        <v>130</v>
      </c>
      <c r="C925" s="17" t="s">
        <v>23</v>
      </c>
      <c r="D925" s="17" t="s">
        <v>1955</v>
      </c>
      <c r="E925" s="16">
        <v>45849</v>
      </c>
      <c r="F925" s="21" t="s">
        <v>41</v>
      </c>
      <c r="G925" s="52" t="s">
        <v>1963</v>
      </c>
      <c r="H925" s="57">
        <v>100840.8</v>
      </c>
      <c r="I925" s="16">
        <v>45852</v>
      </c>
      <c r="J925" s="36">
        <v>45863</v>
      </c>
      <c r="K925" s="17">
        <v>8</v>
      </c>
      <c r="L925" s="34">
        <v>192</v>
      </c>
      <c r="M925" s="34">
        <v>8</v>
      </c>
      <c r="N925" s="41">
        <v>45853</v>
      </c>
      <c r="O925" s="18" t="s">
        <v>21</v>
      </c>
      <c r="P925" s="18" t="s">
        <v>1456</v>
      </c>
      <c r="Q925" s="17" t="s">
        <v>140</v>
      </c>
      <c r="R925" s="17" t="s">
        <v>102</v>
      </c>
      <c r="S925" s="17" t="s">
        <v>1623</v>
      </c>
      <c r="T925" s="17" t="s">
        <v>804</v>
      </c>
      <c r="U925" s="18" t="s">
        <v>19</v>
      </c>
      <c r="V925" s="17"/>
    </row>
    <row r="926" spans="1:22" x14ac:dyDescent="0.3">
      <c r="A926" s="18" t="e">
        <f t="shared" si="15"/>
        <v>#REF!</v>
      </c>
      <c r="B926" s="17">
        <v>130</v>
      </c>
      <c r="C926" s="17" t="s">
        <v>23</v>
      </c>
      <c r="D926" s="17" t="s">
        <v>1956</v>
      </c>
      <c r="E926" s="16">
        <v>45849</v>
      </c>
      <c r="F926" s="21" t="s">
        <v>575</v>
      </c>
      <c r="G926" s="52" t="s">
        <v>1973</v>
      </c>
      <c r="H926" s="57">
        <v>50420.4</v>
      </c>
      <c r="I926" s="16">
        <v>45852</v>
      </c>
      <c r="J926" s="36">
        <v>45863</v>
      </c>
      <c r="K926" s="17">
        <v>4</v>
      </c>
      <c r="L926" s="34">
        <v>96</v>
      </c>
      <c r="M926" s="34">
        <v>4</v>
      </c>
      <c r="N926" s="41">
        <v>45853</v>
      </c>
      <c r="O926" s="18" t="s">
        <v>21</v>
      </c>
      <c r="P926" s="18" t="s">
        <v>1456</v>
      </c>
      <c r="Q926" s="17" t="s">
        <v>140</v>
      </c>
      <c r="R926" s="17" t="s">
        <v>102</v>
      </c>
      <c r="S926" s="17" t="s">
        <v>1623</v>
      </c>
      <c r="T926" s="17" t="s">
        <v>804</v>
      </c>
      <c r="U926" s="18" t="s">
        <v>19</v>
      </c>
      <c r="V926" s="17"/>
    </row>
    <row r="927" spans="1:22" x14ac:dyDescent="0.3">
      <c r="A927" s="18" t="e">
        <f t="shared" si="15"/>
        <v>#REF!</v>
      </c>
      <c r="B927" s="17">
        <v>130</v>
      </c>
      <c r="C927" s="17" t="s">
        <v>23</v>
      </c>
      <c r="D927" s="17" t="s">
        <v>1957</v>
      </c>
      <c r="E927" s="16">
        <v>45849</v>
      </c>
      <c r="F927" s="21" t="s">
        <v>28</v>
      </c>
      <c r="G927" s="52" t="s">
        <v>1964</v>
      </c>
      <c r="H927" s="57">
        <v>56562.96</v>
      </c>
      <c r="I927" s="16">
        <v>45852</v>
      </c>
      <c r="J927" s="36">
        <v>45863</v>
      </c>
      <c r="K927" s="17">
        <v>5</v>
      </c>
      <c r="L927" s="34">
        <v>120</v>
      </c>
      <c r="M927" s="34">
        <v>5</v>
      </c>
      <c r="N927" s="41">
        <v>45853</v>
      </c>
      <c r="O927" s="18" t="s">
        <v>21</v>
      </c>
      <c r="P927" s="18" t="s">
        <v>1456</v>
      </c>
      <c r="Q927" s="17" t="s">
        <v>140</v>
      </c>
      <c r="R927" s="17" t="s">
        <v>102</v>
      </c>
      <c r="S927" s="17" t="s">
        <v>1623</v>
      </c>
      <c r="T927" s="17" t="s">
        <v>804</v>
      </c>
      <c r="U927" s="18" t="s">
        <v>19</v>
      </c>
      <c r="V927" s="17"/>
    </row>
    <row r="928" spans="1:22" x14ac:dyDescent="0.3">
      <c r="A928" s="18" t="e">
        <f t="shared" si="15"/>
        <v>#REF!</v>
      </c>
      <c r="B928" s="17">
        <v>130</v>
      </c>
      <c r="C928" s="17" t="s">
        <v>23</v>
      </c>
      <c r="D928" s="29" t="s">
        <v>1958</v>
      </c>
      <c r="E928" s="16">
        <v>45849</v>
      </c>
      <c r="F928" s="23" t="s">
        <v>119</v>
      </c>
      <c r="G928" s="52" t="s">
        <v>1965</v>
      </c>
      <c r="H928" s="57">
        <v>44277.84</v>
      </c>
      <c r="I928" s="16">
        <v>45852</v>
      </c>
      <c r="J928" s="36">
        <v>45863</v>
      </c>
      <c r="K928" s="17">
        <v>3</v>
      </c>
      <c r="L928" s="34">
        <v>72</v>
      </c>
      <c r="M928" s="34">
        <v>3</v>
      </c>
      <c r="N928" s="41">
        <v>45853</v>
      </c>
      <c r="O928" s="18" t="s">
        <v>21</v>
      </c>
      <c r="P928" s="18" t="s">
        <v>1456</v>
      </c>
      <c r="Q928" s="17" t="s">
        <v>140</v>
      </c>
      <c r="R928" s="17" t="s">
        <v>102</v>
      </c>
      <c r="S928" s="17" t="s">
        <v>1623</v>
      </c>
      <c r="T928" s="17" t="s">
        <v>804</v>
      </c>
      <c r="U928" s="18" t="s">
        <v>19</v>
      </c>
      <c r="V928" s="17"/>
    </row>
    <row r="929" spans="1:22" x14ac:dyDescent="0.3">
      <c r="A929" s="18" t="e">
        <f t="shared" si="15"/>
        <v>#REF!</v>
      </c>
      <c r="B929" s="17">
        <v>131</v>
      </c>
      <c r="C929" s="17" t="s">
        <v>23</v>
      </c>
      <c r="D929" s="17" t="s">
        <v>653</v>
      </c>
      <c r="E929" s="16">
        <v>45859</v>
      </c>
      <c r="F929" s="42" t="s">
        <v>41</v>
      </c>
      <c r="G929" s="51" t="s">
        <v>1983</v>
      </c>
      <c r="H929" s="56">
        <v>186873.36</v>
      </c>
      <c r="I929" s="16">
        <v>45863</v>
      </c>
      <c r="J929" s="36">
        <v>45863</v>
      </c>
      <c r="K929" s="43">
        <v>14</v>
      </c>
      <c r="L929" s="63">
        <v>14</v>
      </c>
      <c r="M929" s="63">
        <v>14</v>
      </c>
      <c r="N929" s="41">
        <v>45863</v>
      </c>
      <c r="O929" s="18" t="s">
        <v>21</v>
      </c>
      <c r="P929" s="18" t="s">
        <v>1456</v>
      </c>
      <c r="Q929" s="17" t="s">
        <v>140</v>
      </c>
      <c r="R929" s="17" t="s">
        <v>102</v>
      </c>
      <c r="S929" s="17" t="s">
        <v>1623</v>
      </c>
      <c r="T929" s="17" t="s">
        <v>804</v>
      </c>
      <c r="U929" s="18" t="s">
        <v>19</v>
      </c>
      <c r="V929" s="17"/>
    </row>
    <row r="930" spans="1:22" x14ac:dyDescent="0.3">
      <c r="A930" s="18" t="e">
        <f t="shared" si="15"/>
        <v>#REF!</v>
      </c>
      <c r="B930" s="17">
        <v>131</v>
      </c>
      <c r="C930" s="17" t="s">
        <v>23</v>
      </c>
      <c r="D930" s="17" t="s">
        <v>1976</v>
      </c>
      <c r="E930" s="16">
        <v>45859</v>
      </c>
      <c r="F930" s="21" t="s">
        <v>58</v>
      </c>
      <c r="G930" s="51" t="s">
        <v>1984</v>
      </c>
      <c r="H930" s="56">
        <v>186873.36</v>
      </c>
      <c r="I930" s="16">
        <v>45863</v>
      </c>
      <c r="J930" s="36">
        <v>45863</v>
      </c>
      <c r="K930" s="43">
        <v>19</v>
      </c>
      <c r="L930" s="63">
        <v>19</v>
      </c>
      <c r="M930" s="63">
        <v>19</v>
      </c>
      <c r="N930" s="41">
        <v>45863</v>
      </c>
      <c r="O930" s="18" t="s">
        <v>21</v>
      </c>
      <c r="P930" s="18" t="s">
        <v>1456</v>
      </c>
      <c r="Q930" s="17" t="s">
        <v>140</v>
      </c>
      <c r="R930" s="17" t="s">
        <v>102</v>
      </c>
      <c r="S930" s="17" t="s">
        <v>1623</v>
      </c>
      <c r="T930" s="17" t="s">
        <v>804</v>
      </c>
      <c r="U930" s="18" t="s">
        <v>19</v>
      </c>
      <c r="V930" s="17"/>
    </row>
    <row r="931" spans="1:22" x14ac:dyDescent="0.3">
      <c r="A931" s="18" t="e">
        <f t="shared" ref="A931:A994" si="16">A929+1</f>
        <v>#REF!</v>
      </c>
      <c r="B931" s="17">
        <v>131</v>
      </c>
      <c r="C931" s="17" t="s">
        <v>23</v>
      </c>
      <c r="D931" s="17" t="s">
        <v>1977</v>
      </c>
      <c r="E931" s="16">
        <v>45859</v>
      </c>
      <c r="F931" s="42" t="s">
        <v>35</v>
      </c>
      <c r="G931" s="51" t="s">
        <v>1985</v>
      </c>
      <c r="H931" s="56">
        <v>39341.760000000002</v>
      </c>
      <c r="I931" s="16">
        <v>45863</v>
      </c>
      <c r="J931" s="36">
        <v>45863</v>
      </c>
      <c r="K931" s="43">
        <v>4</v>
      </c>
      <c r="L931" s="63">
        <v>4</v>
      </c>
      <c r="M931" s="63">
        <v>4</v>
      </c>
      <c r="N931" s="41">
        <v>45863</v>
      </c>
      <c r="O931" s="18" t="s">
        <v>21</v>
      </c>
      <c r="P931" s="18" t="s">
        <v>1456</v>
      </c>
      <c r="Q931" s="17" t="s">
        <v>140</v>
      </c>
      <c r="R931" s="17" t="s">
        <v>102</v>
      </c>
      <c r="S931" s="17" t="s">
        <v>1623</v>
      </c>
      <c r="T931" s="17" t="s">
        <v>804</v>
      </c>
      <c r="U931" s="18" t="s">
        <v>19</v>
      </c>
      <c r="V931" s="17"/>
    </row>
    <row r="932" spans="1:22" x14ac:dyDescent="0.3">
      <c r="A932" s="18" t="e">
        <f t="shared" si="16"/>
        <v>#REF!</v>
      </c>
      <c r="B932" s="17">
        <v>131</v>
      </c>
      <c r="C932" s="17" t="s">
        <v>23</v>
      </c>
      <c r="D932" s="17" t="s">
        <v>1978</v>
      </c>
      <c r="E932" s="16">
        <v>45859</v>
      </c>
      <c r="F932" s="42" t="s">
        <v>64</v>
      </c>
      <c r="G932" s="51" t="s">
        <v>1986</v>
      </c>
      <c r="H932" s="56">
        <v>108189.84</v>
      </c>
      <c r="I932" s="16">
        <v>45863</v>
      </c>
      <c r="J932" s="36">
        <v>45863</v>
      </c>
      <c r="K932" s="43">
        <v>11</v>
      </c>
      <c r="L932" s="63">
        <v>11</v>
      </c>
      <c r="M932" s="63">
        <v>11</v>
      </c>
      <c r="N932" s="41">
        <v>45863</v>
      </c>
      <c r="O932" s="18" t="s">
        <v>21</v>
      </c>
      <c r="P932" s="18" t="s">
        <v>1456</v>
      </c>
      <c r="Q932" s="17" t="s">
        <v>140</v>
      </c>
      <c r="R932" s="17" t="s">
        <v>102</v>
      </c>
      <c r="S932" s="17" t="s">
        <v>1623</v>
      </c>
      <c r="T932" s="17" t="s">
        <v>804</v>
      </c>
      <c r="U932" s="18" t="s">
        <v>19</v>
      </c>
      <c r="V932" s="17"/>
    </row>
    <row r="933" spans="1:22" x14ac:dyDescent="0.3">
      <c r="A933" s="18" t="e">
        <f t="shared" si="16"/>
        <v>#REF!</v>
      </c>
      <c r="B933" s="17">
        <v>131</v>
      </c>
      <c r="C933" s="17" t="s">
        <v>23</v>
      </c>
      <c r="D933" s="17" t="s">
        <v>1979</v>
      </c>
      <c r="E933" s="16">
        <v>45859</v>
      </c>
      <c r="F933" s="42" t="s">
        <v>575</v>
      </c>
      <c r="G933" s="51" t="s">
        <v>1987</v>
      </c>
      <c r="H933" s="56">
        <v>186873.36</v>
      </c>
      <c r="I933" s="16">
        <v>45863</v>
      </c>
      <c r="J933" s="36">
        <v>45863</v>
      </c>
      <c r="K933" s="43">
        <v>19</v>
      </c>
      <c r="L933" s="63">
        <v>19</v>
      </c>
      <c r="M933" s="63">
        <v>19</v>
      </c>
      <c r="N933" s="41">
        <v>45863</v>
      </c>
      <c r="O933" s="18" t="s">
        <v>21</v>
      </c>
      <c r="P933" s="18" t="s">
        <v>1456</v>
      </c>
      <c r="Q933" s="17" t="s">
        <v>140</v>
      </c>
      <c r="R933" s="17" t="s">
        <v>102</v>
      </c>
      <c r="S933" s="17" t="s">
        <v>1623</v>
      </c>
      <c r="T933" s="17" t="s">
        <v>804</v>
      </c>
      <c r="U933" s="18" t="s">
        <v>19</v>
      </c>
      <c r="V933" s="17"/>
    </row>
    <row r="934" spans="1:22" x14ac:dyDescent="0.3">
      <c r="A934" s="18" t="e">
        <f t="shared" si="16"/>
        <v>#REF!</v>
      </c>
      <c r="B934" s="17">
        <v>131</v>
      </c>
      <c r="C934" s="17" t="s">
        <v>23</v>
      </c>
      <c r="D934" s="17" t="s">
        <v>1980</v>
      </c>
      <c r="E934" s="16">
        <v>45859</v>
      </c>
      <c r="F934" s="25" t="s">
        <v>122</v>
      </c>
      <c r="G934" s="51" t="s">
        <v>1988</v>
      </c>
      <c r="H934" s="56">
        <v>59012.639999999999</v>
      </c>
      <c r="I934" s="16">
        <v>45863</v>
      </c>
      <c r="J934" s="36">
        <v>45863</v>
      </c>
      <c r="K934" s="43">
        <v>6</v>
      </c>
      <c r="L934" s="63">
        <v>6</v>
      </c>
      <c r="M934" s="63">
        <v>6</v>
      </c>
      <c r="N934" s="41">
        <v>45863</v>
      </c>
      <c r="O934" s="18" t="s">
        <v>21</v>
      </c>
      <c r="P934" s="18" t="s">
        <v>1456</v>
      </c>
      <c r="Q934" s="17" t="s">
        <v>140</v>
      </c>
      <c r="R934" s="17" t="s">
        <v>102</v>
      </c>
      <c r="S934" s="17" t="s">
        <v>1623</v>
      </c>
      <c r="T934" s="17" t="s">
        <v>804</v>
      </c>
      <c r="U934" s="18" t="s">
        <v>19</v>
      </c>
      <c r="V934" s="17"/>
    </row>
    <row r="935" spans="1:22" x14ac:dyDescent="0.3">
      <c r="A935" s="18" t="e">
        <f t="shared" si="16"/>
        <v>#REF!</v>
      </c>
      <c r="B935" s="17">
        <v>131</v>
      </c>
      <c r="C935" s="17" t="s">
        <v>23</v>
      </c>
      <c r="D935" s="17" t="s">
        <v>1981</v>
      </c>
      <c r="E935" s="16">
        <v>45859</v>
      </c>
      <c r="F935" s="23" t="s">
        <v>68</v>
      </c>
      <c r="G935" s="51" t="s">
        <v>1990</v>
      </c>
      <c r="H935" s="56">
        <v>68848.08</v>
      </c>
      <c r="I935" s="16">
        <v>45863</v>
      </c>
      <c r="J935" s="36">
        <v>45863</v>
      </c>
      <c r="K935" s="43">
        <v>7</v>
      </c>
      <c r="L935" s="63">
        <v>7</v>
      </c>
      <c r="M935" s="63">
        <v>7</v>
      </c>
      <c r="N935" s="41">
        <v>45863</v>
      </c>
      <c r="O935" s="18" t="s">
        <v>21</v>
      </c>
      <c r="P935" s="18" t="s">
        <v>1456</v>
      </c>
      <c r="Q935" s="17" t="s">
        <v>140</v>
      </c>
      <c r="R935" s="17" t="s">
        <v>102</v>
      </c>
      <c r="S935" s="17" t="s">
        <v>1623</v>
      </c>
      <c r="T935" s="17" t="s">
        <v>804</v>
      </c>
      <c r="U935" s="18" t="s">
        <v>19</v>
      </c>
      <c r="V935" s="17"/>
    </row>
    <row r="936" spans="1:22" x14ac:dyDescent="0.3">
      <c r="A936" s="18" t="e">
        <f t="shared" si="16"/>
        <v>#REF!</v>
      </c>
      <c r="B936" s="17">
        <v>131</v>
      </c>
      <c r="C936" s="17" t="s">
        <v>23</v>
      </c>
      <c r="D936" s="17" t="s">
        <v>1982</v>
      </c>
      <c r="E936" s="16">
        <v>45859</v>
      </c>
      <c r="F936" s="42" t="s">
        <v>28</v>
      </c>
      <c r="G936" s="51" t="s">
        <v>1989</v>
      </c>
      <c r="H936" s="56">
        <v>39341.760000000002</v>
      </c>
      <c r="I936" s="16">
        <v>45863</v>
      </c>
      <c r="J936" s="36">
        <v>45863</v>
      </c>
      <c r="K936" s="43">
        <v>4</v>
      </c>
      <c r="L936" s="63">
        <v>4</v>
      </c>
      <c r="M936" s="63">
        <v>4</v>
      </c>
      <c r="N936" s="41">
        <v>45863</v>
      </c>
      <c r="O936" s="18" t="s">
        <v>21</v>
      </c>
      <c r="P936" s="18" t="s">
        <v>1456</v>
      </c>
      <c r="Q936" s="17" t="s">
        <v>140</v>
      </c>
      <c r="R936" s="17" t="s">
        <v>102</v>
      </c>
      <c r="S936" s="17" t="s">
        <v>1623</v>
      </c>
      <c r="T936" s="17" t="s">
        <v>804</v>
      </c>
      <c r="U936" s="18" t="s">
        <v>19</v>
      </c>
      <c r="V936" s="17"/>
    </row>
    <row r="937" spans="1:22" x14ac:dyDescent="0.3">
      <c r="A937" s="18" t="e">
        <f t="shared" si="16"/>
        <v>#REF!</v>
      </c>
      <c r="B937" s="17">
        <v>132</v>
      </c>
      <c r="C937" s="17" t="s">
        <v>23</v>
      </c>
      <c r="D937" s="17" t="s">
        <v>1991</v>
      </c>
      <c r="E937" s="16">
        <v>45875</v>
      </c>
      <c r="F937" s="21" t="s">
        <v>58</v>
      </c>
      <c r="G937" s="51" t="s">
        <v>1998</v>
      </c>
      <c r="H937" s="56">
        <v>298201.2</v>
      </c>
      <c r="I937" s="16">
        <v>45875</v>
      </c>
      <c r="J937" s="36">
        <v>45894</v>
      </c>
      <c r="K937" s="17">
        <v>25</v>
      </c>
      <c r="L937" s="34">
        <v>25</v>
      </c>
      <c r="M937" s="34">
        <v>25</v>
      </c>
      <c r="N937" s="41">
        <v>45876</v>
      </c>
      <c r="O937" s="18" t="s">
        <v>21</v>
      </c>
      <c r="P937" s="18" t="s">
        <v>1456</v>
      </c>
      <c r="Q937" s="17" t="s">
        <v>140</v>
      </c>
      <c r="R937" s="17" t="s">
        <v>102</v>
      </c>
      <c r="S937" s="17" t="s">
        <v>1623</v>
      </c>
      <c r="T937" s="17" t="s">
        <v>804</v>
      </c>
      <c r="U937" s="18" t="s">
        <v>19</v>
      </c>
      <c r="V937" s="17"/>
    </row>
    <row r="938" spans="1:22" x14ac:dyDescent="0.3">
      <c r="A938" s="18" t="e">
        <f t="shared" si="16"/>
        <v>#REF!</v>
      </c>
      <c r="B938" s="17">
        <v>132</v>
      </c>
      <c r="C938" s="17" t="s">
        <v>23</v>
      </c>
      <c r="D938" s="17" t="s">
        <v>1992</v>
      </c>
      <c r="E938" s="16">
        <v>45875</v>
      </c>
      <c r="F938" s="21" t="s">
        <v>929</v>
      </c>
      <c r="G938" s="51" t="s">
        <v>2000</v>
      </c>
      <c r="H938" s="56">
        <v>474095.94</v>
      </c>
      <c r="I938" s="16">
        <v>45875</v>
      </c>
      <c r="J938" s="36">
        <v>45894</v>
      </c>
      <c r="K938" s="17">
        <v>53</v>
      </c>
      <c r="L938" s="34">
        <v>53</v>
      </c>
      <c r="M938" s="34">
        <v>53</v>
      </c>
      <c r="N938" s="41">
        <v>45876</v>
      </c>
      <c r="O938" s="18" t="s">
        <v>21</v>
      </c>
      <c r="P938" s="18" t="s">
        <v>1456</v>
      </c>
      <c r="Q938" s="17" t="s">
        <v>140</v>
      </c>
      <c r="R938" s="17" t="s">
        <v>102</v>
      </c>
      <c r="S938" s="17" t="s">
        <v>1623</v>
      </c>
      <c r="T938" s="17" t="s">
        <v>804</v>
      </c>
      <c r="U938" s="18" t="s">
        <v>19</v>
      </c>
      <c r="V938" s="17"/>
    </row>
    <row r="939" spans="1:22" x14ac:dyDescent="0.3">
      <c r="A939" s="18" t="e">
        <f t="shared" si="16"/>
        <v>#REF!</v>
      </c>
      <c r="B939" s="17">
        <v>132</v>
      </c>
      <c r="C939" s="17" t="s">
        <v>23</v>
      </c>
      <c r="D939" s="17" t="s">
        <v>1993</v>
      </c>
      <c r="E939" s="16">
        <v>45875</v>
      </c>
      <c r="F939" s="21" t="s">
        <v>41</v>
      </c>
      <c r="G939" s="51" t="s">
        <v>1999</v>
      </c>
      <c r="H939" s="56">
        <v>25133.8</v>
      </c>
      <c r="I939" s="16">
        <v>45875</v>
      </c>
      <c r="J939" s="36">
        <v>45894</v>
      </c>
      <c r="K939" s="17">
        <v>25</v>
      </c>
      <c r="L939" s="34">
        <v>25</v>
      </c>
      <c r="M939" s="34">
        <v>25</v>
      </c>
      <c r="N939" s="41">
        <v>45876</v>
      </c>
      <c r="O939" s="18" t="s">
        <v>21</v>
      </c>
      <c r="P939" s="18" t="s">
        <v>1456</v>
      </c>
      <c r="Q939" s="17" t="s">
        <v>140</v>
      </c>
      <c r="R939" s="17" t="s">
        <v>102</v>
      </c>
      <c r="S939" s="17" t="s">
        <v>1623</v>
      </c>
      <c r="T939" s="17" t="s">
        <v>804</v>
      </c>
      <c r="U939" s="18" t="s">
        <v>19</v>
      </c>
      <c r="V939" s="17"/>
    </row>
    <row r="940" spans="1:22" x14ac:dyDescent="0.3">
      <c r="A940" s="18" t="e">
        <f t="shared" si="16"/>
        <v>#REF!</v>
      </c>
      <c r="B940" s="17">
        <v>132</v>
      </c>
      <c r="C940" s="17" t="s">
        <v>23</v>
      </c>
      <c r="D940" s="17" t="s">
        <v>1994</v>
      </c>
      <c r="E940" s="16">
        <v>45875</v>
      </c>
      <c r="F940" s="21" t="s">
        <v>580</v>
      </c>
      <c r="G940" s="51" t="s">
        <v>1997</v>
      </c>
      <c r="H940" s="56">
        <v>10400.64</v>
      </c>
      <c r="I940" s="16">
        <v>45875</v>
      </c>
      <c r="J940" s="36">
        <v>45894</v>
      </c>
      <c r="K940" s="17">
        <v>9</v>
      </c>
      <c r="L940" s="34">
        <v>9</v>
      </c>
      <c r="M940" s="34">
        <v>9</v>
      </c>
      <c r="N940" s="41">
        <v>45876</v>
      </c>
      <c r="O940" s="18" t="s">
        <v>21</v>
      </c>
      <c r="P940" s="18" t="s">
        <v>1456</v>
      </c>
      <c r="Q940" s="17" t="s">
        <v>140</v>
      </c>
      <c r="R940" s="17" t="s">
        <v>102</v>
      </c>
      <c r="S940" s="17" t="s">
        <v>1623</v>
      </c>
      <c r="T940" s="17" t="s">
        <v>804</v>
      </c>
      <c r="U940" s="18" t="s">
        <v>19</v>
      </c>
      <c r="V940" s="17"/>
    </row>
    <row r="941" spans="1:22" x14ac:dyDescent="0.3">
      <c r="A941" s="18" t="e">
        <f t="shared" si="16"/>
        <v>#REF!</v>
      </c>
      <c r="B941" s="17">
        <v>132</v>
      </c>
      <c r="C941" s="17" t="s">
        <v>23</v>
      </c>
      <c r="D941" s="17" t="s">
        <v>1995</v>
      </c>
      <c r="E941" s="16">
        <v>45875</v>
      </c>
      <c r="F941" s="21" t="s">
        <v>58</v>
      </c>
      <c r="G941" s="51" t="s">
        <v>1996</v>
      </c>
      <c r="H941" s="56">
        <v>295063.2</v>
      </c>
      <c r="I941" s="16">
        <v>45875</v>
      </c>
      <c r="J941" s="36">
        <v>45894</v>
      </c>
      <c r="K941" s="17">
        <v>30</v>
      </c>
      <c r="L941" s="34">
        <v>30</v>
      </c>
      <c r="M941" s="34">
        <v>30</v>
      </c>
      <c r="N941" s="41">
        <v>45876</v>
      </c>
      <c r="O941" s="18" t="s">
        <v>21</v>
      </c>
      <c r="P941" s="18" t="s">
        <v>1456</v>
      </c>
      <c r="Q941" s="17" t="s">
        <v>140</v>
      </c>
      <c r="R941" s="17" t="s">
        <v>102</v>
      </c>
      <c r="S941" s="17" t="s">
        <v>1623</v>
      </c>
      <c r="T941" s="17" t="s">
        <v>804</v>
      </c>
      <c r="U941" s="18" t="s">
        <v>19</v>
      </c>
      <c r="V941" s="17"/>
    </row>
    <row r="942" spans="1:22" x14ac:dyDescent="0.3">
      <c r="A942" s="18" t="e">
        <f t="shared" si="16"/>
        <v>#REF!</v>
      </c>
      <c r="B942" s="17">
        <v>133</v>
      </c>
      <c r="C942" s="17" t="s">
        <v>23</v>
      </c>
      <c r="D942" s="17" t="s">
        <v>2001</v>
      </c>
      <c r="E942" s="16">
        <v>45883</v>
      </c>
      <c r="F942" s="21" t="s">
        <v>47</v>
      </c>
      <c r="G942" s="51" t="s">
        <v>2011</v>
      </c>
      <c r="H942" s="56">
        <v>29494.080000000002</v>
      </c>
      <c r="I942" s="16">
        <v>45887</v>
      </c>
      <c r="J942" s="36">
        <v>45894</v>
      </c>
      <c r="K942" s="17">
        <v>4</v>
      </c>
      <c r="L942" s="34">
        <v>4</v>
      </c>
      <c r="M942" s="34">
        <v>4</v>
      </c>
      <c r="N942" s="41">
        <v>45887</v>
      </c>
      <c r="O942" s="18" t="s">
        <v>21</v>
      </c>
      <c r="P942" s="18" t="s">
        <v>1456</v>
      </c>
      <c r="Q942" s="17" t="s">
        <v>2010</v>
      </c>
      <c r="R942" s="17" t="s">
        <v>102</v>
      </c>
      <c r="S942" s="17" t="s">
        <v>1623</v>
      </c>
      <c r="T942" s="17" t="s">
        <v>804</v>
      </c>
      <c r="U942" s="43" t="s">
        <v>2019</v>
      </c>
      <c r="V942" s="17"/>
    </row>
    <row r="943" spans="1:22" x14ac:dyDescent="0.3">
      <c r="A943" s="18" t="e">
        <f t="shared" si="16"/>
        <v>#REF!</v>
      </c>
      <c r="B943" s="17">
        <v>133</v>
      </c>
      <c r="C943" s="17" t="s">
        <v>23</v>
      </c>
      <c r="D943" s="17" t="s">
        <v>2002</v>
      </c>
      <c r="E943" s="16">
        <v>45883</v>
      </c>
      <c r="F943" s="21" t="s">
        <v>35</v>
      </c>
      <c r="G943" s="51" t="s">
        <v>2012</v>
      </c>
      <c r="H943" s="56">
        <v>47934</v>
      </c>
      <c r="I943" s="16">
        <v>45887</v>
      </c>
      <c r="J943" s="36">
        <v>45894</v>
      </c>
      <c r="K943" s="17">
        <v>6</v>
      </c>
      <c r="L943" s="34">
        <v>6</v>
      </c>
      <c r="M943" s="34">
        <v>6</v>
      </c>
      <c r="N943" s="41">
        <v>45887</v>
      </c>
      <c r="O943" s="18" t="s">
        <v>21</v>
      </c>
      <c r="P943" s="18" t="s">
        <v>1456</v>
      </c>
      <c r="Q943" s="17" t="s">
        <v>2010</v>
      </c>
      <c r="R943" s="17" t="s">
        <v>102</v>
      </c>
      <c r="S943" s="17" t="s">
        <v>1623</v>
      </c>
      <c r="T943" s="17" t="s">
        <v>804</v>
      </c>
      <c r="U943" s="43" t="s">
        <v>2019</v>
      </c>
      <c r="V943" s="17"/>
    </row>
    <row r="944" spans="1:22" x14ac:dyDescent="0.3">
      <c r="A944" s="18" t="e">
        <f t="shared" si="16"/>
        <v>#REF!</v>
      </c>
      <c r="B944" s="17">
        <v>133</v>
      </c>
      <c r="C944" s="17" t="s">
        <v>23</v>
      </c>
      <c r="D944" s="17" t="s">
        <v>2003</v>
      </c>
      <c r="E944" s="16">
        <v>45883</v>
      </c>
      <c r="F944" s="21" t="s">
        <v>929</v>
      </c>
      <c r="G944" s="51" t="s">
        <v>2013</v>
      </c>
      <c r="H944" s="56">
        <v>114048.96000000001</v>
      </c>
      <c r="I944" s="16">
        <v>45887</v>
      </c>
      <c r="J944" s="36">
        <v>45894</v>
      </c>
      <c r="K944" s="17">
        <v>15</v>
      </c>
      <c r="L944" s="34">
        <v>15</v>
      </c>
      <c r="M944" s="34">
        <v>15</v>
      </c>
      <c r="N944" s="41">
        <v>45887</v>
      </c>
      <c r="O944" s="18" t="s">
        <v>21</v>
      </c>
      <c r="P944" s="18" t="s">
        <v>1456</v>
      </c>
      <c r="Q944" s="17" t="s">
        <v>2010</v>
      </c>
      <c r="R944" s="17" t="s">
        <v>102</v>
      </c>
      <c r="S944" s="17" t="s">
        <v>1623</v>
      </c>
      <c r="T944" s="17" t="s">
        <v>804</v>
      </c>
      <c r="U944" s="43" t="s">
        <v>2019</v>
      </c>
      <c r="V944" s="17"/>
    </row>
    <row r="945" spans="1:22" x14ac:dyDescent="0.3">
      <c r="A945" s="18" t="e">
        <f t="shared" si="16"/>
        <v>#REF!</v>
      </c>
      <c r="B945" s="17">
        <v>133</v>
      </c>
      <c r="C945" s="17" t="s">
        <v>23</v>
      </c>
      <c r="D945" s="17" t="s">
        <v>2004</v>
      </c>
      <c r="E945" s="16">
        <v>45883</v>
      </c>
      <c r="F945" s="21" t="s">
        <v>129</v>
      </c>
      <c r="G945" s="51" t="s">
        <v>2014</v>
      </c>
      <c r="H945" s="56">
        <v>163029.96</v>
      </c>
      <c r="I945" s="16">
        <v>45887</v>
      </c>
      <c r="J945" s="36">
        <v>45894</v>
      </c>
      <c r="K945" s="17">
        <v>18</v>
      </c>
      <c r="L945" s="34">
        <v>18</v>
      </c>
      <c r="M945" s="34">
        <v>18</v>
      </c>
      <c r="N945" s="41">
        <v>45887</v>
      </c>
      <c r="O945" s="18" t="s">
        <v>21</v>
      </c>
      <c r="P945" s="18" t="s">
        <v>1456</v>
      </c>
      <c r="Q945" s="17" t="s">
        <v>2010</v>
      </c>
      <c r="R945" s="17" t="s">
        <v>102</v>
      </c>
      <c r="S945" s="17" t="s">
        <v>1623</v>
      </c>
      <c r="T945" s="17" t="s">
        <v>804</v>
      </c>
      <c r="U945" s="43" t="s">
        <v>2019</v>
      </c>
      <c r="V945" s="17"/>
    </row>
    <row r="946" spans="1:22" x14ac:dyDescent="0.3">
      <c r="A946" s="18" t="e">
        <f t="shared" si="16"/>
        <v>#REF!</v>
      </c>
      <c r="B946" s="17">
        <v>133</v>
      </c>
      <c r="C946" s="17" t="s">
        <v>23</v>
      </c>
      <c r="D946" s="17" t="s">
        <v>2005</v>
      </c>
      <c r="E946" s="16">
        <v>45883</v>
      </c>
      <c r="F946" s="21" t="s">
        <v>58</v>
      </c>
      <c r="G946" s="51" t="s">
        <v>2015</v>
      </c>
      <c r="H946" s="56">
        <v>721172.94</v>
      </c>
      <c r="I946" s="16">
        <v>45887</v>
      </c>
      <c r="J946" s="36">
        <v>45894</v>
      </c>
      <c r="K946" s="17">
        <v>64</v>
      </c>
      <c r="L946" s="34">
        <v>64</v>
      </c>
      <c r="M946" s="34">
        <v>64</v>
      </c>
      <c r="N946" s="41">
        <v>45887</v>
      </c>
      <c r="O946" s="18" t="s">
        <v>21</v>
      </c>
      <c r="P946" s="18" t="s">
        <v>1456</v>
      </c>
      <c r="Q946" s="17" t="s">
        <v>2010</v>
      </c>
      <c r="R946" s="17" t="s">
        <v>102</v>
      </c>
      <c r="S946" s="17" t="s">
        <v>1623</v>
      </c>
      <c r="T946" s="17" t="s">
        <v>804</v>
      </c>
      <c r="U946" s="43" t="s">
        <v>2019</v>
      </c>
      <c r="V946" s="17"/>
    </row>
    <row r="947" spans="1:22" x14ac:dyDescent="0.3">
      <c r="A947" s="18" t="e">
        <f t="shared" si="16"/>
        <v>#REF!</v>
      </c>
      <c r="B947" s="17">
        <v>133</v>
      </c>
      <c r="C947" s="17" t="s">
        <v>23</v>
      </c>
      <c r="D947" s="17" t="s">
        <v>2006</v>
      </c>
      <c r="E947" s="16">
        <v>45887</v>
      </c>
      <c r="F947" s="21" t="s">
        <v>137</v>
      </c>
      <c r="G947" s="51" t="s">
        <v>2016</v>
      </c>
      <c r="H947" s="56">
        <v>121705.92</v>
      </c>
      <c r="I947" s="16">
        <v>45887</v>
      </c>
      <c r="J947" s="36">
        <v>45894</v>
      </c>
      <c r="K947" s="17">
        <v>13</v>
      </c>
      <c r="L947" s="34">
        <v>13</v>
      </c>
      <c r="M947" s="34">
        <v>13</v>
      </c>
      <c r="N947" s="41">
        <v>45887</v>
      </c>
      <c r="O947" s="18" t="s">
        <v>21</v>
      </c>
      <c r="P947" s="18" t="s">
        <v>1456</v>
      </c>
      <c r="Q947" s="17" t="s">
        <v>2010</v>
      </c>
      <c r="R947" s="17" t="s">
        <v>102</v>
      </c>
      <c r="S947" s="17" t="s">
        <v>1623</v>
      </c>
      <c r="T947" s="17" t="s">
        <v>804</v>
      </c>
      <c r="U947" s="43" t="s">
        <v>2020</v>
      </c>
      <c r="V947" s="17"/>
    </row>
    <row r="948" spans="1:22" x14ac:dyDescent="0.3">
      <c r="A948" s="18" t="e">
        <f t="shared" si="16"/>
        <v>#REF!</v>
      </c>
      <c r="B948" s="17">
        <v>133</v>
      </c>
      <c r="C948" s="17" t="s">
        <v>23</v>
      </c>
      <c r="D948" s="17" t="s">
        <v>2007</v>
      </c>
      <c r="E948" s="16">
        <v>45887</v>
      </c>
      <c r="F948" s="21" t="s">
        <v>1207</v>
      </c>
      <c r="G948" s="51" t="s">
        <v>2017</v>
      </c>
      <c r="H948" s="56">
        <v>112799.31</v>
      </c>
      <c r="I948" s="16">
        <v>45887</v>
      </c>
      <c r="J948" s="36">
        <v>45894</v>
      </c>
      <c r="K948" s="17">
        <v>13</v>
      </c>
      <c r="L948" s="34">
        <v>13</v>
      </c>
      <c r="M948" s="34">
        <v>13</v>
      </c>
      <c r="N948" s="41">
        <v>45887</v>
      </c>
      <c r="O948" s="18" t="s">
        <v>21</v>
      </c>
      <c r="P948" s="18" t="s">
        <v>1456</v>
      </c>
      <c r="Q948" s="17" t="s">
        <v>2010</v>
      </c>
      <c r="R948" s="17" t="s">
        <v>102</v>
      </c>
      <c r="S948" s="17" t="s">
        <v>1623</v>
      </c>
      <c r="T948" s="17" t="s">
        <v>804</v>
      </c>
      <c r="U948" s="43" t="s">
        <v>2020</v>
      </c>
      <c r="V948" s="17"/>
    </row>
    <row r="949" spans="1:22" x14ac:dyDescent="0.3">
      <c r="A949" s="18" t="e">
        <f t="shared" si="16"/>
        <v>#REF!</v>
      </c>
      <c r="B949" s="17">
        <v>133</v>
      </c>
      <c r="C949" s="17" t="s">
        <v>23</v>
      </c>
      <c r="D949" s="17" t="s">
        <v>2008</v>
      </c>
      <c r="E949" s="16">
        <v>45887</v>
      </c>
      <c r="F949" s="21" t="s">
        <v>41</v>
      </c>
      <c r="G949" s="51" t="s">
        <v>2018</v>
      </c>
      <c r="H949" s="56">
        <v>1050886.8799999999</v>
      </c>
      <c r="I949" s="16">
        <v>45887</v>
      </c>
      <c r="J949" s="36">
        <v>45894</v>
      </c>
      <c r="K949" s="17">
        <v>13</v>
      </c>
      <c r="L949" s="34">
        <v>13</v>
      </c>
      <c r="M949" s="34">
        <v>13</v>
      </c>
      <c r="N949" s="41">
        <v>45887</v>
      </c>
      <c r="O949" s="18" t="s">
        <v>21</v>
      </c>
      <c r="P949" s="18" t="s">
        <v>1456</v>
      </c>
      <c r="Q949" s="17" t="s">
        <v>2010</v>
      </c>
      <c r="R949" s="17" t="s">
        <v>102</v>
      </c>
      <c r="S949" s="17" t="s">
        <v>1623</v>
      </c>
      <c r="T949" s="17" t="s">
        <v>804</v>
      </c>
      <c r="U949" s="43" t="s">
        <v>2020</v>
      </c>
      <c r="V949" s="17"/>
    </row>
    <row r="950" spans="1:22" x14ac:dyDescent="0.3">
      <c r="A950" s="18" t="e">
        <f t="shared" si="16"/>
        <v>#REF!</v>
      </c>
      <c r="B950" s="17">
        <v>133</v>
      </c>
      <c r="C950" s="17" t="s">
        <v>23</v>
      </c>
      <c r="D950" s="17" t="s">
        <v>2009</v>
      </c>
      <c r="E950" s="16">
        <v>45887</v>
      </c>
      <c r="F950" s="21" t="s">
        <v>1204</v>
      </c>
      <c r="G950" s="52" t="s">
        <v>2009</v>
      </c>
      <c r="H950" s="56">
        <v>272739.69</v>
      </c>
      <c r="I950" s="16">
        <v>45887</v>
      </c>
      <c r="J950" s="36">
        <v>45894</v>
      </c>
      <c r="K950" s="17">
        <v>41</v>
      </c>
      <c r="L950" s="34">
        <v>41</v>
      </c>
      <c r="M950" s="34">
        <v>41</v>
      </c>
      <c r="N950" s="41">
        <v>45887</v>
      </c>
      <c r="O950" s="18" t="s">
        <v>21</v>
      </c>
      <c r="P950" s="18" t="s">
        <v>1456</v>
      </c>
      <c r="Q950" s="17" t="s">
        <v>2010</v>
      </c>
      <c r="R950" s="17" t="s">
        <v>102</v>
      </c>
      <c r="S950" s="17" t="s">
        <v>1623</v>
      </c>
      <c r="T950" s="17" t="s">
        <v>804</v>
      </c>
      <c r="U950" s="43" t="s">
        <v>2020</v>
      </c>
      <c r="V950" s="17"/>
    </row>
    <row r="951" spans="1:22" x14ac:dyDescent="0.3">
      <c r="A951" s="18" t="e">
        <f t="shared" si="16"/>
        <v>#REF!</v>
      </c>
      <c r="B951" s="17">
        <v>134</v>
      </c>
      <c r="C951" s="17" t="s">
        <v>23</v>
      </c>
      <c r="D951" s="17" t="s">
        <v>72</v>
      </c>
      <c r="E951" s="16">
        <v>45891</v>
      </c>
      <c r="F951" s="21" t="s">
        <v>41</v>
      </c>
      <c r="G951" s="51" t="s">
        <v>2021</v>
      </c>
      <c r="H951" s="56">
        <v>158609.82</v>
      </c>
      <c r="I951" s="16">
        <v>45891</v>
      </c>
      <c r="J951" s="36">
        <v>45894</v>
      </c>
      <c r="K951" s="17">
        <v>15</v>
      </c>
      <c r="L951" s="34">
        <v>360</v>
      </c>
      <c r="M951" s="34">
        <v>15</v>
      </c>
      <c r="N951" s="41">
        <v>45891</v>
      </c>
      <c r="O951" s="18" t="s">
        <v>21</v>
      </c>
      <c r="P951" s="18" t="s">
        <v>1456</v>
      </c>
      <c r="Q951" s="17" t="s">
        <v>2010</v>
      </c>
      <c r="R951" s="17" t="s">
        <v>102</v>
      </c>
      <c r="S951" s="17">
        <v>10234468</v>
      </c>
      <c r="T951" s="17" t="s">
        <v>804</v>
      </c>
      <c r="U951" s="17"/>
      <c r="V951" s="17"/>
    </row>
    <row r="952" spans="1:22" x14ac:dyDescent="0.3">
      <c r="A952" s="18" t="e">
        <f t="shared" si="16"/>
        <v>#REF!</v>
      </c>
      <c r="B952" s="17">
        <v>134</v>
      </c>
      <c r="C952" s="17" t="s">
        <v>23</v>
      </c>
      <c r="D952" s="17" t="s">
        <v>72</v>
      </c>
      <c r="E952" s="16">
        <v>45891</v>
      </c>
      <c r="F952" s="21" t="s">
        <v>575</v>
      </c>
      <c r="G952" s="51" t="s">
        <v>2022</v>
      </c>
      <c r="H952" s="56">
        <v>176271.3</v>
      </c>
      <c r="I952" s="16">
        <v>45891</v>
      </c>
      <c r="J952" s="36">
        <v>45894</v>
      </c>
      <c r="K952" s="17">
        <v>18</v>
      </c>
      <c r="L952" s="34">
        <v>426</v>
      </c>
      <c r="M952" s="34">
        <v>18</v>
      </c>
      <c r="N952" s="41">
        <v>45891</v>
      </c>
      <c r="O952" s="18" t="s">
        <v>21</v>
      </c>
      <c r="P952" s="18" t="s">
        <v>1456</v>
      </c>
      <c r="Q952" s="17" t="s">
        <v>2010</v>
      </c>
      <c r="R952" s="17" t="s">
        <v>102</v>
      </c>
      <c r="S952" s="17">
        <v>10234469</v>
      </c>
      <c r="T952" s="17" t="s">
        <v>804</v>
      </c>
      <c r="U952" s="17"/>
      <c r="V952" s="17"/>
    </row>
    <row r="953" spans="1:22" x14ac:dyDescent="0.3">
      <c r="A953" s="18" t="e">
        <f t="shared" si="16"/>
        <v>#REF!</v>
      </c>
      <c r="B953" s="17">
        <v>134</v>
      </c>
      <c r="C953" s="17" t="s">
        <v>23</v>
      </c>
      <c r="D953" s="17" t="s">
        <v>72</v>
      </c>
      <c r="E953" s="16">
        <v>45891</v>
      </c>
      <c r="F953" s="21" t="s">
        <v>929</v>
      </c>
      <c r="G953" s="51" t="s">
        <v>2023</v>
      </c>
      <c r="H953" s="56">
        <v>371340.06</v>
      </c>
      <c r="I953" s="16">
        <v>45891</v>
      </c>
      <c r="J953" s="36">
        <v>45894</v>
      </c>
      <c r="K953" s="17">
        <v>33</v>
      </c>
      <c r="L953" s="34">
        <v>792</v>
      </c>
      <c r="M953" s="34">
        <v>33</v>
      </c>
      <c r="N953" s="41">
        <v>45891</v>
      </c>
      <c r="O953" s="18" t="s">
        <v>21</v>
      </c>
      <c r="P953" s="18" t="s">
        <v>1456</v>
      </c>
      <c r="Q953" s="17" t="s">
        <v>2010</v>
      </c>
      <c r="R953" s="17" t="s">
        <v>102</v>
      </c>
      <c r="S953" s="17">
        <v>10234474</v>
      </c>
      <c r="T953" s="17" t="s">
        <v>804</v>
      </c>
      <c r="U953" s="17"/>
      <c r="V953" s="17"/>
    </row>
    <row r="954" spans="1:22" x14ac:dyDescent="0.3">
      <c r="A954" s="18" t="e">
        <f t="shared" si="16"/>
        <v>#REF!</v>
      </c>
      <c r="B954" s="17">
        <v>134</v>
      </c>
      <c r="C954" s="17" t="s">
        <v>23</v>
      </c>
      <c r="D954" s="17" t="s">
        <v>72</v>
      </c>
      <c r="E954" s="16">
        <v>45891</v>
      </c>
      <c r="F954" s="21" t="s">
        <v>84</v>
      </c>
      <c r="G954" s="51" t="s">
        <v>2024</v>
      </c>
      <c r="H954" s="56">
        <v>180752.25</v>
      </c>
      <c r="I954" s="16">
        <v>45891</v>
      </c>
      <c r="J954" s="36">
        <v>45894</v>
      </c>
      <c r="K954" s="17">
        <v>16</v>
      </c>
      <c r="L954" s="34">
        <v>384</v>
      </c>
      <c r="M954" s="34">
        <v>16</v>
      </c>
      <c r="N954" s="41">
        <v>45891</v>
      </c>
      <c r="O954" s="18" t="s">
        <v>21</v>
      </c>
      <c r="P954" s="18" t="s">
        <v>1456</v>
      </c>
      <c r="Q954" s="17" t="s">
        <v>2010</v>
      </c>
      <c r="R954" s="17" t="s">
        <v>102</v>
      </c>
      <c r="S954" s="17">
        <v>10234470</v>
      </c>
      <c r="T954" s="17" t="s">
        <v>804</v>
      </c>
      <c r="U954" s="17"/>
      <c r="V954" s="17"/>
    </row>
    <row r="955" spans="1:22" x14ac:dyDescent="0.3">
      <c r="A955" s="18" t="e">
        <f t="shared" si="16"/>
        <v>#REF!</v>
      </c>
      <c r="B955" s="17">
        <v>134</v>
      </c>
      <c r="C955" s="17" t="s">
        <v>23</v>
      </c>
      <c r="D955" s="17" t="s">
        <v>72</v>
      </c>
      <c r="E955" s="16">
        <v>45891</v>
      </c>
      <c r="F955" s="21" t="s">
        <v>58</v>
      </c>
      <c r="G955" s="51" t="s">
        <v>2025</v>
      </c>
      <c r="H955" s="56">
        <v>520120.66</v>
      </c>
      <c r="I955" s="16">
        <v>45891</v>
      </c>
      <c r="J955" s="36">
        <v>45894</v>
      </c>
      <c r="K955" s="17">
        <v>47</v>
      </c>
      <c r="L955" s="34">
        <v>1128</v>
      </c>
      <c r="M955" s="34">
        <v>47</v>
      </c>
      <c r="N955" s="41">
        <v>45891</v>
      </c>
      <c r="O955" s="18" t="s">
        <v>21</v>
      </c>
      <c r="P955" s="18" t="s">
        <v>1456</v>
      </c>
      <c r="Q955" s="17" t="s">
        <v>2010</v>
      </c>
      <c r="R955" s="17" t="s">
        <v>102</v>
      </c>
      <c r="S955" s="17">
        <v>10234471</v>
      </c>
      <c r="T955" s="17" t="s">
        <v>804</v>
      </c>
      <c r="U955" s="17"/>
      <c r="V955" s="17"/>
    </row>
    <row r="956" spans="1:22" x14ac:dyDescent="0.3">
      <c r="A956" s="18" t="e">
        <f t="shared" si="16"/>
        <v>#REF!</v>
      </c>
      <c r="B956" s="17">
        <v>134</v>
      </c>
      <c r="C956" s="17" t="s">
        <v>23</v>
      </c>
      <c r="D956" s="17" t="s">
        <v>72</v>
      </c>
      <c r="E956" s="16">
        <v>45891</v>
      </c>
      <c r="F956" s="23" t="s">
        <v>68</v>
      </c>
      <c r="G956" s="51" t="s">
        <v>2026</v>
      </c>
      <c r="H956" s="56">
        <v>76836.87</v>
      </c>
      <c r="I956" s="16">
        <v>45891</v>
      </c>
      <c r="J956" s="36">
        <v>45894</v>
      </c>
      <c r="K956" s="17">
        <v>8</v>
      </c>
      <c r="L956" s="34">
        <v>192</v>
      </c>
      <c r="M956" s="34">
        <v>8</v>
      </c>
      <c r="N956" s="41">
        <v>45891</v>
      </c>
      <c r="O956" s="18" t="s">
        <v>21</v>
      </c>
      <c r="P956" s="18" t="s">
        <v>1456</v>
      </c>
      <c r="Q956" s="17" t="s">
        <v>2010</v>
      </c>
      <c r="R956" s="17" t="s">
        <v>102</v>
      </c>
      <c r="S956" s="17">
        <v>10234478</v>
      </c>
      <c r="T956" s="17" t="s">
        <v>804</v>
      </c>
      <c r="U956" s="17"/>
      <c r="V956" s="17"/>
    </row>
    <row r="957" spans="1:22" x14ac:dyDescent="0.3">
      <c r="A957" s="18" t="e">
        <f t="shared" si="16"/>
        <v>#REF!</v>
      </c>
      <c r="B957" s="17">
        <v>134</v>
      </c>
      <c r="C957" s="17" t="s">
        <v>23</v>
      </c>
      <c r="D957" s="17" t="s">
        <v>72</v>
      </c>
      <c r="E957" s="16">
        <v>45891</v>
      </c>
      <c r="F957" s="21" t="s">
        <v>929</v>
      </c>
      <c r="G957" s="51" t="s">
        <v>2027</v>
      </c>
      <c r="H957" s="56">
        <v>113728.56</v>
      </c>
      <c r="I957" s="16">
        <v>45891</v>
      </c>
      <c r="J957" s="36">
        <v>45894</v>
      </c>
      <c r="K957" s="17">
        <v>11</v>
      </c>
      <c r="L957" s="34">
        <v>264</v>
      </c>
      <c r="M957" s="34">
        <v>11</v>
      </c>
      <c r="N957" s="41">
        <v>45891</v>
      </c>
      <c r="O957" s="18" t="s">
        <v>21</v>
      </c>
      <c r="P957" s="18" t="s">
        <v>1456</v>
      </c>
      <c r="Q957" s="17" t="s">
        <v>2010</v>
      </c>
      <c r="R957" s="17" t="s">
        <v>102</v>
      </c>
      <c r="S957" s="17">
        <v>10234476</v>
      </c>
      <c r="T957" s="17" t="s">
        <v>804</v>
      </c>
      <c r="U957" s="17"/>
      <c r="V957" s="17"/>
    </row>
    <row r="958" spans="1:22" x14ac:dyDescent="0.3">
      <c r="A958" s="18" t="e">
        <f t="shared" si="16"/>
        <v>#REF!</v>
      </c>
      <c r="B958" s="17">
        <v>134</v>
      </c>
      <c r="C958" s="17" t="s">
        <v>23</v>
      </c>
      <c r="D958" s="17" t="s">
        <v>72</v>
      </c>
      <c r="E958" s="16">
        <v>45891</v>
      </c>
      <c r="F958" s="21" t="s">
        <v>41</v>
      </c>
      <c r="G958" s="51" t="s">
        <v>2028</v>
      </c>
      <c r="H958" s="56">
        <v>113125.92</v>
      </c>
      <c r="I958" s="16">
        <v>45891</v>
      </c>
      <c r="J958" s="36">
        <v>45894</v>
      </c>
      <c r="K958" s="17">
        <v>10</v>
      </c>
      <c r="L958" s="34">
        <v>240</v>
      </c>
      <c r="M958" s="34">
        <v>10</v>
      </c>
      <c r="N958" s="41">
        <v>45891</v>
      </c>
      <c r="O958" s="18" t="s">
        <v>21</v>
      </c>
      <c r="P958" s="18" t="s">
        <v>1456</v>
      </c>
      <c r="Q958" s="17" t="s">
        <v>2010</v>
      </c>
      <c r="R958" s="17" t="s">
        <v>102</v>
      </c>
      <c r="S958" s="17">
        <v>10234473</v>
      </c>
      <c r="T958" s="17" t="s">
        <v>804</v>
      </c>
      <c r="U958" s="17"/>
      <c r="V958" s="17"/>
    </row>
    <row r="959" spans="1:22" x14ac:dyDescent="0.3">
      <c r="A959" s="18" t="e">
        <f t="shared" si="16"/>
        <v>#REF!</v>
      </c>
      <c r="B959" s="17">
        <v>134</v>
      </c>
      <c r="C959" s="17" t="s">
        <v>23</v>
      </c>
      <c r="D959" s="17" t="s">
        <v>72</v>
      </c>
      <c r="E959" s="16">
        <v>45891</v>
      </c>
      <c r="F959" s="21" t="s">
        <v>58</v>
      </c>
      <c r="G959" s="51" t="s">
        <v>2029</v>
      </c>
      <c r="H959" s="56">
        <v>61486.8</v>
      </c>
      <c r="I959" s="16">
        <v>45891</v>
      </c>
      <c r="J959" s="36">
        <v>45894</v>
      </c>
      <c r="K959" s="17">
        <v>5</v>
      </c>
      <c r="L959" s="34">
        <v>120</v>
      </c>
      <c r="M959" s="34">
        <v>5</v>
      </c>
      <c r="N959" s="41">
        <v>45891</v>
      </c>
      <c r="O959" s="18" t="s">
        <v>21</v>
      </c>
      <c r="P959" s="18" t="s">
        <v>1456</v>
      </c>
      <c r="Q959" s="17" t="s">
        <v>2010</v>
      </c>
      <c r="R959" s="17" t="s">
        <v>102</v>
      </c>
      <c r="S959" s="17">
        <v>10234472</v>
      </c>
      <c r="T959" s="17" t="s">
        <v>804</v>
      </c>
      <c r="U959" s="17"/>
      <c r="V959" s="17"/>
    </row>
    <row r="960" spans="1:22" x14ac:dyDescent="0.3">
      <c r="A960" s="18" t="e">
        <f t="shared" si="16"/>
        <v>#REF!</v>
      </c>
      <c r="B960" s="18">
        <v>135</v>
      </c>
      <c r="C960" s="18" t="s">
        <v>20</v>
      </c>
      <c r="D960" s="18" t="s">
        <v>2030</v>
      </c>
      <c r="E960" s="20">
        <v>45900</v>
      </c>
      <c r="F960" s="44" t="s">
        <v>64</v>
      </c>
      <c r="G960" s="29" t="s">
        <v>2031</v>
      </c>
      <c r="H960" s="57">
        <v>1362069.5</v>
      </c>
      <c r="I960" s="20">
        <v>45900</v>
      </c>
      <c r="J960" s="36">
        <v>45894</v>
      </c>
      <c r="K960" s="18">
        <v>1140</v>
      </c>
      <c r="L960" s="61">
        <v>1140</v>
      </c>
      <c r="M960" s="61">
        <v>95</v>
      </c>
      <c r="N960" s="20">
        <v>45900</v>
      </c>
      <c r="O960" s="18" t="s">
        <v>21</v>
      </c>
      <c r="P960" s="18" t="s">
        <v>1456</v>
      </c>
      <c r="Q960" s="18" t="s">
        <v>2043</v>
      </c>
      <c r="R960" s="18" t="s">
        <v>102</v>
      </c>
      <c r="S960" s="18">
        <v>10234919</v>
      </c>
      <c r="T960" s="18" t="s">
        <v>804</v>
      </c>
      <c r="U960" s="18"/>
      <c r="V960" s="18"/>
    </row>
    <row r="961" spans="1:22" x14ac:dyDescent="0.3">
      <c r="A961" s="18" t="e">
        <f t="shared" si="16"/>
        <v>#REF!</v>
      </c>
      <c r="B961" s="18">
        <v>135</v>
      </c>
      <c r="C961" s="18" t="s">
        <v>20</v>
      </c>
      <c r="D961" s="18" t="s">
        <v>2032</v>
      </c>
      <c r="E961" s="20">
        <v>45900</v>
      </c>
      <c r="F961" s="44" t="s">
        <v>1207</v>
      </c>
      <c r="G961" s="29" t="s">
        <v>2033</v>
      </c>
      <c r="H961" s="57">
        <v>764330.2</v>
      </c>
      <c r="I961" s="20">
        <v>45900</v>
      </c>
      <c r="J961" s="36">
        <v>45894</v>
      </c>
      <c r="K961" s="18">
        <v>624</v>
      </c>
      <c r="L961" s="61">
        <v>624</v>
      </c>
      <c r="M961" s="61">
        <v>52</v>
      </c>
      <c r="N961" s="20">
        <v>45900</v>
      </c>
      <c r="O961" s="18" t="s">
        <v>21</v>
      </c>
      <c r="P961" s="18" t="s">
        <v>1456</v>
      </c>
      <c r="Q961" s="18" t="s">
        <v>2043</v>
      </c>
      <c r="R961" s="18" t="s">
        <v>102</v>
      </c>
      <c r="S961" s="18">
        <v>10234914</v>
      </c>
      <c r="T961" s="18" t="s">
        <v>804</v>
      </c>
      <c r="U961" s="18"/>
      <c r="V961" s="18"/>
    </row>
    <row r="962" spans="1:22" x14ac:dyDescent="0.3">
      <c r="A962" s="18" t="e">
        <f t="shared" si="16"/>
        <v>#REF!</v>
      </c>
      <c r="B962" s="18">
        <v>135</v>
      </c>
      <c r="C962" s="18" t="s">
        <v>20</v>
      </c>
      <c r="D962" s="18" t="s">
        <v>2044</v>
      </c>
      <c r="E962" s="20">
        <v>45900</v>
      </c>
      <c r="F962" s="44" t="s">
        <v>64</v>
      </c>
      <c r="G962" s="29" t="s">
        <v>2034</v>
      </c>
      <c r="H962" s="57">
        <v>151156</v>
      </c>
      <c r="I962" s="20">
        <v>45900</v>
      </c>
      <c r="J962" s="36">
        <v>45894</v>
      </c>
      <c r="K962" s="18">
        <v>120</v>
      </c>
      <c r="L962" s="61">
        <v>120</v>
      </c>
      <c r="M962" s="61">
        <v>10</v>
      </c>
      <c r="N962" s="20">
        <v>45900</v>
      </c>
      <c r="O962" s="18" t="s">
        <v>21</v>
      </c>
      <c r="P962" s="18" t="s">
        <v>1456</v>
      </c>
      <c r="Q962" s="18" t="s">
        <v>2043</v>
      </c>
      <c r="R962" s="18" t="s">
        <v>102</v>
      </c>
      <c r="S962" s="18">
        <v>10234920</v>
      </c>
      <c r="T962" s="18" t="s">
        <v>804</v>
      </c>
      <c r="U962" s="18"/>
      <c r="V962" s="18"/>
    </row>
    <row r="963" spans="1:22" x14ac:dyDescent="0.3">
      <c r="A963" s="18" t="e">
        <f t="shared" si="16"/>
        <v>#REF!</v>
      </c>
      <c r="B963" s="18">
        <v>135</v>
      </c>
      <c r="C963" s="18" t="s">
        <v>20</v>
      </c>
      <c r="D963" s="18" t="s">
        <v>2035</v>
      </c>
      <c r="E963" s="20">
        <v>45900</v>
      </c>
      <c r="F963" s="44" t="s">
        <v>131</v>
      </c>
      <c r="G963" s="29" t="s">
        <v>2036</v>
      </c>
      <c r="H963" s="57">
        <v>405497.8</v>
      </c>
      <c r="I963" s="20">
        <v>45900</v>
      </c>
      <c r="J963" s="36">
        <v>45894</v>
      </c>
      <c r="K963" s="18">
        <v>336</v>
      </c>
      <c r="L963" s="61">
        <v>336</v>
      </c>
      <c r="M963" s="61">
        <v>28</v>
      </c>
      <c r="N963" s="20">
        <v>45900</v>
      </c>
      <c r="O963" s="18" t="s">
        <v>21</v>
      </c>
      <c r="P963" s="18" t="s">
        <v>1456</v>
      </c>
      <c r="Q963" s="18" t="s">
        <v>2043</v>
      </c>
      <c r="R963" s="18" t="s">
        <v>102</v>
      </c>
      <c r="S963" s="18">
        <v>10234918</v>
      </c>
      <c r="T963" s="18" t="s">
        <v>804</v>
      </c>
      <c r="U963" s="18"/>
      <c r="V963" s="18"/>
    </row>
    <row r="964" spans="1:22" x14ac:dyDescent="0.3">
      <c r="A964" s="18" t="e">
        <f t="shared" si="16"/>
        <v>#REF!</v>
      </c>
      <c r="B964" s="18">
        <v>135</v>
      </c>
      <c r="C964" s="18" t="s">
        <v>20</v>
      </c>
      <c r="D964" s="18" t="s">
        <v>2037</v>
      </c>
      <c r="E964" s="20">
        <v>45900</v>
      </c>
      <c r="F964" s="44" t="s">
        <v>35</v>
      </c>
      <c r="G964" s="29" t="s">
        <v>2038</v>
      </c>
      <c r="H964" s="57">
        <v>286544</v>
      </c>
      <c r="I964" s="20">
        <v>45900</v>
      </c>
      <c r="J964" s="36">
        <v>45894</v>
      </c>
      <c r="K964" s="18">
        <v>240</v>
      </c>
      <c r="L964" s="61">
        <v>240</v>
      </c>
      <c r="M964" s="61">
        <v>20</v>
      </c>
      <c r="N964" s="20">
        <v>45900</v>
      </c>
      <c r="O964" s="18" t="s">
        <v>21</v>
      </c>
      <c r="P964" s="18" t="s">
        <v>1456</v>
      </c>
      <c r="Q964" s="18" t="s">
        <v>2043</v>
      </c>
      <c r="R964" s="18" t="s">
        <v>102</v>
      </c>
      <c r="S964" s="18">
        <v>10234915</v>
      </c>
      <c r="T964" s="18" t="s">
        <v>804</v>
      </c>
      <c r="U964" s="18"/>
      <c r="V964" s="18"/>
    </row>
    <row r="965" spans="1:22" x14ac:dyDescent="0.3">
      <c r="A965" s="18" t="e">
        <f t="shared" si="16"/>
        <v>#REF!</v>
      </c>
      <c r="B965" s="18">
        <v>135</v>
      </c>
      <c r="C965" s="18" t="s">
        <v>20</v>
      </c>
      <c r="D965" s="18" t="s">
        <v>2039</v>
      </c>
      <c r="E965" s="20">
        <v>45900</v>
      </c>
      <c r="F965" s="44" t="s">
        <v>133</v>
      </c>
      <c r="G965" s="29" t="s">
        <v>2040</v>
      </c>
      <c r="H965" s="57">
        <v>127170.9</v>
      </c>
      <c r="I965" s="20">
        <v>45900</v>
      </c>
      <c r="J965" s="36">
        <v>45894</v>
      </c>
      <c r="K965" s="18">
        <v>108</v>
      </c>
      <c r="L965" s="61">
        <v>108</v>
      </c>
      <c r="M965" s="61">
        <v>9</v>
      </c>
      <c r="N965" s="20">
        <v>45900</v>
      </c>
      <c r="O965" s="18" t="s">
        <v>21</v>
      </c>
      <c r="P965" s="18" t="s">
        <v>1456</v>
      </c>
      <c r="Q965" s="18" t="s">
        <v>2043</v>
      </c>
      <c r="R965" s="18" t="s">
        <v>102</v>
      </c>
      <c r="S965" s="18">
        <v>10234917</v>
      </c>
      <c r="T965" s="18" t="s">
        <v>804</v>
      </c>
      <c r="U965" s="18"/>
      <c r="V965" s="18"/>
    </row>
    <row r="966" spans="1:22" x14ac:dyDescent="0.3">
      <c r="A966" s="18" t="e">
        <f t="shared" si="16"/>
        <v>#REF!</v>
      </c>
      <c r="B966" s="18">
        <v>135</v>
      </c>
      <c r="C966" s="18" t="s">
        <v>20</v>
      </c>
      <c r="D966" s="18" t="s">
        <v>2041</v>
      </c>
      <c r="E966" s="20">
        <v>45900</v>
      </c>
      <c r="F966" s="21" t="s">
        <v>53</v>
      </c>
      <c r="G966" s="29" t="s">
        <v>2042</v>
      </c>
      <c r="H966" s="57">
        <v>1362069.5</v>
      </c>
      <c r="I966" s="20">
        <v>45900</v>
      </c>
      <c r="J966" s="36">
        <v>45894</v>
      </c>
      <c r="K966" s="18">
        <v>1140</v>
      </c>
      <c r="L966" s="61">
        <v>1140</v>
      </c>
      <c r="M966" s="61">
        <v>95</v>
      </c>
      <c r="N966" s="20">
        <v>45900</v>
      </c>
      <c r="O966" s="18" t="s">
        <v>21</v>
      </c>
      <c r="P966" s="18" t="s">
        <v>1456</v>
      </c>
      <c r="Q966" s="18" t="s">
        <v>2043</v>
      </c>
      <c r="R966" s="18" t="s">
        <v>102</v>
      </c>
      <c r="S966" s="18">
        <v>10234916</v>
      </c>
      <c r="T966" s="18" t="s">
        <v>804</v>
      </c>
      <c r="U966" s="18"/>
      <c r="V966" s="18"/>
    </row>
    <row r="967" spans="1:22" x14ac:dyDescent="0.3">
      <c r="A967" s="18" t="e">
        <f t="shared" si="16"/>
        <v>#REF!</v>
      </c>
      <c r="B967" s="18">
        <v>136</v>
      </c>
      <c r="C967" s="18" t="s">
        <v>23</v>
      </c>
      <c r="D967" s="18" t="s">
        <v>2047</v>
      </c>
      <c r="E967" s="20">
        <v>45899</v>
      </c>
      <c r="F967" s="21" t="s">
        <v>1204</v>
      </c>
      <c r="G967" s="29" t="s">
        <v>2051</v>
      </c>
      <c r="H967" s="57">
        <v>357618</v>
      </c>
      <c r="I967" s="20">
        <v>45899</v>
      </c>
      <c r="J967" s="36">
        <v>45894</v>
      </c>
      <c r="K967" s="18">
        <v>1392</v>
      </c>
      <c r="L967" s="61">
        <v>1392</v>
      </c>
      <c r="M967" s="61">
        <v>58</v>
      </c>
      <c r="N967" s="20">
        <v>45902</v>
      </c>
      <c r="O967" s="18" t="s">
        <v>21</v>
      </c>
      <c r="P967" s="18" t="s">
        <v>1456</v>
      </c>
      <c r="Q967" s="18" t="s">
        <v>140</v>
      </c>
      <c r="R967" s="18" t="s">
        <v>136</v>
      </c>
      <c r="S967" s="18" t="s">
        <v>1623</v>
      </c>
      <c r="T967" s="18" t="s">
        <v>804</v>
      </c>
      <c r="U967" s="18"/>
      <c r="V967" s="18"/>
    </row>
    <row r="968" spans="1:22" x14ac:dyDescent="0.3">
      <c r="A968" s="18" t="e">
        <f t="shared" si="16"/>
        <v>#REF!</v>
      </c>
      <c r="B968" s="18">
        <v>136</v>
      </c>
      <c r="C968" s="18" t="s">
        <v>23</v>
      </c>
      <c r="D968" s="18" t="s">
        <v>2048</v>
      </c>
      <c r="E968" s="20">
        <v>45899</v>
      </c>
      <c r="F968" s="44" t="s">
        <v>41</v>
      </c>
      <c r="G968" s="29" t="s">
        <v>2054</v>
      </c>
      <c r="H968" s="57">
        <v>792039.84</v>
      </c>
      <c r="I968" s="20">
        <v>45901</v>
      </c>
      <c r="J968" s="36">
        <v>45925</v>
      </c>
      <c r="K968" s="18">
        <v>1848</v>
      </c>
      <c r="L968" s="61">
        <v>1848</v>
      </c>
      <c r="M968" s="61">
        <v>77</v>
      </c>
      <c r="N968" s="20">
        <v>45902</v>
      </c>
      <c r="O968" s="18" t="s">
        <v>21</v>
      </c>
      <c r="P968" s="18" t="s">
        <v>1456</v>
      </c>
      <c r="Q968" s="18" t="s">
        <v>140</v>
      </c>
      <c r="R968" s="18" t="s">
        <v>136</v>
      </c>
      <c r="S968" s="18" t="s">
        <v>1623</v>
      </c>
      <c r="T968" s="18" t="s">
        <v>804</v>
      </c>
      <c r="U968" s="18"/>
      <c r="V968" s="18"/>
    </row>
    <row r="969" spans="1:22" x14ac:dyDescent="0.3">
      <c r="A969" s="18" t="e">
        <f t="shared" si="16"/>
        <v>#REF!</v>
      </c>
      <c r="B969" s="18">
        <v>136</v>
      </c>
      <c r="C969" s="18" t="s">
        <v>23</v>
      </c>
      <c r="D969" s="18" t="s">
        <v>2048</v>
      </c>
      <c r="E969" s="20">
        <v>45899</v>
      </c>
      <c r="F969" s="44" t="s">
        <v>41</v>
      </c>
      <c r="G969" s="29" t="s">
        <v>2054</v>
      </c>
      <c r="H969" s="57">
        <v>792039.84</v>
      </c>
      <c r="I969" s="20">
        <v>45901</v>
      </c>
      <c r="J969" s="36">
        <v>45925</v>
      </c>
      <c r="K969" s="18">
        <v>1848</v>
      </c>
      <c r="L969" s="61">
        <v>1848</v>
      </c>
      <c r="M969" s="61">
        <v>77</v>
      </c>
      <c r="N969" s="20">
        <v>45902</v>
      </c>
      <c r="O969" s="18" t="s">
        <v>21</v>
      </c>
      <c r="P969" s="18" t="s">
        <v>1456</v>
      </c>
      <c r="Q969" s="18" t="s">
        <v>140</v>
      </c>
      <c r="R969" s="18" t="s">
        <v>136</v>
      </c>
      <c r="S969" s="18" t="s">
        <v>1623</v>
      </c>
      <c r="T969" s="18" t="s">
        <v>804</v>
      </c>
      <c r="U969" s="18"/>
      <c r="V969" s="18"/>
    </row>
    <row r="970" spans="1:22" x14ac:dyDescent="0.3">
      <c r="A970" s="18" t="e">
        <f t="shared" si="16"/>
        <v>#REF!</v>
      </c>
      <c r="B970" s="18">
        <v>136</v>
      </c>
      <c r="C970" s="18" t="s">
        <v>20</v>
      </c>
      <c r="D970" s="18" t="s">
        <v>2046</v>
      </c>
      <c r="E970" s="20">
        <v>45900</v>
      </c>
      <c r="F970" s="44" t="s">
        <v>28</v>
      </c>
      <c r="G970" s="29" t="s">
        <v>2045</v>
      </c>
      <c r="H970" s="57">
        <v>1381127.1</v>
      </c>
      <c r="I970" s="20">
        <v>45900</v>
      </c>
      <c r="J970" s="36">
        <v>45894</v>
      </c>
      <c r="K970" s="18">
        <v>1152</v>
      </c>
      <c r="L970" s="61">
        <v>1152</v>
      </c>
      <c r="M970" s="61">
        <v>96</v>
      </c>
      <c r="N970" s="20">
        <v>45902</v>
      </c>
      <c r="O970" s="18" t="s">
        <v>21</v>
      </c>
      <c r="P970" s="18" t="s">
        <v>1456</v>
      </c>
      <c r="Q970" s="18" t="s">
        <v>2043</v>
      </c>
      <c r="R970" s="18" t="s">
        <v>102</v>
      </c>
      <c r="S970" s="18" t="s">
        <v>1623</v>
      </c>
      <c r="T970" s="18" t="s">
        <v>804</v>
      </c>
      <c r="U970" s="18"/>
      <c r="V970" s="18"/>
    </row>
    <row r="971" spans="1:22" x14ac:dyDescent="0.3">
      <c r="A971" s="18" t="e">
        <f t="shared" si="16"/>
        <v>#REF!</v>
      </c>
      <c r="B971" s="18">
        <v>136</v>
      </c>
      <c r="C971" s="18" t="s">
        <v>23</v>
      </c>
      <c r="D971" s="18" t="s">
        <v>2049</v>
      </c>
      <c r="E971" s="20">
        <v>45900</v>
      </c>
      <c r="F971" s="44" t="s">
        <v>123</v>
      </c>
      <c r="G971" s="29" t="s">
        <v>2052</v>
      </c>
      <c r="H971" s="57">
        <v>63303.35</v>
      </c>
      <c r="I971" s="20">
        <v>45900</v>
      </c>
      <c r="J971" s="36">
        <v>45894</v>
      </c>
      <c r="K971" s="18">
        <v>168</v>
      </c>
      <c r="L971" s="61">
        <v>168</v>
      </c>
      <c r="M971" s="61">
        <v>7</v>
      </c>
      <c r="N971" s="20">
        <v>45902</v>
      </c>
      <c r="O971" s="18" t="s">
        <v>21</v>
      </c>
      <c r="P971" s="18" t="s">
        <v>1456</v>
      </c>
      <c r="Q971" s="18" t="s">
        <v>140</v>
      </c>
      <c r="R971" s="18" t="s">
        <v>136</v>
      </c>
      <c r="S971" s="18" t="s">
        <v>1623</v>
      </c>
      <c r="T971" s="18" t="s">
        <v>804</v>
      </c>
      <c r="U971" s="18"/>
      <c r="V971" s="18"/>
    </row>
    <row r="972" spans="1:22" x14ac:dyDescent="0.3">
      <c r="A972" s="18" t="e">
        <f t="shared" si="16"/>
        <v>#REF!</v>
      </c>
      <c r="B972" s="18">
        <v>136</v>
      </c>
      <c r="C972" s="18" t="s">
        <v>23</v>
      </c>
      <c r="D972" s="18" t="s">
        <v>2050</v>
      </c>
      <c r="E972" s="20">
        <v>45900</v>
      </c>
      <c r="F972" s="21" t="s">
        <v>53</v>
      </c>
      <c r="G972" s="29" t="s">
        <v>2053</v>
      </c>
      <c r="H972" s="57">
        <v>94655.9</v>
      </c>
      <c r="I972" s="20">
        <v>45900</v>
      </c>
      <c r="J972" s="36">
        <v>45894</v>
      </c>
      <c r="K972" s="18">
        <v>240</v>
      </c>
      <c r="L972" s="61">
        <v>240</v>
      </c>
      <c r="M972" s="61">
        <v>10</v>
      </c>
      <c r="N972" s="20">
        <v>45902</v>
      </c>
      <c r="O972" s="18" t="s">
        <v>21</v>
      </c>
      <c r="P972" s="18" t="s">
        <v>1456</v>
      </c>
      <c r="Q972" s="18" t="s">
        <v>140</v>
      </c>
      <c r="R972" s="18" t="s">
        <v>136</v>
      </c>
      <c r="S972" s="18" t="s">
        <v>1623</v>
      </c>
      <c r="T972" s="18" t="s">
        <v>804</v>
      </c>
      <c r="U972" s="18"/>
      <c r="V972" s="18"/>
    </row>
    <row r="973" spans="1:22" x14ac:dyDescent="0.3">
      <c r="A973" s="18" t="e">
        <f t="shared" si="16"/>
        <v>#REF!</v>
      </c>
      <c r="B973" s="18">
        <v>137</v>
      </c>
      <c r="C973" s="18" t="s">
        <v>20</v>
      </c>
      <c r="D973" s="18" t="s">
        <v>2072</v>
      </c>
      <c r="E973" s="20">
        <v>45900</v>
      </c>
      <c r="F973" s="21" t="s">
        <v>47</v>
      </c>
      <c r="G973" s="29" t="s">
        <v>2064</v>
      </c>
      <c r="H973" s="57">
        <v>443946.1</v>
      </c>
      <c r="I973" s="20">
        <v>45900</v>
      </c>
      <c r="J973" s="36">
        <v>45894</v>
      </c>
      <c r="K973" s="18">
        <v>372</v>
      </c>
      <c r="L973" s="61">
        <v>372</v>
      </c>
      <c r="M973" s="61">
        <v>31</v>
      </c>
      <c r="N973" s="20">
        <v>45903</v>
      </c>
      <c r="O973" s="18" t="s">
        <v>21</v>
      </c>
      <c r="P973" s="18" t="s">
        <v>1456</v>
      </c>
      <c r="Q973" s="18" t="s">
        <v>2057</v>
      </c>
      <c r="R973" s="18" t="s">
        <v>136</v>
      </c>
      <c r="S973" s="18" t="s">
        <v>1623</v>
      </c>
      <c r="T973" s="18" t="s">
        <v>804</v>
      </c>
      <c r="U973" s="18"/>
      <c r="V973" s="18"/>
    </row>
    <row r="974" spans="1:22" x14ac:dyDescent="0.3">
      <c r="A974" s="18" t="e">
        <f t="shared" si="16"/>
        <v>#REF!</v>
      </c>
      <c r="B974" s="18">
        <v>137</v>
      </c>
      <c r="C974" s="18" t="s">
        <v>23</v>
      </c>
      <c r="D974" s="18" t="s">
        <v>2062</v>
      </c>
      <c r="E974" s="20">
        <v>45900</v>
      </c>
      <c r="F974" s="25" t="s">
        <v>122</v>
      </c>
      <c r="G974" s="29" t="s">
        <v>2063</v>
      </c>
      <c r="H974" s="57">
        <v>14456.31</v>
      </c>
      <c r="I974" s="20">
        <v>45900</v>
      </c>
      <c r="J974" s="36">
        <v>45894</v>
      </c>
      <c r="K974" s="18">
        <v>312</v>
      </c>
      <c r="L974" s="61">
        <v>312</v>
      </c>
      <c r="M974" s="61">
        <v>13</v>
      </c>
      <c r="N974" s="20">
        <v>45903</v>
      </c>
      <c r="O974" s="18" t="s">
        <v>21</v>
      </c>
      <c r="P974" s="18" t="s">
        <v>1456</v>
      </c>
      <c r="Q974" s="18" t="s">
        <v>2057</v>
      </c>
      <c r="R974" s="18" t="s">
        <v>136</v>
      </c>
      <c r="S974" s="18" t="s">
        <v>1623</v>
      </c>
      <c r="T974" s="18" t="s">
        <v>804</v>
      </c>
      <c r="U974" s="18"/>
      <c r="V974" s="18"/>
    </row>
    <row r="975" spans="1:22" x14ac:dyDescent="0.3">
      <c r="A975" s="18" t="e">
        <f t="shared" si="16"/>
        <v>#REF!</v>
      </c>
      <c r="B975" s="18">
        <v>137</v>
      </c>
      <c r="C975" s="18" t="s">
        <v>23</v>
      </c>
      <c r="D975" s="18" t="s">
        <v>2055</v>
      </c>
      <c r="E975" s="20">
        <v>45900</v>
      </c>
      <c r="F975" s="44" t="s">
        <v>119</v>
      </c>
      <c r="G975" s="29" t="s">
        <v>2056</v>
      </c>
      <c r="H975" s="57">
        <v>117419.23</v>
      </c>
      <c r="I975" s="20">
        <v>45900</v>
      </c>
      <c r="J975" s="36">
        <v>45894</v>
      </c>
      <c r="K975" s="18">
        <v>264</v>
      </c>
      <c r="L975" s="61">
        <v>264</v>
      </c>
      <c r="M975" s="61">
        <v>11</v>
      </c>
      <c r="N975" s="20">
        <v>45903</v>
      </c>
      <c r="O975" s="18" t="s">
        <v>21</v>
      </c>
      <c r="P975" s="18" t="s">
        <v>1456</v>
      </c>
      <c r="Q975" s="18" t="s">
        <v>2057</v>
      </c>
      <c r="R975" s="18" t="s">
        <v>136</v>
      </c>
      <c r="S975" s="18" t="s">
        <v>1623</v>
      </c>
      <c r="T975" s="18" t="s">
        <v>804</v>
      </c>
      <c r="U975" s="18"/>
      <c r="V975" s="18"/>
    </row>
    <row r="976" spans="1:22" x14ac:dyDescent="0.3">
      <c r="A976" s="18" t="e">
        <f t="shared" si="16"/>
        <v>#REF!</v>
      </c>
      <c r="B976" s="18">
        <v>137</v>
      </c>
      <c r="C976" s="18" t="s">
        <v>23</v>
      </c>
      <c r="D976" s="18" t="s">
        <v>2058</v>
      </c>
      <c r="E976" s="20">
        <v>45900</v>
      </c>
      <c r="F976" s="44" t="s">
        <v>118</v>
      </c>
      <c r="G976" s="29" t="s">
        <v>2059</v>
      </c>
      <c r="H976" s="57">
        <v>47327.95</v>
      </c>
      <c r="I976" s="20">
        <v>45901</v>
      </c>
      <c r="J976" s="36">
        <v>45925</v>
      </c>
      <c r="K976" s="18">
        <v>120</v>
      </c>
      <c r="L976" s="61">
        <v>120</v>
      </c>
      <c r="M976" s="61">
        <v>5</v>
      </c>
      <c r="N976" s="20">
        <v>45903</v>
      </c>
      <c r="O976" s="18" t="s">
        <v>21</v>
      </c>
      <c r="P976" s="18" t="s">
        <v>1456</v>
      </c>
      <c r="Q976" s="18" t="s">
        <v>2057</v>
      </c>
      <c r="R976" s="18" t="s">
        <v>136</v>
      </c>
      <c r="S976" s="18" t="s">
        <v>1623</v>
      </c>
      <c r="T976" s="18" t="s">
        <v>804</v>
      </c>
      <c r="U976" s="18"/>
      <c r="V976" s="18"/>
    </row>
    <row r="977" spans="1:22" x14ac:dyDescent="0.3">
      <c r="A977" s="18" t="e">
        <f t="shared" si="16"/>
        <v>#REF!</v>
      </c>
      <c r="B977" s="18">
        <v>137</v>
      </c>
      <c r="C977" s="18" t="s">
        <v>23</v>
      </c>
      <c r="D977" s="18" t="s">
        <v>2060</v>
      </c>
      <c r="E977" s="20">
        <v>45900</v>
      </c>
      <c r="F977" s="44" t="s">
        <v>117</v>
      </c>
      <c r="G977" s="29" t="s">
        <v>2061</v>
      </c>
      <c r="H977" s="57">
        <v>94655.9</v>
      </c>
      <c r="I977" s="20">
        <v>45901</v>
      </c>
      <c r="J977" s="36">
        <v>45925</v>
      </c>
      <c r="K977" s="18">
        <v>240</v>
      </c>
      <c r="L977" s="61">
        <v>240</v>
      </c>
      <c r="M977" s="61">
        <v>10</v>
      </c>
      <c r="N977" s="20">
        <v>45903</v>
      </c>
      <c r="O977" s="18" t="s">
        <v>21</v>
      </c>
      <c r="P977" s="18" t="s">
        <v>1456</v>
      </c>
      <c r="Q977" s="18" t="s">
        <v>2057</v>
      </c>
      <c r="R977" s="18" t="s">
        <v>136</v>
      </c>
      <c r="S977" s="18" t="s">
        <v>1623</v>
      </c>
      <c r="T977" s="18" t="s">
        <v>804</v>
      </c>
      <c r="U977" s="18"/>
      <c r="V977" s="18"/>
    </row>
    <row r="978" spans="1:22" x14ac:dyDescent="0.3">
      <c r="A978" s="18" t="e">
        <f t="shared" si="16"/>
        <v>#REF!</v>
      </c>
      <c r="B978" s="18">
        <v>137</v>
      </c>
      <c r="C978" s="18" t="s">
        <v>23</v>
      </c>
      <c r="D978" s="18" t="s">
        <v>2067</v>
      </c>
      <c r="E978" s="20">
        <v>45902</v>
      </c>
      <c r="F978" s="21" t="s">
        <v>58</v>
      </c>
      <c r="G978" s="29" t="s">
        <v>2068</v>
      </c>
      <c r="H978" s="57">
        <v>383618.88</v>
      </c>
      <c r="I978" s="20">
        <v>45903</v>
      </c>
      <c r="J978" s="36">
        <v>45925</v>
      </c>
      <c r="K978" s="18">
        <v>864</v>
      </c>
      <c r="L978" s="61">
        <v>864</v>
      </c>
      <c r="M978" s="61">
        <v>36</v>
      </c>
      <c r="N978" s="20">
        <v>45903</v>
      </c>
      <c r="O978" s="18" t="s">
        <v>21</v>
      </c>
      <c r="P978" s="18" t="s">
        <v>1456</v>
      </c>
      <c r="Q978" s="18" t="s">
        <v>2057</v>
      </c>
      <c r="R978" s="18" t="s">
        <v>136</v>
      </c>
      <c r="S978" s="18" t="s">
        <v>1623</v>
      </c>
      <c r="T978" s="18" t="s">
        <v>804</v>
      </c>
      <c r="U978" s="18"/>
      <c r="V978" s="18"/>
    </row>
    <row r="979" spans="1:22" x14ac:dyDescent="0.3">
      <c r="A979" s="18" t="e">
        <f t="shared" si="16"/>
        <v>#REF!</v>
      </c>
      <c r="B979" s="18">
        <v>137</v>
      </c>
      <c r="C979" s="18" t="s">
        <v>23</v>
      </c>
      <c r="D979" s="18" t="s">
        <v>2069</v>
      </c>
      <c r="E979" s="20">
        <v>45902</v>
      </c>
      <c r="F979" s="44" t="s">
        <v>2070</v>
      </c>
      <c r="G979" s="29" t="s">
        <v>2071</v>
      </c>
      <c r="H979" s="57">
        <v>237009</v>
      </c>
      <c r="I979" s="20">
        <v>45903</v>
      </c>
      <c r="J979" s="36">
        <v>45925</v>
      </c>
      <c r="K979" s="18">
        <v>576</v>
      </c>
      <c r="L979" s="61">
        <v>576</v>
      </c>
      <c r="M979" s="61">
        <v>24</v>
      </c>
      <c r="N979" s="20">
        <v>45903</v>
      </c>
      <c r="O979" s="18" t="s">
        <v>21</v>
      </c>
      <c r="P979" s="18" t="s">
        <v>1456</v>
      </c>
      <c r="Q979" s="18" t="s">
        <v>2057</v>
      </c>
      <c r="R979" s="18" t="s">
        <v>136</v>
      </c>
      <c r="S979" s="18" t="s">
        <v>1623</v>
      </c>
      <c r="T979" s="18" t="s">
        <v>804</v>
      </c>
      <c r="U979" s="18"/>
      <c r="V979" s="18"/>
    </row>
    <row r="980" spans="1:22" x14ac:dyDescent="0.3">
      <c r="A980" s="18" t="e">
        <f t="shared" si="16"/>
        <v>#REF!</v>
      </c>
      <c r="B980" s="18">
        <v>137</v>
      </c>
      <c r="C980" s="18" t="s">
        <v>20</v>
      </c>
      <c r="D980" s="18" t="s">
        <v>2065</v>
      </c>
      <c r="E980" s="20">
        <v>45902</v>
      </c>
      <c r="F980" s="21" t="s">
        <v>53</v>
      </c>
      <c r="G980" s="29" t="s">
        <v>2066</v>
      </c>
      <c r="H980" s="57">
        <v>40194.5</v>
      </c>
      <c r="I980" s="20">
        <v>45903</v>
      </c>
      <c r="J980" s="36">
        <v>45925</v>
      </c>
      <c r="K980" s="18">
        <v>852</v>
      </c>
      <c r="L980" s="61">
        <v>852</v>
      </c>
      <c r="M980" s="61">
        <v>71</v>
      </c>
      <c r="N980" s="20">
        <v>45903</v>
      </c>
      <c r="O980" s="18" t="s">
        <v>21</v>
      </c>
      <c r="P980" s="18" t="s">
        <v>1456</v>
      </c>
      <c r="Q980" s="18" t="s">
        <v>2057</v>
      </c>
      <c r="R980" s="18" t="s">
        <v>136</v>
      </c>
      <c r="S980" s="18" t="s">
        <v>1623</v>
      </c>
      <c r="T980" s="18" t="s">
        <v>804</v>
      </c>
      <c r="U980" s="18"/>
      <c r="V980" s="18"/>
    </row>
    <row r="981" spans="1:22" x14ac:dyDescent="0.3">
      <c r="A981" s="18" t="e">
        <f t="shared" si="16"/>
        <v>#REF!</v>
      </c>
      <c r="B981" s="18">
        <v>138</v>
      </c>
      <c r="C981" s="18" t="s">
        <v>20</v>
      </c>
      <c r="D981" s="18" t="s">
        <v>2073</v>
      </c>
      <c r="E981" s="20">
        <v>45902</v>
      </c>
      <c r="F981" s="44" t="s">
        <v>64</v>
      </c>
      <c r="G981" s="29" t="s">
        <v>2075</v>
      </c>
      <c r="H981" s="57">
        <v>136195.5</v>
      </c>
      <c r="I981" s="20">
        <v>45903</v>
      </c>
      <c r="J981" s="36">
        <v>45925</v>
      </c>
      <c r="K981" s="18">
        <v>1440</v>
      </c>
      <c r="L981" s="61">
        <v>1440</v>
      </c>
      <c r="M981" s="61">
        <v>120</v>
      </c>
      <c r="N981" s="20">
        <v>45904</v>
      </c>
      <c r="O981" s="18" t="s">
        <v>21</v>
      </c>
      <c r="P981" s="18" t="s">
        <v>1456</v>
      </c>
      <c r="Q981" s="18" t="s">
        <v>141</v>
      </c>
      <c r="R981" s="18" t="s">
        <v>136</v>
      </c>
      <c r="S981" s="18" t="s">
        <v>1623</v>
      </c>
      <c r="T981" s="18" t="s">
        <v>804</v>
      </c>
      <c r="U981" s="18"/>
      <c r="V981" s="18"/>
    </row>
    <row r="982" spans="1:22" x14ac:dyDescent="0.3">
      <c r="A982" s="18" t="e">
        <f t="shared" si="16"/>
        <v>#REF!</v>
      </c>
      <c r="B982" s="18">
        <v>138</v>
      </c>
      <c r="C982" s="18" t="s">
        <v>20</v>
      </c>
      <c r="D982" s="18" t="s">
        <v>2074</v>
      </c>
      <c r="E982" s="20">
        <v>45902</v>
      </c>
      <c r="F982" s="44" t="s">
        <v>28</v>
      </c>
      <c r="G982" s="29" t="s">
        <v>2076</v>
      </c>
      <c r="H982" s="57">
        <v>99905.2</v>
      </c>
      <c r="I982" s="20">
        <v>45903</v>
      </c>
      <c r="J982" s="36">
        <v>45925</v>
      </c>
      <c r="K982" s="18">
        <v>1524</v>
      </c>
      <c r="L982" s="61">
        <v>1524</v>
      </c>
      <c r="M982" s="61">
        <v>127</v>
      </c>
      <c r="N982" s="20">
        <v>45904</v>
      </c>
      <c r="O982" s="18" t="s">
        <v>21</v>
      </c>
      <c r="P982" s="18" t="s">
        <v>1456</v>
      </c>
      <c r="Q982" s="18" t="s">
        <v>141</v>
      </c>
      <c r="R982" s="18" t="s">
        <v>136</v>
      </c>
      <c r="S982" s="18" t="s">
        <v>1623</v>
      </c>
      <c r="T982" s="18" t="s">
        <v>804</v>
      </c>
      <c r="U982" s="18"/>
      <c r="V982" s="18"/>
    </row>
    <row r="983" spans="1:22" x14ac:dyDescent="0.3">
      <c r="A983" s="18" t="e">
        <f t="shared" si="16"/>
        <v>#REF!</v>
      </c>
      <c r="B983" s="18">
        <v>139</v>
      </c>
      <c r="C983" s="18" t="s">
        <v>20</v>
      </c>
      <c r="D983" s="18" t="s">
        <v>2077</v>
      </c>
      <c r="E983" s="20">
        <v>45902</v>
      </c>
      <c r="F983" s="21" t="s">
        <v>58</v>
      </c>
      <c r="G983" s="29" t="s">
        <v>2080</v>
      </c>
      <c r="H983" s="57">
        <v>47649.5</v>
      </c>
      <c r="I983" s="20">
        <v>45903</v>
      </c>
      <c r="J983" s="36">
        <v>45925</v>
      </c>
      <c r="K983" s="18">
        <v>972</v>
      </c>
      <c r="L983" s="61">
        <v>972</v>
      </c>
      <c r="M983" s="61">
        <v>81</v>
      </c>
      <c r="N983" s="20">
        <v>45905</v>
      </c>
      <c r="O983" s="18" t="s">
        <v>21</v>
      </c>
      <c r="P983" s="18" t="s">
        <v>1456</v>
      </c>
      <c r="Q983" s="18" t="s">
        <v>2079</v>
      </c>
      <c r="R983" s="18" t="s">
        <v>136</v>
      </c>
      <c r="S983" s="18" t="s">
        <v>1623</v>
      </c>
      <c r="T983" s="18" t="s">
        <v>804</v>
      </c>
      <c r="U983" s="18"/>
      <c r="V983" s="18"/>
    </row>
    <row r="984" spans="1:22" x14ac:dyDescent="0.3">
      <c r="A984" s="18" t="e">
        <f t="shared" si="16"/>
        <v>#REF!</v>
      </c>
      <c r="B984" s="18">
        <v>139</v>
      </c>
      <c r="C984" s="18" t="s">
        <v>20</v>
      </c>
      <c r="D984" s="18" t="s">
        <v>2078</v>
      </c>
      <c r="E984" s="20">
        <v>45902</v>
      </c>
      <c r="F984" s="21" t="s">
        <v>47</v>
      </c>
      <c r="G984" s="29" t="s">
        <v>2081</v>
      </c>
      <c r="H984" s="57">
        <v>13109</v>
      </c>
      <c r="I984" s="20">
        <v>45903</v>
      </c>
      <c r="J984" s="36">
        <v>45925</v>
      </c>
      <c r="K984" s="18">
        <v>276</v>
      </c>
      <c r="L984" s="61">
        <v>276</v>
      </c>
      <c r="M984" s="61">
        <v>23</v>
      </c>
      <c r="N984" s="20">
        <v>45905</v>
      </c>
      <c r="O984" s="18" t="s">
        <v>21</v>
      </c>
      <c r="P984" s="18" t="s">
        <v>1456</v>
      </c>
      <c r="Q984" s="18" t="s">
        <v>2079</v>
      </c>
      <c r="R984" s="18" t="s">
        <v>136</v>
      </c>
      <c r="S984" s="18" t="s">
        <v>1623</v>
      </c>
      <c r="T984" s="18" t="s">
        <v>804</v>
      </c>
      <c r="U984" s="18"/>
      <c r="V984" s="18"/>
    </row>
    <row r="985" spans="1:22" x14ac:dyDescent="0.3">
      <c r="A985" s="18" t="e">
        <f t="shared" si="16"/>
        <v>#REF!</v>
      </c>
      <c r="B985" s="18">
        <v>139</v>
      </c>
      <c r="C985" s="18" t="s">
        <v>20</v>
      </c>
      <c r="D985" s="18" t="s">
        <v>112</v>
      </c>
      <c r="E985" s="20">
        <v>45902</v>
      </c>
      <c r="F985" s="44" t="s">
        <v>123</v>
      </c>
      <c r="G985" s="29" t="s">
        <v>2082</v>
      </c>
      <c r="H985" s="57">
        <v>207319.8</v>
      </c>
      <c r="I985" s="20">
        <v>45903</v>
      </c>
      <c r="J985" s="36">
        <v>45925</v>
      </c>
      <c r="K985" s="18">
        <v>648</v>
      </c>
      <c r="L985" s="61">
        <v>648</v>
      </c>
      <c r="M985" s="61">
        <v>54</v>
      </c>
      <c r="N985" s="20">
        <v>45905</v>
      </c>
      <c r="O985" s="18" t="s">
        <v>21</v>
      </c>
      <c r="P985" s="18" t="s">
        <v>1456</v>
      </c>
      <c r="Q985" s="18" t="s">
        <v>2079</v>
      </c>
      <c r="R985" s="18" t="s">
        <v>136</v>
      </c>
      <c r="S985" s="18" t="s">
        <v>1623</v>
      </c>
      <c r="T985" s="18" t="s">
        <v>804</v>
      </c>
      <c r="U985" s="18"/>
      <c r="V985" s="18"/>
    </row>
    <row r="986" spans="1:22" x14ac:dyDescent="0.3">
      <c r="A986" s="18" t="e">
        <f t="shared" si="16"/>
        <v>#REF!</v>
      </c>
      <c r="B986" s="18">
        <v>139</v>
      </c>
      <c r="C986" s="18" t="s">
        <v>20</v>
      </c>
      <c r="D986" s="18" t="s">
        <v>116</v>
      </c>
      <c r="E986" s="20">
        <v>45902</v>
      </c>
      <c r="F986" s="44" t="s">
        <v>133</v>
      </c>
      <c r="G986" s="29" t="s">
        <v>2083</v>
      </c>
      <c r="H986" s="57">
        <v>12499</v>
      </c>
      <c r="I986" s="20">
        <v>45903</v>
      </c>
      <c r="J986" s="36">
        <v>45925</v>
      </c>
      <c r="K986" s="18">
        <v>264</v>
      </c>
      <c r="L986" s="61">
        <v>264</v>
      </c>
      <c r="M986" s="61">
        <v>22</v>
      </c>
      <c r="N986" s="20">
        <v>45905</v>
      </c>
      <c r="O986" s="18" t="s">
        <v>21</v>
      </c>
      <c r="P986" s="18" t="s">
        <v>1456</v>
      </c>
      <c r="Q986" s="18" t="s">
        <v>2079</v>
      </c>
      <c r="R986" s="18" t="s">
        <v>136</v>
      </c>
      <c r="S986" s="18" t="s">
        <v>1623</v>
      </c>
      <c r="T986" s="18" t="s">
        <v>804</v>
      </c>
      <c r="U986" s="18"/>
      <c r="V986" s="18"/>
    </row>
    <row r="987" spans="1:22" x14ac:dyDescent="0.3">
      <c r="A987" s="18" t="e">
        <f t="shared" si="16"/>
        <v>#REF!</v>
      </c>
      <c r="B987" s="18">
        <v>139</v>
      </c>
      <c r="C987" s="18" t="s">
        <v>20</v>
      </c>
      <c r="D987" s="18" t="s">
        <v>107</v>
      </c>
      <c r="E987" s="20">
        <v>45903</v>
      </c>
      <c r="F987" s="44" t="s">
        <v>131</v>
      </c>
      <c r="G987" s="29" t="s">
        <v>2084</v>
      </c>
      <c r="H987" s="57">
        <v>14939</v>
      </c>
      <c r="I987" s="20">
        <v>45903</v>
      </c>
      <c r="J987" s="36">
        <v>45925</v>
      </c>
      <c r="K987" s="18">
        <v>312</v>
      </c>
      <c r="L987" s="61">
        <v>312</v>
      </c>
      <c r="M987" s="61">
        <v>26</v>
      </c>
      <c r="N987" s="20">
        <v>45905</v>
      </c>
      <c r="O987" s="18" t="s">
        <v>21</v>
      </c>
      <c r="P987" s="18" t="s">
        <v>1456</v>
      </c>
      <c r="Q987" s="18" t="s">
        <v>2079</v>
      </c>
      <c r="R987" s="18" t="s">
        <v>136</v>
      </c>
      <c r="S987" s="18" t="s">
        <v>1623</v>
      </c>
      <c r="T987" s="18" t="s">
        <v>804</v>
      </c>
      <c r="U987" s="18"/>
      <c r="V987" s="18"/>
    </row>
    <row r="988" spans="1:22" x14ac:dyDescent="0.3">
      <c r="A988" s="18" t="e">
        <f t="shared" si="16"/>
        <v>#REF!</v>
      </c>
      <c r="B988" s="18">
        <v>140</v>
      </c>
      <c r="C988" s="18" t="s">
        <v>20</v>
      </c>
      <c r="D988" s="18" t="s">
        <v>2085</v>
      </c>
      <c r="E988" s="20">
        <v>45906</v>
      </c>
      <c r="F988" s="44" t="s">
        <v>64</v>
      </c>
      <c r="G988" s="29" t="s">
        <v>2086</v>
      </c>
      <c r="H988" s="57">
        <v>2511418.7999999998</v>
      </c>
      <c r="I988" s="20">
        <v>45906</v>
      </c>
      <c r="J988" s="36">
        <v>45925</v>
      </c>
      <c r="K988" s="18">
        <v>1980</v>
      </c>
      <c r="L988" s="61">
        <v>1980</v>
      </c>
      <c r="M988" s="61">
        <v>165</v>
      </c>
      <c r="N988" s="20">
        <v>45907</v>
      </c>
      <c r="O988" s="18" t="s">
        <v>21</v>
      </c>
      <c r="P988" s="18" t="s">
        <v>1456</v>
      </c>
      <c r="Q988" s="18" t="s">
        <v>141</v>
      </c>
      <c r="R988" s="18" t="s">
        <v>136</v>
      </c>
      <c r="S988" s="18" t="s">
        <v>1623</v>
      </c>
      <c r="T988" s="18" t="s">
        <v>804</v>
      </c>
      <c r="U988" s="18"/>
      <c r="V988" s="18"/>
    </row>
    <row r="989" spans="1:22" x14ac:dyDescent="0.3">
      <c r="A989" s="18" t="e">
        <f t="shared" si="16"/>
        <v>#REF!</v>
      </c>
      <c r="B989" s="18">
        <v>140</v>
      </c>
      <c r="C989" s="18" t="s">
        <v>20</v>
      </c>
      <c r="D989" s="18" t="s">
        <v>2089</v>
      </c>
      <c r="E989" s="20">
        <v>45906</v>
      </c>
      <c r="F989" s="44" t="s">
        <v>129</v>
      </c>
      <c r="G989" s="29" t="s">
        <v>2090</v>
      </c>
      <c r="H989" s="57">
        <v>597962.02</v>
      </c>
      <c r="I989" s="20">
        <v>45906</v>
      </c>
      <c r="J989" s="36">
        <v>45925</v>
      </c>
      <c r="K989" s="18">
        <v>480</v>
      </c>
      <c r="L989" s="61">
        <v>480</v>
      </c>
      <c r="M989" s="61">
        <v>40</v>
      </c>
      <c r="N989" s="20">
        <v>45907</v>
      </c>
      <c r="O989" s="18" t="s">
        <v>21</v>
      </c>
      <c r="P989" s="18" t="s">
        <v>1456</v>
      </c>
      <c r="Q989" s="18" t="s">
        <v>141</v>
      </c>
      <c r="R989" s="18" t="s">
        <v>136</v>
      </c>
      <c r="S989" s="18" t="s">
        <v>1623</v>
      </c>
      <c r="T989" s="18" t="s">
        <v>804</v>
      </c>
      <c r="U989" s="18"/>
      <c r="V989" s="18"/>
    </row>
    <row r="990" spans="1:22" x14ac:dyDescent="0.3">
      <c r="A990" s="18" t="e">
        <f t="shared" si="16"/>
        <v>#REF!</v>
      </c>
      <c r="B990" s="18">
        <v>140</v>
      </c>
      <c r="C990" s="18" t="s">
        <v>23</v>
      </c>
      <c r="D990" s="18" t="s">
        <v>2087</v>
      </c>
      <c r="E990" s="20">
        <v>45906</v>
      </c>
      <c r="F990" s="44" t="s">
        <v>575</v>
      </c>
      <c r="G990" s="29" t="s">
        <v>2088</v>
      </c>
      <c r="H990" s="57">
        <v>137843.51999999999</v>
      </c>
      <c r="I990" s="20">
        <v>45906</v>
      </c>
      <c r="J990" s="36">
        <v>45925</v>
      </c>
      <c r="K990" s="18">
        <v>336</v>
      </c>
      <c r="L990" s="61">
        <v>336</v>
      </c>
      <c r="M990" s="61">
        <v>14</v>
      </c>
      <c r="N990" s="20">
        <v>45907</v>
      </c>
      <c r="O990" s="18" t="s">
        <v>21</v>
      </c>
      <c r="P990" s="18" t="s">
        <v>1456</v>
      </c>
      <c r="Q990" s="18" t="s">
        <v>141</v>
      </c>
      <c r="R990" s="18" t="s">
        <v>136</v>
      </c>
      <c r="S990" s="18" t="s">
        <v>1623</v>
      </c>
      <c r="T990" s="18" t="s">
        <v>804</v>
      </c>
      <c r="U990" s="18"/>
      <c r="V990" s="18"/>
    </row>
    <row r="991" spans="1:22" x14ac:dyDescent="0.3">
      <c r="A991" s="18" t="e">
        <f t="shared" si="16"/>
        <v>#REF!</v>
      </c>
      <c r="B991" s="18">
        <v>141</v>
      </c>
      <c r="C991" s="18" t="s">
        <v>23</v>
      </c>
      <c r="D991" s="18" t="s">
        <v>2100</v>
      </c>
      <c r="E991" s="20">
        <v>45908</v>
      </c>
      <c r="F991" s="44" t="s">
        <v>35</v>
      </c>
      <c r="G991" s="29" t="s">
        <v>2110</v>
      </c>
      <c r="H991" s="57">
        <v>55304.92</v>
      </c>
      <c r="I991" s="20">
        <v>45909</v>
      </c>
      <c r="J991" s="36">
        <v>45925</v>
      </c>
      <c r="K991" s="18">
        <v>168</v>
      </c>
      <c r="L991" s="61">
        <v>168</v>
      </c>
      <c r="M991" s="61">
        <v>7</v>
      </c>
      <c r="N991" s="20">
        <v>45909</v>
      </c>
      <c r="O991" s="18" t="s">
        <v>21</v>
      </c>
      <c r="P991" s="18" t="s">
        <v>1456</v>
      </c>
      <c r="Q991" s="18" t="s">
        <v>141</v>
      </c>
      <c r="R991" s="18" t="s">
        <v>136</v>
      </c>
      <c r="S991" s="18" t="s">
        <v>1623</v>
      </c>
      <c r="T991" s="18" t="s">
        <v>804</v>
      </c>
      <c r="U991" s="18"/>
      <c r="V991" s="18"/>
    </row>
    <row r="992" spans="1:22" x14ac:dyDescent="0.3">
      <c r="A992" s="18" t="e">
        <f t="shared" si="16"/>
        <v>#REF!</v>
      </c>
      <c r="B992" s="18">
        <v>141</v>
      </c>
      <c r="C992" s="18" t="s">
        <v>20</v>
      </c>
      <c r="D992" s="18" t="s">
        <v>2092</v>
      </c>
      <c r="E992" s="20">
        <v>45907</v>
      </c>
      <c r="F992" s="44" t="s">
        <v>123</v>
      </c>
      <c r="G992" s="29" t="s">
        <v>2102</v>
      </c>
      <c r="H992" s="57">
        <v>164300.6</v>
      </c>
      <c r="I992" s="20">
        <v>45909</v>
      </c>
      <c r="J992" s="36">
        <v>45925</v>
      </c>
      <c r="K992" s="18">
        <v>132</v>
      </c>
      <c r="L992" s="61">
        <v>132</v>
      </c>
      <c r="M992" s="61">
        <v>11</v>
      </c>
      <c r="N992" s="20">
        <v>45909</v>
      </c>
      <c r="O992" s="18" t="s">
        <v>21</v>
      </c>
      <c r="P992" s="18" t="s">
        <v>1456</v>
      </c>
      <c r="Q992" s="18" t="s">
        <v>141</v>
      </c>
      <c r="R992" s="18" t="s">
        <v>136</v>
      </c>
      <c r="S992" s="18" t="s">
        <v>1623</v>
      </c>
      <c r="T992" s="18" t="s">
        <v>804</v>
      </c>
      <c r="U992" s="18"/>
      <c r="V992" s="18"/>
    </row>
    <row r="993" spans="1:22" x14ac:dyDescent="0.3">
      <c r="A993" s="18" t="e">
        <f t="shared" si="16"/>
        <v>#REF!</v>
      </c>
      <c r="B993" s="18">
        <v>141</v>
      </c>
      <c r="C993" s="18" t="s">
        <v>20</v>
      </c>
      <c r="D993" s="18" t="s">
        <v>2098</v>
      </c>
      <c r="E993" s="20">
        <v>45907</v>
      </c>
      <c r="F993" s="44" t="s">
        <v>2070</v>
      </c>
      <c r="G993" s="29" t="s">
        <v>2108</v>
      </c>
      <c r="H993" s="57">
        <v>223326.14</v>
      </c>
      <c r="I993" s="20">
        <v>45909</v>
      </c>
      <c r="J993" s="36">
        <v>45925</v>
      </c>
      <c r="K993" s="18">
        <v>168</v>
      </c>
      <c r="L993" s="61">
        <v>168</v>
      </c>
      <c r="M993" s="61">
        <v>14</v>
      </c>
      <c r="N993" s="20">
        <v>45909</v>
      </c>
      <c r="O993" s="18" t="s">
        <v>21</v>
      </c>
      <c r="P993" s="18" t="s">
        <v>1456</v>
      </c>
      <c r="Q993" s="18" t="s">
        <v>141</v>
      </c>
      <c r="R993" s="18" t="s">
        <v>136</v>
      </c>
      <c r="S993" s="18" t="s">
        <v>1623</v>
      </c>
      <c r="T993" s="18" t="s">
        <v>804</v>
      </c>
      <c r="U993" s="18"/>
      <c r="V993" s="18"/>
    </row>
    <row r="994" spans="1:22" x14ac:dyDescent="0.3">
      <c r="A994" s="18" t="e">
        <f t="shared" si="16"/>
        <v>#REF!</v>
      </c>
      <c r="B994" s="18">
        <v>141</v>
      </c>
      <c r="C994" s="18" t="s">
        <v>20</v>
      </c>
      <c r="D994" s="18" t="s">
        <v>2097</v>
      </c>
      <c r="E994" s="20">
        <v>45907</v>
      </c>
      <c r="F994" s="21" t="s">
        <v>47</v>
      </c>
      <c r="G994" s="29" t="s">
        <v>2107</v>
      </c>
      <c r="H994" s="57">
        <v>135370.26</v>
      </c>
      <c r="I994" s="20">
        <v>45909</v>
      </c>
      <c r="J994" s="36">
        <v>45925</v>
      </c>
      <c r="K994" s="18">
        <v>108</v>
      </c>
      <c r="L994" s="61">
        <v>108</v>
      </c>
      <c r="M994" s="61">
        <v>9</v>
      </c>
      <c r="N994" s="20">
        <v>45909</v>
      </c>
      <c r="O994" s="18" t="s">
        <v>21</v>
      </c>
      <c r="P994" s="18" t="s">
        <v>1456</v>
      </c>
      <c r="Q994" s="18" t="s">
        <v>141</v>
      </c>
      <c r="R994" s="18" t="s">
        <v>136</v>
      </c>
      <c r="S994" s="18" t="s">
        <v>1623</v>
      </c>
      <c r="T994" s="18" t="s">
        <v>804</v>
      </c>
      <c r="U994" s="18"/>
      <c r="V994" s="18"/>
    </row>
    <row r="995" spans="1:22" x14ac:dyDescent="0.3">
      <c r="A995" s="18" t="e">
        <f t="shared" ref="A995:A1025" si="17">A993+1</f>
        <v>#REF!</v>
      </c>
      <c r="B995" s="18">
        <v>141</v>
      </c>
      <c r="C995" s="18" t="s">
        <v>20</v>
      </c>
      <c r="D995" s="18" t="s">
        <v>2091</v>
      </c>
      <c r="E995" s="20">
        <v>45905</v>
      </c>
      <c r="F995" s="44" t="s">
        <v>35</v>
      </c>
      <c r="G995" s="29" t="s">
        <v>2101</v>
      </c>
      <c r="H995" s="57">
        <v>680026.58</v>
      </c>
      <c r="I995" s="20">
        <v>45906</v>
      </c>
      <c r="J995" s="36">
        <v>45925</v>
      </c>
      <c r="K995" s="18">
        <v>528</v>
      </c>
      <c r="L995" s="61">
        <v>528</v>
      </c>
      <c r="M995" s="61">
        <v>44</v>
      </c>
      <c r="N995" s="20">
        <v>45909</v>
      </c>
      <c r="O995" s="18" t="s">
        <v>21</v>
      </c>
      <c r="P995" s="18" t="s">
        <v>1456</v>
      </c>
      <c r="Q995" s="18" t="s">
        <v>141</v>
      </c>
      <c r="R995" s="18" t="s">
        <v>136</v>
      </c>
      <c r="S995" s="18" t="s">
        <v>1623</v>
      </c>
      <c r="T995" s="18" t="s">
        <v>804</v>
      </c>
      <c r="U995" s="18"/>
      <c r="V995" s="18"/>
    </row>
    <row r="996" spans="1:22" x14ac:dyDescent="0.3">
      <c r="A996" s="18" t="e">
        <f t="shared" si="17"/>
        <v>#REF!</v>
      </c>
      <c r="B996" s="18">
        <v>141</v>
      </c>
      <c r="C996" s="18" t="s">
        <v>20</v>
      </c>
      <c r="D996" s="18" t="s">
        <v>2093</v>
      </c>
      <c r="E996" s="20">
        <v>45907</v>
      </c>
      <c r="F996" s="21" t="s">
        <v>58</v>
      </c>
      <c r="G996" s="29" t="s">
        <v>2103</v>
      </c>
      <c r="H996" s="57">
        <v>226734</v>
      </c>
      <c r="I996" s="20">
        <v>45908</v>
      </c>
      <c r="J996" s="36">
        <v>45925</v>
      </c>
      <c r="K996" s="18">
        <v>180</v>
      </c>
      <c r="L996" s="61">
        <v>180</v>
      </c>
      <c r="M996" s="61">
        <v>15</v>
      </c>
      <c r="N996" s="20">
        <v>45909</v>
      </c>
      <c r="O996" s="18" t="s">
        <v>21</v>
      </c>
      <c r="P996" s="18" t="s">
        <v>1456</v>
      </c>
      <c r="Q996" s="18" t="s">
        <v>141</v>
      </c>
      <c r="R996" s="18" t="s">
        <v>136</v>
      </c>
      <c r="S996" s="18" t="s">
        <v>1623</v>
      </c>
      <c r="T996" s="18" t="s">
        <v>804</v>
      </c>
      <c r="U996" s="18"/>
      <c r="V996" s="18"/>
    </row>
    <row r="997" spans="1:22" x14ac:dyDescent="0.3">
      <c r="A997" s="18" t="e">
        <f t="shared" si="17"/>
        <v>#REF!</v>
      </c>
      <c r="B997" s="18">
        <v>141</v>
      </c>
      <c r="C997" s="18" t="s">
        <v>20</v>
      </c>
      <c r="D997" s="18" t="s">
        <v>2095</v>
      </c>
      <c r="E997" s="20">
        <v>45907</v>
      </c>
      <c r="F997" s="44" t="s">
        <v>64</v>
      </c>
      <c r="G997" s="29" t="s">
        <v>2105</v>
      </c>
      <c r="H997" s="57">
        <v>1051390.6000000001</v>
      </c>
      <c r="I997" s="20">
        <v>45909</v>
      </c>
      <c r="J997" s="36">
        <v>45925</v>
      </c>
      <c r="K997" s="18">
        <v>840</v>
      </c>
      <c r="L997" s="61">
        <v>840</v>
      </c>
      <c r="M997" s="61">
        <v>70</v>
      </c>
      <c r="N997" s="20">
        <v>45909</v>
      </c>
      <c r="O997" s="18" t="s">
        <v>21</v>
      </c>
      <c r="P997" s="18" t="s">
        <v>1456</v>
      </c>
      <c r="Q997" s="18" t="s">
        <v>141</v>
      </c>
      <c r="R997" s="18" t="s">
        <v>136</v>
      </c>
      <c r="S997" s="18" t="s">
        <v>1623</v>
      </c>
      <c r="T997" s="18" t="s">
        <v>804</v>
      </c>
      <c r="U997" s="18"/>
      <c r="V997" s="18"/>
    </row>
    <row r="998" spans="1:22" x14ac:dyDescent="0.3">
      <c r="A998" s="18" t="e">
        <f t="shared" si="17"/>
        <v>#REF!</v>
      </c>
      <c r="B998" s="18">
        <v>141</v>
      </c>
      <c r="C998" s="18" t="s">
        <v>20</v>
      </c>
      <c r="D998" s="18" t="s">
        <v>2094</v>
      </c>
      <c r="E998" s="20">
        <v>45907</v>
      </c>
      <c r="F998" s="44" t="s">
        <v>35</v>
      </c>
      <c r="G998" s="29" t="s">
        <v>2104</v>
      </c>
      <c r="H998" s="57">
        <v>396908.18</v>
      </c>
      <c r="I998" s="20">
        <v>45909</v>
      </c>
      <c r="J998" s="36">
        <v>45925</v>
      </c>
      <c r="K998" s="18">
        <v>312</v>
      </c>
      <c r="L998" s="61">
        <v>312</v>
      </c>
      <c r="M998" s="61">
        <v>26</v>
      </c>
      <c r="N998" s="20">
        <v>45909</v>
      </c>
      <c r="O998" s="18" t="s">
        <v>21</v>
      </c>
      <c r="P998" s="18" t="s">
        <v>1456</v>
      </c>
      <c r="Q998" s="18" t="s">
        <v>141</v>
      </c>
      <c r="R998" s="18" t="s">
        <v>136</v>
      </c>
      <c r="S998" s="18" t="s">
        <v>1623</v>
      </c>
      <c r="T998" s="18" t="s">
        <v>804</v>
      </c>
      <c r="U998" s="18"/>
      <c r="V998" s="18"/>
    </row>
    <row r="999" spans="1:22" x14ac:dyDescent="0.3">
      <c r="A999" s="17">
        <v>1142</v>
      </c>
      <c r="B999" s="18">
        <v>141</v>
      </c>
      <c r="C999" s="18" t="s">
        <v>20</v>
      </c>
      <c r="D999" s="18" t="s">
        <v>2099</v>
      </c>
      <c r="E999" s="20">
        <v>45907</v>
      </c>
      <c r="F999" s="44" t="s">
        <v>117</v>
      </c>
      <c r="G999" s="29" t="s">
        <v>2109</v>
      </c>
      <c r="H999" s="57">
        <v>540024.47</v>
      </c>
      <c r="I999" s="20">
        <v>45909</v>
      </c>
      <c r="J999" s="36">
        <v>45925</v>
      </c>
      <c r="K999" s="18">
        <v>420</v>
      </c>
      <c r="L999" s="61">
        <v>420</v>
      </c>
      <c r="M999" s="61">
        <v>35</v>
      </c>
      <c r="N999" s="20">
        <v>45909</v>
      </c>
      <c r="O999" s="18" t="s">
        <v>21</v>
      </c>
      <c r="P999" s="18" t="s">
        <v>1456</v>
      </c>
      <c r="Q999" s="18" t="s">
        <v>141</v>
      </c>
      <c r="R999" s="18" t="s">
        <v>136</v>
      </c>
      <c r="S999" s="18" t="s">
        <v>1623</v>
      </c>
      <c r="T999" s="18" t="s">
        <v>804</v>
      </c>
      <c r="U999" s="18"/>
      <c r="V999" s="18"/>
    </row>
    <row r="1000" spans="1:22" x14ac:dyDescent="0.3">
      <c r="A1000" s="18" t="e">
        <f t="shared" si="17"/>
        <v>#REF!</v>
      </c>
      <c r="B1000" s="18">
        <v>141</v>
      </c>
      <c r="C1000" s="18" t="s">
        <v>20</v>
      </c>
      <c r="D1000" s="18" t="s">
        <v>2096</v>
      </c>
      <c r="E1000" s="20">
        <v>45907</v>
      </c>
      <c r="F1000" s="44" t="s">
        <v>129</v>
      </c>
      <c r="G1000" s="29" t="s">
        <v>2106</v>
      </c>
      <c r="H1000" s="57">
        <v>63064.12</v>
      </c>
      <c r="I1000" s="20">
        <v>45909</v>
      </c>
      <c r="J1000" s="36">
        <v>45925</v>
      </c>
      <c r="K1000" s="18">
        <v>48</v>
      </c>
      <c r="L1000" s="61">
        <v>48</v>
      </c>
      <c r="M1000" s="61">
        <v>4</v>
      </c>
      <c r="N1000" s="20">
        <v>45909</v>
      </c>
      <c r="O1000" s="18" t="s">
        <v>21</v>
      </c>
      <c r="P1000" s="18" t="s">
        <v>1456</v>
      </c>
      <c r="Q1000" s="18" t="s">
        <v>141</v>
      </c>
      <c r="R1000" s="18" t="s">
        <v>136</v>
      </c>
      <c r="S1000" s="18" t="s">
        <v>1623</v>
      </c>
      <c r="T1000" s="18" t="s">
        <v>804</v>
      </c>
      <c r="U1000" s="18"/>
      <c r="V1000" s="18"/>
    </row>
    <row r="1001" spans="1:22" x14ac:dyDescent="0.3">
      <c r="A1001" s="18">
        <f t="shared" si="17"/>
        <v>1143</v>
      </c>
      <c r="B1001" s="18">
        <v>142</v>
      </c>
      <c r="C1001" s="18" t="s">
        <v>20</v>
      </c>
      <c r="D1001" s="18" t="s">
        <v>2112</v>
      </c>
      <c r="E1001" s="20">
        <v>45909</v>
      </c>
      <c r="F1001" s="25" t="s">
        <v>122</v>
      </c>
      <c r="G1001" s="29" t="s">
        <v>2111</v>
      </c>
      <c r="H1001" s="57">
        <v>981569.89</v>
      </c>
      <c r="I1001" s="20">
        <v>45909</v>
      </c>
      <c r="J1001" s="36">
        <v>45925</v>
      </c>
      <c r="K1001" s="18">
        <v>768</v>
      </c>
      <c r="L1001" s="61">
        <v>768</v>
      </c>
      <c r="M1001" s="61">
        <v>64</v>
      </c>
      <c r="N1001" s="20">
        <v>45910</v>
      </c>
      <c r="O1001" s="18" t="s">
        <v>21</v>
      </c>
      <c r="P1001" s="18" t="s">
        <v>1456</v>
      </c>
      <c r="Q1001" s="18" t="s">
        <v>141</v>
      </c>
      <c r="R1001" s="18" t="s">
        <v>136</v>
      </c>
      <c r="S1001" s="18" t="s">
        <v>1623</v>
      </c>
      <c r="T1001" s="18" t="s">
        <v>804</v>
      </c>
      <c r="U1001" s="18"/>
      <c r="V1001" s="18"/>
    </row>
    <row r="1002" spans="1:22" x14ac:dyDescent="0.3">
      <c r="A1002" s="18" t="e">
        <f t="shared" si="17"/>
        <v>#REF!</v>
      </c>
      <c r="B1002" s="18">
        <v>142</v>
      </c>
      <c r="C1002" s="18" t="s">
        <v>20</v>
      </c>
      <c r="D1002" s="18" t="s">
        <v>2113</v>
      </c>
      <c r="E1002" s="20">
        <v>45909</v>
      </c>
      <c r="F1002" s="44" t="s">
        <v>118</v>
      </c>
      <c r="G1002" s="29" t="s">
        <v>2114</v>
      </c>
      <c r="H1002" s="57">
        <v>553523.85</v>
      </c>
      <c r="I1002" s="20">
        <v>45909</v>
      </c>
      <c r="J1002" s="36">
        <v>45925</v>
      </c>
      <c r="K1002" s="18">
        <v>432</v>
      </c>
      <c r="L1002" s="61">
        <v>432</v>
      </c>
      <c r="M1002" s="61">
        <v>36</v>
      </c>
      <c r="N1002" s="20">
        <v>45910</v>
      </c>
      <c r="O1002" s="18" t="s">
        <v>21</v>
      </c>
      <c r="P1002" s="18" t="s">
        <v>1456</v>
      </c>
      <c r="Q1002" s="18" t="s">
        <v>141</v>
      </c>
      <c r="R1002" s="18" t="s">
        <v>136</v>
      </c>
      <c r="S1002" s="18" t="s">
        <v>1623</v>
      </c>
      <c r="T1002" s="18" t="s">
        <v>804</v>
      </c>
      <c r="U1002" s="18"/>
      <c r="V1002" s="18"/>
    </row>
    <row r="1003" spans="1:22" x14ac:dyDescent="0.3">
      <c r="A1003" s="18">
        <f t="shared" si="17"/>
        <v>1144</v>
      </c>
      <c r="B1003" s="18">
        <v>142</v>
      </c>
      <c r="C1003" s="18" t="s">
        <v>20</v>
      </c>
      <c r="D1003" s="18" t="s">
        <v>2117</v>
      </c>
      <c r="E1003" s="20">
        <v>45909</v>
      </c>
      <c r="F1003" s="44" t="s">
        <v>84</v>
      </c>
      <c r="G1003" s="29" t="s">
        <v>2118</v>
      </c>
      <c r="H1003" s="57">
        <v>462514.89</v>
      </c>
      <c r="I1003" s="20">
        <v>45909</v>
      </c>
      <c r="J1003" s="36">
        <v>45925</v>
      </c>
      <c r="K1003" s="18">
        <v>360</v>
      </c>
      <c r="L1003" s="61">
        <v>360</v>
      </c>
      <c r="M1003" s="61">
        <v>30</v>
      </c>
      <c r="N1003" s="20">
        <v>45910</v>
      </c>
      <c r="O1003" s="18" t="s">
        <v>21</v>
      </c>
      <c r="P1003" s="18" t="s">
        <v>1456</v>
      </c>
      <c r="Q1003" s="18" t="s">
        <v>141</v>
      </c>
      <c r="R1003" s="18" t="s">
        <v>136</v>
      </c>
      <c r="S1003" s="18" t="s">
        <v>1623</v>
      </c>
      <c r="T1003" s="18" t="s">
        <v>804</v>
      </c>
      <c r="U1003" s="18"/>
      <c r="V1003" s="18"/>
    </row>
    <row r="1004" spans="1:22" x14ac:dyDescent="0.3">
      <c r="A1004" s="18" t="e">
        <f t="shared" si="17"/>
        <v>#REF!</v>
      </c>
      <c r="B1004" s="18">
        <v>142</v>
      </c>
      <c r="C1004" s="18" t="s">
        <v>20</v>
      </c>
      <c r="D1004" s="18" t="s">
        <v>2121</v>
      </c>
      <c r="E1004" s="20">
        <v>45909</v>
      </c>
      <c r="F1004" s="21" t="s">
        <v>53</v>
      </c>
      <c r="G1004" s="29" t="s">
        <v>2122</v>
      </c>
      <c r="H1004" s="57">
        <v>366264</v>
      </c>
      <c r="I1004" s="20">
        <v>45909</v>
      </c>
      <c r="J1004" s="36">
        <v>45925</v>
      </c>
      <c r="K1004" s="18">
        <v>240</v>
      </c>
      <c r="L1004" s="61">
        <v>240</v>
      </c>
      <c r="M1004" s="61">
        <v>20</v>
      </c>
      <c r="N1004" s="20">
        <v>45910</v>
      </c>
      <c r="O1004" s="18" t="s">
        <v>21</v>
      </c>
      <c r="P1004" s="18" t="s">
        <v>1456</v>
      </c>
      <c r="Q1004" s="18" t="s">
        <v>141</v>
      </c>
      <c r="R1004" s="18" t="s">
        <v>136</v>
      </c>
      <c r="S1004" s="18" t="s">
        <v>1623</v>
      </c>
      <c r="T1004" s="18" t="s">
        <v>804</v>
      </c>
      <c r="U1004" s="18"/>
      <c r="V1004" s="18"/>
    </row>
    <row r="1005" spans="1:22" x14ac:dyDescent="0.3">
      <c r="A1005" s="18">
        <f t="shared" si="17"/>
        <v>1145</v>
      </c>
      <c r="B1005" s="18">
        <v>142</v>
      </c>
      <c r="C1005" s="18" t="s">
        <v>20</v>
      </c>
      <c r="D1005" s="18" t="s">
        <v>2115</v>
      </c>
      <c r="E1005" s="20">
        <v>45909</v>
      </c>
      <c r="F1005" s="23" t="s">
        <v>68</v>
      </c>
      <c r="G1005" s="29" t="s">
        <v>2116</v>
      </c>
      <c r="H1005" s="57">
        <v>921127.2</v>
      </c>
      <c r="I1005" s="20">
        <v>45909</v>
      </c>
      <c r="J1005" s="36">
        <v>45925</v>
      </c>
      <c r="K1005" s="18">
        <v>720</v>
      </c>
      <c r="L1005" s="61">
        <v>720</v>
      </c>
      <c r="M1005" s="61">
        <v>60</v>
      </c>
      <c r="N1005" s="20">
        <v>45910</v>
      </c>
      <c r="O1005" s="18" t="s">
        <v>21</v>
      </c>
      <c r="P1005" s="18" t="s">
        <v>1456</v>
      </c>
      <c r="Q1005" s="18" t="s">
        <v>141</v>
      </c>
      <c r="R1005" s="18" t="s">
        <v>136</v>
      </c>
      <c r="S1005" s="18" t="s">
        <v>1623</v>
      </c>
      <c r="T1005" s="18" t="s">
        <v>804</v>
      </c>
      <c r="U1005" s="18"/>
      <c r="V1005" s="18"/>
    </row>
    <row r="1006" spans="1:22" x14ac:dyDescent="0.3">
      <c r="A1006" s="18" t="e">
        <f t="shared" si="17"/>
        <v>#REF!</v>
      </c>
      <c r="B1006" s="18">
        <v>142</v>
      </c>
      <c r="C1006" s="18" t="s">
        <v>20</v>
      </c>
      <c r="D1006" s="18" t="s">
        <v>2119</v>
      </c>
      <c r="E1006" s="20">
        <v>45909</v>
      </c>
      <c r="F1006" s="21" t="s">
        <v>47</v>
      </c>
      <c r="G1006" s="29" t="s">
        <v>2120</v>
      </c>
      <c r="H1006" s="57">
        <v>424653.95</v>
      </c>
      <c r="I1006" s="20">
        <v>45909</v>
      </c>
      <c r="J1006" s="36">
        <v>45925</v>
      </c>
      <c r="K1006" s="18">
        <v>348</v>
      </c>
      <c r="L1006" s="61">
        <v>348</v>
      </c>
      <c r="M1006" s="61">
        <v>29</v>
      </c>
      <c r="N1006" s="20">
        <v>45910</v>
      </c>
      <c r="O1006" s="18" t="s">
        <v>21</v>
      </c>
      <c r="P1006" s="18" t="s">
        <v>1456</v>
      </c>
      <c r="Q1006" s="18" t="s">
        <v>141</v>
      </c>
      <c r="R1006" s="18" t="s">
        <v>136</v>
      </c>
      <c r="S1006" s="18" t="s">
        <v>1623</v>
      </c>
      <c r="T1006" s="18" t="s">
        <v>804</v>
      </c>
      <c r="U1006" s="18"/>
      <c r="V1006" s="18"/>
    </row>
    <row r="1007" spans="1:22" x14ac:dyDescent="0.3">
      <c r="A1007" s="18">
        <f t="shared" si="17"/>
        <v>1146</v>
      </c>
      <c r="B1007" s="18">
        <v>142</v>
      </c>
      <c r="C1007" s="18" t="s">
        <v>20</v>
      </c>
      <c r="D1007" s="18" t="s">
        <v>2131</v>
      </c>
      <c r="E1007" s="20">
        <v>45909</v>
      </c>
      <c r="F1007" s="44" t="s">
        <v>113</v>
      </c>
      <c r="G1007" s="29" t="s">
        <v>2123</v>
      </c>
      <c r="H1007" s="57">
        <v>176678.48</v>
      </c>
      <c r="I1007" s="20">
        <v>45909</v>
      </c>
      <c r="J1007" s="36">
        <v>45925</v>
      </c>
      <c r="K1007" s="18">
        <v>132</v>
      </c>
      <c r="L1007" s="61">
        <v>132</v>
      </c>
      <c r="M1007" s="61">
        <v>11</v>
      </c>
      <c r="N1007" s="20">
        <v>45910</v>
      </c>
      <c r="O1007" s="18" t="s">
        <v>21</v>
      </c>
      <c r="P1007" s="18" t="s">
        <v>1456</v>
      </c>
      <c r="Q1007" s="18" t="s">
        <v>141</v>
      </c>
      <c r="R1007" s="18" t="s">
        <v>136</v>
      </c>
      <c r="S1007" s="18" t="s">
        <v>1623</v>
      </c>
      <c r="T1007" s="18" t="s">
        <v>804</v>
      </c>
      <c r="U1007" s="18"/>
      <c r="V1007" s="18"/>
    </row>
    <row r="1008" spans="1:22" x14ac:dyDescent="0.3">
      <c r="A1008" s="18" t="e">
        <f t="shared" si="17"/>
        <v>#REF!</v>
      </c>
      <c r="B1008" s="18">
        <v>143</v>
      </c>
      <c r="C1008" s="18" t="s">
        <v>20</v>
      </c>
      <c r="D1008" s="18" t="s">
        <v>2132</v>
      </c>
      <c r="E1008" s="20">
        <v>45909</v>
      </c>
      <c r="F1008" s="44" t="s">
        <v>1207</v>
      </c>
      <c r="G1008" s="29" t="s">
        <v>2124</v>
      </c>
      <c r="H1008" s="57">
        <v>904988.65</v>
      </c>
      <c r="I1008" s="20">
        <v>45909</v>
      </c>
      <c r="J1008" s="36">
        <v>45925</v>
      </c>
      <c r="K1008" s="18">
        <v>696</v>
      </c>
      <c r="L1008" s="61">
        <v>696</v>
      </c>
      <c r="M1008" s="61">
        <v>58</v>
      </c>
      <c r="N1008" s="20">
        <v>45910</v>
      </c>
      <c r="O1008" s="18" t="s">
        <v>21</v>
      </c>
      <c r="P1008" s="18" t="s">
        <v>1456</v>
      </c>
      <c r="Q1008" s="18" t="s">
        <v>2125</v>
      </c>
      <c r="R1008" s="18" t="s">
        <v>136</v>
      </c>
      <c r="S1008" s="18" t="s">
        <v>1623</v>
      </c>
      <c r="T1008" s="18" t="s">
        <v>804</v>
      </c>
      <c r="U1008" s="18"/>
      <c r="V1008" s="18"/>
    </row>
    <row r="1009" spans="1:22" x14ac:dyDescent="0.3">
      <c r="A1009" s="18">
        <f t="shared" si="17"/>
        <v>1147</v>
      </c>
      <c r="B1009" s="18">
        <v>144</v>
      </c>
      <c r="C1009" s="18" t="s">
        <v>20</v>
      </c>
      <c r="D1009" s="18" t="s">
        <v>2133</v>
      </c>
      <c r="E1009" s="20">
        <v>45910</v>
      </c>
      <c r="F1009" s="44" t="s">
        <v>119</v>
      </c>
      <c r="G1009" s="29" t="s">
        <v>2126</v>
      </c>
      <c r="H1009" s="57">
        <v>576560.9</v>
      </c>
      <c r="I1009" s="20">
        <v>45909</v>
      </c>
      <c r="J1009" s="36">
        <v>45925</v>
      </c>
      <c r="K1009" s="18">
        <v>456</v>
      </c>
      <c r="L1009" s="61">
        <v>456</v>
      </c>
      <c r="M1009" s="61">
        <v>38</v>
      </c>
      <c r="N1009" s="20">
        <v>45910</v>
      </c>
      <c r="O1009" s="18" t="s">
        <v>21</v>
      </c>
      <c r="P1009" s="18" t="s">
        <v>1456</v>
      </c>
      <c r="Q1009" s="18" t="s">
        <v>2125</v>
      </c>
      <c r="R1009" s="18" t="s">
        <v>136</v>
      </c>
      <c r="S1009" s="18" t="s">
        <v>1623</v>
      </c>
      <c r="T1009" s="18" t="s">
        <v>804</v>
      </c>
      <c r="U1009" s="18"/>
      <c r="V1009" s="18"/>
    </row>
    <row r="1010" spans="1:22" x14ac:dyDescent="0.3">
      <c r="A1010" s="18" t="e">
        <f t="shared" si="17"/>
        <v>#REF!</v>
      </c>
      <c r="B1010" s="18">
        <v>144</v>
      </c>
      <c r="C1010" s="18" t="s">
        <v>20</v>
      </c>
      <c r="D1010" s="18" t="s">
        <v>2135</v>
      </c>
      <c r="E1010" s="20">
        <v>45910</v>
      </c>
      <c r="F1010" s="44" t="s">
        <v>118</v>
      </c>
      <c r="G1010" s="29" t="s">
        <v>2128</v>
      </c>
      <c r="H1010" s="57">
        <v>73607</v>
      </c>
      <c r="I1010" s="20">
        <v>45909</v>
      </c>
      <c r="J1010" s="36">
        <v>45925</v>
      </c>
      <c r="K1010" s="18">
        <v>60</v>
      </c>
      <c r="L1010" s="61">
        <v>60</v>
      </c>
      <c r="M1010" s="61">
        <v>5</v>
      </c>
      <c r="N1010" s="20">
        <v>45910</v>
      </c>
      <c r="O1010" s="18" t="s">
        <v>21</v>
      </c>
      <c r="P1010" s="18" t="s">
        <v>1456</v>
      </c>
      <c r="Q1010" s="18" t="s">
        <v>2125</v>
      </c>
      <c r="R1010" s="18" t="s">
        <v>136</v>
      </c>
      <c r="S1010" s="18" t="s">
        <v>1623</v>
      </c>
      <c r="T1010" s="18" t="s">
        <v>804</v>
      </c>
      <c r="U1010" s="18"/>
      <c r="V1010" s="18"/>
    </row>
    <row r="1011" spans="1:22" x14ac:dyDescent="0.3">
      <c r="A1011" s="18">
        <f t="shared" si="17"/>
        <v>1148</v>
      </c>
      <c r="B1011" s="18">
        <v>144</v>
      </c>
      <c r="C1011" s="18" t="s">
        <v>23</v>
      </c>
      <c r="D1011" s="18" t="s">
        <v>2137</v>
      </c>
      <c r="E1011" s="20">
        <v>45910</v>
      </c>
      <c r="F1011" s="23" t="s">
        <v>68</v>
      </c>
      <c r="G1011" s="29" t="s">
        <v>2130</v>
      </c>
      <c r="H1011" s="57">
        <v>45466.879999999997</v>
      </c>
      <c r="I1011" s="20">
        <v>45909</v>
      </c>
      <c r="J1011" s="36">
        <v>45925</v>
      </c>
      <c r="K1011" s="18">
        <v>144</v>
      </c>
      <c r="L1011" s="61">
        <v>144</v>
      </c>
      <c r="M1011" s="61">
        <v>6</v>
      </c>
      <c r="N1011" s="20">
        <v>45910</v>
      </c>
      <c r="O1011" s="18" t="s">
        <v>21</v>
      </c>
      <c r="P1011" s="18" t="s">
        <v>1456</v>
      </c>
      <c r="Q1011" s="18" t="s">
        <v>2125</v>
      </c>
      <c r="R1011" s="18" t="s">
        <v>136</v>
      </c>
      <c r="S1011" s="18" t="s">
        <v>1623</v>
      </c>
      <c r="T1011" s="18" t="s">
        <v>804</v>
      </c>
      <c r="U1011" s="18"/>
      <c r="V1011" s="18"/>
    </row>
    <row r="1012" spans="1:22" x14ac:dyDescent="0.3">
      <c r="A1012" s="18" t="e">
        <f t="shared" si="17"/>
        <v>#REF!</v>
      </c>
      <c r="B1012" s="18">
        <v>144</v>
      </c>
      <c r="C1012" s="18" t="s">
        <v>20</v>
      </c>
      <c r="D1012" s="18" t="s">
        <v>2134</v>
      </c>
      <c r="E1012" s="20">
        <v>45910</v>
      </c>
      <c r="F1012" s="44" t="s">
        <v>131</v>
      </c>
      <c r="G1012" s="29" t="s">
        <v>2127</v>
      </c>
      <c r="H1012" s="57">
        <v>88722.6</v>
      </c>
      <c r="I1012" s="20">
        <v>45909</v>
      </c>
      <c r="J1012" s="36">
        <v>45925</v>
      </c>
      <c r="K1012" s="18">
        <v>72</v>
      </c>
      <c r="L1012" s="61">
        <v>72</v>
      </c>
      <c r="M1012" s="61">
        <v>6</v>
      </c>
      <c r="N1012" s="20">
        <v>45910</v>
      </c>
      <c r="O1012" s="18" t="s">
        <v>21</v>
      </c>
      <c r="P1012" s="18" t="s">
        <v>1456</v>
      </c>
      <c r="Q1012" s="18" t="s">
        <v>2125</v>
      </c>
      <c r="R1012" s="18" t="s">
        <v>136</v>
      </c>
      <c r="S1012" s="18" t="s">
        <v>1623</v>
      </c>
      <c r="T1012" s="18" t="s">
        <v>804</v>
      </c>
      <c r="U1012" s="18"/>
      <c r="V1012" s="18"/>
    </row>
    <row r="1013" spans="1:22" x14ac:dyDescent="0.3">
      <c r="A1013" s="18">
        <f t="shared" si="17"/>
        <v>1149</v>
      </c>
      <c r="B1013" s="18">
        <v>144</v>
      </c>
      <c r="C1013" s="18" t="s">
        <v>23</v>
      </c>
      <c r="D1013" s="18" t="s">
        <v>2136</v>
      </c>
      <c r="E1013" s="20">
        <v>45910</v>
      </c>
      <c r="F1013" s="44" t="s">
        <v>123</v>
      </c>
      <c r="G1013" s="29" t="s">
        <v>2129</v>
      </c>
      <c r="H1013" s="57">
        <v>93430.32</v>
      </c>
      <c r="I1013" s="20">
        <v>45909</v>
      </c>
      <c r="J1013" s="36">
        <v>45925</v>
      </c>
      <c r="K1013" s="18">
        <v>240</v>
      </c>
      <c r="L1013" s="61">
        <v>240</v>
      </c>
      <c r="M1013" s="61">
        <v>10</v>
      </c>
      <c r="N1013" s="20">
        <v>45910</v>
      </c>
      <c r="O1013" s="18" t="s">
        <v>21</v>
      </c>
      <c r="P1013" s="18" t="s">
        <v>1456</v>
      </c>
      <c r="Q1013" s="18" t="s">
        <v>2125</v>
      </c>
      <c r="R1013" s="18" t="s">
        <v>136</v>
      </c>
      <c r="S1013" s="18" t="s">
        <v>1623</v>
      </c>
      <c r="T1013" s="18" t="s">
        <v>804</v>
      </c>
      <c r="U1013" s="18"/>
      <c r="V1013" s="18"/>
    </row>
    <row r="1014" spans="1:22" x14ac:dyDescent="0.3">
      <c r="A1014" s="18" t="e">
        <f t="shared" si="17"/>
        <v>#REF!</v>
      </c>
      <c r="B1014" s="18">
        <v>145</v>
      </c>
      <c r="C1014" s="18" t="s">
        <v>20</v>
      </c>
      <c r="D1014" s="18" t="s">
        <v>419</v>
      </c>
      <c r="E1014" s="20">
        <v>45915</v>
      </c>
      <c r="F1014" s="21" t="s">
        <v>1204</v>
      </c>
      <c r="G1014" s="29" t="s">
        <v>2143</v>
      </c>
      <c r="H1014" s="57">
        <v>710931.24</v>
      </c>
      <c r="I1014" s="20">
        <v>45916</v>
      </c>
      <c r="J1014" s="36">
        <v>45925</v>
      </c>
      <c r="K1014" s="18">
        <v>828</v>
      </c>
      <c r="L1014" s="61">
        <v>828</v>
      </c>
      <c r="M1014" s="61">
        <v>69</v>
      </c>
      <c r="N1014" s="20">
        <v>45921</v>
      </c>
      <c r="O1014" s="18" t="s">
        <v>21</v>
      </c>
      <c r="P1014" s="18" t="s">
        <v>1456</v>
      </c>
      <c r="Q1014" s="18" t="s">
        <v>144</v>
      </c>
      <c r="R1014" s="18" t="s">
        <v>136</v>
      </c>
      <c r="S1014" s="18" t="s">
        <v>1623</v>
      </c>
      <c r="T1014" s="18" t="s">
        <v>804</v>
      </c>
      <c r="U1014" s="18"/>
      <c r="V1014" s="18"/>
    </row>
    <row r="1015" spans="1:22" x14ac:dyDescent="0.3">
      <c r="A1015" s="18">
        <f t="shared" si="17"/>
        <v>1150</v>
      </c>
      <c r="B1015" s="18">
        <v>145</v>
      </c>
      <c r="C1015" s="18" t="s">
        <v>23</v>
      </c>
      <c r="D1015" s="18" t="s">
        <v>2141</v>
      </c>
      <c r="E1015" s="20">
        <v>45918</v>
      </c>
      <c r="F1015" s="44" t="s">
        <v>123</v>
      </c>
      <c r="G1015" s="29" t="s">
        <v>2147</v>
      </c>
      <c r="H1015" s="57">
        <v>86040.92</v>
      </c>
      <c r="I1015" s="20">
        <v>45919</v>
      </c>
      <c r="J1015" s="36">
        <v>45925</v>
      </c>
      <c r="K1015" s="18">
        <v>240</v>
      </c>
      <c r="L1015" s="61">
        <v>240</v>
      </c>
      <c r="M1015" s="61">
        <v>10</v>
      </c>
      <c r="N1015" s="20">
        <v>45921</v>
      </c>
      <c r="O1015" s="18" t="s">
        <v>21</v>
      </c>
      <c r="P1015" s="18" t="s">
        <v>1456</v>
      </c>
      <c r="Q1015" s="18" t="s">
        <v>144</v>
      </c>
      <c r="R1015" s="18" t="s">
        <v>136</v>
      </c>
      <c r="S1015" s="18" t="s">
        <v>1623</v>
      </c>
      <c r="T1015" s="18" t="s">
        <v>804</v>
      </c>
      <c r="U1015" s="18"/>
      <c r="V1015" s="18"/>
    </row>
    <row r="1016" spans="1:22" x14ac:dyDescent="0.3">
      <c r="A1016" s="18" t="e">
        <f t="shared" si="17"/>
        <v>#REF!</v>
      </c>
      <c r="B1016" s="18">
        <v>145</v>
      </c>
      <c r="C1016" s="18" t="s">
        <v>20</v>
      </c>
      <c r="D1016" s="18" t="s">
        <v>2139</v>
      </c>
      <c r="E1016" s="20">
        <v>45917</v>
      </c>
      <c r="F1016" s="44" t="s">
        <v>1207</v>
      </c>
      <c r="G1016" s="29" t="s">
        <v>2145</v>
      </c>
      <c r="H1016" s="57">
        <v>254341.8</v>
      </c>
      <c r="I1016" s="20">
        <v>45919</v>
      </c>
      <c r="J1016" s="36">
        <v>45925</v>
      </c>
      <c r="K1016" s="18">
        <v>216</v>
      </c>
      <c r="L1016" s="61">
        <v>216</v>
      </c>
      <c r="M1016" s="61">
        <v>18</v>
      </c>
      <c r="N1016" s="20">
        <v>45921</v>
      </c>
      <c r="O1016" s="18" t="s">
        <v>21</v>
      </c>
      <c r="P1016" s="18" t="s">
        <v>1456</v>
      </c>
      <c r="Q1016" s="18" t="s">
        <v>144</v>
      </c>
      <c r="R1016" s="18" t="s">
        <v>136</v>
      </c>
      <c r="S1016" s="18" t="s">
        <v>1623</v>
      </c>
      <c r="T1016" s="18" t="s">
        <v>804</v>
      </c>
      <c r="U1016" s="18"/>
      <c r="V1016" s="18"/>
    </row>
    <row r="1017" spans="1:22" x14ac:dyDescent="0.3">
      <c r="A1017" s="18">
        <f t="shared" si="17"/>
        <v>1151</v>
      </c>
      <c r="B1017" s="18">
        <v>145</v>
      </c>
      <c r="C1017" s="18" t="s">
        <v>23</v>
      </c>
      <c r="D1017" s="18" t="s">
        <v>2142</v>
      </c>
      <c r="E1017" s="20">
        <v>45918</v>
      </c>
      <c r="F1017" s="21" t="s">
        <v>33</v>
      </c>
      <c r="G1017" s="29" t="s">
        <v>2148</v>
      </c>
      <c r="H1017" s="57">
        <v>104835.83</v>
      </c>
      <c r="I1017" s="20">
        <v>45919</v>
      </c>
      <c r="J1017" s="36">
        <v>45925</v>
      </c>
      <c r="K1017" s="18">
        <v>312</v>
      </c>
      <c r="L1017" s="61">
        <v>312</v>
      </c>
      <c r="M1017" s="61">
        <v>13</v>
      </c>
      <c r="N1017" s="20">
        <v>45921</v>
      </c>
      <c r="O1017" s="18" t="s">
        <v>21</v>
      </c>
      <c r="P1017" s="18" t="s">
        <v>1456</v>
      </c>
      <c r="Q1017" s="18" t="s">
        <v>144</v>
      </c>
      <c r="R1017" s="18" t="s">
        <v>136</v>
      </c>
      <c r="S1017" s="18" t="s">
        <v>1623</v>
      </c>
      <c r="T1017" s="18" t="s">
        <v>804</v>
      </c>
      <c r="U1017" s="18"/>
      <c r="V1017" s="18"/>
    </row>
    <row r="1018" spans="1:22" x14ac:dyDescent="0.3">
      <c r="A1018" s="18" t="e">
        <f t="shared" si="17"/>
        <v>#REF!</v>
      </c>
      <c r="B1018" s="18">
        <v>145</v>
      </c>
      <c r="C1018" s="18" t="s">
        <v>23</v>
      </c>
      <c r="D1018" s="18" t="s">
        <v>2140</v>
      </c>
      <c r="E1018" s="20">
        <v>45918</v>
      </c>
      <c r="F1018" s="25" t="s">
        <v>122</v>
      </c>
      <c r="G1018" s="29" t="s">
        <v>2146</v>
      </c>
      <c r="H1018" s="57">
        <v>138928.64000000001</v>
      </c>
      <c r="I1018" s="20">
        <v>45919</v>
      </c>
      <c r="J1018" s="36">
        <v>45925</v>
      </c>
      <c r="K1018" s="18">
        <v>312</v>
      </c>
      <c r="L1018" s="61">
        <v>312</v>
      </c>
      <c r="M1018" s="61">
        <v>13</v>
      </c>
      <c r="N1018" s="20">
        <v>45921</v>
      </c>
      <c r="O1018" s="18" t="s">
        <v>21</v>
      </c>
      <c r="P1018" s="18" t="s">
        <v>1456</v>
      </c>
      <c r="Q1018" s="18" t="s">
        <v>144</v>
      </c>
      <c r="R1018" s="18" t="s">
        <v>136</v>
      </c>
      <c r="S1018" s="18" t="s">
        <v>1623</v>
      </c>
      <c r="T1018" s="18" t="s">
        <v>804</v>
      </c>
      <c r="U1018" s="18"/>
      <c r="V1018" s="18"/>
    </row>
    <row r="1019" spans="1:22" x14ac:dyDescent="0.3">
      <c r="A1019" s="45">
        <f t="shared" si="17"/>
        <v>1152</v>
      </c>
      <c r="B1019" s="18">
        <v>145</v>
      </c>
      <c r="C1019" s="18" t="s">
        <v>20</v>
      </c>
      <c r="D1019" s="18" t="s">
        <v>2138</v>
      </c>
      <c r="E1019" s="20">
        <v>45916</v>
      </c>
      <c r="F1019" s="21" t="s">
        <v>33</v>
      </c>
      <c r="G1019" s="29" t="s">
        <v>2144</v>
      </c>
      <c r="H1019" s="57">
        <v>377476.09</v>
      </c>
      <c r="I1019" s="20">
        <v>45920</v>
      </c>
      <c r="J1019" s="36">
        <v>45925</v>
      </c>
      <c r="K1019" s="18">
        <v>300</v>
      </c>
      <c r="L1019" s="61">
        <v>300</v>
      </c>
      <c r="M1019" s="61">
        <v>25</v>
      </c>
      <c r="N1019" s="20">
        <v>45921</v>
      </c>
      <c r="O1019" s="18" t="s">
        <v>21</v>
      </c>
      <c r="P1019" s="18" t="s">
        <v>1456</v>
      </c>
      <c r="Q1019" s="18" t="s">
        <v>144</v>
      </c>
      <c r="R1019" s="18" t="s">
        <v>136</v>
      </c>
      <c r="S1019" s="18" t="s">
        <v>1623</v>
      </c>
      <c r="T1019" s="18" t="s">
        <v>804</v>
      </c>
      <c r="U1019" s="18"/>
      <c r="V1019" s="18"/>
    </row>
    <row r="1020" spans="1:22" x14ac:dyDescent="0.3">
      <c r="A1020" s="45" t="e">
        <f t="shared" si="17"/>
        <v>#REF!</v>
      </c>
      <c r="B1020" s="18">
        <v>146</v>
      </c>
      <c r="C1020" s="18" t="s">
        <v>20</v>
      </c>
      <c r="D1020" s="18" t="s">
        <v>2151</v>
      </c>
      <c r="E1020" s="20">
        <v>45925</v>
      </c>
      <c r="F1020" s="44" t="s">
        <v>35</v>
      </c>
      <c r="G1020" s="29" t="s">
        <v>2158</v>
      </c>
      <c r="H1020" s="57">
        <v>540140.76</v>
      </c>
      <c r="I1020" s="20">
        <v>45926</v>
      </c>
      <c r="J1020" s="36">
        <v>45925</v>
      </c>
      <c r="K1020" s="18">
        <v>432</v>
      </c>
      <c r="L1020" s="61">
        <v>432</v>
      </c>
      <c r="M1020" s="61">
        <v>22</v>
      </c>
      <c r="N1020" s="20">
        <v>45926</v>
      </c>
      <c r="O1020" s="18" t="s">
        <v>21</v>
      </c>
      <c r="P1020" s="18" t="s">
        <v>1456</v>
      </c>
      <c r="Q1020" s="18" t="s">
        <v>140</v>
      </c>
      <c r="R1020" s="18" t="s">
        <v>136</v>
      </c>
      <c r="S1020" s="18" t="s">
        <v>1623</v>
      </c>
      <c r="T1020" s="18" t="s">
        <v>804</v>
      </c>
      <c r="U1020" s="18"/>
      <c r="V1020" s="18"/>
    </row>
    <row r="1021" spans="1:22" x14ac:dyDescent="0.3">
      <c r="A1021" s="45">
        <f t="shared" si="17"/>
        <v>1153</v>
      </c>
      <c r="B1021" s="18">
        <v>146</v>
      </c>
      <c r="C1021" s="18" t="s">
        <v>20</v>
      </c>
      <c r="D1021" s="18" t="s">
        <v>2153</v>
      </c>
      <c r="E1021" s="20">
        <v>45926</v>
      </c>
      <c r="F1021" s="21" t="s">
        <v>47</v>
      </c>
      <c r="G1021" s="29" t="s">
        <v>2160</v>
      </c>
      <c r="H1021" s="57">
        <v>92307.85</v>
      </c>
      <c r="I1021" s="20">
        <v>45926</v>
      </c>
      <c r="J1021" s="36">
        <v>45925</v>
      </c>
      <c r="K1021" s="18">
        <v>84</v>
      </c>
      <c r="L1021" s="61">
        <v>84</v>
      </c>
      <c r="M1021" s="61">
        <v>7</v>
      </c>
      <c r="N1021" s="20">
        <v>45926</v>
      </c>
      <c r="O1021" s="18" t="s">
        <v>21</v>
      </c>
      <c r="P1021" s="18" t="s">
        <v>1456</v>
      </c>
      <c r="Q1021" s="18" t="s">
        <v>140</v>
      </c>
      <c r="R1021" s="18" t="s">
        <v>136</v>
      </c>
      <c r="S1021" s="18" t="s">
        <v>1623</v>
      </c>
      <c r="T1021" s="18" t="s">
        <v>804</v>
      </c>
      <c r="U1021" s="18"/>
      <c r="V1021" s="18"/>
    </row>
    <row r="1022" spans="1:22" x14ac:dyDescent="0.3">
      <c r="A1022" s="45" t="e">
        <f t="shared" si="17"/>
        <v>#REF!</v>
      </c>
      <c r="B1022" s="18">
        <v>146</v>
      </c>
      <c r="C1022" s="18" t="s">
        <v>20</v>
      </c>
      <c r="D1022" s="18" t="s">
        <v>2155</v>
      </c>
      <c r="E1022" s="20">
        <v>45926</v>
      </c>
      <c r="F1022" s="44" t="s">
        <v>129</v>
      </c>
      <c r="G1022" s="29" t="s">
        <v>2162</v>
      </c>
      <c r="H1022" s="57">
        <v>133399.26</v>
      </c>
      <c r="I1022" s="20">
        <v>45926</v>
      </c>
      <c r="J1022" s="36">
        <v>45925</v>
      </c>
      <c r="K1022" s="18">
        <v>84</v>
      </c>
      <c r="L1022" s="61">
        <v>84</v>
      </c>
      <c r="M1022" s="61">
        <v>7</v>
      </c>
      <c r="N1022" s="20">
        <v>45926</v>
      </c>
      <c r="O1022" s="18" t="s">
        <v>21</v>
      </c>
      <c r="P1022" s="18" t="s">
        <v>1456</v>
      </c>
      <c r="Q1022" s="18" t="s">
        <v>140</v>
      </c>
      <c r="R1022" s="18" t="s">
        <v>136</v>
      </c>
      <c r="S1022" s="18" t="s">
        <v>1623</v>
      </c>
      <c r="T1022" s="18" t="s">
        <v>804</v>
      </c>
      <c r="U1022" s="18"/>
      <c r="V1022" s="18"/>
    </row>
    <row r="1023" spans="1:22" x14ac:dyDescent="0.3">
      <c r="A1023" s="45">
        <f t="shared" si="17"/>
        <v>1154</v>
      </c>
      <c r="B1023" s="18">
        <v>146</v>
      </c>
      <c r="C1023" s="18" t="s">
        <v>20</v>
      </c>
      <c r="D1023" s="18" t="s">
        <v>2149</v>
      </c>
      <c r="E1023" s="20">
        <v>45925</v>
      </c>
      <c r="F1023" s="21" t="s">
        <v>58</v>
      </c>
      <c r="G1023" s="29" t="s">
        <v>2156</v>
      </c>
      <c r="H1023" s="57">
        <v>1411446.99</v>
      </c>
      <c r="I1023" s="20">
        <v>45926</v>
      </c>
      <c r="J1023" s="36">
        <v>45925</v>
      </c>
      <c r="K1023" s="18">
        <v>1116</v>
      </c>
      <c r="L1023" s="61">
        <v>1116</v>
      </c>
      <c r="M1023" s="61">
        <v>93</v>
      </c>
      <c r="N1023" s="20">
        <v>45926</v>
      </c>
      <c r="O1023" s="18" t="s">
        <v>21</v>
      </c>
      <c r="P1023" s="18" t="s">
        <v>1456</v>
      </c>
      <c r="Q1023" s="18" t="s">
        <v>140</v>
      </c>
      <c r="R1023" s="18" t="s">
        <v>136</v>
      </c>
      <c r="S1023" s="18" t="s">
        <v>1623</v>
      </c>
      <c r="T1023" s="18" t="s">
        <v>804</v>
      </c>
      <c r="U1023" s="18"/>
      <c r="V1023" s="18"/>
    </row>
    <row r="1024" spans="1:22" x14ac:dyDescent="0.3">
      <c r="A1024" s="45" t="e">
        <f t="shared" si="17"/>
        <v>#REF!</v>
      </c>
      <c r="B1024" s="18">
        <v>146</v>
      </c>
      <c r="C1024" s="18" t="s">
        <v>20</v>
      </c>
      <c r="D1024" s="18" t="s">
        <v>2152</v>
      </c>
      <c r="E1024" s="20">
        <v>45925</v>
      </c>
      <c r="F1024" s="44" t="s">
        <v>130</v>
      </c>
      <c r="G1024" s="29" t="s">
        <v>2159</v>
      </c>
      <c r="H1024" s="57">
        <v>540140.76</v>
      </c>
      <c r="I1024" s="20">
        <v>45926</v>
      </c>
      <c r="J1024" s="36">
        <v>45925</v>
      </c>
      <c r="K1024" s="18">
        <v>432</v>
      </c>
      <c r="L1024" s="61">
        <v>432</v>
      </c>
      <c r="M1024" s="61">
        <v>36</v>
      </c>
      <c r="N1024" s="20">
        <v>45926</v>
      </c>
      <c r="O1024" s="18" t="s">
        <v>21</v>
      </c>
      <c r="P1024" s="18" t="s">
        <v>1456</v>
      </c>
      <c r="Q1024" s="18" t="s">
        <v>140</v>
      </c>
      <c r="R1024" s="18" t="s">
        <v>136</v>
      </c>
      <c r="S1024" s="18" t="s">
        <v>1623</v>
      </c>
      <c r="T1024" s="18" t="s">
        <v>804</v>
      </c>
      <c r="U1024" s="18"/>
      <c r="V1024" s="18"/>
    </row>
    <row r="1025" spans="1:22" x14ac:dyDescent="0.3">
      <c r="A1025" s="45">
        <f t="shared" si="17"/>
        <v>1155</v>
      </c>
      <c r="B1025" s="18">
        <v>146</v>
      </c>
      <c r="C1025" s="18" t="s">
        <v>20</v>
      </c>
      <c r="D1025" s="18" t="s">
        <v>2154</v>
      </c>
      <c r="E1025" s="20">
        <v>45926</v>
      </c>
      <c r="F1025" s="21" t="s">
        <v>58</v>
      </c>
      <c r="G1025" s="29" t="s">
        <v>2161</v>
      </c>
      <c r="H1025" s="57">
        <v>384285.9</v>
      </c>
      <c r="I1025" s="20">
        <v>45926</v>
      </c>
      <c r="J1025" s="36">
        <v>45925</v>
      </c>
      <c r="K1025" s="18">
        <v>360</v>
      </c>
      <c r="L1025" s="61">
        <v>360</v>
      </c>
      <c r="M1025" s="61">
        <v>30</v>
      </c>
      <c r="N1025" s="20">
        <v>45926</v>
      </c>
      <c r="O1025" s="18" t="s">
        <v>21</v>
      </c>
      <c r="P1025" s="18" t="s">
        <v>1456</v>
      </c>
      <c r="Q1025" s="18" t="s">
        <v>140</v>
      </c>
      <c r="R1025" s="18" t="s">
        <v>136</v>
      </c>
      <c r="S1025" s="18" t="s">
        <v>1623</v>
      </c>
      <c r="T1025" s="18" t="s">
        <v>804</v>
      </c>
      <c r="U1025" s="18"/>
      <c r="V1025" s="18"/>
    </row>
    <row r="1026" spans="1:22" x14ac:dyDescent="0.3">
      <c r="A1026" s="18">
        <v>1156</v>
      </c>
      <c r="B1026" s="18">
        <v>146</v>
      </c>
      <c r="C1026" s="18" t="s">
        <v>20</v>
      </c>
      <c r="D1026" s="18" t="s">
        <v>2150</v>
      </c>
      <c r="E1026" s="20">
        <v>45925</v>
      </c>
      <c r="F1026" s="44" t="s">
        <v>84</v>
      </c>
      <c r="G1026" s="29" t="s">
        <v>2157</v>
      </c>
      <c r="H1026" s="57">
        <v>133399.26</v>
      </c>
      <c r="I1026" s="20">
        <v>45926</v>
      </c>
      <c r="J1026" s="36">
        <v>45925</v>
      </c>
      <c r="K1026" s="18">
        <v>108</v>
      </c>
      <c r="L1026" s="61">
        <v>108</v>
      </c>
      <c r="M1026" s="61">
        <v>9</v>
      </c>
      <c r="N1026" s="20">
        <v>45926</v>
      </c>
      <c r="O1026" s="18" t="s">
        <v>21</v>
      </c>
      <c r="P1026" s="18" t="s">
        <v>1456</v>
      </c>
      <c r="Q1026" s="18" t="s">
        <v>140</v>
      </c>
      <c r="R1026" s="18" t="s">
        <v>136</v>
      </c>
      <c r="S1026" s="18" t="s">
        <v>1623</v>
      </c>
      <c r="T1026" s="18" t="s">
        <v>804</v>
      </c>
      <c r="U1026" s="18"/>
      <c r="V1026" s="18"/>
    </row>
    <row r="1027" spans="1:22" x14ac:dyDescent="0.3">
      <c r="A1027" s="18">
        <v>1156</v>
      </c>
      <c r="B1027" s="18">
        <v>147</v>
      </c>
      <c r="C1027" s="18" t="s">
        <v>20</v>
      </c>
      <c r="D1027" s="18" t="s">
        <v>2163</v>
      </c>
      <c r="E1027" s="20">
        <v>45927</v>
      </c>
      <c r="F1027" s="44" t="s">
        <v>28</v>
      </c>
      <c r="G1027" s="29" t="s">
        <v>2164</v>
      </c>
      <c r="H1027" s="57">
        <v>6940559.8499999996</v>
      </c>
      <c r="I1027" s="20">
        <v>45926</v>
      </c>
      <c r="J1027" s="36">
        <v>45925</v>
      </c>
      <c r="K1027" s="18">
        <v>468</v>
      </c>
      <c r="L1027" s="61">
        <v>468</v>
      </c>
      <c r="M1027" s="61">
        <v>39</v>
      </c>
      <c r="N1027" s="20">
        <v>45927</v>
      </c>
      <c r="O1027" s="18" t="s">
        <v>21</v>
      </c>
      <c r="P1027" s="18" t="s">
        <v>1456</v>
      </c>
      <c r="Q1027" s="18" t="s">
        <v>2165</v>
      </c>
      <c r="R1027" s="18" t="s">
        <v>136</v>
      </c>
      <c r="S1027" s="18" t="s">
        <v>1623</v>
      </c>
      <c r="T1027" s="18" t="s">
        <v>804</v>
      </c>
      <c r="U1027" s="18"/>
      <c r="V1027" s="18"/>
    </row>
    <row r="1028" spans="1:22" x14ac:dyDescent="0.3">
      <c r="A1028" s="18">
        <v>1156</v>
      </c>
      <c r="B1028" s="18">
        <v>147</v>
      </c>
      <c r="C1028" s="18" t="s">
        <v>20</v>
      </c>
      <c r="D1028" s="18" t="s">
        <v>2166</v>
      </c>
      <c r="E1028" s="20">
        <v>45927</v>
      </c>
      <c r="F1028" s="21" t="s">
        <v>53</v>
      </c>
      <c r="G1028" s="29" t="s">
        <v>2167</v>
      </c>
      <c r="H1028" s="57">
        <v>613814.11</v>
      </c>
      <c r="I1028" s="20">
        <v>45927</v>
      </c>
      <c r="J1028" s="36">
        <v>45925</v>
      </c>
      <c r="K1028" s="18">
        <v>444</v>
      </c>
      <c r="L1028" s="61">
        <v>444</v>
      </c>
      <c r="M1028" s="61">
        <v>37</v>
      </c>
      <c r="N1028" s="20">
        <v>45927</v>
      </c>
      <c r="O1028" s="18" t="s">
        <v>21</v>
      </c>
      <c r="P1028" s="18" t="s">
        <v>1456</v>
      </c>
      <c r="Q1028" s="18" t="s">
        <v>2165</v>
      </c>
      <c r="R1028" s="18" t="s">
        <v>136</v>
      </c>
      <c r="S1028" s="18" t="s">
        <v>1623</v>
      </c>
      <c r="T1028" s="18" t="s">
        <v>804</v>
      </c>
      <c r="U1028" s="18"/>
      <c r="V1028" s="18"/>
    </row>
    <row r="1029" spans="1:22" x14ac:dyDescent="0.3">
      <c r="A1029" s="18">
        <v>1156</v>
      </c>
      <c r="B1029" s="18">
        <v>147</v>
      </c>
      <c r="C1029" s="18" t="s">
        <v>20</v>
      </c>
      <c r="D1029" s="18" t="s">
        <v>2168</v>
      </c>
      <c r="E1029" s="20">
        <v>45927</v>
      </c>
      <c r="F1029" s="25" t="s">
        <v>122</v>
      </c>
      <c r="G1029" s="29" t="s">
        <v>2169</v>
      </c>
      <c r="H1029" s="57">
        <v>425907.74</v>
      </c>
      <c r="I1029" s="20">
        <v>45927</v>
      </c>
      <c r="J1029" s="36">
        <v>45925</v>
      </c>
      <c r="K1029" s="18">
        <v>312</v>
      </c>
      <c r="L1029" s="61">
        <v>312</v>
      </c>
      <c r="M1029" s="61">
        <v>26</v>
      </c>
      <c r="N1029" s="20">
        <v>45927</v>
      </c>
      <c r="O1029" s="18" t="s">
        <v>21</v>
      </c>
      <c r="P1029" s="18" t="s">
        <v>1456</v>
      </c>
      <c r="Q1029" s="18" t="s">
        <v>2165</v>
      </c>
      <c r="R1029" s="18" t="s">
        <v>136</v>
      </c>
      <c r="S1029" s="18" t="s">
        <v>1623</v>
      </c>
      <c r="T1029" s="18" t="s">
        <v>804</v>
      </c>
      <c r="U1029" s="18"/>
      <c r="V1029" s="18"/>
    </row>
    <row r="1030" spans="1:22" x14ac:dyDescent="0.3">
      <c r="A1030" s="18">
        <v>1156</v>
      </c>
      <c r="B1030" s="18">
        <v>147</v>
      </c>
      <c r="C1030" s="18" t="s">
        <v>20</v>
      </c>
      <c r="D1030" s="18" t="s">
        <v>2170</v>
      </c>
      <c r="E1030" s="20">
        <v>45927</v>
      </c>
      <c r="F1030" s="44" t="s">
        <v>129</v>
      </c>
      <c r="G1030" s="29" t="s">
        <v>2171</v>
      </c>
      <c r="H1030" s="57">
        <v>791568.37</v>
      </c>
      <c r="I1030" s="20">
        <v>45927</v>
      </c>
      <c r="J1030" s="36">
        <v>45925</v>
      </c>
      <c r="K1030" s="18">
        <v>372</v>
      </c>
      <c r="L1030" s="61">
        <v>372</v>
      </c>
      <c r="M1030" s="61">
        <v>31</v>
      </c>
      <c r="N1030" s="20">
        <v>45927</v>
      </c>
      <c r="O1030" s="18" t="s">
        <v>21</v>
      </c>
      <c r="P1030" s="18" t="s">
        <v>1456</v>
      </c>
      <c r="Q1030" s="18" t="s">
        <v>2165</v>
      </c>
      <c r="R1030" s="18" t="s">
        <v>136</v>
      </c>
      <c r="S1030" s="18" t="s">
        <v>1623</v>
      </c>
      <c r="T1030" s="18" t="s">
        <v>804</v>
      </c>
      <c r="U1030" s="18"/>
      <c r="V1030" s="18"/>
    </row>
    <row r="1031" spans="1:22" x14ac:dyDescent="0.3">
      <c r="A1031" s="18">
        <v>1156</v>
      </c>
      <c r="B1031" s="18">
        <v>147</v>
      </c>
      <c r="C1031" s="18" t="s">
        <v>20</v>
      </c>
      <c r="D1031" s="18" t="s">
        <v>2173</v>
      </c>
      <c r="E1031" s="20">
        <v>45927</v>
      </c>
      <c r="F1031" s="44" t="s">
        <v>123</v>
      </c>
      <c r="G1031" s="29" t="s">
        <v>2174</v>
      </c>
      <c r="H1031" s="57">
        <v>449583.67</v>
      </c>
      <c r="I1031" s="20">
        <v>45927</v>
      </c>
      <c r="J1031" s="36">
        <v>45925</v>
      </c>
      <c r="K1031" s="18">
        <v>300</v>
      </c>
      <c r="L1031" s="61">
        <v>300</v>
      </c>
      <c r="M1031" s="61">
        <v>25</v>
      </c>
      <c r="N1031" s="20">
        <v>45927</v>
      </c>
      <c r="O1031" s="18" t="s">
        <v>21</v>
      </c>
      <c r="P1031" s="18" t="s">
        <v>1456</v>
      </c>
      <c r="Q1031" s="18" t="s">
        <v>2165</v>
      </c>
      <c r="R1031" s="18" t="s">
        <v>136</v>
      </c>
      <c r="S1031" s="18" t="s">
        <v>1623</v>
      </c>
      <c r="T1031" s="18" t="s">
        <v>804</v>
      </c>
      <c r="U1031" s="18"/>
      <c r="V1031" s="18"/>
    </row>
    <row r="1032" spans="1:22" x14ac:dyDescent="0.3">
      <c r="A1032" s="18">
        <v>1156</v>
      </c>
      <c r="B1032" s="18">
        <v>147</v>
      </c>
      <c r="C1032" s="18" t="s">
        <v>20</v>
      </c>
      <c r="D1032" s="18" t="s">
        <v>2172</v>
      </c>
      <c r="E1032" s="20">
        <v>45927</v>
      </c>
      <c r="F1032" s="44" t="s">
        <v>119</v>
      </c>
      <c r="G1032" s="29" t="s">
        <v>2175</v>
      </c>
      <c r="H1032" s="57">
        <v>248484.51</v>
      </c>
      <c r="I1032" s="20">
        <v>45927</v>
      </c>
      <c r="J1032" s="36">
        <v>45925</v>
      </c>
      <c r="K1032" s="18">
        <v>156</v>
      </c>
      <c r="L1032" s="61">
        <v>156</v>
      </c>
      <c r="M1032" s="61">
        <v>13</v>
      </c>
      <c r="N1032" s="20">
        <v>45927</v>
      </c>
      <c r="O1032" s="18" t="s">
        <v>21</v>
      </c>
      <c r="P1032" s="18" t="s">
        <v>1456</v>
      </c>
      <c r="Q1032" s="18" t="s">
        <v>2165</v>
      </c>
      <c r="R1032" s="18" t="s">
        <v>136</v>
      </c>
      <c r="S1032" s="18" t="s">
        <v>1623</v>
      </c>
      <c r="T1032" s="18" t="s">
        <v>804</v>
      </c>
      <c r="U1032" s="18"/>
      <c r="V1032" s="18"/>
    </row>
    <row r="1033" spans="1:22" x14ac:dyDescent="0.3">
      <c r="A1033" s="18">
        <v>1157</v>
      </c>
      <c r="B1033" s="18">
        <v>147</v>
      </c>
      <c r="C1033" s="18" t="s">
        <v>20</v>
      </c>
      <c r="D1033" s="18" t="s">
        <v>2207</v>
      </c>
      <c r="E1033" s="20">
        <v>45927</v>
      </c>
      <c r="F1033" s="44" t="s">
        <v>35</v>
      </c>
      <c r="G1033" s="29" t="s">
        <v>2176</v>
      </c>
      <c r="H1033" s="57">
        <v>350765.24</v>
      </c>
      <c r="I1033" s="20">
        <v>45927</v>
      </c>
      <c r="J1033" s="36">
        <v>45925</v>
      </c>
      <c r="K1033" s="18">
        <v>240</v>
      </c>
      <c r="L1033" s="61">
        <v>240</v>
      </c>
      <c r="M1033" s="61">
        <v>20</v>
      </c>
      <c r="N1033" s="20">
        <v>45927</v>
      </c>
      <c r="O1033" s="18" t="s">
        <v>21</v>
      </c>
      <c r="P1033" s="18" t="s">
        <v>1456</v>
      </c>
      <c r="Q1033" s="18" t="s">
        <v>2165</v>
      </c>
      <c r="R1033" s="18" t="s">
        <v>136</v>
      </c>
      <c r="S1033" s="18" t="s">
        <v>1623</v>
      </c>
      <c r="T1033" s="18" t="s">
        <v>804</v>
      </c>
      <c r="U1033" s="18"/>
      <c r="V1033" s="18"/>
    </row>
    <row r="1034" spans="1:22" x14ac:dyDescent="0.3">
      <c r="A1034" s="18">
        <v>1157</v>
      </c>
      <c r="B1034" s="18">
        <v>147</v>
      </c>
      <c r="C1034" s="18" t="s">
        <v>20</v>
      </c>
      <c r="D1034" s="18" t="s">
        <v>2180</v>
      </c>
      <c r="E1034" s="20">
        <v>45928</v>
      </c>
      <c r="F1034" s="21" t="s">
        <v>47</v>
      </c>
      <c r="G1034" s="29" t="s">
        <v>2181</v>
      </c>
      <c r="H1034" s="57">
        <v>412150.24</v>
      </c>
      <c r="I1034" s="20">
        <v>45926</v>
      </c>
      <c r="J1034" s="36">
        <v>45925</v>
      </c>
      <c r="K1034" s="18">
        <v>192</v>
      </c>
      <c r="L1034" s="61">
        <v>192</v>
      </c>
      <c r="M1034" s="61">
        <v>16</v>
      </c>
      <c r="N1034" s="20">
        <v>45928</v>
      </c>
      <c r="O1034" s="18" t="s">
        <v>21</v>
      </c>
      <c r="P1034" s="18" t="s">
        <v>1456</v>
      </c>
      <c r="Q1034" s="18" t="s">
        <v>2179</v>
      </c>
      <c r="R1034" s="18" t="s">
        <v>136</v>
      </c>
      <c r="S1034" s="18" t="s">
        <v>1623</v>
      </c>
      <c r="T1034" s="18" t="s">
        <v>804</v>
      </c>
      <c r="U1034" s="18"/>
      <c r="V1034" s="18"/>
    </row>
    <row r="1035" spans="1:22" x14ac:dyDescent="0.3">
      <c r="A1035" s="18">
        <v>1157</v>
      </c>
      <c r="B1035" s="18">
        <v>147</v>
      </c>
      <c r="C1035" s="18" t="s">
        <v>20</v>
      </c>
      <c r="D1035" s="18" t="s">
        <v>2182</v>
      </c>
      <c r="E1035" s="20">
        <v>45928</v>
      </c>
      <c r="F1035" s="21" t="s">
        <v>47</v>
      </c>
      <c r="G1035" s="29" t="s">
        <v>2183</v>
      </c>
      <c r="H1035" s="57">
        <v>623644.84</v>
      </c>
      <c r="I1035" s="20">
        <v>45927</v>
      </c>
      <c r="J1035" s="36">
        <v>45925</v>
      </c>
      <c r="K1035" s="18">
        <v>336</v>
      </c>
      <c r="L1035" s="61">
        <v>336</v>
      </c>
      <c r="M1035" s="61">
        <v>28</v>
      </c>
      <c r="N1035" s="20">
        <v>45928</v>
      </c>
      <c r="O1035" s="18" t="s">
        <v>21</v>
      </c>
      <c r="P1035" s="18" t="s">
        <v>1456</v>
      </c>
      <c r="Q1035" s="18" t="s">
        <v>2179</v>
      </c>
      <c r="R1035" s="18" t="s">
        <v>136</v>
      </c>
      <c r="S1035" s="18" t="s">
        <v>1623</v>
      </c>
      <c r="T1035" s="18" t="s">
        <v>804</v>
      </c>
      <c r="U1035" s="18"/>
      <c r="V1035" s="18"/>
    </row>
    <row r="1036" spans="1:22" x14ac:dyDescent="0.3">
      <c r="A1036" s="18">
        <v>1157</v>
      </c>
      <c r="B1036" s="18">
        <v>147</v>
      </c>
      <c r="C1036" s="18" t="s">
        <v>20</v>
      </c>
      <c r="D1036" s="18" t="s">
        <v>2192</v>
      </c>
      <c r="E1036" s="20">
        <v>45928</v>
      </c>
      <c r="F1036" s="44" t="s">
        <v>2193</v>
      </c>
      <c r="G1036" s="29" t="s">
        <v>2194</v>
      </c>
      <c r="H1036" s="57">
        <v>160059.34</v>
      </c>
      <c r="I1036" s="20">
        <v>45928</v>
      </c>
      <c r="J1036" s="36">
        <v>45925</v>
      </c>
      <c r="K1036" s="18">
        <v>120</v>
      </c>
      <c r="L1036" s="61">
        <v>120</v>
      </c>
      <c r="M1036" s="61">
        <v>10</v>
      </c>
      <c r="N1036" s="20">
        <v>45928</v>
      </c>
      <c r="O1036" s="18" t="s">
        <v>21</v>
      </c>
      <c r="P1036" s="18" t="s">
        <v>1456</v>
      </c>
      <c r="Q1036" s="18" t="s">
        <v>2079</v>
      </c>
      <c r="R1036" s="18" t="s">
        <v>136</v>
      </c>
      <c r="S1036" s="18" t="s">
        <v>1623</v>
      </c>
      <c r="T1036" s="18" t="s">
        <v>804</v>
      </c>
      <c r="U1036" s="18"/>
      <c r="V1036" s="18"/>
    </row>
    <row r="1037" spans="1:22" x14ac:dyDescent="0.3">
      <c r="A1037" s="18">
        <v>1157</v>
      </c>
      <c r="B1037" s="18">
        <v>147</v>
      </c>
      <c r="C1037" s="18" t="s">
        <v>23</v>
      </c>
      <c r="D1037" s="18" t="s">
        <v>2199</v>
      </c>
      <c r="E1037" s="20">
        <v>45928</v>
      </c>
      <c r="F1037" s="21" t="s">
        <v>58</v>
      </c>
      <c r="G1037" s="29" t="s">
        <v>2200</v>
      </c>
      <c r="H1037" s="57">
        <v>1045088.4</v>
      </c>
      <c r="I1037" s="20">
        <v>45928</v>
      </c>
      <c r="J1037" s="36">
        <v>45925</v>
      </c>
      <c r="K1037" s="18">
        <v>2400</v>
      </c>
      <c r="L1037" s="61">
        <v>2400</v>
      </c>
      <c r="M1037" s="61">
        <v>100</v>
      </c>
      <c r="N1037" s="20">
        <v>45928</v>
      </c>
      <c r="O1037" s="18" t="s">
        <v>21</v>
      </c>
      <c r="P1037" s="18" t="s">
        <v>1456</v>
      </c>
      <c r="Q1037" s="18" t="s">
        <v>2079</v>
      </c>
      <c r="R1037" s="18" t="s">
        <v>136</v>
      </c>
      <c r="S1037" s="18" t="s">
        <v>1623</v>
      </c>
      <c r="T1037" s="18" t="s">
        <v>804</v>
      </c>
      <c r="U1037" s="18"/>
      <c r="V1037" s="18"/>
    </row>
    <row r="1038" spans="1:22" x14ac:dyDescent="0.3">
      <c r="A1038" s="18">
        <v>1157</v>
      </c>
      <c r="B1038" s="18">
        <v>147</v>
      </c>
      <c r="C1038" s="18" t="s">
        <v>23</v>
      </c>
      <c r="D1038" s="18" t="s">
        <v>2196</v>
      </c>
      <c r="E1038" s="20">
        <v>45928</v>
      </c>
      <c r="F1038" s="44" t="s">
        <v>580</v>
      </c>
      <c r="G1038" s="29" t="s">
        <v>2195</v>
      </c>
      <c r="H1038" s="57">
        <v>200509.24</v>
      </c>
      <c r="I1038" s="20">
        <v>45928</v>
      </c>
      <c r="J1038" s="36">
        <v>45925</v>
      </c>
      <c r="K1038" s="18">
        <v>504</v>
      </c>
      <c r="L1038" s="61">
        <v>504</v>
      </c>
      <c r="M1038" s="61">
        <v>21</v>
      </c>
      <c r="N1038" s="20">
        <v>45928</v>
      </c>
      <c r="O1038" s="18" t="s">
        <v>21</v>
      </c>
      <c r="P1038" s="18" t="s">
        <v>1456</v>
      </c>
      <c r="Q1038" s="18" t="s">
        <v>2079</v>
      </c>
      <c r="R1038" s="18" t="s">
        <v>136</v>
      </c>
      <c r="S1038" s="18" t="s">
        <v>1623</v>
      </c>
      <c r="T1038" s="18" t="s">
        <v>804</v>
      </c>
      <c r="U1038" s="18"/>
      <c r="V1038" s="18"/>
    </row>
    <row r="1039" spans="1:22" x14ac:dyDescent="0.3">
      <c r="A1039" s="18">
        <v>1157</v>
      </c>
      <c r="B1039" s="18">
        <v>147</v>
      </c>
      <c r="C1039" s="18" t="s">
        <v>20</v>
      </c>
      <c r="D1039" s="18" t="s">
        <v>2197</v>
      </c>
      <c r="E1039" s="20">
        <v>45928</v>
      </c>
      <c r="F1039" s="44" t="s">
        <v>131</v>
      </c>
      <c r="G1039" s="29" t="s">
        <v>2198</v>
      </c>
      <c r="H1039" s="57">
        <v>260258.52</v>
      </c>
      <c r="I1039" s="20">
        <v>45928</v>
      </c>
      <c r="J1039" s="36">
        <v>45925</v>
      </c>
      <c r="K1039" s="18">
        <v>192</v>
      </c>
      <c r="L1039" s="61">
        <v>192</v>
      </c>
      <c r="M1039" s="61">
        <v>16</v>
      </c>
      <c r="N1039" s="20">
        <v>45928</v>
      </c>
      <c r="O1039" s="18" t="s">
        <v>21</v>
      </c>
      <c r="P1039" s="18" t="s">
        <v>1456</v>
      </c>
      <c r="Q1039" s="18" t="s">
        <v>2079</v>
      </c>
      <c r="R1039" s="18" t="s">
        <v>136</v>
      </c>
      <c r="S1039" s="18" t="s">
        <v>1623</v>
      </c>
      <c r="T1039" s="18" t="s">
        <v>804</v>
      </c>
      <c r="U1039" s="18"/>
      <c r="V1039" s="18"/>
    </row>
    <row r="1040" spans="1:22" x14ac:dyDescent="0.3">
      <c r="A1040" s="18">
        <v>1157</v>
      </c>
      <c r="B1040" s="18">
        <v>147</v>
      </c>
      <c r="C1040" s="18" t="s">
        <v>20</v>
      </c>
      <c r="D1040" s="18" t="s">
        <v>2184</v>
      </c>
      <c r="E1040" s="20">
        <v>45928</v>
      </c>
      <c r="F1040" s="44" t="s">
        <v>28</v>
      </c>
      <c r="G1040" s="29" t="s">
        <v>2185</v>
      </c>
      <c r="H1040" s="57">
        <v>812121.1</v>
      </c>
      <c r="I1040" s="20">
        <v>45928</v>
      </c>
      <c r="J1040" s="36">
        <v>45925</v>
      </c>
      <c r="K1040" s="18">
        <v>552</v>
      </c>
      <c r="L1040" s="61">
        <v>552</v>
      </c>
      <c r="M1040" s="61">
        <v>46</v>
      </c>
      <c r="N1040" s="20">
        <v>45928</v>
      </c>
      <c r="O1040" s="18" t="s">
        <v>21</v>
      </c>
      <c r="P1040" s="18" t="s">
        <v>1456</v>
      </c>
      <c r="Q1040" s="18" t="s">
        <v>2179</v>
      </c>
      <c r="R1040" s="18" t="s">
        <v>136</v>
      </c>
      <c r="S1040" s="18" t="s">
        <v>1623</v>
      </c>
      <c r="T1040" s="18" t="s">
        <v>804</v>
      </c>
      <c r="U1040" s="18"/>
      <c r="V1040" s="18"/>
    </row>
    <row r="1041" spans="1:22" x14ac:dyDescent="0.3">
      <c r="A1041" s="18">
        <v>1157</v>
      </c>
      <c r="B1041" s="18">
        <v>147</v>
      </c>
      <c r="C1041" s="18" t="s">
        <v>20</v>
      </c>
      <c r="D1041" s="18" t="s">
        <v>2177</v>
      </c>
      <c r="E1041" s="20">
        <v>45928</v>
      </c>
      <c r="F1041" s="44" t="s">
        <v>129</v>
      </c>
      <c r="G1041" s="29" t="s">
        <v>2178</v>
      </c>
      <c r="H1041" s="57">
        <v>721841.17</v>
      </c>
      <c r="I1041" s="20">
        <v>45928</v>
      </c>
      <c r="J1041" s="36">
        <v>45925</v>
      </c>
      <c r="K1041" s="18">
        <v>372</v>
      </c>
      <c r="L1041" s="61">
        <v>372</v>
      </c>
      <c r="M1041" s="61">
        <v>31</v>
      </c>
      <c r="N1041" s="20">
        <v>45928</v>
      </c>
      <c r="O1041" s="18" t="s">
        <v>21</v>
      </c>
      <c r="P1041" s="18" t="s">
        <v>1456</v>
      </c>
      <c r="Q1041" s="18" t="s">
        <v>2179</v>
      </c>
      <c r="R1041" s="18" t="s">
        <v>136</v>
      </c>
      <c r="S1041" s="18" t="s">
        <v>1623</v>
      </c>
      <c r="T1041" s="18" t="s">
        <v>804</v>
      </c>
      <c r="U1041" s="18"/>
      <c r="V1041" s="18"/>
    </row>
    <row r="1042" spans="1:22" x14ac:dyDescent="0.3">
      <c r="A1042" s="18">
        <v>1157</v>
      </c>
      <c r="B1042" s="18">
        <v>147</v>
      </c>
      <c r="C1042" s="18" t="s">
        <v>20</v>
      </c>
      <c r="D1042" s="18" t="s">
        <v>2186</v>
      </c>
      <c r="E1042" s="20">
        <v>45928</v>
      </c>
      <c r="F1042" s="44" t="s">
        <v>117</v>
      </c>
      <c r="G1042" s="29" t="s">
        <v>2187</v>
      </c>
      <c r="H1042" s="57">
        <v>223078.93</v>
      </c>
      <c r="I1042" s="20">
        <v>45928</v>
      </c>
      <c r="J1042" s="36">
        <v>45925</v>
      </c>
      <c r="K1042" s="18">
        <v>156</v>
      </c>
      <c r="L1042" s="61">
        <v>156</v>
      </c>
      <c r="M1042" s="61">
        <v>13</v>
      </c>
      <c r="N1042" s="20">
        <v>45928</v>
      </c>
      <c r="O1042" s="18" t="s">
        <v>21</v>
      </c>
      <c r="P1042" s="18" t="s">
        <v>1456</v>
      </c>
      <c r="Q1042" s="18" t="s">
        <v>2179</v>
      </c>
      <c r="R1042" s="18" t="s">
        <v>136</v>
      </c>
      <c r="S1042" s="18" t="s">
        <v>1623</v>
      </c>
      <c r="T1042" s="18" t="s">
        <v>804</v>
      </c>
      <c r="U1042" s="18"/>
      <c r="V1042" s="18"/>
    </row>
    <row r="1043" spans="1:22" x14ac:dyDescent="0.3">
      <c r="A1043" s="18">
        <v>1157</v>
      </c>
      <c r="B1043" s="18">
        <v>147</v>
      </c>
      <c r="C1043" s="18" t="s">
        <v>20</v>
      </c>
      <c r="D1043" s="18" t="s">
        <v>2188</v>
      </c>
      <c r="E1043" s="20">
        <v>45928</v>
      </c>
      <c r="F1043" s="44" t="s">
        <v>113</v>
      </c>
      <c r="G1043" s="29" t="s">
        <v>2189</v>
      </c>
      <c r="H1043" s="57">
        <v>260253.52</v>
      </c>
      <c r="I1043" s="20">
        <v>45928</v>
      </c>
      <c r="J1043" s="36">
        <v>45925</v>
      </c>
      <c r="K1043" s="18">
        <v>192</v>
      </c>
      <c r="L1043" s="61">
        <v>192</v>
      </c>
      <c r="M1043" s="61">
        <v>16</v>
      </c>
      <c r="N1043" s="20">
        <v>45928</v>
      </c>
      <c r="O1043" s="18" t="s">
        <v>21</v>
      </c>
      <c r="P1043" s="18" t="s">
        <v>1456</v>
      </c>
      <c r="Q1043" s="18" t="s">
        <v>2179</v>
      </c>
      <c r="R1043" s="18" t="s">
        <v>136</v>
      </c>
      <c r="S1043" s="18" t="s">
        <v>1623</v>
      </c>
      <c r="T1043" s="18" t="s">
        <v>804</v>
      </c>
      <c r="U1043" s="18"/>
      <c r="V1043" s="18"/>
    </row>
    <row r="1044" spans="1:22" x14ac:dyDescent="0.3">
      <c r="A1044" s="18">
        <v>1157</v>
      </c>
      <c r="B1044" s="18">
        <v>147</v>
      </c>
      <c r="C1044" s="18" t="s">
        <v>20</v>
      </c>
      <c r="D1044" s="18" t="s">
        <v>2201</v>
      </c>
      <c r="E1044" s="20">
        <v>45928</v>
      </c>
      <c r="F1044" s="44" t="s">
        <v>64</v>
      </c>
      <c r="G1044" s="29" t="s">
        <v>2202</v>
      </c>
      <c r="H1044" s="57">
        <v>476317.97</v>
      </c>
      <c r="I1044" s="20">
        <v>45928</v>
      </c>
      <c r="J1044" s="36">
        <v>45925</v>
      </c>
      <c r="K1044" s="18">
        <v>348</v>
      </c>
      <c r="L1044" s="61">
        <v>348</v>
      </c>
      <c r="M1044" s="61">
        <v>29</v>
      </c>
      <c r="N1044" s="20">
        <v>45928</v>
      </c>
      <c r="O1044" s="18" t="s">
        <v>21</v>
      </c>
      <c r="P1044" s="18" t="s">
        <v>1456</v>
      </c>
      <c r="Q1044" s="18" t="s">
        <v>2079</v>
      </c>
      <c r="R1044" s="18" t="s">
        <v>136</v>
      </c>
      <c r="S1044" s="18" t="s">
        <v>1623</v>
      </c>
      <c r="T1044" s="18" t="s">
        <v>804</v>
      </c>
      <c r="U1044" s="18"/>
      <c r="V1044" s="18"/>
    </row>
    <row r="1045" spans="1:22" x14ac:dyDescent="0.3">
      <c r="A1045" s="18">
        <v>1157</v>
      </c>
      <c r="B1045" s="18">
        <v>147</v>
      </c>
      <c r="C1045" s="18" t="s">
        <v>20</v>
      </c>
      <c r="D1045" s="18" t="s">
        <v>2203</v>
      </c>
      <c r="E1045" s="20">
        <v>45928</v>
      </c>
      <c r="F1045" s="44" t="s">
        <v>118</v>
      </c>
      <c r="G1045" s="29" t="s">
        <v>2204</v>
      </c>
      <c r="H1045" s="57">
        <v>96728.72</v>
      </c>
      <c r="I1045" s="20">
        <v>45928</v>
      </c>
      <c r="J1045" s="36">
        <v>45925</v>
      </c>
      <c r="K1045" s="18">
        <v>72</v>
      </c>
      <c r="L1045" s="61">
        <v>72</v>
      </c>
      <c r="M1045" s="61">
        <v>6</v>
      </c>
      <c r="N1045" s="20">
        <v>45928</v>
      </c>
      <c r="O1045" s="18" t="s">
        <v>21</v>
      </c>
      <c r="P1045" s="18" t="s">
        <v>1456</v>
      </c>
      <c r="Q1045" s="18" t="s">
        <v>2079</v>
      </c>
      <c r="R1045" s="18" t="s">
        <v>136</v>
      </c>
      <c r="S1045" s="18" t="s">
        <v>1623</v>
      </c>
      <c r="T1045" s="18" t="s">
        <v>804</v>
      </c>
      <c r="U1045" s="18"/>
      <c r="V1045" s="18"/>
    </row>
    <row r="1046" spans="1:22" x14ac:dyDescent="0.3">
      <c r="A1046" s="18">
        <v>1157</v>
      </c>
      <c r="B1046" s="18">
        <v>147</v>
      </c>
      <c r="C1046" s="18" t="s">
        <v>20</v>
      </c>
      <c r="D1046" s="18" t="s">
        <v>2190</v>
      </c>
      <c r="E1046" s="20">
        <v>45928</v>
      </c>
      <c r="F1046" s="21" t="s">
        <v>33</v>
      </c>
      <c r="G1046" s="29" t="s">
        <v>2191</v>
      </c>
      <c r="H1046" s="57">
        <v>398064.89</v>
      </c>
      <c r="I1046" s="20">
        <v>45928</v>
      </c>
      <c r="J1046" s="36">
        <v>45925</v>
      </c>
      <c r="K1046" s="18">
        <v>276</v>
      </c>
      <c r="L1046" s="61">
        <v>276</v>
      </c>
      <c r="M1046" s="61">
        <v>23</v>
      </c>
      <c r="N1046" s="20">
        <v>45928</v>
      </c>
      <c r="O1046" s="18" t="s">
        <v>21</v>
      </c>
      <c r="P1046" s="18" t="s">
        <v>1456</v>
      </c>
      <c r="Q1046" s="18" t="s">
        <v>2179</v>
      </c>
      <c r="R1046" s="18" t="s">
        <v>136</v>
      </c>
      <c r="S1046" s="18" t="s">
        <v>1623</v>
      </c>
      <c r="T1046" s="18" t="s">
        <v>804</v>
      </c>
      <c r="U1046" s="18"/>
      <c r="V1046" s="18"/>
    </row>
    <row r="1047" spans="1:22" x14ac:dyDescent="0.3">
      <c r="A1047" s="18">
        <v>1157</v>
      </c>
      <c r="B1047" s="18">
        <v>147</v>
      </c>
      <c r="C1047" s="18" t="s">
        <v>20</v>
      </c>
      <c r="D1047" s="18" t="s">
        <v>2205</v>
      </c>
      <c r="E1047" s="20">
        <v>45928</v>
      </c>
      <c r="F1047" s="44" t="s">
        <v>35</v>
      </c>
      <c r="G1047" s="29" t="s">
        <v>2206</v>
      </c>
      <c r="H1047" s="57">
        <v>388693.49</v>
      </c>
      <c r="I1047" s="20">
        <v>45928</v>
      </c>
      <c r="J1047" s="36">
        <v>45925</v>
      </c>
      <c r="K1047" s="18">
        <v>264</v>
      </c>
      <c r="L1047" s="61">
        <v>264</v>
      </c>
      <c r="M1047" s="61">
        <v>22</v>
      </c>
      <c r="N1047" s="20">
        <v>45928</v>
      </c>
      <c r="O1047" s="18" t="s">
        <v>21</v>
      </c>
      <c r="P1047" s="18" t="s">
        <v>1456</v>
      </c>
      <c r="Q1047" s="18" t="s">
        <v>2079</v>
      </c>
      <c r="R1047" s="18" t="s">
        <v>136</v>
      </c>
      <c r="S1047" s="18" t="s">
        <v>1623</v>
      </c>
      <c r="T1047" s="18" t="s">
        <v>804</v>
      </c>
      <c r="U1047" s="18"/>
      <c r="V1047" s="18"/>
    </row>
    <row r="1048" spans="1:22" x14ac:dyDescent="0.3">
      <c r="A1048" s="18">
        <v>1158</v>
      </c>
      <c r="B1048" s="18">
        <v>148</v>
      </c>
      <c r="C1048" s="18" t="s">
        <v>20</v>
      </c>
      <c r="D1048" s="18" t="s">
        <v>246</v>
      </c>
      <c r="E1048" s="20">
        <v>45926</v>
      </c>
      <c r="F1048" s="44" t="s">
        <v>2208</v>
      </c>
      <c r="G1048" s="29" t="s">
        <v>2209</v>
      </c>
      <c r="H1048" s="57">
        <v>1653550.85</v>
      </c>
      <c r="I1048" s="20">
        <v>45926</v>
      </c>
      <c r="J1048" s="36">
        <v>45925</v>
      </c>
      <c r="K1048" s="18">
        <v>1320</v>
      </c>
      <c r="L1048" s="61">
        <v>1320</v>
      </c>
      <c r="M1048" s="61">
        <v>110</v>
      </c>
      <c r="N1048" s="20">
        <v>45928</v>
      </c>
      <c r="O1048" s="18" t="s">
        <v>21</v>
      </c>
      <c r="P1048" s="18" t="s">
        <v>1456</v>
      </c>
      <c r="Q1048" s="18" t="s">
        <v>2210</v>
      </c>
      <c r="R1048" s="18" t="s">
        <v>102</v>
      </c>
      <c r="S1048" s="18" t="s">
        <v>1623</v>
      </c>
      <c r="T1048" s="18" t="s">
        <v>804</v>
      </c>
      <c r="U1048" s="18"/>
      <c r="V1048" s="18"/>
    </row>
    <row r="1049" spans="1:22" x14ac:dyDescent="0.3">
      <c r="A1049" s="18">
        <v>1158</v>
      </c>
      <c r="B1049" s="18">
        <v>148</v>
      </c>
      <c r="C1049" s="18" t="s">
        <v>20</v>
      </c>
      <c r="D1049" s="18" t="s">
        <v>2211</v>
      </c>
      <c r="E1049" s="20">
        <v>45927</v>
      </c>
      <c r="F1049" s="44" t="s">
        <v>2193</v>
      </c>
      <c r="G1049" s="29" t="s">
        <v>2212</v>
      </c>
      <c r="H1049" s="57">
        <v>303238.37</v>
      </c>
      <c r="I1049" s="20">
        <v>45927</v>
      </c>
      <c r="J1049" s="36">
        <v>45925</v>
      </c>
      <c r="K1049" s="18">
        <v>240</v>
      </c>
      <c r="L1049" s="61">
        <v>240</v>
      </c>
      <c r="M1049" s="61">
        <v>20</v>
      </c>
      <c r="N1049" s="20">
        <v>45928</v>
      </c>
      <c r="O1049" s="18" t="s">
        <v>21</v>
      </c>
      <c r="P1049" s="18" t="s">
        <v>1456</v>
      </c>
      <c r="Q1049" s="18" t="s">
        <v>2210</v>
      </c>
      <c r="R1049" s="18" t="s">
        <v>102</v>
      </c>
      <c r="S1049" s="18" t="s">
        <v>1623</v>
      </c>
      <c r="T1049" s="18" t="s">
        <v>804</v>
      </c>
      <c r="U1049" s="18"/>
      <c r="V1049" s="18"/>
    </row>
    <row r="1050" spans="1:22" x14ac:dyDescent="0.3">
      <c r="A1050" s="18">
        <v>1158</v>
      </c>
      <c r="B1050" s="18">
        <v>148</v>
      </c>
      <c r="C1050" s="18" t="s">
        <v>20</v>
      </c>
      <c r="D1050" s="18" t="s">
        <v>2213</v>
      </c>
      <c r="E1050" s="20">
        <v>45928</v>
      </c>
      <c r="F1050" s="24" t="s">
        <v>121</v>
      </c>
      <c r="G1050" s="29" t="s">
        <v>2214</v>
      </c>
      <c r="H1050" s="57">
        <v>724425.33</v>
      </c>
      <c r="I1050" s="20">
        <v>45928</v>
      </c>
      <c r="J1050" s="36">
        <v>45925</v>
      </c>
      <c r="K1050" s="18">
        <v>576</v>
      </c>
      <c r="L1050" s="61">
        <v>576</v>
      </c>
      <c r="M1050" s="61">
        <v>48</v>
      </c>
      <c r="N1050" s="20">
        <v>45928</v>
      </c>
      <c r="O1050" s="18" t="s">
        <v>21</v>
      </c>
      <c r="P1050" s="18" t="s">
        <v>1456</v>
      </c>
      <c r="Q1050" s="18" t="s">
        <v>2210</v>
      </c>
      <c r="R1050" s="18" t="s">
        <v>102</v>
      </c>
      <c r="S1050" s="18" t="s">
        <v>1623</v>
      </c>
      <c r="T1050" s="18" t="s">
        <v>804</v>
      </c>
      <c r="U1050" s="18"/>
      <c r="V1050" s="18"/>
    </row>
    <row r="1051" spans="1:22" x14ac:dyDescent="0.3">
      <c r="A1051" s="18">
        <v>1158</v>
      </c>
      <c r="B1051" s="18">
        <v>148</v>
      </c>
      <c r="C1051" s="18" t="s">
        <v>20</v>
      </c>
      <c r="D1051" s="18" t="s">
        <v>2215</v>
      </c>
      <c r="E1051" s="20">
        <v>45928</v>
      </c>
      <c r="F1051" s="44" t="s">
        <v>2070</v>
      </c>
      <c r="G1051" s="29" t="s">
        <v>2216</v>
      </c>
      <c r="H1051" s="57">
        <v>103875.59</v>
      </c>
      <c r="I1051" s="20">
        <v>45928</v>
      </c>
      <c r="J1051" s="36">
        <v>45925</v>
      </c>
      <c r="K1051" s="18">
        <v>264</v>
      </c>
      <c r="L1051" s="61">
        <v>264</v>
      </c>
      <c r="M1051" s="61">
        <v>11</v>
      </c>
      <c r="N1051" s="20">
        <v>45928</v>
      </c>
      <c r="O1051" s="18" t="s">
        <v>21</v>
      </c>
      <c r="P1051" s="18" t="s">
        <v>1456</v>
      </c>
      <c r="Q1051" s="18" t="s">
        <v>2210</v>
      </c>
      <c r="R1051" s="18" t="s">
        <v>102</v>
      </c>
      <c r="S1051" s="18" t="s">
        <v>1623</v>
      </c>
      <c r="T1051" s="18" t="s">
        <v>804</v>
      </c>
      <c r="U1051" s="18"/>
      <c r="V1051" s="18"/>
    </row>
    <row r="1052" spans="1:22" x14ac:dyDescent="0.3">
      <c r="A1052" s="18">
        <v>1158</v>
      </c>
      <c r="B1052" s="18">
        <v>148</v>
      </c>
      <c r="C1052" s="18" t="s">
        <v>23</v>
      </c>
      <c r="D1052" s="18" t="s">
        <v>2217</v>
      </c>
      <c r="E1052" s="20">
        <v>45928</v>
      </c>
      <c r="F1052" s="44" t="s">
        <v>2208</v>
      </c>
      <c r="G1052" s="29" t="s">
        <v>2218</v>
      </c>
      <c r="H1052" s="57">
        <v>429990.04</v>
      </c>
      <c r="I1052" s="20">
        <v>45928</v>
      </c>
      <c r="J1052" s="36">
        <v>45925</v>
      </c>
      <c r="K1052" s="18">
        <v>1056</v>
      </c>
      <c r="L1052" s="61">
        <v>1056</v>
      </c>
      <c r="M1052" s="61">
        <v>44</v>
      </c>
      <c r="N1052" s="20">
        <v>45928</v>
      </c>
      <c r="O1052" s="18" t="s">
        <v>21</v>
      </c>
      <c r="P1052" s="18" t="s">
        <v>1456</v>
      </c>
      <c r="Q1052" s="18" t="s">
        <v>2210</v>
      </c>
      <c r="R1052" s="18" t="s">
        <v>102</v>
      </c>
      <c r="S1052" s="18" t="s">
        <v>1623</v>
      </c>
      <c r="T1052" s="18" t="s">
        <v>804</v>
      </c>
      <c r="U1052" s="18"/>
      <c r="V1052" s="18"/>
    </row>
    <row r="1053" spans="1:22" x14ac:dyDescent="0.3">
      <c r="A1053" s="18">
        <v>1158</v>
      </c>
      <c r="B1053" s="18">
        <v>148</v>
      </c>
      <c r="C1053" s="18" t="s">
        <v>23</v>
      </c>
      <c r="D1053" s="18" t="s">
        <v>2219</v>
      </c>
      <c r="E1053" s="20">
        <v>45928</v>
      </c>
      <c r="F1053" s="44" t="s">
        <v>35</v>
      </c>
      <c r="G1053" s="29" t="s">
        <v>2220</v>
      </c>
      <c r="H1053" s="57">
        <v>143794.20000000001</v>
      </c>
      <c r="I1053" s="20">
        <v>45928</v>
      </c>
      <c r="J1053" s="36">
        <v>45925</v>
      </c>
      <c r="K1053" s="18">
        <v>432</v>
      </c>
      <c r="L1053" s="61">
        <v>432</v>
      </c>
      <c r="M1053" s="61">
        <v>18</v>
      </c>
      <c r="N1053" s="20">
        <v>45928</v>
      </c>
      <c r="O1053" s="18" t="s">
        <v>21</v>
      </c>
      <c r="P1053" s="18" t="s">
        <v>1456</v>
      </c>
      <c r="Q1053" s="18" t="s">
        <v>2210</v>
      </c>
      <c r="R1053" s="18" t="s">
        <v>102</v>
      </c>
      <c r="S1053" s="18" t="s">
        <v>1623</v>
      </c>
      <c r="T1053" s="18" t="s">
        <v>804</v>
      </c>
      <c r="U1053" s="18"/>
      <c r="V1053" s="18"/>
    </row>
    <row r="1054" spans="1:22" x14ac:dyDescent="0.3">
      <c r="A1054" s="18">
        <v>1158</v>
      </c>
      <c r="B1054" s="18">
        <v>148</v>
      </c>
      <c r="C1054" s="18" t="s">
        <v>20</v>
      </c>
      <c r="D1054" s="18" t="s">
        <v>2154</v>
      </c>
      <c r="E1054" s="20">
        <v>45926</v>
      </c>
      <c r="F1054" s="21" t="s">
        <v>58</v>
      </c>
      <c r="G1054" s="29" t="s">
        <v>2221</v>
      </c>
      <c r="H1054" s="57">
        <v>384285.9</v>
      </c>
      <c r="I1054" s="20">
        <v>45926</v>
      </c>
      <c r="J1054" s="36">
        <v>45925</v>
      </c>
      <c r="K1054" s="18">
        <v>360</v>
      </c>
      <c r="L1054" s="61">
        <v>360</v>
      </c>
      <c r="M1054" s="61">
        <v>30</v>
      </c>
      <c r="N1054" s="20">
        <v>45926</v>
      </c>
      <c r="O1054" s="18" t="s">
        <v>21</v>
      </c>
      <c r="P1054" s="18" t="s">
        <v>1456</v>
      </c>
      <c r="Q1054" s="18" t="s">
        <v>2210</v>
      </c>
      <c r="R1054" s="18" t="s">
        <v>102</v>
      </c>
      <c r="S1054" s="18" t="s">
        <v>1623</v>
      </c>
      <c r="T1054" s="18" t="s">
        <v>804</v>
      </c>
      <c r="U1054" s="18"/>
      <c r="V1054" s="18"/>
    </row>
    <row r="1055" spans="1:22" x14ac:dyDescent="0.3">
      <c r="A1055" s="18">
        <v>1160</v>
      </c>
      <c r="B1055" s="18">
        <v>149</v>
      </c>
      <c r="C1055" s="18" t="s">
        <v>20</v>
      </c>
      <c r="D1055" s="18" t="s">
        <v>2222</v>
      </c>
      <c r="E1055" s="20">
        <v>45926</v>
      </c>
      <c r="F1055" s="21" t="s">
        <v>58</v>
      </c>
      <c r="G1055" s="29" t="s">
        <v>2223</v>
      </c>
      <c r="H1055" s="57">
        <v>2434288.16</v>
      </c>
      <c r="I1055" s="20">
        <v>45926</v>
      </c>
      <c r="J1055" s="36">
        <v>45925</v>
      </c>
      <c r="K1055" s="18">
        <v>1824</v>
      </c>
      <c r="L1055" s="61">
        <v>1824</v>
      </c>
      <c r="M1055" s="61">
        <v>152</v>
      </c>
      <c r="N1055" s="20">
        <v>45927</v>
      </c>
      <c r="O1055" s="18" t="s">
        <v>21</v>
      </c>
      <c r="P1055" s="18" t="s">
        <v>1456</v>
      </c>
      <c r="Q1055" s="18" t="s">
        <v>140</v>
      </c>
      <c r="R1055" s="18" t="s">
        <v>102</v>
      </c>
      <c r="S1055" s="18" t="s">
        <v>1623</v>
      </c>
      <c r="T1055" s="18" t="s">
        <v>804</v>
      </c>
      <c r="U1055" s="18"/>
      <c r="V1055" s="18"/>
    </row>
    <row r="1056" spans="1:22" x14ac:dyDescent="0.3">
      <c r="A1056" s="18">
        <v>1161</v>
      </c>
      <c r="B1056" s="18">
        <v>150</v>
      </c>
      <c r="C1056" s="18" t="s">
        <v>20</v>
      </c>
      <c r="D1056" s="18" t="s">
        <v>2224</v>
      </c>
      <c r="E1056" s="20">
        <v>45926</v>
      </c>
      <c r="F1056" s="44" t="s">
        <v>64</v>
      </c>
      <c r="G1056" s="29" t="s">
        <v>2225</v>
      </c>
      <c r="H1056" s="57">
        <v>997620.42</v>
      </c>
      <c r="I1056" s="20">
        <v>45926</v>
      </c>
      <c r="J1056" s="36">
        <v>45925</v>
      </c>
      <c r="K1056" s="18">
        <v>720</v>
      </c>
      <c r="L1056" s="61">
        <v>720</v>
      </c>
      <c r="M1056" s="61">
        <v>60</v>
      </c>
      <c r="N1056" s="20">
        <v>45927</v>
      </c>
      <c r="O1056" s="18" t="s">
        <v>21</v>
      </c>
      <c r="P1056" s="18" t="s">
        <v>1456</v>
      </c>
      <c r="Q1056" s="18" t="s">
        <v>140</v>
      </c>
      <c r="R1056" s="18" t="s">
        <v>102</v>
      </c>
      <c r="S1056" s="18" t="s">
        <v>1623</v>
      </c>
      <c r="T1056" s="18" t="s">
        <v>804</v>
      </c>
      <c r="U1056" s="18"/>
      <c r="V1056" s="18"/>
    </row>
    <row r="1057" spans="1:22" x14ac:dyDescent="0.3">
      <c r="A1057" s="18">
        <v>1161</v>
      </c>
      <c r="B1057" s="18">
        <v>150</v>
      </c>
      <c r="C1057" s="18" t="s">
        <v>20</v>
      </c>
      <c r="D1057" s="18" t="s">
        <v>2226</v>
      </c>
      <c r="E1057" s="20">
        <v>45927</v>
      </c>
      <c r="F1057" s="44" t="s">
        <v>2070</v>
      </c>
      <c r="G1057" s="29" t="s">
        <v>2227</v>
      </c>
      <c r="H1057" s="57">
        <v>260253.52</v>
      </c>
      <c r="I1057" s="20">
        <v>45927</v>
      </c>
      <c r="J1057" s="36">
        <v>45925</v>
      </c>
      <c r="K1057" s="18">
        <v>192</v>
      </c>
      <c r="L1057" s="61">
        <v>192</v>
      </c>
      <c r="M1057" s="61">
        <v>16</v>
      </c>
      <c r="N1057" s="20">
        <v>45927</v>
      </c>
      <c r="O1057" s="18" t="s">
        <v>21</v>
      </c>
      <c r="P1057" s="18" t="s">
        <v>1456</v>
      </c>
      <c r="Q1057" s="18" t="s">
        <v>140</v>
      </c>
      <c r="R1057" s="18" t="s">
        <v>102</v>
      </c>
      <c r="S1057" s="18" t="s">
        <v>1623</v>
      </c>
      <c r="T1057" s="18" t="s">
        <v>804</v>
      </c>
      <c r="U1057" s="18"/>
      <c r="V1057" s="18"/>
    </row>
    <row r="1058" spans="1:22" x14ac:dyDescent="0.3">
      <c r="A1058" s="18">
        <v>1161</v>
      </c>
      <c r="B1058" s="18">
        <v>150</v>
      </c>
      <c r="C1058" s="18" t="s">
        <v>20</v>
      </c>
      <c r="D1058" s="18" t="s">
        <v>2228</v>
      </c>
      <c r="E1058" s="20">
        <v>45926</v>
      </c>
      <c r="F1058" s="44" t="s">
        <v>84</v>
      </c>
      <c r="G1058" s="29" t="s">
        <v>2229</v>
      </c>
      <c r="H1058" s="57">
        <v>576950.56999999995</v>
      </c>
      <c r="I1058" s="20">
        <v>45926</v>
      </c>
      <c r="J1058" s="36">
        <v>45925</v>
      </c>
      <c r="K1058" s="18">
        <v>420</v>
      </c>
      <c r="L1058" s="61">
        <v>420</v>
      </c>
      <c r="M1058" s="61">
        <v>35</v>
      </c>
      <c r="N1058" s="20">
        <v>45927</v>
      </c>
      <c r="O1058" s="18" t="s">
        <v>21</v>
      </c>
      <c r="P1058" s="18" t="s">
        <v>1456</v>
      </c>
      <c r="Q1058" s="18" t="s">
        <v>140</v>
      </c>
      <c r="R1058" s="18" t="s">
        <v>102</v>
      </c>
      <c r="S1058" s="18" t="s">
        <v>1623</v>
      </c>
      <c r="T1058" s="18" t="s">
        <v>804</v>
      </c>
      <c r="U1058" s="18"/>
      <c r="V1058" s="18"/>
    </row>
    <row r="1059" spans="1:22" x14ac:dyDescent="0.3">
      <c r="A1059" s="18">
        <v>1161</v>
      </c>
      <c r="B1059" s="18">
        <v>151</v>
      </c>
      <c r="C1059" s="18" t="s">
        <v>23</v>
      </c>
      <c r="D1059" s="18" t="s">
        <v>2230</v>
      </c>
      <c r="E1059" s="20" t="s">
        <v>19</v>
      </c>
      <c r="F1059" s="44" t="s">
        <v>2231</v>
      </c>
      <c r="G1059" s="29" t="s">
        <v>2232</v>
      </c>
      <c r="H1059" s="57">
        <v>459270</v>
      </c>
      <c r="I1059" s="20">
        <v>45925</v>
      </c>
      <c r="J1059" s="36">
        <v>45925</v>
      </c>
      <c r="K1059" s="18">
        <v>1944</v>
      </c>
      <c r="L1059" s="61">
        <v>1944</v>
      </c>
      <c r="M1059" s="61">
        <v>81</v>
      </c>
      <c r="N1059" s="20">
        <v>45925</v>
      </c>
      <c r="O1059" s="18" t="s">
        <v>2233</v>
      </c>
      <c r="P1059" s="18" t="s">
        <v>2234</v>
      </c>
      <c r="Q1059" s="18" t="s">
        <v>2235</v>
      </c>
      <c r="R1059" s="18" t="s">
        <v>102</v>
      </c>
      <c r="S1059" s="18" t="s">
        <v>1623</v>
      </c>
      <c r="T1059" s="18" t="s">
        <v>804</v>
      </c>
      <c r="U1059" s="18" t="s">
        <v>2236</v>
      </c>
      <c r="V1059" s="18"/>
    </row>
    <row r="1060" spans="1:22" x14ac:dyDescent="0.3">
      <c r="A1060" s="18">
        <v>1161</v>
      </c>
      <c r="B1060" s="18">
        <v>152</v>
      </c>
      <c r="C1060" s="18" t="s">
        <v>23</v>
      </c>
      <c r="D1060" s="18" t="s">
        <v>2237</v>
      </c>
      <c r="E1060" s="16">
        <v>45930</v>
      </c>
      <c r="F1060" s="21" t="s">
        <v>1204</v>
      </c>
      <c r="G1060" s="51" t="s">
        <v>2238</v>
      </c>
      <c r="H1060" s="56">
        <v>128279.86</v>
      </c>
      <c r="I1060" s="16">
        <v>45930</v>
      </c>
      <c r="J1060" s="36">
        <v>45925</v>
      </c>
      <c r="K1060" s="18">
        <v>480</v>
      </c>
      <c r="L1060" s="61">
        <v>480</v>
      </c>
      <c r="M1060" s="61">
        <v>20</v>
      </c>
      <c r="N1060" s="22">
        <v>45931</v>
      </c>
      <c r="O1060" s="18" t="s">
        <v>21</v>
      </c>
      <c r="P1060" s="18" t="s">
        <v>1456</v>
      </c>
      <c r="Q1060" s="18" t="s">
        <v>141</v>
      </c>
      <c r="R1060" s="18" t="s">
        <v>102</v>
      </c>
      <c r="S1060" s="18" t="s">
        <v>1623</v>
      </c>
      <c r="T1060" s="18" t="s">
        <v>804</v>
      </c>
      <c r="U1060" s="17"/>
      <c r="V1060" s="17"/>
    </row>
    <row r="1061" spans="1:22" x14ac:dyDescent="0.3">
      <c r="A1061" s="18">
        <v>1161</v>
      </c>
      <c r="B1061" s="18">
        <v>152</v>
      </c>
      <c r="C1061" s="18" t="s">
        <v>20</v>
      </c>
      <c r="D1061" s="18" t="s">
        <v>2239</v>
      </c>
      <c r="E1061" s="16">
        <v>45930</v>
      </c>
      <c r="F1061" s="21" t="s">
        <v>1204</v>
      </c>
      <c r="G1061" s="51" t="s">
        <v>2240</v>
      </c>
      <c r="H1061" s="56">
        <v>365297.04</v>
      </c>
      <c r="I1061" s="16">
        <v>45930</v>
      </c>
      <c r="J1061" s="36">
        <v>45925</v>
      </c>
      <c r="K1061" s="18">
        <v>396</v>
      </c>
      <c r="L1061" s="61">
        <v>396</v>
      </c>
      <c r="M1061" s="61">
        <v>33</v>
      </c>
      <c r="N1061" s="22">
        <v>45931</v>
      </c>
      <c r="O1061" s="18" t="s">
        <v>21</v>
      </c>
      <c r="P1061" s="18" t="s">
        <v>1456</v>
      </c>
      <c r="Q1061" s="18" t="s">
        <v>141</v>
      </c>
      <c r="R1061" s="18" t="s">
        <v>102</v>
      </c>
      <c r="S1061" s="18" t="s">
        <v>1623</v>
      </c>
      <c r="T1061" s="18" t="s">
        <v>804</v>
      </c>
      <c r="U1061" s="17"/>
      <c r="V1061" s="17"/>
    </row>
    <row r="1062" spans="1:22" x14ac:dyDescent="0.3">
      <c r="A1062" s="18">
        <v>1161</v>
      </c>
      <c r="B1062" s="18">
        <v>152</v>
      </c>
      <c r="C1062" s="18" t="s">
        <v>20</v>
      </c>
      <c r="D1062" s="18" t="s">
        <v>230</v>
      </c>
      <c r="E1062" s="16">
        <v>45927</v>
      </c>
      <c r="F1062" s="44" t="s">
        <v>2208</v>
      </c>
      <c r="G1062" s="29" t="s">
        <v>2241</v>
      </c>
      <c r="H1062" s="56">
        <v>781514.21</v>
      </c>
      <c r="I1062" s="16">
        <v>45927</v>
      </c>
      <c r="J1062" s="36">
        <v>45925</v>
      </c>
      <c r="K1062" s="18">
        <v>564</v>
      </c>
      <c r="L1062" s="61">
        <v>564</v>
      </c>
      <c r="M1062" s="61">
        <v>47</v>
      </c>
      <c r="N1062" s="22">
        <v>45931</v>
      </c>
      <c r="O1062" s="18" t="s">
        <v>21</v>
      </c>
      <c r="P1062" s="18" t="s">
        <v>1456</v>
      </c>
      <c r="Q1062" s="18" t="s">
        <v>141</v>
      </c>
      <c r="R1062" s="18" t="s">
        <v>102</v>
      </c>
      <c r="S1062" s="18" t="s">
        <v>1623</v>
      </c>
      <c r="T1062" s="18" t="s">
        <v>804</v>
      </c>
      <c r="U1062" s="17"/>
      <c r="V1062" s="17"/>
    </row>
    <row r="1063" spans="1:22" x14ac:dyDescent="0.3">
      <c r="A1063" s="18">
        <v>1161</v>
      </c>
      <c r="B1063" s="18">
        <v>152</v>
      </c>
      <c r="C1063" s="18" t="s">
        <v>20</v>
      </c>
      <c r="D1063" s="18" t="s">
        <v>2242</v>
      </c>
      <c r="E1063" s="16">
        <v>45928</v>
      </c>
      <c r="F1063" s="24" t="s">
        <v>121</v>
      </c>
      <c r="G1063" s="29" t="s">
        <v>2243</v>
      </c>
      <c r="H1063" s="56">
        <v>203130</v>
      </c>
      <c r="I1063" s="16">
        <v>45928</v>
      </c>
      <c r="J1063" s="36">
        <v>45925</v>
      </c>
      <c r="K1063" s="18">
        <v>144</v>
      </c>
      <c r="L1063" s="61">
        <v>144</v>
      </c>
      <c r="M1063" s="61">
        <v>12</v>
      </c>
      <c r="N1063" s="22">
        <v>45931</v>
      </c>
      <c r="O1063" s="18" t="s">
        <v>21</v>
      </c>
      <c r="P1063" s="18" t="s">
        <v>1456</v>
      </c>
      <c r="Q1063" s="18" t="s">
        <v>141</v>
      </c>
      <c r="R1063" s="18" t="s">
        <v>102</v>
      </c>
      <c r="S1063" s="18" t="s">
        <v>1623</v>
      </c>
      <c r="T1063" s="18" t="s">
        <v>804</v>
      </c>
      <c r="U1063" s="17"/>
      <c r="V1063" s="17"/>
    </row>
    <row r="1064" spans="1:22" x14ac:dyDescent="0.3">
      <c r="A1064" s="18">
        <v>1161</v>
      </c>
      <c r="B1064" s="18">
        <v>152</v>
      </c>
      <c r="C1064" s="18" t="s">
        <v>20</v>
      </c>
      <c r="D1064" s="18" t="s">
        <v>2244</v>
      </c>
      <c r="E1064" s="16">
        <v>45928</v>
      </c>
      <c r="F1064" s="25" t="s">
        <v>122</v>
      </c>
      <c r="G1064" s="29" t="s">
        <v>2245</v>
      </c>
      <c r="H1064" s="56">
        <v>173895</v>
      </c>
      <c r="I1064" s="16">
        <v>45928</v>
      </c>
      <c r="J1064" s="36">
        <v>45925</v>
      </c>
      <c r="K1064" s="18">
        <v>108</v>
      </c>
      <c r="L1064" s="61">
        <v>108</v>
      </c>
      <c r="M1064" s="61">
        <v>9</v>
      </c>
      <c r="N1064" s="22">
        <v>45931</v>
      </c>
      <c r="O1064" s="18" t="s">
        <v>21</v>
      </c>
      <c r="P1064" s="18" t="s">
        <v>1456</v>
      </c>
      <c r="Q1064" s="18" t="s">
        <v>141</v>
      </c>
      <c r="R1064" s="18" t="s">
        <v>102</v>
      </c>
      <c r="S1064" s="18" t="s">
        <v>1623</v>
      </c>
      <c r="T1064" s="18" t="s">
        <v>804</v>
      </c>
      <c r="U1064" s="17"/>
      <c r="V1064" s="17"/>
    </row>
    <row r="1065" spans="1:22" x14ac:dyDescent="0.3">
      <c r="A1065" s="18">
        <v>1161</v>
      </c>
      <c r="B1065" s="18">
        <v>152</v>
      </c>
      <c r="C1065" s="18" t="s">
        <v>20</v>
      </c>
      <c r="D1065" s="18" t="s">
        <v>2246</v>
      </c>
      <c r="E1065" s="16">
        <v>45928</v>
      </c>
      <c r="F1065" s="21" t="s">
        <v>53</v>
      </c>
      <c r="G1065" s="29" t="s">
        <v>2247</v>
      </c>
      <c r="H1065" s="56">
        <v>89797.74</v>
      </c>
      <c r="I1065" s="16">
        <v>45928</v>
      </c>
      <c r="J1065" s="36">
        <v>45925</v>
      </c>
      <c r="K1065" s="18">
        <v>72</v>
      </c>
      <c r="L1065" s="61">
        <v>72</v>
      </c>
      <c r="M1065" s="61">
        <v>6</v>
      </c>
      <c r="N1065" s="22">
        <v>45931</v>
      </c>
      <c r="O1065" s="18" t="s">
        <v>21</v>
      </c>
      <c r="P1065" s="18" t="s">
        <v>1456</v>
      </c>
      <c r="Q1065" s="18" t="s">
        <v>141</v>
      </c>
      <c r="R1065" s="18" t="s">
        <v>102</v>
      </c>
      <c r="S1065" s="18" t="s">
        <v>1623</v>
      </c>
      <c r="T1065" s="18" t="s">
        <v>804</v>
      </c>
      <c r="U1065" s="17"/>
      <c r="V1065" s="17"/>
    </row>
    <row r="1066" spans="1:22" x14ac:dyDescent="0.3">
      <c r="A1066" s="18">
        <v>1161</v>
      </c>
      <c r="B1066" s="18">
        <v>152</v>
      </c>
      <c r="C1066" s="18" t="s">
        <v>23</v>
      </c>
      <c r="D1066" s="18" t="s">
        <v>2248</v>
      </c>
      <c r="E1066" s="16">
        <v>45930</v>
      </c>
      <c r="F1066" s="44" t="s">
        <v>35</v>
      </c>
      <c r="G1066" s="29" t="s">
        <v>2249</v>
      </c>
      <c r="H1066" s="56">
        <v>59122.66</v>
      </c>
      <c r="I1066" s="16">
        <v>45930</v>
      </c>
      <c r="J1066" s="36">
        <v>45925</v>
      </c>
      <c r="K1066" s="18">
        <v>84</v>
      </c>
      <c r="L1066" s="61">
        <v>84</v>
      </c>
      <c r="M1066" s="61">
        <v>7</v>
      </c>
      <c r="N1066" s="22">
        <v>45931</v>
      </c>
      <c r="O1066" s="18" t="s">
        <v>21</v>
      </c>
      <c r="P1066" s="18" t="s">
        <v>1456</v>
      </c>
      <c r="Q1066" s="18" t="s">
        <v>141</v>
      </c>
      <c r="R1066" s="18" t="s">
        <v>102</v>
      </c>
      <c r="S1066" s="18" t="s">
        <v>1623</v>
      </c>
      <c r="T1066" s="18" t="s">
        <v>804</v>
      </c>
      <c r="U1066" s="17"/>
      <c r="V1066" s="17"/>
    </row>
    <row r="1067" spans="1:22" x14ac:dyDescent="0.3">
      <c r="A1067" s="18">
        <v>1161</v>
      </c>
      <c r="B1067" s="18">
        <v>152</v>
      </c>
      <c r="C1067" s="18" t="s">
        <v>20</v>
      </c>
      <c r="D1067" s="18" t="s">
        <v>2250</v>
      </c>
      <c r="E1067" s="16">
        <v>45930</v>
      </c>
      <c r="F1067" s="44" t="s">
        <v>35</v>
      </c>
      <c r="G1067" s="29" t="s">
        <v>2251</v>
      </c>
      <c r="H1067" s="56">
        <v>275040.34999999998</v>
      </c>
      <c r="I1067" s="16">
        <v>45930</v>
      </c>
      <c r="J1067" s="36">
        <v>45925</v>
      </c>
      <c r="K1067" s="18">
        <v>264</v>
      </c>
      <c r="L1067" s="61">
        <v>264</v>
      </c>
      <c r="M1067" s="61">
        <v>22</v>
      </c>
      <c r="N1067" s="22">
        <v>45931</v>
      </c>
      <c r="O1067" s="18" t="s">
        <v>21</v>
      </c>
      <c r="P1067" s="18" t="s">
        <v>1456</v>
      </c>
      <c r="Q1067" s="18" t="s">
        <v>141</v>
      </c>
      <c r="R1067" s="18" t="s">
        <v>102</v>
      </c>
      <c r="S1067" s="18" t="s">
        <v>1623</v>
      </c>
      <c r="T1067" s="18" t="s">
        <v>804</v>
      </c>
      <c r="U1067" s="17"/>
      <c r="V1067" s="17"/>
    </row>
    <row r="1068" spans="1:22" x14ac:dyDescent="0.3">
      <c r="A1068" s="18">
        <v>1161</v>
      </c>
      <c r="B1068" s="18">
        <v>152</v>
      </c>
      <c r="C1068" s="18" t="s">
        <v>20</v>
      </c>
      <c r="D1068" s="18" t="s">
        <v>2252</v>
      </c>
      <c r="E1068" s="16">
        <v>45930</v>
      </c>
      <c r="F1068" s="44" t="s">
        <v>2208</v>
      </c>
      <c r="G1068" s="29" t="s">
        <v>2253</v>
      </c>
      <c r="H1068" s="56">
        <v>582829.82999999996</v>
      </c>
      <c r="I1068" s="16">
        <v>45930</v>
      </c>
      <c r="J1068" s="36">
        <v>45925</v>
      </c>
      <c r="K1068" s="18">
        <v>564</v>
      </c>
      <c r="L1068" s="61">
        <v>564</v>
      </c>
      <c r="M1068" s="61">
        <v>47</v>
      </c>
      <c r="N1068" s="22">
        <v>45931</v>
      </c>
      <c r="O1068" s="18" t="s">
        <v>21</v>
      </c>
      <c r="P1068" s="18" t="s">
        <v>1456</v>
      </c>
      <c r="Q1068" s="18" t="s">
        <v>141</v>
      </c>
      <c r="R1068" s="18" t="s">
        <v>102</v>
      </c>
      <c r="S1068" s="18" t="s">
        <v>1623</v>
      </c>
      <c r="T1068" s="18" t="s">
        <v>804</v>
      </c>
      <c r="U1068" s="17"/>
      <c r="V1068" s="17"/>
    </row>
    <row r="1069" spans="1:22" x14ac:dyDescent="0.3">
      <c r="A1069" s="18">
        <v>1161</v>
      </c>
      <c r="B1069" s="18">
        <v>152</v>
      </c>
      <c r="C1069" s="18" t="s">
        <v>20</v>
      </c>
      <c r="D1069" s="18" t="s">
        <v>2254</v>
      </c>
      <c r="E1069" s="16">
        <v>45930</v>
      </c>
      <c r="F1069" s="44" t="s">
        <v>133</v>
      </c>
      <c r="G1069" s="29" t="s">
        <v>2255</v>
      </c>
      <c r="H1069" s="56">
        <v>271403.61</v>
      </c>
      <c r="I1069" s="16">
        <v>45930</v>
      </c>
      <c r="J1069" s="36">
        <v>45925</v>
      </c>
      <c r="K1069" s="18">
        <v>180</v>
      </c>
      <c r="L1069" s="61">
        <v>180</v>
      </c>
      <c r="M1069" s="61">
        <v>15</v>
      </c>
      <c r="N1069" s="22">
        <v>45931</v>
      </c>
      <c r="O1069" s="18" t="s">
        <v>21</v>
      </c>
      <c r="P1069" s="18" t="s">
        <v>1456</v>
      </c>
      <c r="Q1069" s="18" t="s">
        <v>141</v>
      </c>
      <c r="R1069" s="18" t="s">
        <v>102</v>
      </c>
      <c r="S1069" s="18" t="s">
        <v>1623</v>
      </c>
      <c r="T1069" s="18" t="s">
        <v>804</v>
      </c>
      <c r="U1069" s="17"/>
      <c r="V1069" s="17"/>
    </row>
    <row r="1070" spans="1:22" x14ac:dyDescent="0.3">
      <c r="A1070" s="18">
        <v>1161</v>
      </c>
      <c r="B1070" s="18">
        <v>152</v>
      </c>
      <c r="C1070" s="18" t="s">
        <v>20</v>
      </c>
      <c r="D1070" s="18" t="s">
        <v>2256</v>
      </c>
      <c r="E1070" s="22">
        <v>45931</v>
      </c>
      <c r="F1070" s="44" t="s">
        <v>131</v>
      </c>
      <c r="G1070" s="29" t="s">
        <v>2257</v>
      </c>
      <c r="H1070" s="56">
        <v>112076.49</v>
      </c>
      <c r="I1070" s="22">
        <v>45931</v>
      </c>
      <c r="J1070" s="36">
        <v>45955</v>
      </c>
      <c r="K1070" s="18">
        <v>108</v>
      </c>
      <c r="L1070" s="61">
        <v>108</v>
      </c>
      <c r="M1070" s="61">
        <v>12</v>
      </c>
      <c r="N1070" s="22">
        <v>45931</v>
      </c>
      <c r="O1070" s="18" t="s">
        <v>21</v>
      </c>
      <c r="P1070" s="18" t="s">
        <v>1456</v>
      </c>
      <c r="Q1070" s="18" t="s">
        <v>141</v>
      </c>
      <c r="R1070" s="18" t="s">
        <v>102</v>
      </c>
      <c r="S1070" s="18" t="s">
        <v>1623</v>
      </c>
      <c r="T1070" s="18" t="s">
        <v>804</v>
      </c>
      <c r="U1070" s="17"/>
      <c r="V1070" s="17"/>
    </row>
    <row r="1071" spans="1:22" x14ac:dyDescent="0.3">
      <c r="A1071" s="18">
        <v>1161</v>
      </c>
      <c r="B1071" s="18">
        <v>152</v>
      </c>
      <c r="C1071" s="18" t="s">
        <v>20</v>
      </c>
      <c r="D1071" s="18" t="s">
        <v>2266</v>
      </c>
      <c r="E1071" s="22">
        <v>45931</v>
      </c>
      <c r="F1071" s="21" t="s">
        <v>1204</v>
      </c>
      <c r="G1071" s="51" t="s">
        <v>2258</v>
      </c>
      <c r="H1071" s="56">
        <v>18000</v>
      </c>
      <c r="I1071" s="16">
        <v>45930</v>
      </c>
      <c r="J1071" s="36">
        <v>45925</v>
      </c>
      <c r="K1071" s="18" t="s">
        <v>19</v>
      </c>
      <c r="L1071" s="64" t="s">
        <v>19</v>
      </c>
      <c r="M1071" s="64">
        <v>6</v>
      </c>
      <c r="N1071" s="22">
        <v>45931</v>
      </c>
      <c r="O1071" s="18" t="s">
        <v>21</v>
      </c>
      <c r="P1071" s="18" t="s">
        <v>1456</v>
      </c>
      <c r="Q1071" s="18" t="s">
        <v>141</v>
      </c>
      <c r="R1071" s="18" t="s">
        <v>102</v>
      </c>
      <c r="S1071" s="18" t="s">
        <v>1623</v>
      </c>
      <c r="T1071" s="18" t="s">
        <v>804</v>
      </c>
      <c r="U1071" s="18" t="s">
        <v>2259</v>
      </c>
      <c r="V1071" s="17"/>
    </row>
    <row r="1072" spans="1:22" x14ac:dyDescent="0.3">
      <c r="A1072" s="18">
        <v>1162</v>
      </c>
      <c r="B1072" s="18">
        <v>153</v>
      </c>
      <c r="C1072" s="18" t="s">
        <v>20</v>
      </c>
      <c r="D1072" s="18" t="s">
        <v>2260</v>
      </c>
      <c r="E1072" s="16">
        <v>45930</v>
      </c>
      <c r="F1072" s="44" t="s">
        <v>64</v>
      </c>
      <c r="G1072" s="29" t="s">
        <v>2261</v>
      </c>
      <c r="H1072" s="56">
        <v>192142.95</v>
      </c>
      <c r="I1072" s="16">
        <v>45930</v>
      </c>
      <c r="J1072" s="36">
        <v>45925</v>
      </c>
      <c r="K1072" s="18">
        <v>180</v>
      </c>
      <c r="L1072" s="61">
        <v>180</v>
      </c>
      <c r="M1072" s="61">
        <v>15</v>
      </c>
      <c r="N1072" s="22">
        <v>45931</v>
      </c>
      <c r="O1072" s="18" t="s">
        <v>21</v>
      </c>
      <c r="P1072" s="18" t="s">
        <v>1456</v>
      </c>
      <c r="Q1072" s="18" t="s">
        <v>2210</v>
      </c>
      <c r="R1072" s="18" t="s">
        <v>102</v>
      </c>
      <c r="S1072" s="18" t="s">
        <v>1623</v>
      </c>
      <c r="T1072" s="18" t="s">
        <v>804</v>
      </c>
      <c r="U1072" s="17"/>
      <c r="V1072" s="17"/>
    </row>
    <row r="1073" spans="1:22" x14ac:dyDescent="0.3">
      <c r="A1073" s="18">
        <v>1162</v>
      </c>
      <c r="B1073" s="18">
        <v>153</v>
      </c>
      <c r="C1073" s="18" t="s">
        <v>20</v>
      </c>
      <c r="D1073" s="18" t="s">
        <v>2262</v>
      </c>
      <c r="E1073" s="16">
        <v>45930</v>
      </c>
      <c r="F1073" s="44" t="s">
        <v>64</v>
      </c>
      <c r="G1073" s="29" t="s">
        <v>2263</v>
      </c>
      <c r="H1073" s="56">
        <v>2841494.88</v>
      </c>
      <c r="I1073" s="16">
        <v>45930</v>
      </c>
      <c r="J1073" s="36">
        <v>45925</v>
      </c>
      <c r="K1073" s="18">
        <v>1872</v>
      </c>
      <c r="L1073" s="61">
        <v>1872</v>
      </c>
      <c r="M1073" s="61">
        <v>156</v>
      </c>
      <c r="N1073" s="22">
        <v>45931</v>
      </c>
      <c r="O1073" s="18" t="s">
        <v>21</v>
      </c>
      <c r="P1073" s="18" t="s">
        <v>1456</v>
      </c>
      <c r="Q1073" s="18" t="s">
        <v>2210</v>
      </c>
      <c r="R1073" s="18" t="s">
        <v>102</v>
      </c>
      <c r="S1073" s="18" t="s">
        <v>1623</v>
      </c>
      <c r="T1073" s="18" t="s">
        <v>804</v>
      </c>
      <c r="U1073" s="17"/>
      <c r="V1073" s="17"/>
    </row>
    <row r="1074" spans="1:22" x14ac:dyDescent="0.3">
      <c r="A1074" s="18">
        <v>1162</v>
      </c>
      <c r="B1074" s="18">
        <v>153</v>
      </c>
      <c r="C1074" s="18" t="s">
        <v>20</v>
      </c>
      <c r="D1074" s="18" t="s">
        <v>2264</v>
      </c>
      <c r="E1074" s="22">
        <v>45931</v>
      </c>
      <c r="F1074" s="44" t="s">
        <v>64</v>
      </c>
      <c r="G1074" s="29" t="s">
        <v>2265</v>
      </c>
      <c r="H1074" s="56">
        <v>417475.75</v>
      </c>
      <c r="I1074" s="22">
        <v>45931</v>
      </c>
      <c r="J1074" s="36">
        <v>45955</v>
      </c>
      <c r="K1074" s="18">
        <v>300</v>
      </c>
      <c r="L1074" s="61">
        <v>300</v>
      </c>
      <c r="M1074" s="61">
        <v>25</v>
      </c>
      <c r="N1074" s="22">
        <v>45931</v>
      </c>
      <c r="O1074" s="18" t="s">
        <v>21</v>
      </c>
      <c r="P1074" s="18" t="s">
        <v>1456</v>
      </c>
      <c r="Q1074" s="18" t="s">
        <v>2210</v>
      </c>
      <c r="R1074" s="18" t="s">
        <v>102</v>
      </c>
      <c r="S1074" s="18" t="s">
        <v>1623</v>
      </c>
      <c r="T1074" s="18" t="s">
        <v>804</v>
      </c>
      <c r="U1074" s="17"/>
      <c r="V1074" s="17"/>
    </row>
    <row r="1075" spans="1:22" x14ac:dyDescent="0.3">
      <c r="A1075" s="18">
        <v>1163</v>
      </c>
      <c r="B1075" s="18">
        <v>154</v>
      </c>
      <c r="C1075" s="18" t="s">
        <v>20</v>
      </c>
      <c r="D1075" s="18" t="s">
        <v>2267</v>
      </c>
      <c r="E1075" s="16" t="s">
        <v>2268</v>
      </c>
      <c r="F1075" s="44" t="s">
        <v>1207</v>
      </c>
      <c r="G1075" s="29" t="s">
        <v>2269</v>
      </c>
      <c r="H1075" s="56">
        <v>857800.75</v>
      </c>
      <c r="I1075" s="22">
        <v>45933</v>
      </c>
      <c r="J1075" s="36">
        <v>45955</v>
      </c>
      <c r="K1075" s="18">
        <v>660</v>
      </c>
      <c r="L1075" s="61">
        <v>660</v>
      </c>
      <c r="M1075" s="61">
        <v>55</v>
      </c>
      <c r="N1075" s="22">
        <v>45933</v>
      </c>
      <c r="O1075" s="18" t="s">
        <v>21</v>
      </c>
      <c r="P1075" s="18" t="s">
        <v>1456</v>
      </c>
      <c r="Q1075" s="18" t="s">
        <v>141</v>
      </c>
      <c r="R1075" s="18" t="s">
        <v>102</v>
      </c>
      <c r="S1075" s="18" t="s">
        <v>1623</v>
      </c>
      <c r="T1075" s="18" t="s">
        <v>804</v>
      </c>
      <c r="U1075" s="17"/>
      <c r="V1075" s="17"/>
    </row>
    <row r="1076" spans="1:22" x14ac:dyDescent="0.3">
      <c r="A1076" s="18">
        <v>1163</v>
      </c>
      <c r="B1076" s="18">
        <v>154</v>
      </c>
      <c r="C1076" s="18" t="s">
        <v>20</v>
      </c>
      <c r="D1076" s="18" t="s">
        <v>2270</v>
      </c>
      <c r="E1076" s="22">
        <v>45933</v>
      </c>
      <c r="F1076" s="44" t="s">
        <v>35</v>
      </c>
      <c r="G1076" s="29" t="s">
        <v>2271</v>
      </c>
      <c r="H1076" s="56">
        <v>179333.42</v>
      </c>
      <c r="I1076" s="22">
        <v>45933</v>
      </c>
      <c r="J1076" s="36">
        <v>45955</v>
      </c>
      <c r="K1076" s="18">
        <v>168</v>
      </c>
      <c r="L1076" s="61">
        <v>168</v>
      </c>
      <c r="M1076" s="61">
        <v>16</v>
      </c>
      <c r="N1076" s="22">
        <v>45933</v>
      </c>
      <c r="O1076" s="18" t="s">
        <v>21</v>
      </c>
      <c r="P1076" s="18" t="s">
        <v>1456</v>
      </c>
      <c r="Q1076" s="18" t="s">
        <v>141</v>
      </c>
      <c r="R1076" s="18" t="s">
        <v>102</v>
      </c>
      <c r="S1076" s="18" t="s">
        <v>1623</v>
      </c>
      <c r="T1076" s="18" t="s">
        <v>804</v>
      </c>
      <c r="U1076" s="17"/>
      <c r="V1076" s="17"/>
    </row>
    <row r="1077" spans="1:22" x14ac:dyDescent="0.3">
      <c r="A1077" s="18">
        <v>1163</v>
      </c>
      <c r="B1077" s="18">
        <v>154</v>
      </c>
      <c r="C1077" s="18" t="s">
        <v>23</v>
      </c>
      <c r="D1077" s="18" t="s">
        <v>2272</v>
      </c>
      <c r="E1077" s="22">
        <v>45931</v>
      </c>
      <c r="F1077" s="21" t="s">
        <v>929</v>
      </c>
      <c r="G1077" s="29" t="s">
        <v>2273</v>
      </c>
      <c r="H1077" s="56">
        <v>282171.59999999998</v>
      </c>
      <c r="I1077" s="22">
        <v>45933</v>
      </c>
      <c r="J1077" s="36">
        <v>45955</v>
      </c>
      <c r="K1077" s="18">
        <v>648</v>
      </c>
      <c r="L1077" s="61">
        <v>648</v>
      </c>
      <c r="M1077" s="61">
        <v>36</v>
      </c>
      <c r="N1077" s="22">
        <v>45933</v>
      </c>
      <c r="O1077" s="18" t="s">
        <v>21</v>
      </c>
      <c r="P1077" s="18" t="s">
        <v>1456</v>
      </c>
      <c r="Q1077" s="18" t="s">
        <v>141</v>
      </c>
      <c r="R1077" s="18" t="s">
        <v>102</v>
      </c>
      <c r="S1077" s="18" t="s">
        <v>1623</v>
      </c>
      <c r="T1077" s="18" t="s">
        <v>804</v>
      </c>
      <c r="U1077" s="17"/>
      <c r="V1077" s="17"/>
    </row>
    <row r="1078" spans="1:22" x14ac:dyDescent="0.3">
      <c r="A1078" s="18">
        <v>1163</v>
      </c>
      <c r="B1078" s="18">
        <v>154</v>
      </c>
      <c r="C1078" s="18" t="s">
        <v>20</v>
      </c>
      <c r="D1078" s="18" t="s">
        <v>2274</v>
      </c>
      <c r="E1078" s="22">
        <v>45933</v>
      </c>
      <c r="F1078" s="44" t="s">
        <v>84</v>
      </c>
      <c r="G1078" s="29" t="s">
        <v>2275</v>
      </c>
      <c r="H1078" s="56">
        <v>64047.65</v>
      </c>
      <c r="I1078" s="22">
        <v>45933</v>
      </c>
      <c r="J1078" s="36">
        <v>45955</v>
      </c>
      <c r="K1078" s="18">
        <v>60</v>
      </c>
      <c r="L1078" s="61">
        <v>60</v>
      </c>
      <c r="M1078" s="61">
        <v>5</v>
      </c>
      <c r="N1078" s="22">
        <v>45933</v>
      </c>
      <c r="O1078" s="18" t="s">
        <v>21</v>
      </c>
      <c r="P1078" s="18" t="s">
        <v>1456</v>
      </c>
      <c r="Q1078" s="18" t="s">
        <v>141</v>
      </c>
      <c r="R1078" s="18" t="s">
        <v>102</v>
      </c>
      <c r="S1078" s="18" t="s">
        <v>1623</v>
      </c>
      <c r="T1078" s="18" t="s">
        <v>804</v>
      </c>
      <c r="U1078" s="17"/>
      <c r="V1078" s="17"/>
    </row>
    <row r="1079" spans="1:22" x14ac:dyDescent="0.3">
      <c r="A1079" s="18">
        <v>1163</v>
      </c>
      <c r="B1079" s="18">
        <v>154</v>
      </c>
      <c r="C1079" s="18" t="s">
        <v>20</v>
      </c>
      <c r="D1079" s="18" t="s">
        <v>2276</v>
      </c>
      <c r="E1079" s="22">
        <v>45933</v>
      </c>
      <c r="F1079" s="44" t="s">
        <v>64</v>
      </c>
      <c r="G1079" s="29" t="s">
        <v>2277</v>
      </c>
      <c r="H1079" s="56">
        <v>512381.2</v>
      </c>
      <c r="I1079" s="22">
        <v>45933</v>
      </c>
      <c r="J1079" s="36">
        <v>45955</v>
      </c>
      <c r="K1079" s="18">
        <v>480</v>
      </c>
      <c r="L1079" s="61">
        <v>480</v>
      </c>
      <c r="M1079" s="61">
        <v>42</v>
      </c>
      <c r="N1079" s="22">
        <v>45933</v>
      </c>
      <c r="O1079" s="18" t="s">
        <v>21</v>
      </c>
      <c r="P1079" s="18" t="s">
        <v>1456</v>
      </c>
      <c r="Q1079" s="18" t="s">
        <v>141</v>
      </c>
      <c r="R1079" s="18" t="s">
        <v>102</v>
      </c>
      <c r="S1079" s="18" t="s">
        <v>1623</v>
      </c>
      <c r="T1079" s="18" t="s">
        <v>804</v>
      </c>
      <c r="U1079" s="17"/>
      <c r="V1079" s="17"/>
    </row>
    <row r="1080" spans="1:22" x14ac:dyDescent="0.3">
      <c r="A1080" s="18">
        <v>1163</v>
      </c>
      <c r="B1080" s="18">
        <v>154</v>
      </c>
      <c r="C1080" s="18" t="s">
        <v>20</v>
      </c>
      <c r="D1080" s="18" t="s">
        <v>2278</v>
      </c>
      <c r="E1080" s="22">
        <v>45933</v>
      </c>
      <c r="F1080" s="21" t="s">
        <v>53</v>
      </c>
      <c r="G1080" s="29" t="s">
        <v>2279</v>
      </c>
      <c r="H1080" s="56">
        <v>64047.65</v>
      </c>
      <c r="I1080" s="22">
        <v>45933</v>
      </c>
      <c r="J1080" s="36">
        <v>45955</v>
      </c>
      <c r="K1080" s="18">
        <v>60</v>
      </c>
      <c r="L1080" s="61">
        <v>60</v>
      </c>
      <c r="M1080" s="61">
        <v>5</v>
      </c>
      <c r="N1080" s="22">
        <v>45933</v>
      </c>
      <c r="O1080" s="18" t="s">
        <v>21</v>
      </c>
      <c r="P1080" s="18" t="s">
        <v>1456</v>
      </c>
      <c r="Q1080" s="18" t="s">
        <v>141</v>
      </c>
      <c r="R1080" s="18" t="s">
        <v>102</v>
      </c>
      <c r="S1080" s="18" t="s">
        <v>1623</v>
      </c>
      <c r="T1080" s="18" t="s">
        <v>804</v>
      </c>
      <c r="U1080" s="17"/>
      <c r="V1080" s="17"/>
    </row>
    <row r="1081" spans="1:22" x14ac:dyDescent="0.3">
      <c r="A1081" s="18">
        <v>1163</v>
      </c>
      <c r="B1081" s="18">
        <v>154</v>
      </c>
      <c r="C1081" s="18" t="s">
        <v>20</v>
      </c>
      <c r="D1081" s="18" t="s">
        <v>2280</v>
      </c>
      <c r="E1081" s="22">
        <v>45933</v>
      </c>
      <c r="F1081" s="44" t="s">
        <v>123</v>
      </c>
      <c r="G1081" s="29" t="s">
        <v>2281</v>
      </c>
      <c r="H1081" s="56">
        <v>76857.179999999993</v>
      </c>
      <c r="I1081" s="22">
        <v>45933</v>
      </c>
      <c r="J1081" s="36">
        <v>45955</v>
      </c>
      <c r="K1081" s="18">
        <v>72</v>
      </c>
      <c r="L1081" s="61">
        <v>72</v>
      </c>
      <c r="M1081" s="61">
        <v>6</v>
      </c>
      <c r="N1081" s="22">
        <v>45933</v>
      </c>
      <c r="O1081" s="18" t="s">
        <v>21</v>
      </c>
      <c r="P1081" s="18" t="s">
        <v>1456</v>
      </c>
      <c r="Q1081" s="18" t="s">
        <v>141</v>
      </c>
      <c r="R1081" s="18" t="s">
        <v>102</v>
      </c>
      <c r="S1081" s="18" t="s">
        <v>1623</v>
      </c>
      <c r="T1081" s="18" t="s">
        <v>804</v>
      </c>
      <c r="U1081" s="17"/>
      <c r="V1081" s="17"/>
    </row>
    <row r="1082" spans="1:22" x14ac:dyDescent="0.3">
      <c r="A1082" s="18">
        <v>1163</v>
      </c>
      <c r="B1082" s="18">
        <v>154</v>
      </c>
      <c r="C1082" s="18" t="s">
        <v>20</v>
      </c>
      <c r="D1082" s="18" t="s">
        <v>2282</v>
      </c>
      <c r="E1082" s="22">
        <v>45933</v>
      </c>
      <c r="F1082" s="44" t="s">
        <v>113</v>
      </c>
      <c r="G1082" s="29" t="s">
        <v>2283</v>
      </c>
      <c r="H1082" s="56">
        <v>128095.3</v>
      </c>
      <c r="I1082" s="22">
        <v>45933</v>
      </c>
      <c r="J1082" s="36">
        <v>45955</v>
      </c>
      <c r="K1082" s="18">
        <v>120</v>
      </c>
      <c r="L1082" s="61">
        <v>120</v>
      </c>
      <c r="M1082" s="61">
        <v>10</v>
      </c>
      <c r="N1082" s="22">
        <v>45933</v>
      </c>
      <c r="O1082" s="18" t="s">
        <v>21</v>
      </c>
      <c r="P1082" s="18" t="s">
        <v>1456</v>
      </c>
      <c r="Q1082" s="18" t="s">
        <v>141</v>
      </c>
      <c r="R1082" s="18" t="s">
        <v>102</v>
      </c>
      <c r="S1082" s="18" t="s">
        <v>1623</v>
      </c>
      <c r="T1082" s="18" t="s">
        <v>804</v>
      </c>
      <c r="U1082" s="17"/>
      <c r="V1082" s="17"/>
    </row>
    <row r="1083" spans="1:22" x14ac:dyDescent="0.3">
      <c r="A1083" s="18">
        <v>1163</v>
      </c>
      <c r="B1083" s="18">
        <v>154</v>
      </c>
      <c r="C1083" s="18" t="s">
        <v>20</v>
      </c>
      <c r="D1083" s="18" t="s">
        <v>2284</v>
      </c>
      <c r="E1083" s="22">
        <v>45933</v>
      </c>
      <c r="F1083" s="21" t="s">
        <v>58</v>
      </c>
      <c r="G1083" s="29" t="s">
        <v>2285</v>
      </c>
      <c r="H1083" s="56">
        <v>1024762.4</v>
      </c>
      <c r="I1083" s="22">
        <v>45933</v>
      </c>
      <c r="J1083" s="36">
        <v>45955</v>
      </c>
      <c r="K1083" s="18">
        <v>960</v>
      </c>
      <c r="L1083" s="61">
        <v>960</v>
      </c>
      <c r="M1083" s="61">
        <v>89</v>
      </c>
      <c r="N1083" s="22">
        <v>45933</v>
      </c>
      <c r="O1083" s="18" t="s">
        <v>21</v>
      </c>
      <c r="P1083" s="18" t="s">
        <v>1456</v>
      </c>
      <c r="Q1083" s="18" t="s">
        <v>141</v>
      </c>
      <c r="R1083" s="18" t="s">
        <v>102</v>
      </c>
      <c r="S1083" s="18" t="s">
        <v>1623</v>
      </c>
      <c r="T1083" s="18" t="s">
        <v>804</v>
      </c>
      <c r="U1083" s="17"/>
      <c r="V1083" s="17"/>
    </row>
    <row r="1084" spans="1:22" x14ac:dyDescent="0.3">
      <c r="A1084" s="18">
        <v>1164</v>
      </c>
      <c r="B1084" s="18">
        <v>155</v>
      </c>
      <c r="C1084" s="18" t="s">
        <v>20</v>
      </c>
      <c r="D1084" s="18" t="s">
        <v>2286</v>
      </c>
      <c r="E1084" s="22">
        <v>45935</v>
      </c>
      <c r="F1084" s="23" t="s">
        <v>129</v>
      </c>
      <c r="G1084" s="51" t="s">
        <v>2287</v>
      </c>
      <c r="H1084" s="56">
        <v>80050.55</v>
      </c>
      <c r="I1084" s="22">
        <v>45935</v>
      </c>
      <c r="J1084" s="36">
        <v>45955</v>
      </c>
      <c r="K1084" s="18">
        <v>60</v>
      </c>
      <c r="L1084" s="61">
        <v>60</v>
      </c>
      <c r="M1084" s="61">
        <v>5</v>
      </c>
      <c r="N1084" s="22">
        <v>45935</v>
      </c>
      <c r="O1084" s="17" t="s">
        <v>2288</v>
      </c>
      <c r="P1084" s="18" t="s">
        <v>1456</v>
      </c>
      <c r="Q1084" s="18" t="s">
        <v>2179</v>
      </c>
      <c r="R1084" s="18" t="s">
        <v>102</v>
      </c>
      <c r="S1084" s="18" t="s">
        <v>1623</v>
      </c>
      <c r="T1084" s="18" t="s">
        <v>804</v>
      </c>
      <c r="U1084" s="17"/>
      <c r="V1084" s="17"/>
    </row>
    <row r="1085" spans="1:22" x14ac:dyDescent="0.3">
      <c r="A1085" s="18">
        <v>1164</v>
      </c>
      <c r="B1085" s="18">
        <v>155</v>
      </c>
      <c r="C1085" s="18" t="s">
        <v>20</v>
      </c>
      <c r="D1085" s="18" t="s">
        <v>2289</v>
      </c>
      <c r="E1085" s="22">
        <v>45935</v>
      </c>
      <c r="F1085" s="44" t="s">
        <v>35</v>
      </c>
      <c r="G1085" s="51" t="s">
        <v>2290</v>
      </c>
      <c r="H1085" s="56">
        <v>208131.43</v>
      </c>
      <c r="I1085" s="22">
        <v>45935</v>
      </c>
      <c r="J1085" s="36">
        <v>45955</v>
      </c>
      <c r="K1085" s="18">
        <v>156</v>
      </c>
      <c r="L1085" s="61">
        <v>156</v>
      </c>
      <c r="M1085" s="61">
        <v>13</v>
      </c>
      <c r="N1085" s="22">
        <v>45935</v>
      </c>
      <c r="O1085" s="18" t="s">
        <v>2291</v>
      </c>
      <c r="P1085" s="18" t="s">
        <v>1456</v>
      </c>
      <c r="Q1085" s="18" t="s">
        <v>2179</v>
      </c>
      <c r="R1085" s="18" t="s">
        <v>102</v>
      </c>
      <c r="S1085" s="18" t="s">
        <v>1623</v>
      </c>
      <c r="T1085" s="18" t="s">
        <v>804</v>
      </c>
      <c r="U1085" s="17"/>
      <c r="V1085" s="17"/>
    </row>
    <row r="1086" spans="1:22" x14ac:dyDescent="0.3">
      <c r="A1086" s="18">
        <v>1164</v>
      </c>
      <c r="B1086" s="18">
        <v>155</v>
      </c>
      <c r="C1086" s="18" t="s">
        <v>20</v>
      </c>
      <c r="D1086" s="18" t="s">
        <v>2292</v>
      </c>
      <c r="E1086" s="22">
        <v>45935</v>
      </c>
      <c r="F1086" s="25" t="s">
        <v>122</v>
      </c>
      <c r="G1086" s="51" t="s">
        <v>2293</v>
      </c>
      <c r="H1086" s="56">
        <v>384242.64</v>
      </c>
      <c r="I1086" s="22">
        <v>45935</v>
      </c>
      <c r="J1086" s="36">
        <v>45955</v>
      </c>
      <c r="K1086" s="18">
        <v>288</v>
      </c>
      <c r="L1086" s="61">
        <v>288</v>
      </c>
      <c r="M1086" s="61">
        <v>24</v>
      </c>
      <c r="N1086" s="22">
        <v>45935</v>
      </c>
      <c r="O1086" s="18" t="s">
        <v>2294</v>
      </c>
      <c r="P1086" s="18" t="s">
        <v>1456</v>
      </c>
      <c r="Q1086" s="18" t="s">
        <v>2179</v>
      </c>
      <c r="R1086" s="18" t="s">
        <v>102</v>
      </c>
      <c r="S1086" s="18" t="s">
        <v>1623</v>
      </c>
      <c r="T1086" s="18" t="s">
        <v>804</v>
      </c>
      <c r="U1086" s="17"/>
      <c r="V1086" s="17"/>
    </row>
    <row r="1087" spans="1:22" x14ac:dyDescent="0.3">
      <c r="A1087" s="18">
        <v>1164</v>
      </c>
      <c r="B1087" s="18">
        <v>155</v>
      </c>
      <c r="C1087" s="18" t="s">
        <v>20</v>
      </c>
      <c r="D1087" s="18" t="s">
        <v>2295</v>
      </c>
      <c r="E1087" s="22">
        <v>45935</v>
      </c>
      <c r="F1087" s="44" t="s">
        <v>2193</v>
      </c>
      <c r="G1087" s="51" t="s">
        <v>2296</v>
      </c>
      <c r="H1087" s="56">
        <v>208131.43</v>
      </c>
      <c r="I1087" s="22">
        <v>45935</v>
      </c>
      <c r="J1087" s="36">
        <v>45955</v>
      </c>
      <c r="K1087" s="18">
        <v>156</v>
      </c>
      <c r="L1087" s="61">
        <v>156</v>
      </c>
      <c r="M1087" s="61">
        <v>13</v>
      </c>
      <c r="N1087" s="22">
        <v>45935</v>
      </c>
      <c r="O1087" s="18" t="s">
        <v>21</v>
      </c>
      <c r="P1087" s="18" t="s">
        <v>1456</v>
      </c>
      <c r="Q1087" s="18" t="s">
        <v>2179</v>
      </c>
      <c r="R1087" s="18" t="s">
        <v>102</v>
      </c>
      <c r="S1087" s="18" t="s">
        <v>1623</v>
      </c>
      <c r="T1087" s="18" t="s">
        <v>804</v>
      </c>
      <c r="U1087" s="17"/>
      <c r="V1087" s="17"/>
    </row>
    <row r="1088" spans="1:22" x14ac:dyDescent="0.3">
      <c r="A1088" s="18">
        <v>1164</v>
      </c>
      <c r="B1088" s="18">
        <v>155</v>
      </c>
      <c r="C1088" s="18" t="s">
        <v>20</v>
      </c>
      <c r="D1088" s="18" t="s">
        <v>2297</v>
      </c>
      <c r="E1088" s="22">
        <v>45935</v>
      </c>
      <c r="F1088" s="44" t="s">
        <v>64</v>
      </c>
      <c r="G1088" s="51" t="s">
        <v>2298</v>
      </c>
      <c r="H1088" s="56">
        <v>1152727.92</v>
      </c>
      <c r="I1088" s="22">
        <v>45935</v>
      </c>
      <c r="J1088" s="36">
        <v>45955</v>
      </c>
      <c r="K1088" s="18">
        <v>864</v>
      </c>
      <c r="L1088" s="61">
        <v>864</v>
      </c>
      <c r="M1088" s="61">
        <v>72</v>
      </c>
      <c r="N1088" s="22">
        <v>45935</v>
      </c>
      <c r="O1088" s="18" t="s">
        <v>2299</v>
      </c>
      <c r="P1088" s="18" t="s">
        <v>1456</v>
      </c>
      <c r="Q1088" s="18" t="s">
        <v>2179</v>
      </c>
      <c r="R1088" s="18" t="s">
        <v>102</v>
      </c>
      <c r="S1088" s="18" t="s">
        <v>1623</v>
      </c>
      <c r="T1088" s="18" t="s">
        <v>804</v>
      </c>
      <c r="U1088" s="17"/>
      <c r="V1088" s="17"/>
    </row>
    <row r="1089" spans="1:22" x14ac:dyDescent="0.3">
      <c r="A1089" s="18">
        <v>1164</v>
      </c>
      <c r="B1089" s="18">
        <v>155</v>
      </c>
      <c r="C1089" s="18" t="s">
        <v>20</v>
      </c>
      <c r="D1089" s="18" t="s">
        <v>2300</v>
      </c>
      <c r="E1089" s="22">
        <v>45935</v>
      </c>
      <c r="F1089" s="44" t="s">
        <v>28</v>
      </c>
      <c r="G1089" s="51" t="s">
        <v>2301</v>
      </c>
      <c r="H1089" s="56">
        <v>176111.21</v>
      </c>
      <c r="I1089" s="22">
        <v>45935</v>
      </c>
      <c r="J1089" s="36">
        <v>45955</v>
      </c>
      <c r="K1089" s="18">
        <v>132</v>
      </c>
      <c r="L1089" s="61">
        <v>132</v>
      </c>
      <c r="M1089" s="61">
        <v>11</v>
      </c>
      <c r="N1089" s="22">
        <v>45935</v>
      </c>
      <c r="O1089" s="18" t="s">
        <v>2302</v>
      </c>
      <c r="P1089" s="17" t="s">
        <v>1456</v>
      </c>
      <c r="Q1089" s="17" t="s">
        <v>2179</v>
      </c>
      <c r="R1089" s="17" t="s">
        <v>102</v>
      </c>
      <c r="S1089" s="18" t="s">
        <v>1623</v>
      </c>
      <c r="T1089" s="18" t="s">
        <v>804</v>
      </c>
      <c r="U1089" s="17"/>
      <c r="V1089" s="17"/>
    </row>
    <row r="1090" spans="1:22" x14ac:dyDescent="0.3">
      <c r="A1090" s="18">
        <v>1164</v>
      </c>
      <c r="B1090" s="18">
        <v>155</v>
      </c>
      <c r="C1090" s="18" t="s">
        <v>20</v>
      </c>
      <c r="D1090" s="18" t="s">
        <v>2303</v>
      </c>
      <c r="E1090" s="22">
        <v>45935</v>
      </c>
      <c r="F1090" s="21" t="s">
        <v>53</v>
      </c>
      <c r="G1090" s="51" t="s">
        <v>2304</v>
      </c>
      <c r="H1090" s="56">
        <v>192121.32</v>
      </c>
      <c r="I1090" s="22">
        <v>45935</v>
      </c>
      <c r="J1090" s="36">
        <v>45955</v>
      </c>
      <c r="K1090" s="18">
        <v>144</v>
      </c>
      <c r="L1090" s="61">
        <v>144</v>
      </c>
      <c r="M1090" s="61">
        <v>12</v>
      </c>
      <c r="N1090" s="22">
        <v>45935</v>
      </c>
      <c r="O1090" s="18" t="s">
        <v>2305</v>
      </c>
      <c r="P1090" s="17" t="s">
        <v>1456</v>
      </c>
      <c r="Q1090" s="17" t="s">
        <v>2179</v>
      </c>
      <c r="R1090" s="17" t="s">
        <v>102</v>
      </c>
      <c r="S1090" s="18" t="s">
        <v>1623</v>
      </c>
      <c r="T1090" s="18" t="s">
        <v>804</v>
      </c>
      <c r="U1090" s="17"/>
      <c r="V1090" s="17"/>
    </row>
    <row r="1091" spans="1:22" x14ac:dyDescent="0.3">
      <c r="A1091" s="18">
        <v>1164</v>
      </c>
      <c r="B1091" s="18">
        <v>155</v>
      </c>
      <c r="C1091" s="18" t="s">
        <v>20</v>
      </c>
      <c r="D1091" s="18" t="s">
        <v>2306</v>
      </c>
      <c r="E1091" s="22">
        <v>45935</v>
      </c>
      <c r="F1091" s="44" t="s">
        <v>84</v>
      </c>
      <c r="G1091" s="51" t="s">
        <v>2307</v>
      </c>
      <c r="H1091" s="56">
        <v>192121.32</v>
      </c>
      <c r="I1091" s="22">
        <v>45935</v>
      </c>
      <c r="J1091" s="36">
        <v>45955</v>
      </c>
      <c r="K1091" s="18">
        <v>144</v>
      </c>
      <c r="L1091" s="61">
        <v>144</v>
      </c>
      <c r="M1091" s="61">
        <v>12</v>
      </c>
      <c r="N1091" s="22">
        <v>45935</v>
      </c>
      <c r="O1091" s="18" t="s">
        <v>2308</v>
      </c>
      <c r="P1091" s="17" t="s">
        <v>1456</v>
      </c>
      <c r="Q1091" s="17" t="s">
        <v>2179</v>
      </c>
      <c r="R1091" s="17" t="s">
        <v>102</v>
      </c>
      <c r="S1091" s="18" t="s">
        <v>1623</v>
      </c>
      <c r="T1091" s="18" t="s">
        <v>804</v>
      </c>
      <c r="U1091" s="17"/>
      <c r="V1091" s="17"/>
    </row>
    <row r="1092" spans="1:22" x14ac:dyDescent="0.3">
      <c r="A1092" s="18">
        <v>1164</v>
      </c>
      <c r="B1092" s="18">
        <v>155</v>
      </c>
      <c r="C1092" s="18" t="s">
        <v>20</v>
      </c>
      <c r="D1092" s="18" t="s">
        <v>2309</v>
      </c>
      <c r="E1092" s="22">
        <v>45935</v>
      </c>
      <c r="F1092" s="21" t="s">
        <v>58</v>
      </c>
      <c r="G1092" s="51" t="s">
        <v>2310</v>
      </c>
      <c r="H1092" s="56">
        <v>1040657.15</v>
      </c>
      <c r="I1092" s="22">
        <v>45935</v>
      </c>
      <c r="J1092" s="36">
        <v>45955</v>
      </c>
      <c r="K1092" s="18">
        <v>780</v>
      </c>
      <c r="L1092" s="61">
        <v>780</v>
      </c>
      <c r="M1092" s="61">
        <v>65</v>
      </c>
      <c r="N1092" s="22">
        <v>45935</v>
      </c>
      <c r="O1092" s="18" t="s">
        <v>2308</v>
      </c>
      <c r="P1092" s="17" t="s">
        <v>1456</v>
      </c>
      <c r="Q1092" s="17" t="s">
        <v>2179</v>
      </c>
      <c r="R1092" s="17" t="s">
        <v>102</v>
      </c>
      <c r="S1092" s="18" t="s">
        <v>1623</v>
      </c>
      <c r="T1092" s="18" t="s">
        <v>804</v>
      </c>
      <c r="U1092" s="17"/>
      <c r="V1092" s="17"/>
    </row>
    <row r="1093" spans="1:22" x14ac:dyDescent="0.3">
      <c r="A1093" s="18">
        <v>1164</v>
      </c>
      <c r="B1093" s="18">
        <v>155</v>
      </c>
      <c r="C1093" s="18" t="s">
        <v>20</v>
      </c>
      <c r="D1093" s="18" t="s">
        <v>2311</v>
      </c>
      <c r="E1093" s="22">
        <v>45935</v>
      </c>
      <c r="F1093" s="21" t="s">
        <v>47</v>
      </c>
      <c r="G1093" s="51" t="s">
        <v>2312</v>
      </c>
      <c r="H1093" s="56">
        <v>80050.55</v>
      </c>
      <c r="I1093" s="22">
        <v>45935</v>
      </c>
      <c r="J1093" s="36">
        <v>45955</v>
      </c>
      <c r="K1093" s="18">
        <v>60</v>
      </c>
      <c r="L1093" s="61">
        <v>60</v>
      </c>
      <c r="M1093" s="61">
        <v>5</v>
      </c>
      <c r="N1093" s="22">
        <v>45935</v>
      </c>
      <c r="O1093" s="18" t="s">
        <v>2313</v>
      </c>
      <c r="P1093" s="17" t="s">
        <v>1456</v>
      </c>
      <c r="Q1093" s="17" t="s">
        <v>2179</v>
      </c>
      <c r="R1093" s="17" t="s">
        <v>102</v>
      </c>
      <c r="S1093" s="18" t="s">
        <v>1623</v>
      </c>
      <c r="T1093" s="18" t="s">
        <v>804</v>
      </c>
      <c r="U1093" s="17"/>
      <c r="V1093" s="17"/>
    </row>
    <row r="1094" spans="1:22" x14ac:dyDescent="0.3">
      <c r="A1094" s="18">
        <v>1165</v>
      </c>
      <c r="B1094" s="18">
        <v>156</v>
      </c>
      <c r="C1094" s="18" t="s">
        <v>20</v>
      </c>
      <c r="D1094" s="17" t="s">
        <v>2316</v>
      </c>
      <c r="E1094" s="22">
        <v>45936</v>
      </c>
      <c r="F1094" s="21" t="s">
        <v>64</v>
      </c>
      <c r="G1094" s="52" t="s">
        <v>2336</v>
      </c>
      <c r="H1094" s="56">
        <v>2362963.9700000002</v>
      </c>
      <c r="I1094" s="22">
        <v>45937</v>
      </c>
      <c r="J1094" s="36">
        <v>45955</v>
      </c>
      <c r="K1094" s="18">
        <v>1644</v>
      </c>
      <c r="L1094" s="61">
        <v>1644</v>
      </c>
      <c r="M1094" s="34">
        <v>137</v>
      </c>
      <c r="N1094" s="22">
        <v>45937</v>
      </c>
      <c r="O1094" s="18" t="s">
        <v>2299</v>
      </c>
      <c r="P1094" s="17" t="s">
        <v>1456</v>
      </c>
      <c r="Q1094" s="17" t="s">
        <v>2043</v>
      </c>
      <c r="R1094" s="17" t="s">
        <v>102</v>
      </c>
      <c r="S1094" s="18" t="s">
        <v>1623</v>
      </c>
      <c r="T1094" s="18" t="s">
        <v>804</v>
      </c>
      <c r="U1094" s="14"/>
      <c r="V1094" s="14"/>
    </row>
    <row r="1095" spans="1:22" x14ac:dyDescent="0.3">
      <c r="A1095" s="18">
        <v>1165</v>
      </c>
      <c r="B1095" s="18">
        <v>156</v>
      </c>
      <c r="C1095" s="18" t="s">
        <v>20</v>
      </c>
      <c r="D1095" s="17" t="s">
        <v>2317</v>
      </c>
      <c r="E1095" s="22">
        <v>45936</v>
      </c>
      <c r="F1095" s="21" t="s">
        <v>58</v>
      </c>
      <c r="G1095" s="52" t="s">
        <v>2337</v>
      </c>
      <c r="H1095" s="56">
        <v>2565352.33</v>
      </c>
      <c r="I1095" s="22">
        <v>45937</v>
      </c>
      <c r="J1095" s="36">
        <v>45955</v>
      </c>
      <c r="K1095" s="18">
        <v>1812</v>
      </c>
      <c r="L1095" s="61">
        <v>1812</v>
      </c>
      <c r="M1095" s="34">
        <v>151</v>
      </c>
      <c r="N1095" s="22">
        <v>45937</v>
      </c>
      <c r="O1095" s="18" t="s">
        <v>2308</v>
      </c>
      <c r="P1095" s="17" t="s">
        <v>1456</v>
      </c>
      <c r="Q1095" s="17" t="s">
        <v>2043</v>
      </c>
      <c r="R1095" s="17" t="s">
        <v>102</v>
      </c>
      <c r="S1095" s="18" t="s">
        <v>1623</v>
      </c>
      <c r="T1095" s="18" t="s">
        <v>804</v>
      </c>
      <c r="U1095" s="14"/>
      <c r="V1095" s="14"/>
    </row>
    <row r="1096" spans="1:22" x14ac:dyDescent="0.3">
      <c r="A1096" s="18">
        <v>1165</v>
      </c>
      <c r="B1096" s="18">
        <v>156</v>
      </c>
      <c r="C1096" s="18" t="s">
        <v>20</v>
      </c>
      <c r="D1096" s="17" t="s">
        <v>2318</v>
      </c>
      <c r="E1096" s="22">
        <v>45936</v>
      </c>
      <c r="F1096" s="25" t="s">
        <v>122</v>
      </c>
      <c r="G1096" s="52" t="s">
        <v>2338</v>
      </c>
      <c r="H1096" s="56">
        <v>328218.74</v>
      </c>
      <c r="I1096" s="22">
        <v>45937</v>
      </c>
      <c r="J1096" s="36">
        <v>45955</v>
      </c>
      <c r="K1096" s="18">
        <v>240</v>
      </c>
      <c r="L1096" s="61">
        <v>240</v>
      </c>
      <c r="M1096" s="34">
        <v>20</v>
      </c>
      <c r="N1096" s="22">
        <v>45937</v>
      </c>
      <c r="O1096" s="18" t="s">
        <v>2339</v>
      </c>
      <c r="P1096" s="17" t="s">
        <v>1456</v>
      </c>
      <c r="Q1096" s="17" t="s">
        <v>2043</v>
      </c>
      <c r="R1096" s="17" t="s">
        <v>102</v>
      </c>
      <c r="S1096" s="18" t="s">
        <v>1623</v>
      </c>
      <c r="T1096" s="18" t="s">
        <v>804</v>
      </c>
      <c r="U1096" s="14"/>
      <c r="V1096" s="14"/>
    </row>
    <row r="1097" spans="1:22" x14ac:dyDescent="0.3">
      <c r="A1097" s="18">
        <v>1165</v>
      </c>
      <c r="B1097" s="18">
        <v>156</v>
      </c>
      <c r="C1097" s="18" t="s">
        <v>20</v>
      </c>
      <c r="D1097" s="17" t="s">
        <v>2319</v>
      </c>
      <c r="E1097" s="22">
        <v>45936</v>
      </c>
      <c r="F1097" s="21" t="s">
        <v>133</v>
      </c>
      <c r="G1097" s="52" t="s">
        <v>2360</v>
      </c>
      <c r="H1097" s="56">
        <v>36249.120000000003</v>
      </c>
      <c r="I1097" s="22">
        <v>45936</v>
      </c>
      <c r="J1097" s="36">
        <v>45955</v>
      </c>
      <c r="K1097" s="18">
        <v>120</v>
      </c>
      <c r="L1097" s="61">
        <v>120</v>
      </c>
      <c r="M1097" s="34">
        <v>8</v>
      </c>
      <c r="N1097" s="22">
        <v>45937</v>
      </c>
      <c r="O1097" s="18" t="s">
        <v>2344</v>
      </c>
      <c r="P1097" s="17" t="s">
        <v>1456</v>
      </c>
      <c r="Q1097" s="17" t="s">
        <v>2043</v>
      </c>
      <c r="R1097" s="17" t="s">
        <v>102</v>
      </c>
      <c r="S1097" s="18" t="s">
        <v>1623</v>
      </c>
      <c r="T1097" s="18" t="s">
        <v>804</v>
      </c>
      <c r="U1097" s="14"/>
      <c r="V1097" s="14"/>
    </row>
    <row r="1098" spans="1:22" x14ac:dyDescent="0.3">
      <c r="A1098" s="18">
        <v>1165</v>
      </c>
      <c r="B1098" s="18">
        <v>156</v>
      </c>
      <c r="C1098" s="18" t="s">
        <v>20</v>
      </c>
      <c r="D1098" s="17" t="s">
        <v>2320</v>
      </c>
      <c r="E1098" s="22">
        <v>45935</v>
      </c>
      <c r="F1098" s="21" t="s">
        <v>123</v>
      </c>
      <c r="G1098" s="52" t="s">
        <v>2363</v>
      </c>
      <c r="H1098" s="56">
        <v>128080.88</v>
      </c>
      <c r="I1098" s="22">
        <v>45935</v>
      </c>
      <c r="J1098" s="36">
        <v>45955</v>
      </c>
      <c r="K1098" s="18">
        <v>96</v>
      </c>
      <c r="L1098" s="61">
        <v>96</v>
      </c>
      <c r="M1098" s="34">
        <v>8</v>
      </c>
      <c r="N1098" s="22">
        <v>45937</v>
      </c>
      <c r="O1098" s="18" t="s">
        <v>2339</v>
      </c>
      <c r="P1098" s="17" t="s">
        <v>1456</v>
      </c>
      <c r="Q1098" s="17" t="s">
        <v>2314</v>
      </c>
      <c r="R1098" s="17" t="s">
        <v>102</v>
      </c>
      <c r="S1098" s="18" t="s">
        <v>1623</v>
      </c>
      <c r="T1098" s="18" t="s">
        <v>804</v>
      </c>
      <c r="U1098" s="14"/>
      <c r="V1098" s="14"/>
    </row>
    <row r="1099" spans="1:22" x14ac:dyDescent="0.3">
      <c r="A1099" s="18">
        <v>1165</v>
      </c>
      <c r="B1099" s="18">
        <v>156</v>
      </c>
      <c r="C1099" s="18" t="s">
        <v>20</v>
      </c>
      <c r="D1099" s="17" t="s">
        <v>2321</v>
      </c>
      <c r="E1099" s="22">
        <v>45935</v>
      </c>
      <c r="F1099" s="44" t="s">
        <v>2208</v>
      </c>
      <c r="G1099" s="52" t="s">
        <v>2349</v>
      </c>
      <c r="H1099" s="56">
        <v>144090.99</v>
      </c>
      <c r="I1099" s="22">
        <v>45936</v>
      </c>
      <c r="J1099" s="36">
        <v>45955</v>
      </c>
      <c r="K1099" s="18">
        <v>108</v>
      </c>
      <c r="L1099" s="61">
        <v>108</v>
      </c>
      <c r="M1099" s="34">
        <v>9</v>
      </c>
      <c r="N1099" s="22">
        <v>45937</v>
      </c>
      <c r="O1099" s="18" t="s">
        <v>2350</v>
      </c>
      <c r="P1099" s="17" t="s">
        <v>1456</v>
      </c>
      <c r="Q1099" s="17" t="s">
        <v>2314</v>
      </c>
      <c r="R1099" s="17" t="s">
        <v>102</v>
      </c>
      <c r="S1099" s="18" t="s">
        <v>1623</v>
      </c>
      <c r="T1099" s="18" t="s">
        <v>804</v>
      </c>
      <c r="U1099" s="14"/>
      <c r="V1099" s="14"/>
    </row>
    <row r="1100" spans="1:22" x14ac:dyDescent="0.3">
      <c r="A1100" s="18">
        <v>1165</v>
      </c>
      <c r="B1100" s="18">
        <v>156</v>
      </c>
      <c r="C1100" s="18" t="s">
        <v>20</v>
      </c>
      <c r="D1100" s="17" t="s">
        <v>2322</v>
      </c>
      <c r="E1100" s="22">
        <v>45935</v>
      </c>
      <c r="F1100" s="21" t="s">
        <v>33</v>
      </c>
      <c r="G1100" s="52" t="s">
        <v>2361</v>
      </c>
      <c r="H1100" s="56">
        <v>154398.97</v>
      </c>
      <c r="I1100" s="22">
        <v>45936</v>
      </c>
      <c r="J1100" s="36">
        <v>45955</v>
      </c>
      <c r="K1100" s="18">
        <v>120</v>
      </c>
      <c r="L1100" s="61">
        <v>120</v>
      </c>
      <c r="M1100" s="34">
        <v>10</v>
      </c>
      <c r="N1100" s="22">
        <v>45937</v>
      </c>
      <c r="O1100" s="18" t="s">
        <v>2362</v>
      </c>
      <c r="P1100" s="17" t="s">
        <v>1456</v>
      </c>
      <c r="Q1100" s="17" t="s">
        <v>2314</v>
      </c>
      <c r="R1100" s="17" t="s">
        <v>102</v>
      </c>
      <c r="S1100" s="18" t="s">
        <v>1623</v>
      </c>
      <c r="T1100" s="18" t="s">
        <v>804</v>
      </c>
      <c r="U1100" s="14"/>
      <c r="V1100" s="14"/>
    </row>
    <row r="1101" spans="1:22" x14ac:dyDescent="0.3">
      <c r="A1101" s="18">
        <v>1165</v>
      </c>
      <c r="B1101" s="18">
        <v>156</v>
      </c>
      <c r="C1101" s="18" t="s">
        <v>20</v>
      </c>
      <c r="D1101" s="17" t="s">
        <v>2323</v>
      </c>
      <c r="E1101" s="22">
        <v>45935</v>
      </c>
      <c r="F1101" s="21" t="s">
        <v>119</v>
      </c>
      <c r="G1101" s="52" t="s">
        <v>2352</v>
      </c>
      <c r="H1101" s="56">
        <v>96060.66</v>
      </c>
      <c r="I1101" s="22">
        <v>45936</v>
      </c>
      <c r="J1101" s="36">
        <v>45955</v>
      </c>
      <c r="K1101" s="18">
        <v>72</v>
      </c>
      <c r="L1101" s="61">
        <v>72</v>
      </c>
      <c r="M1101" s="34">
        <v>6</v>
      </c>
      <c r="N1101" s="22">
        <v>45937</v>
      </c>
      <c r="O1101" s="18" t="s">
        <v>2353</v>
      </c>
      <c r="P1101" s="17" t="s">
        <v>1456</v>
      </c>
      <c r="Q1101" s="17" t="s">
        <v>2314</v>
      </c>
      <c r="R1101" s="17" t="s">
        <v>102</v>
      </c>
      <c r="S1101" s="18" t="s">
        <v>1623</v>
      </c>
      <c r="T1101" s="18" t="s">
        <v>804</v>
      </c>
      <c r="U1101" s="14"/>
      <c r="V1101" s="14"/>
    </row>
    <row r="1102" spans="1:22" x14ac:dyDescent="0.3">
      <c r="A1102" s="18">
        <v>1165</v>
      </c>
      <c r="B1102" s="18">
        <v>156</v>
      </c>
      <c r="C1102" s="18" t="s">
        <v>20</v>
      </c>
      <c r="D1102" s="17" t="s">
        <v>2324</v>
      </c>
      <c r="E1102" s="22">
        <v>45935</v>
      </c>
      <c r="F1102" s="21" t="s">
        <v>133</v>
      </c>
      <c r="G1102" s="52" t="s">
        <v>2340</v>
      </c>
      <c r="H1102" s="56">
        <v>96060.66</v>
      </c>
      <c r="I1102" s="22">
        <v>45935</v>
      </c>
      <c r="J1102" s="36">
        <v>45955</v>
      </c>
      <c r="K1102" s="17">
        <v>72</v>
      </c>
      <c r="L1102" s="34">
        <v>72</v>
      </c>
      <c r="M1102" s="34">
        <v>6</v>
      </c>
      <c r="N1102" s="22">
        <v>45937</v>
      </c>
      <c r="O1102" s="17" t="s">
        <v>21</v>
      </c>
      <c r="P1102" s="17" t="s">
        <v>1456</v>
      </c>
      <c r="Q1102" s="17" t="s">
        <v>2314</v>
      </c>
      <c r="R1102" s="17" t="s">
        <v>102</v>
      </c>
      <c r="S1102" s="18" t="s">
        <v>1623</v>
      </c>
      <c r="T1102" s="18" t="s">
        <v>804</v>
      </c>
      <c r="U1102" s="14"/>
      <c r="V1102" s="14"/>
    </row>
    <row r="1103" spans="1:22" x14ac:dyDescent="0.3">
      <c r="A1103" s="18">
        <v>1165</v>
      </c>
      <c r="B1103" s="18">
        <v>156</v>
      </c>
      <c r="C1103" s="18" t="s">
        <v>20</v>
      </c>
      <c r="D1103" s="17" t="s">
        <v>2325</v>
      </c>
      <c r="E1103" s="22">
        <v>45935</v>
      </c>
      <c r="F1103" s="44" t="s">
        <v>2070</v>
      </c>
      <c r="G1103" s="52" t="s">
        <v>2341</v>
      </c>
      <c r="H1103" s="56">
        <v>96060.66</v>
      </c>
      <c r="I1103" s="22">
        <v>45935</v>
      </c>
      <c r="J1103" s="36">
        <v>45955</v>
      </c>
      <c r="K1103" s="17">
        <v>72</v>
      </c>
      <c r="L1103" s="34">
        <v>72</v>
      </c>
      <c r="M1103" s="34">
        <v>6</v>
      </c>
      <c r="N1103" s="22">
        <v>45937</v>
      </c>
      <c r="O1103" s="17" t="s">
        <v>2342</v>
      </c>
      <c r="P1103" s="17" t="s">
        <v>1456</v>
      </c>
      <c r="Q1103" s="17" t="s">
        <v>2314</v>
      </c>
      <c r="R1103" s="17" t="s">
        <v>102</v>
      </c>
      <c r="S1103" s="18" t="s">
        <v>1623</v>
      </c>
      <c r="T1103" s="18" t="s">
        <v>804</v>
      </c>
      <c r="U1103" s="14"/>
      <c r="V1103" s="14"/>
    </row>
    <row r="1104" spans="1:22" x14ac:dyDescent="0.3">
      <c r="A1104" s="18">
        <v>1165</v>
      </c>
      <c r="B1104" s="18">
        <v>156</v>
      </c>
      <c r="C1104" s="18" t="s">
        <v>20</v>
      </c>
      <c r="D1104" s="17" t="s">
        <v>2326</v>
      </c>
      <c r="E1104" s="22">
        <v>45935</v>
      </c>
      <c r="F1104" s="21" t="s">
        <v>117</v>
      </c>
      <c r="G1104" s="52" t="s">
        <v>2348</v>
      </c>
      <c r="H1104" s="56">
        <v>112070.77</v>
      </c>
      <c r="I1104" s="22">
        <v>45935</v>
      </c>
      <c r="J1104" s="36">
        <v>45955</v>
      </c>
      <c r="K1104" s="17">
        <v>84</v>
      </c>
      <c r="L1104" s="34">
        <v>84</v>
      </c>
      <c r="M1104" s="34">
        <v>7</v>
      </c>
      <c r="N1104" s="22">
        <v>45937</v>
      </c>
      <c r="O1104" s="17" t="s">
        <v>2343</v>
      </c>
      <c r="P1104" s="17" t="s">
        <v>1456</v>
      </c>
      <c r="Q1104" s="17" t="s">
        <v>2314</v>
      </c>
      <c r="R1104" s="17" t="s">
        <v>102</v>
      </c>
      <c r="S1104" s="18" t="s">
        <v>1623</v>
      </c>
      <c r="T1104" s="18" t="s">
        <v>804</v>
      </c>
      <c r="U1104" s="14"/>
      <c r="V1104" s="14"/>
    </row>
    <row r="1105" spans="1:22" x14ac:dyDescent="0.3">
      <c r="A1105" s="18">
        <v>1165</v>
      </c>
      <c r="B1105" s="18">
        <v>156</v>
      </c>
      <c r="C1105" s="18" t="s">
        <v>20</v>
      </c>
      <c r="D1105" s="17" t="s">
        <v>2327</v>
      </c>
      <c r="E1105" s="22">
        <v>45935</v>
      </c>
      <c r="F1105" s="21" t="s">
        <v>131</v>
      </c>
      <c r="G1105" s="52" t="s">
        <v>2347</v>
      </c>
      <c r="H1105" s="56">
        <v>96060.66</v>
      </c>
      <c r="I1105" s="22">
        <v>45935</v>
      </c>
      <c r="J1105" s="36">
        <v>45955</v>
      </c>
      <c r="K1105" s="17">
        <v>72</v>
      </c>
      <c r="L1105" s="34">
        <v>72</v>
      </c>
      <c r="M1105" s="34">
        <v>6</v>
      </c>
      <c r="N1105" s="22">
        <v>45937</v>
      </c>
      <c r="O1105" s="17" t="s">
        <v>2342</v>
      </c>
      <c r="P1105" s="17" t="s">
        <v>1456</v>
      </c>
      <c r="Q1105" s="17" t="s">
        <v>2314</v>
      </c>
      <c r="R1105" s="17" t="s">
        <v>102</v>
      </c>
      <c r="S1105" s="18" t="s">
        <v>1623</v>
      </c>
      <c r="T1105" s="18" t="s">
        <v>804</v>
      </c>
      <c r="U1105" s="14"/>
      <c r="V1105" s="14"/>
    </row>
    <row r="1106" spans="1:22" x14ac:dyDescent="0.3">
      <c r="A1106" s="18">
        <v>1165</v>
      </c>
      <c r="B1106" s="18">
        <v>156</v>
      </c>
      <c r="C1106" s="18" t="s">
        <v>20</v>
      </c>
      <c r="D1106" s="17" t="s">
        <v>2328</v>
      </c>
      <c r="E1106" s="22">
        <v>45935</v>
      </c>
      <c r="F1106" s="21" t="s">
        <v>113</v>
      </c>
      <c r="G1106" s="52" t="s">
        <v>2346</v>
      </c>
      <c r="H1106" s="56">
        <v>144090.99</v>
      </c>
      <c r="I1106" s="22">
        <v>45935</v>
      </c>
      <c r="J1106" s="36">
        <v>45955</v>
      </c>
      <c r="K1106" s="17">
        <v>108</v>
      </c>
      <c r="L1106" s="34">
        <v>108</v>
      </c>
      <c r="M1106" s="34">
        <v>9</v>
      </c>
      <c r="N1106" s="22">
        <v>45937</v>
      </c>
      <c r="O1106" s="17" t="s">
        <v>2344</v>
      </c>
      <c r="P1106" s="17" t="s">
        <v>1456</v>
      </c>
      <c r="Q1106" s="17" t="s">
        <v>2314</v>
      </c>
      <c r="R1106" s="17" t="s">
        <v>102</v>
      </c>
      <c r="S1106" s="18" t="s">
        <v>1623</v>
      </c>
      <c r="T1106" s="18" t="s">
        <v>804</v>
      </c>
      <c r="U1106" s="14"/>
      <c r="V1106" s="14"/>
    </row>
    <row r="1107" spans="1:22" x14ac:dyDescent="0.3">
      <c r="A1107" s="18">
        <v>1165</v>
      </c>
      <c r="B1107" s="18">
        <v>156</v>
      </c>
      <c r="C1107" s="18" t="s">
        <v>20</v>
      </c>
      <c r="D1107" s="17" t="s">
        <v>2329</v>
      </c>
      <c r="E1107" s="22">
        <v>45935</v>
      </c>
      <c r="F1107" s="21" t="s">
        <v>2315</v>
      </c>
      <c r="G1107" s="52" t="s">
        <v>2345</v>
      </c>
      <c r="H1107" s="56">
        <v>293781.03000000003</v>
      </c>
      <c r="I1107" s="22">
        <v>45936</v>
      </c>
      <c r="J1107" s="36">
        <v>45955</v>
      </c>
      <c r="K1107" s="17">
        <v>240</v>
      </c>
      <c r="L1107" s="34">
        <v>240</v>
      </c>
      <c r="M1107" s="34">
        <v>20</v>
      </c>
      <c r="N1107" s="22">
        <v>45937</v>
      </c>
      <c r="O1107" s="17" t="s">
        <v>2344</v>
      </c>
      <c r="P1107" s="17" t="s">
        <v>1456</v>
      </c>
      <c r="Q1107" s="17" t="s">
        <v>2314</v>
      </c>
      <c r="R1107" s="17" t="s">
        <v>102</v>
      </c>
      <c r="S1107" s="18" t="s">
        <v>1623</v>
      </c>
      <c r="T1107" s="18" t="s">
        <v>804</v>
      </c>
      <c r="U1107" s="14"/>
      <c r="V1107" s="14"/>
    </row>
    <row r="1108" spans="1:22" x14ac:dyDescent="0.3">
      <c r="A1108" s="18">
        <v>1165</v>
      </c>
      <c r="B1108" s="18">
        <v>156</v>
      </c>
      <c r="C1108" s="18" t="s">
        <v>20</v>
      </c>
      <c r="D1108" s="17" t="s">
        <v>2330</v>
      </c>
      <c r="E1108" s="22">
        <v>45935</v>
      </c>
      <c r="F1108" s="21" t="s">
        <v>1207</v>
      </c>
      <c r="G1108" s="52" t="s">
        <v>2351</v>
      </c>
      <c r="H1108" s="56">
        <v>144090.99</v>
      </c>
      <c r="I1108" s="22">
        <v>45936</v>
      </c>
      <c r="J1108" s="36">
        <v>45955</v>
      </c>
      <c r="K1108" s="17">
        <v>108</v>
      </c>
      <c r="L1108" s="34">
        <v>108</v>
      </c>
      <c r="M1108" s="34">
        <v>9</v>
      </c>
      <c r="N1108" s="22">
        <v>45937</v>
      </c>
      <c r="O1108" s="17" t="s">
        <v>2350</v>
      </c>
      <c r="P1108" s="17" t="s">
        <v>1456</v>
      </c>
      <c r="Q1108" s="17" t="s">
        <v>2314</v>
      </c>
      <c r="R1108" s="17" t="s">
        <v>102</v>
      </c>
      <c r="S1108" s="18" t="s">
        <v>1623</v>
      </c>
      <c r="T1108" s="18" t="s">
        <v>804</v>
      </c>
      <c r="U1108" s="14"/>
      <c r="V1108" s="14"/>
    </row>
    <row r="1109" spans="1:22" x14ac:dyDescent="0.3">
      <c r="A1109" s="18">
        <v>1165</v>
      </c>
      <c r="B1109" s="18">
        <v>156</v>
      </c>
      <c r="C1109" s="18" t="s">
        <v>20</v>
      </c>
      <c r="D1109" s="17" t="s">
        <v>2331</v>
      </c>
      <c r="E1109" s="22">
        <v>45935</v>
      </c>
      <c r="F1109" s="21" t="s">
        <v>137</v>
      </c>
      <c r="G1109" s="52" t="s">
        <v>2354</v>
      </c>
      <c r="H1109" s="56">
        <v>162539.20000000001</v>
      </c>
      <c r="I1109" s="22">
        <v>45936</v>
      </c>
      <c r="J1109" s="36">
        <v>45955</v>
      </c>
      <c r="K1109" s="17">
        <v>120</v>
      </c>
      <c r="L1109" s="34">
        <v>120</v>
      </c>
      <c r="M1109" s="34">
        <v>10</v>
      </c>
      <c r="N1109" s="22">
        <v>45937</v>
      </c>
      <c r="O1109" s="17" t="s">
        <v>2355</v>
      </c>
      <c r="P1109" s="17" t="s">
        <v>1456</v>
      </c>
      <c r="Q1109" s="17" t="s">
        <v>2314</v>
      </c>
      <c r="R1109" s="17" t="s">
        <v>102</v>
      </c>
      <c r="S1109" s="18" t="s">
        <v>1623</v>
      </c>
      <c r="T1109" s="18" t="s">
        <v>804</v>
      </c>
      <c r="U1109" s="14"/>
      <c r="V1109" s="14"/>
    </row>
    <row r="1110" spans="1:22" x14ac:dyDescent="0.3">
      <c r="A1110" s="18">
        <v>1165</v>
      </c>
      <c r="B1110" s="18">
        <v>156</v>
      </c>
      <c r="C1110" s="18" t="s">
        <v>20</v>
      </c>
      <c r="D1110" s="17" t="s">
        <v>2332</v>
      </c>
      <c r="E1110" s="22">
        <v>45936</v>
      </c>
      <c r="F1110" s="21" t="s">
        <v>113</v>
      </c>
      <c r="G1110" s="52" t="s">
        <v>2356</v>
      </c>
      <c r="H1110" s="56">
        <v>36249.120000000003</v>
      </c>
      <c r="I1110" s="22">
        <v>45936</v>
      </c>
      <c r="J1110" s="36">
        <v>45955</v>
      </c>
      <c r="K1110" s="17">
        <v>120</v>
      </c>
      <c r="L1110" s="34">
        <v>120</v>
      </c>
      <c r="M1110" s="34">
        <v>5</v>
      </c>
      <c r="N1110" s="22">
        <v>45937</v>
      </c>
      <c r="O1110" s="17" t="s">
        <v>2344</v>
      </c>
      <c r="P1110" s="17" t="s">
        <v>1456</v>
      </c>
      <c r="Q1110" s="17" t="s">
        <v>2314</v>
      </c>
      <c r="R1110" s="17" t="s">
        <v>102</v>
      </c>
      <c r="S1110" s="18" t="s">
        <v>1623</v>
      </c>
      <c r="T1110" s="18" t="s">
        <v>804</v>
      </c>
      <c r="U1110" s="14"/>
      <c r="V1110" s="14"/>
    </row>
    <row r="1111" spans="1:22" x14ac:dyDescent="0.3">
      <c r="A1111" s="18">
        <v>1165</v>
      </c>
      <c r="B1111" s="18">
        <v>156</v>
      </c>
      <c r="C1111" s="18" t="s">
        <v>20</v>
      </c>
      <c r="D1111" s="17" t="s">
        <v>2333</v>
      </c>
      <c r="E1111" s="22">
        <v>45936</v>
      </c>
      <c r="F1111" s="21" t="s">
        <v>35</v>
      </c>
      <c r="G1111" s="52" t="s">
        <v>2357</v>
      </c>
      <c r="H1111" s="56">
        <v>198454.09</v>
      </c>
      <c r="I1111" s="22">
        <v>45936</v>
      </c>
      <c r="J1111" s="36">
        <v>45955</v>
      </c>
      <c r="K1111" s="17">
        <v>156</v>
      </c>
      <c r="L1111" s="34">
        <v>156</v>
      </c>
      <c r="M1111" s="34">
        <v>13</v>
      </c>
      <c r="N1111" s="22">
        <v>45937</v>
      </c>
      <c r="O1111" s="17" t="s">
        <v>2291</v>
      </c>
      <c r="P1111" s="17" t="s">
        <v>1456</v>
      </c>
      <c r="Q1111" s="17" t="s">
        <v>2314</v>
      </c>
      <c r="R1111" s="17" t="s">
        <v>102</v>
      </c>
      <c r="S1111" s="18" t="s">
        <v>1623</v>
      </c>
      <c r="T1111" s="18" t="s">
        <v>804</v>
      </c>
      <c r="U1111" s="14"/>
      <c r="V1111" s="14"/>
    </row>
    <row r="1112" spans="1:22" x14ac:dyDescent="0.3">
      <c r="A1112" s="18">
        <v>1165</v>
      </c>
      <c r="B1112" s="18">
        <v>156</v>
      </c>
      <c r="C1112" s="18" t="s">
        <v>20</v>
      </c>
      <c r="D1112" s="17" t="s">
        <v>2334</v>
      </c>
      <c r="E1112" s="22">
        <v>45937</v>
      </c>
      <c r="F1112" s="21" t="s">
        <v>28</v>
      </c>
      <c r="G1112" s="52" t="s">
        <v>2358</v>
      </c>
      <c r="H1112" s="56">
        <v>478217.75</v>
      </c>
      <c r="I1112" s="22">
        <v>45937</v>
      </c>
      <c r="J1112" s="36">
        <v>45955</v>
      </c>
      <c r="K1112" s="17">
        <v>348</v>
      </c>
      <c r="L1112" s="34">
        <v>348</v>
      </c>
      <c r="M1112" s="34">
        <v>29</v>
      </c>
      <c r="N1112" s="22">
        <v>45937</v>
      </c>
      <c r="O1112" s="17" t="s">
        <v>2350</v>
      </c>
      <c r="P1112" s="17" t="s">
        <v>1456</v>
      </c>
      <c r="Q1112" s="17" t="s">
        <v>2314</v>
      </c>
      <c r="R1112" s="17" t="s">
        <v>102</v>
      </c>
      <c r="S1112" s="18" t="s">
        <v>1623</v>
      </c>
      <c r="T1112" s="18" t="s">
        <v>804</v>
      </c>
      <c r="U1112" s="14"/>
      <c r="V1112" s="14"/>
    </row>
    <row r="1113" spans="1:22" x14ac:dyDescent="0.3">
      <c r="A1113" s="18">
        <v>1165</v>
      </c>
      <c r="B1113" s="18">
        <v>156</v>
      </c>
      <c r="C1113" s="18" t="s">
        <v>20</v>
      </c>
      <c r="D1113" s="17" t="s">
        <v>2335</v>
      </c>
      <c r="E1113" s="22">
        <v>45937</v>
      </c>
      <c r="F1113" s="21" t="s">
        <v>113</v>
      </c>
      <c r="G1113" s="52" t="s">
        <v>2359</v>
      </c>
      <c r="H1113" s="56">
        <v>233869.94</v>
      </c>
      <c r="I1113" s="22">
        <v>45937</v>
      </c>
      <c r="J1113" s="36">
        <v>45955</v>
      </c>
      <c r="K1113" s="17">
        <v>168</v>
      </c>
      <c r="L1113" s="34">
        <v>168</v>
      </c>
      <c r="M1113" s="34">
        <v>14</v>
      </c>
      <c r="N1113" s="22">
        <v>45937</v>
      </c>
      <c r="O1113" s="17" t="s">
        <v>2344</v>
      </c>
      <c r="P1113" s="17" t="s">
        <v>1456</v>
      </c>
      <c r="Q1113" s="17" t="s">
        <v>2314</v>
      </c>
      <c r="R1113" s="17" t="s">
        <v>102</v>
      </c>
      <c r="S1113" s="18" t="s">
        <v>1623</v>
      </c>
      <c r="T1113" s="18" t="s">
        <v>804</v>
      </c>
      <c r="U1113" s="14"/>
      <c r="V1113" s="14"/>
    </row>
    <row r="1114" spans="1:22" x14ac:dyDescent="0.3">
      <c r="A1114" s="18">
        <v>1166</v>
      </c>
      <c r="B1114" s="18">
        <v>157</v>
      </c>
      <c r="C1114" s="18" t="s">
        <v>20</v>
      </c>
      <c r="D1114" s="17" t="s">
        <v>2364</v>
      </c>
      <c r="E1114" s="22">
        <v>45936</v>
      </c>
      <c r="F1114" s="21" t="s">
        <v>2315</v>
      </c>
      <c r="G1114" s="52" t="s">
        <v>2365</v>
      </c>
      <c r="H1114" s="56">
        <v>185820.82</v>
      </c>
      <c r="I1114" s="22">
        <v>45936</v>
      </c>
      <c r="J1114" s="36">
        <v>45955</v>
      </c>
      <c r="K1114" s="17">
        <v>120</v>
      </c>
      <c r="L1114" s="34">
        <v>120</v>
      </c>
      <c r="M1114" s="34">
        <v>10</v>
      </c>
      <c r="N1114" s="22">
        <v>45938</v>
      </c>
      <c r="O1114" s="17" t="s">
        <v>2344</v>
      </c>
      <c r="P1114" s="17" t="s">
        <v>1456</v>
      </c>
      <c r="Q1114" s="18" t="s">
        <v>141</v>
      </c>
      <c r="R1114" s="17" t="s">
        <v>102</v>
      </c>
      <c r="S1114" s="18" t="s">
        <v>1623</v>
      </c>
      <c r="T1114" s="18" t="s">
        <v>804</v>
      </c>
      <c r="U1114" s="14"/>
      <c r="V1114" s="14"/>
    </row>
    <row r="1115" spans="1:22" x14ac:dyDescent="0.3">
      <c r="A1115" s="18">
        <v>1166</v>
      </c>
      <c r="B1115" s="18">
        <v>157</v>
      </c>
      <c r="C1115" s="18" t="s">
        <v>20</v>
      </c>
      <c r="D1115" s="17" t="s">
        <v>2366</v>
      </c>
      <c r="E1115" s="22">
        <v>45936</v>
      </c>
      <c r="F1115" s="21" t="s">
        <v>28</v>
      </c>
      <c r="G1115" s="52" t="s">
        <v>2367</v>
      </c>
      <c r="H1115" s="56">
        <v>483643.5</v>
      </c>
      <c r="I1115" s="22">
        <v>45936</v>
      </c>
      <c r="J1115" s="36">
        <v>45955</v>
      </c>
      <c r="K1115" s="17">
        <v>360</v>
      </c>
      <c r="L1115" s="34">
        <v>360</v>
      </c>
      <c r="M1115" s="34">
        <v>30</v>
      </c>
      <c r="N1115" s="22">
        <v>45938</v>
      </c>
      <c r="O1115" s="17" t="s">
        <v>2350</v>
      </c>
      <c r="P1115" s="17" t="s">
        <v>1456</v>
      </c>
      <c r="Q1115" s="18" t="s">
        <v>141</v>
      </c>
      <c r="R1115" s="17" t="s">
        <v>102</v>
      </c>
      <c r="S1115" s="18" t="s">
        <v>1623</v>
      </c>
      <c r="T1115" s="18" t="s">
        <v>804</v>
      </c>
      <c r="U1115" s="14"/>
      <c r="V1115" s="14"/>
    </row>
    <row r="1116" spans="1:22" x14ac:dyDescent="0.3">
      <c r="A1116" s="18">
        <v>1166</v>
      </c>
      <c r="B1116" s="18">
        <v>157</v>
      </c>
      <c r="C1116" s="18" t="s">
        <v>20</v>
      </c>
      <c r="D1116" s="17" t="s">
        <v>2368</v>
      </c>
      <c r="E1116" s="22">
        <v>45936</v>
      </c>
      <c r="F1116" s="21" t="s">
        <v>137</v>
      </c>
      <c r="G1116" s="52" t="s">
        <v>2369</v>
      </c>
      <c r="H1116" s="56">
        <v>101565</v>
      </c>
      <c r="I1116" s="22">
        <v>45936</v>
      </c>
      <c r="J1116" s="36">
        <v>45955</v>
      </c>
      <c r="K1116" s="17">
        <v>72</v>
      </c>
      <c r="L1116" s="34">
        <v>72</v>
      </c>
      <c r="M1116" s="34">
        <v>6</v>
      </c>
      <c r="N1116" s="22">
        <v>45938</v>
      </c>
      <c r="O1116" s="17" t="s">
        <v>2355</v>
      </c>
      <c r="P1116" s="17" t="s">
        <v>1456</v>
      </c>
      <c r="Q1116" s="18" t="s">
        <v>141</v>
      </c>
      <c r="R1116" s="17" t="s">
        <v>102</v>
      </c>
      <c r="S1116" s="18" t="s">
        <v>1623</v>
      </c>
      <c r="T1116" s="18" t="s">
        <v>804</v>
      </c>
      <c r="U1116" s="14"/>
      <c r="V1116" s="14"/>
    </row>
    <row r="1117" spans="1:22" x14ac:dyDescent="0.3">
      <c r="A1117" s="18">
        <v>1166</v>
      </c>
      <c r="B1117" s="18">
        <v>157</v>
      </c>
      <c r="C1117" s="18" t="s">
        <v>20</v>
      </c>
      <c r="D1117" s="17" t="s">
        <v>2370</v>
      </c>
      <c r="E1117" s="22">
        <v>45936</v>
      </c>
      <c r="F1117" s="21" t="s">
        <v>35</v>
      </c>
      <c r="G1117" s="52" t="s">
        <v>2371</v>
      </c>
      <c r="H1117" s="56">
        <v>93263.22</v>
      </c>
      <c r="I1117" s="22">
        <v>45936</v>
      </c>
      <c r="J1117" s="36">
        <v>45955</v>
      </c>
      <c r="K1117" s="17">
        <v>72</v>
      </c>
      <c r="L1117" s="34">
        <v>72</v>
      </c>
      <c r="M1117" s="34">
        <v>6</v>
      </c>
      <c r="N1117" s="22">
        <v>45938</v>
      </c>
      <c r="O1117" s="17" t="s">
        <v>2396</v>
      </c>
      <c r="P1117" s="17" t="s">
        <v>1456</v>
      </c>
      <c r="Q1117" s="18" t="s">
        <v>141</v>
      </c>
      <c r="R1117" s="17" t="s">
        <v>102</v>
      </c>
      <c r="S1117" s="18" t="s">
        <v>1623</v>
      </c>
      <c r="T1117" s="18" t="s">
        <v>804</v>
      </c>
      <c r="U1117" s="14"/>
      <c r="V1117" s="14"/>
    </row>
    <row r="1118" spans="1:22" x14ac:dyDescent="0.3">
      <c r="A1118" s="18">
        <v>1166</v>
      </c>
      <c r="B1118" s="18">
        <v>157</v>
      </c>
      <c r="C1118" s="18" t="s">
        <v>20</v>
      </c>
      <c r="D1118" s="17" t="s">
        <v>2372</v>
      </c>
      <c r="E1118" s="22">
        <v>45938</v>
      </c>
      <c r="F1118" s="21" t="s">
        <v>33</v>
      </c>
      <c r="G1118" s="52" t="s">
        <v>2373</v>
      </c>
      <c r="H1118" s="56">
        <v>59178</v>
      </c>
      <c r="I1118" s="22">
        <v>45938</v>
      </c>
      <c r="J1118" s="36">
        <v>45955</v>
      </c>
      <c r="K1118" s="17">
        <v>36</v>
      </c>
      <c r="L1118" s="34">
        <v>36</v>
      </c>
      <c r="M1118" s="34">
        <v>3</v>
      </c>
      <c r="N1118" s="22">
        <v>45938</v>
      </c>
      <c r="O1118" s="17" t="s">
        <v>2362</v>
      </c>
      <c r="P1118" s="17" t="s">
        <v>1456</v>
      </c>
      <c r="Q1118" s="18" t="s">
        <v>141</v>
      </c>
      <c r="R1118" s="17" t="s">
        <v>102</v>
      </c>
      <c r="S1118" s="18" t="s">
        <v>1623</v>
      </c>
      <c r="T1118" s="18" t="s">
        <v>804</v>
      </c>
      <c r="U1118" s="14"/>
      <c r="V1118" s="14"/>
    </row>
    <row r="1119" spans="1:22" x14ac:dyDescent="0.3">
      <c r="A1119" s="18">
        <v>1166</v>
      </c>
      <c r="B1119" s="18">
        <v>157</v>
      </c>
      <c r="C1119" s="18" t="s">
        <v>20</v>
      </c>
      <c r="D1119" s="17" t="s">
        <v>2374</v>
      </c>
      <c r="E1119" s="22">
        <v>45938</v>
      </c>
      <c r="F1119" s="21" t="s">
        <v>53</v>
      </c>
      <c r="G1119" s="52" t="s">
        <v>2375</v>
      </c>
      <c r="H1119" s="56">
        <v>137101</v>
      </c>
      <c r="I1119" s="22">
        <v>45936</v>
      </c>
      <c r="J1119" s="36">
        <v>45955</v>
      </c>
      <c r="K1119" s="17">
        <v>84</v>
      </c>
      <c r="L1119" s="34">
        <v>84</v>
      </c>
      <c r="M1119" s="34">
        <v>7</v>
      </c>
      <c r="N1119" s="22">
        <v>45938</v>
      </c>
      <c r="O1119" s="17" t="s">
        <v>21</v>
      </c>
      <c r="P1119" s="17" t="s">
        <v>1456</v>
      </c>
      <c r="Q1119" s="18" t="s">
        <v>141</v>
      </c>
      <c r="R1119" s="17" t="s">
        <v>102</v>
      </c>
      <c r="S1119" s="18" t="s">
        <v>1623</v>
      </c>
      <c r="T1119" s="18" t="s">
        <v>804</v>
      </c>
      <c r="U1119" s="14"/>
      <c r="V1119" s="14"/>
    </row>
    <row r="1120" spans="1:22" x14ac:dyDescent="0.3">
      <c r="A1120" s="18">
        <v>1166</v>
      </c>
      <c r="B1120" s="18">
        <v>157</v>
      </c>
      <c r="C1120" s="18" t="s">
        <v>20</v>
      </c>
      <c r="D1120" s="17" t="s">
        <v>2376</v>
      </c>
      <c r="E1120" s="22">
        <v>45937</v>
      </c>
      <c r="F1120" s="44" t="s">
        <v>2208</v>
      </c>
      <c r="G1120" s="52" t="s">
        <v>2377</v>
      </c>
      <c r="H1120" s="56">
        <v>584674.85</v>
      </c>
      <c r="I1120" s="22">
        <v>45937</v>
      </c>
      <c r="J1120" s="36">
        <v>45955</v>
      </c>
      <c r="K1120" s="17">
        <v>420</v>
      </c>
      <c r="L1120" s="34">
        <v>420</v>
      </c>
      <c r="M1120" s="34">
        <v>35</v>
      </c>
      <c r="N1120" s="22">
        <v>45938</v>
      </c>
      <c r="O1120" s="17" t="s">
        <v>2350</v>
      </c>
      <c r="P1120" s="17" t="s">
        <v>1456</v>
      </c>
      <c r="Q1120" s="18" t="s">
        <v>141</v>
      </c>
      <c r="R1120" s="17" t="s">
        <v>102</v>
      </c>
      <c r="S1120" s="18" t="s">
        <v>1623</v>
      </c>
      <c r="T1120" s="18" t="s">
        <v>804</v>
      </c>
      <c r="U1120" s="14"/>
      <c r="V1120" s="14"/>
    </row>
    <row r="1121" spans="1:22" x14ac:dyDescent="0.3">
      <c r="A1121" s="18">
        <v>1166</v>
      </c>
      <c r="B1121" s="18">
        <v>157</v>
      </c>
      <c r="C1121" s="18" t="s">
        <v>20</v>
      </c>
      <c r="D1121" s="17" t="s">
        <v>2378</v>
      </c>
      <c r="E1121" s="22">
        <v>45938</v>
      </c>
      <c r="F1121" s="21" t="s">
        <v>1207</v>
      </c>
      <c r="G1121" s="52" t="s">
        <v>2379</v>
      </c>
      <c r="H1121" s="56">
        <v>785480.75</v>
      </c>
      <c r="I1121" s="22">
        <v>45938</v>
      </c>
      <c r="J1121" s="36">
        <v>45955</v>
      </c>
      <c r="K1121" s="17">
        <v>564</v>
      </c>
      <c r="L1121" s="34">
        <v>564</v>
      </c>
      <c r="M1121" s="34">
        <v>47</v>
      </c>
      <c r="N1121" s="22">
        <v>45938</v>
      </c>
      <c r="O1121" s="17" t="s">
        <v>2350</v>
      </c>
      <c r="P1121" s="17" t="s">
        <v>1456</v>
      </c>
      <c r="Q1121" s="18" t="s">
        <v>141</v>
      </c>
      <c r="R1121" s="17" t="s">
        <v>102</v>
      </c>
      <c r="S1121" s="18" t="s">
        <v>1623</v>
      </c>
      <c r="T1121" s="18" t="s">
        <v>804</v>
      </c>
      <c r="U1121" s="14"/>
      <c r="V1121" s="14"/>
    </row>
    <row r="1122" spans="1:22" x14ac:dyDescent="0.3">
      <c r="A1122" s="18">
        <v>1166</v>
      </c>
      <c r="B1122" s="18">
        <v>157</v>
      </c>
      <c r="C1122" s="18" t="s">
        <v>20</v>
      </c>
      <c r="D1122" s="17" t="s">
        <v>2380</v>
      </c>
      <c r="E1122" s="22">
        <v>45938</v>
      </c>
      <c r="F1122" s="21" t="s">
        <v>84</v>
      </c>
      <c r="G1122" s="52" t="s">
        <v>2381</v>
      </c>
      <c r="H1122" s="56">
        <v>404033.46</v>
      </c>
      <c r="I1122" s="22">
        <v>45938</v>
      </c>
      <c r="J1122" s="36">
        <v>45955</v>
      </c>
      <c r="K1122" s="17">
        <v>288</v>
      </c>
      <c r="L1122" s="34">
        <v>288</v>
      </c>
      <c r="M1122" s="34">
        <v>24</v>
      </c>
      <c r="N1122" s="22">
        <v>45938</v>
      </c>
      <c r="O1122" s="17" t="s">
        <v>2308</v>
      </c>
      <c r="P1122" s="17" t="s">
        <v>1456</v>
      </c>
      <c r="Q1122" s="18" t="s">
        <v>141</v>
      </c>
      <c r="R1122" s="17" t="s">
        <v>102</v>
      </c>
      <c r="S1122" s="18" t="s">
        <v>1623</v>
      </c>
      <c r="T1122" s="18" t="s">
        <v>804</v>
      </c>
      <c r="U1122" s="14"/>
      <c r="V1122" s="14"/>
    </row>
    <row r="1123" spans="1:22" x14ac:dyDescent="0.3">
      <c r="A1123" s="18">
        <v>1166</v>
      </c>
      <c r="B1123" s="18">
        <v>157</v>
      </c>
      <c r="C1123" s="18" t="s">
        <v>20</v>
      </c>
      <c r="D1123" s="17" t="s">
        <v>2382</v>
      </c>
      <c r="E1123" s="22">
        <v>45938</v>
      </c>
      <c r="F1123" s="21" t="s">
        <v>53</v>
      </c>
      <c r="G1123" s="52" t="s">
        <v>2383</v>
      </c>
      <c r="H1123" s="56">
        <v>485482.73</v>
      </c>
      <c r="I1123" s="22">
        <v>45938</v>
      </c>
      <c r="J1123" s="36">
        <v>45955</v>
      </c>
      <c r="K1123" s="17">
        <v>348</v>
      </c>
      <c r="L1123" s="34">
        <v>348</v>
      </c>
      <c r="M1123" s="34">
        <v>29</v>
      </c>
      <c r="N1123" s="22">
        <v>45938</v>
      </c>
      <c r="O1123" s="17" t="s">
        <v>21</v>
      </c>
      <c r="P1123" s="17" t="s">
        <v>1456</v>
      </c>
      <c r="Q1123" s="18" t="s">
        <v>141</v>
      </c>
      <c r="R1123" s="17" t="s">
        <v>102</v>
      </c>
      <c r="S1123" s="18" t="s">
        <v>1623</v>
      </c>
      <c r="T1123" s="18" t="s">
        <v>804</v>
      </c>
      <c r="U1123" s="14"/>
      <c r="V1123" s="14"/>
    </row>
    <row r="1124" spans="1:22" x14ac:dyDescent="0.3">
      <c r="A1124" s="18">
        <v>1166</v>
      </c>
      <c r="B1124" s="18">
        <v>157</v>
      </c>
      <c r="C1124" s="18" t="s">
        <v>20</v>
      </c>
      <c r="D1124" s="17" t="s">
        <v>2384</v>
      </c>
      <c r="E1124" s="22">
        <v>45938</v>
      </c>
      <c r="F1124" s="21" t="s">
        <v>117</v>
      </c>
      <c r="G1124" s="52" t="s">
        <v>2385</v>
      </c>
      <c r="H1124" s="56">
        <v>350804.91</v>
      </c>
      <c r="I1124" s="22">
        <v>45938</v>
      </c>
      <c r="J1124" s="36">
        <v>45955</v>
      </c>
      <c r="K1124" s="17">
        <v>252</v>
      </c>
      <c r="L1124" s="34">
        <v>252</v>
      </c>
      <c r="M1124" s="34">
        <v>21</v>
      </c>
      <c r="N1124" s="22">
        <v>45938</v>
      </c>
      <c r="O1124" s="17" t="s">
        <v>2343</v>
      </c>
      <c r="P1124" s="17" t="s">
        <v>1456</v>
      </c>
      <c r="Q1124" s="18" t="s">
        <v>141</v>
      </c>
      <c r="R1124" s="17" t="s">
        <v>102</v>
      </c>
      <c r="S1124" s="18" t="s">
        <v>1623</v>
      </c>
      <c r="T1124" s="18" t="s">
        <v>804</v>
      </c>
      <c r="U1124" s="14"/>
      <c r="V1124" s="14"/>
    </row>
    <row r="1125" spans="1:22" x14ac:dyDescent="0.3">
      <c r="A1125" s="18">
        <v>1166</v>
      </c>
      <c r="B1125" s="18">
        <v>157</v>
      </c>
      <c r="C1125" s="18" t="s">
        <v>20</v>
      </c>
      <c r="D1125" s="17" t="s">
        <v>2386</v>
      </c>
      <c r="E1125" s="22">
        <v>45938</v>
      </c>
      <c r="F1125" s="44" t="s">
        <v>2070</v>
      </c>
      <c r="G1125" s="52" t="s">
        <v>2387</v>
      </c>
      <c r="H1125" s="56">
        <v>1344677.82</v>
      </c>
      <c r="I1125" s="22">
        <v>45938</v>
      </c>
      <c r="J1125" s="36">
        <v>45955</v>
      </c>
      <c r="K1125" s="17">
        <v>96</v>
      </c>
      <c r="L1125" s="34">
        <v>96</v>
      </c>
      <c r="M1125" s="34">
        <v>8</v>
      </c>
      <c r="N1125" s="22">
        <v>45938</v>
      </c>
      <c r="O1125" s="17" t="s">
        <v>2342</v>
      </c>
      <c r="P1125" s="17" t="s">
        <v>1456</v>
      </c>
      <c r="Q1125" s="18" t="s">
        <v>141</v>
      </c>
      <c r="R1125" s="17" t="s">
        <v>102</v>
      </c>
      <c r="S1125" s="18" t="s">
        <v>1623</v>
      </c>
      <c r="T1125" s="18" t="s">
        <v>804</v>
      </c>
      <c r="U1125" s="14"/>
      <c r="V1125" s="14"/>
    </row>
    <row r="1126" spans="1:22" x14ac:dyDescent="0.3">
      <c r="A1126" s="18">
        <v>1166</v>
      </c>
      <c r="B1126" s="18">
        <v>157</v>
      </c>
      <c r="C1126" s="18" t="s">
        <v>20</v>
      </c>
      <c r="D1126" s="17" t="s">
        <v>2388</v>
      </c>
      <c r="E1126" s="22">
        <v>45938</v>
      </c>
      <c r="F1126" s="21" t="s">
        <v>118</v>
      </c>
      <c r="G1126" s="52" t="s">
        <v>2389</v>
      </c>
      <c r="H1126" s="56">
        <v>183063.05</v>
      </c>
      <c r="I1126" s="22">
        <v>45938</v>
      </c>
      <c r="J1126" s="36">
        <v>45955</v>
      </c>
      <c r="K1126" s="17">
        <v>132</v>
      </c>
      <c r="L1126" s="34">
        <v>132</v>
      </c>
      <c r="M1126" s="34">
        <v>11</v>
      </c>
      <c r="N1126" s="22">
        <v>45938</v>
      </c>
      <c r="O1126" s="17" t="s">
        <v>2343</v>
      </c>
      <c r="P1126" s="17" t="s">
        <v>1456</v>
      </c>
      <c r="Q1126" s="18" t="s">
        <v>141</v>
      </c>
      <c r="R1126" s="17" t="s">
        <v>102</v>
      </c>
      <c r="S1126" s="18" t="s">
        <v>1623</v>
      </c>
      <c r="T1126" s="18" t="s">
        <v>804</v>
      </c>
      <c r="U1126" s="14"/>
      <c r="V1126" s="14"/>
    </row>
    <row r="1127" spans="1:22" x14ac:dyDescent="0.3">
      <c r="A1127" s="18">
        <v>1166</v>
      </c>
      <c r="B1127" s="18">
        <v>157</v>
      </c>
      <c r="C1127" s="18" t="s">
        <v>20</v>
      </c>
      <c r="D1127" s="17" t="s">
        <v>2390</v>
      </c>
      <c r="E1127" s="22">
        <v>45938</v>
      </c>
      <c r="F1127" s="21" t="s">
        <v>131</v>
      </c>
      <c r="G1127" s="52" t="s">
        <v>2391</v>
      </c>
      <c r="H1127" s="56">
        <v>172585.18</v>
      </c>
      <c r="I1127" s="22">
        <v>45938</v>
      </c>
      <c r="J1127" s="36">
        <v>45955</v>
      </c>
      <c r="K1127" s="17">
        <v>120</v>
      </c>
      <c r="L1127" s="34">
        <v>120</v>
      </c>
      <c r="M1127" s="34">
        <v>10</v>
      </c>
      <c r="N1127" s="22">
        <v>45938</v>
      </c>
      <c r="O1127" s="17" t="s">
        <v>2342</v>
      </c>
      <c r="P1127" s="17" t="s">
        <v>1456</v>
      </c>
      <c r="Q1127" s="18" t="s">
        <v>141</v>
      </c>
      <c r="R1127" s="17" t="s">
        <v>102</v>
      </c>
      <c r="S1127" s="18" t="s">
        <v>1623</v>
      </c>
      <c r="T1127" s="18" t="s">
        <v>804</v>
      </c>
      <c r="U1127" s="14"/>
      <c r="V1127" s="14"/>
    </row>
    <row r="1128" spans="1:22" x14ac:dyDescent="0.3">
      <c r="A1128" s="18">
        <v>1166</v>
      </c>
      <c r="B1128" s="18">
        <v>157</v>
      </c>
      <c r="C1128" s="18" t="s">
        <v>20</v>
      </c>
      <c r="D1128" s="17" t="s">
        <v>2392</v>
      </c>
      <c r="E1128" s="22">
        <v>45938</v>
      </c>
      <c r="F1128" s="21" t="s">
        <v>2193</v>
      </c>
      <c r="G1128" s="52" t="s">
        <v>2393</v>
      </c>
      <c r="H1128" s="56">
        <v>375812.74</v>
      </c>
      <c r="I1128" s="22">
        <v>45938</v>
      </c>
      <c r="J1128" s="36">
        <v>45955</v>
      </c>
      <c r="K1128" s="17">
        <v>264</v>
      </c>
      <c r="L1128" s="34">
        <v>264</v>
      </c>
      <c r="M1128" s="34">
        <v>22</v>
      </c>
      <c r="N1128" s="22">
        <v>45938</v>
      </c>
      <c r="O1128" s="17" t="s">
        <v>21</v>
      </c>
      <c r="P1128" s="17" t="s">
        <v>1456</v>
      </c>
      <c r="Q1128" s="18" t="s">
        <v>141</v>
      </c>
      <c r="R1128" s="17" t="s">
        <v>102</v>
      </c>
      <c r="S1128" s="18" t="s">
        <v>1623</v>
      </c>
      <c r="T1128" s="18" t="s">
        <v>804</v>
      </c>
      <c r="U1128" s="14"/>
      <c r="V1128" s="14"/>
    </row>
    <row r="1129" spans="1:22" x14ac:dyDescent="0.3">
      <c r="A1129" s="18">
        <v>1167</v>
      </c>
      <c r="B1129" s="18">
        <v>158</v>
      </c>
      <c r="C1129" s="18" t="s">
        <v>20</v>
      </c>
      <c r="D1129" s="17" t="s">
        <v>2394</v>
      </c>
      <c r="E1129" s="22">
        <v>45939</v>
      </c>
      <c r="F1129" s="21" t="s">
        <v>35</v>
      </c>
      <c r="G1129" s="52" t="s">
        <v>2395</v>
      </c>
      <c r="H1129" s="56">
        <v>485482.73</v>
      </c>
      <c r="I1129" s="22">
        <v>45939</v>
      </c>
      <c r="J1129" s="36">
        <v>45955</v>
      </c>
      <c r="K1129" s="17">
        <v>348</v>
      </c>
      <c r="L1129" s="34">
        <v>348</v>
      </c>
      <c r="M1129" s="34">
        <v>29</v>
      </c>
      <c r="N1129" s="22">
        <v>45939</v>
      </c>
      <c r="O1129" s="17" t="s">
        <v>2396</v>
      </c>
      <c r="P1129" s="17" t="s">
        <v>1456</v>
      </c>
      <c r="Q1129" s="18" t="s">
        <v>141</v>
      </c>
      <c r="R1129" s="17" t="s">
        <v>102</v>
      </c>
      <c r="S1129" s="18" t="s">
        <v>1623</v>
      </c>
      <c r="T1129" s="18" t="s">
        <v>804</v>
      </c>
      <c r="U1129" s="14"/>
      <c r="V1129" s="14"/>
    </row>
    <row r="1130" spans="1:22" x14ac:dyDescent="0.3">
      <c r="A1130" s="18">
        <v>1167</v>
      </c>
      <c r="B1130" s="18">
        <v>159</v>
      </c>
      <c r="C1130" s="18" t="s">
        <v>20</v>
      </c>
      <c r="D1130" s="17" t="s">
        <v>2397</v>
      </c>
      <c r="E1130" s="22">
        <v>45939</v>
      </c>
      <c r="F1130" s="21" t="s">
        <v>2315</v>
      </c>
      <c r="G1130" s="52" t="s">
        <v>2398</v>
      </c>
      <c r="H1130" s="56">
        <v>198384.24</v>
      </c>
      <c r="I1130" s="22">
        <v>45939</v>
      </c>
      <c r="J1130" s="36">
        <v>45955</v>
      </c>
      <c r="K1130" s="17">
        <v>144</v>
      </c>
      <c r="L1130" s="34">
        <v>144</v>
      </c>
      <c r="M1130" s="34">
        <v>12</v>
      </c>
      <c r="N1130" s="22">
        <v>45939</v>
      </c>
      <c r="O1130" s="14" t="s">
        <v>2344</v>
      </c>
      <c r="P1130" s="17" t="s">
        <v>1456</v>
      </c>
      <c r="Q1130" s="18" t="s">
        <v>141</v>
      </c>
      <c r="R1130" s="17" t="s">
        <v>102</v>
      </c>
      <c r="S1130" s="18" t="s">
        <v>1623</v>
      </c>
      <c r="T1130" s="18" t="s">
        <v>804</v>
      </c>
      <c r="U1130" s="14"/>
      <c r="V1130" s="14"/>
    </row>
    <row r="1131" spans="1:22" x14ac:dyDescent="0.3">
      <c r="A1131" s="18">
        <v>1167</v>
      </c>
      <c r="B1131" s="18">
        <v>159</v>
      </c>
      <c r="C1131" s="18" t="s">
        <v>20</v>
      </c>
      <c r="D1131" s="17" t="s">
        <v>2399</v>
      </c>
      <c r="E1131" s="22">
        <v>45939</v>
      </c>
      <c r="F1131" s="21" t="s">
        <v>123</v>
      </c>
      <c r="G1131" s="52" t="s">
        <v>2400</v>
      </c>
      <c r="H1131" s="56">
        <v>198384.24</v>
      </c>
      <c r="I1131" s="22">
        <v>45939</v>
      </c>
      <c r="J1131" s="36">
        <v>45955</v>
      </c>
      <c r="K1131" s="17">
        <v>144</v>
      </c>
      <c r="L1131" s="34">
        <v>144</v>
      </c>
      <c r="M1131" s="34">
        <v>12</v>
      </c>
      <c r="N1131" s="22">
        <v>45939</v>
      </c>
      <c r="O1131" s="14" t="s">
        <v>2339</v>
      </c>
      <c r="P1131" s="17" t="s">
        <v>1456</v>
      </c>
      <c r="Q1131" s="18" t="s">
        <v>141</v>
      </c>
      <c r="R1131" s="17" t="s">
        <v>102</v>
      </c>
      <c r="S1131" s="18" t="s">
        <v>1623</v>
      </c>
      <c r="T1131" s="18" t="s">
        <v>804</v>
      </c>
      <c r="U1131" s="14"/>
      <c r="V1131" s="14"/>
    </row>
    <row r="1132" spans="1:22" x14ac:dyDescent="0.3">
      <c r="A1132" s="18">
        <v>1167</v>
      </c>
      <c r="B1132" s="18">
        <v>159</v>
      </c>
      <c r="C1132" s="18" t="s">
        <v>20</v>
      </c>
      <c r="D1132" s="17" t="s">
        <v>2401</v>
      </c>
      <c r="E1132" s="22">
        <v>45939</v>
      </c>
      <c r="F1132" s="21" t="s">
        <v>47</v>
      </c>
      <c r="G1132" s="52" t="s">
        <v>2402</v>
      </c>
      <c r="H1132" s="56">
        <v>264512.32</v>
      </c>
      <c r="I1132" s="22">
        <v>45939</v>
      </c>
      <c r="J1132" s="36">
        <v>45955</v>
      </c>
      <c r="K1132" s="17">
        <v>192</v>
      </c>
      <c r="L1132" s="34">
        <v>192</v>
      </c>
      <c r="M1132" s="34">
        <v>16</v>
      </c>
      <c r="N1132" s="22">
        <v>45939</v>
      </c>
      <c r="O1132" s="14" t="s">
        <v>2403</v>
      </c>
      <c r="P1132" s="17" t="s">
        <v>1456</v>
      </c>
      <c r="Q1132" s="18" t="s">
        <v>141</v>
      </c>
      <c r="R1132" s="17" t="s">
        <v>102</v>
      </c>
      <c r="S1132" s="18" t="s">
        <v>1623</v>
      </c>
      <c r="T1132" s="18" t="s">
        <v>804</v>
      </c>
      <c r="U1132" s="14"/>
      <c r="V1132" s="14"/>
    </row>
    <row r="1133" spans="1:22" x14ac:dyDescent="0.3">
      <c r="A1133" s="18">
        <v>1167</v>
      </c>
      <c r="B1133" s="18">
        <v>159</v>
      </c>
      <c r="C1133" s="18" t="s">
        <v>20</v>
      </c>
      <c r="D1133" s="17" t="s">
        <v>2404</v>
      </c>
      <c r="E1133" s="22">
        <v>45939</v>
      </c>
      <c r="F1133" s="21" t="s">
        <v>33</v>
      </c>
      <c r="G1133" s="52" t="s">
        <v>2405</v>
      </c>
      <c r="H1133" s="56">
        <v>469709.96</v>
      </c>
      <c r="I1133" s="22">
        <v>45939</v>
      </c>
      <c r="J1133" s="36">
        <v>45955</v>
      </c>
      <c r="K1133" s="17">
        <v>348</v>
      </c>
      <c r="L1133" s="34">
        <v>348</v>
      </c>
      <c r="M1133" s="34">
        <v>29</v>
      </c>
      <c r="N1133" s="22">
        <v>45939</v>
      </c>
      <c r="O1133" s="14" t="s">
        <v>2362</v>
      </c>
      <c r="P1133" s="17" t="s">
        <v>1456</v>
      </c>
      <c r="Q1133" s="18" t="s">
        <v>141</v>
      </c>
      <c r="R1133" s="17" t="s">
        <v>102</v>
      </c>
      <c r="S1133" s="18" t="s">
        <v>1623</v>
      </c>
      <c r="T1133" s="18" t="s">
        <v>804</v>
      </c>
      <c r="U1133" s="14"/>
      <c r="V1133" s="14"/>
    </row>
    <row r="1134" spans="1:22" x14ac:dyDescent="0.3">
      <c r="A1134" s="18">
        <v>1167</v>
      </c>
      <c r="B1134" s="18">
        <v>159</v>
      </c>
      <c r="C1134" s="18" t="s">
        <v>20</v>
      </c>
      <c r="D1134" s="17" t="s">
        <v>2406</v>
      </c>
      <c r="E1134" s="22">
        <v>45939</v>
      </c>
      <c r="F1134" s="21" t="s">
        <v>64</v>
      </c>
      <c r="G1134" s="52" t="s">
        <v>2407</v>
      </c>
      <c r="H1134" s="56">
        <v>1165833.8500000001</v>
      </c>
      <c r="I1134" s="22">
        <v>45939</v>
      </c>
      <c r="J1134" s="36">
        <v>45955</v>
      </c>
      <c r="K1134" s="17">
        <v>780</v>
      </c>
      <c r="L1134" s="34">
        <v>780</v>
      </c>
      <c r="M1134" s="34">
        <v>65</v>
      </c>
      <c r="N1134" s="22">
        <v>45939</v>
      </c>
      <c r="O1134" s="14" t="s">
        <v>2344</v>
      </c>
      <c r="P1134" s="17" t="s">
        <v>1456</v>
      </c>
      <c r="Q1134" s="18" t="s">
        <v>141</v>
      </c>
      <c r="R1134" s="17" t="s">
        <v>102</v>
      </c>
      <c r="S1134" s="18" t="s">
        <v>1623</v>
      </c>
      <c r="T1134" s="18" t="s">
        <v>804</v>
      </c>
      <c r="U1134" s="14"/>
      <c r="V1134" s="14"/>
    </row>
    <row r="1135" spans="1:22" x14ac:dyDescent="0.3">
      <c r="A1135" s="18">
        <v>1167</v>
      </c>
      <c r="B1135" s="18">
        <v>159</v>
      </c>
      <c r="C1135" s="18" t="s">
        <v>20</v>
      </c>
      <c r="D1135" s="17" t="s">
        <v>2408</v>
      </c>
      <c r="E1135" s="22">
        <v>45939</v>
      </c>
      <c r="F1135" s="21" t="s">
        <v>58</v>
      </c>
      <c r="G1135" s="52" t="s">
        <v>2409</v>
      </c>
      <c r="H1135" s="56">
        <v>849196</v>
      </c>
      <c r="I1135" s="22">
        <v>45939</v>
      </c>
      <c r="J1135" s="36">
        <v>45955</v>
      </c>
      <c r="K1135" s="17">
        <v>648</v>
      </c>
      <c r="L1135" s="34">
        <v>648</v>
      </c>
      <c r="M1135" s="34">
        <v>54</v>
      </c>
      <c r="N1135" s="22">
        <v>45939</v>
      </c>
      <c r="O1135" s="14" t="s">
        <v>2308</v>
      </c>
      <c r="P1135" s="17" t="s">
        <v>1456</v>
      </c>
      <c r="Q1135" s="18" t="s">
        <v>141</v>
      </c>
      <c r="R1135" s="17" t="s">
        <v>102</v>
      </c>
      <c r="S1135" s="18" t="s">
        <v>1623</v>
      </c>
      <c r="T1135" s="18" t="s">
        <v>804</v>
      </c>
      <c r="U1135" s="14"/>
      <c r="V1135" s="14"/>
    </row>
    <row r="1136" spans="1:22" x14ac:dyDescent="0.3">
      <c r="A1136" s="18">
        <v>1167</v>
      </c>
      <c r="B1136" s="18">
        <v>159</v>
      </c>
      <c r="C1136" s="18" t="s">
        <v>20</v>
      </c>
      <c r="D1136" s="17" t="s">
        <v>2410</v>
      </c>
      <c r="E1136" s="22">
        <v>45939</v>
      </c>
      <c r="F1136" s="21" t="s">
        <v>53</v>
      </c>
      <c r="G1136" s="52" t="s">
        <v>2411</v>
      </c>
      <c r="H1136" s="56">
        <v>417607.1</v>
      </c>
      <c r="I1136" s="22">
        <v>45939</v>
      </c>
      <c r="J1136" s="36">
        <v>45955</v>
      </c>
      <c r="K1136" s="17">
        <v>276</v>
      </c>
      <c r="L1136" s="34">
        <v>276</v>
      </c>
      <c r="M1136" s="34">
        <v>23</v>
      </c>
      <c r="N1136" s="22">
        <v>45939</v>
      </c>
      <c r="O1136" s="14" t="s">
        <v>21</v>
      </c>
      <c r="P1136" s="17" t="s">
        <v>1456</v>
      </c>
      <c r="Q1136" s="18" t="s">
        <v>141</v>
      </c>
      <c r="R1136" s="17" t="s">
        <v>102</v>
      </c>
      <c r="S1136" s="18" t="s">
        <v>1623</v>
      </c>
      <c r="T1136" s="18" t="s">
        <v>804</v>
      </c>
      <c r="U1136" s="14"/>
      <c r="V1136" s="14"/>
    </row>
    <row r="1137" spans="1:22" x14ac:dyDescent="0.3">
      <c r="A1137" s="18">
        <v>1167</v>
      </c>
      <c r="B1137" s="18">
        <v>159</v>
      </c>
      <c r="C1137" s="18" t="s">
        <v>20</v>
      </c>
      <c r="D1137" s="17" t="s">
        <v>2412</v>
      </c>
      <c r="E1137" s="22">
        <v>45939</v>
      </c>
      <c r="F1137" s="21" t="s">
        <v>119</v>
      </c>
      <c r="G1137" s="52" t="s">
        <v>2413</v>
      </c>
      <c r="H1137" s="56">
        <v>235869.94</v>
      </c>
      <c r="I1137" s="22">
        <v>45939</v>
      </c>
      <c r="J1137" s="36">
        <v>45955</v>
      </c>
      <c r="K1137" s="17">
        <v>168</v>
      </c>
      <c r="L1137" s="34">
        <v>168</v>
      </c>
      <c r="M1137" s="34">
        <v>14</v>
      </c>
      <c r="N1137" s="22">
        <v>45939</v>
      </c>
      <c r="O1137" s="14" t="s">
        <v>2353</v>
      </c>
      <c r="P1137" s="17" t="s">
        <v>1456</v>
      </c>
      <c r="Q1137" s="18" t="s">
        <v>141</v>
      </c>
      <c r="R1137" s="17" t="s">
        <v>102</v>
      </c>
      <c r="S1137" s="18" t="s">
        <v>1623</v>
      </c>
      <c r="T1137" s="18" t="s">
        <v>804</v>
      </c>
      <c r="U1137" s="14"/>
      <c r="V1137" s="14"/>
    </row>
    <row r="1138" spans="1:22" x14ac:dyDescent="0.3">
      <c r="A1138" s="14">
        <v>1168</v>
      </c>
      <c r="B1138" s="18">
        <v>160</v>
      </c>
      <c r="C1138" s="18" t="s">
        <v>20</v>
      </c>
      <c r="D1138" s="17" t="s">
        <v>2414</v>
      </c>
      <c r="E1138" s="22">
        <v>45939</v>
      </c>
      <c r="F1138" s="21" t="s">
        <v>28</v>
      </c>
      <c r="G1138" s="52" t="s">
        <v>2415</v>
      </c>
      <c r="H1138" s="56">
        <v>990418.75</v>
      </c>
      <c r="I1138" s="22">
        <v>45939</v>
      </c>
      <c r="J1138" s="36">
        <v>45955</v>
      </c>
      <c r="K1138" s="17">
        <v>648</v>
      </c>
      <c r="L1138" s="34">
        <v>648</v>
      </c>
      <c r="M1138" s="34">
        <v>54</v>
      </c>
      <c r="N1138" s="22">
        <v>45939</v>
      </c>
      <c r="O1138" s="14" t="s">
        <v>2350</v>
      </c>
      <c r="P1138" s="17" t="s">
        <v>1456</v>
      </c>
      <c r="Q1138" s="18" t="s">
        <v>378</v>
      </c>
      <c r="R1138" s="17" t="s">
        <v>102</v>
      </c>
      <c r="S1138" s="18" t="s">
        <v>1623</v>
      </c>
      <c r="T1138" s="18" t="s">
        <v>804</v>
      </c>
      <c r="U1138" s="14"/>
      <c r="V1138" s="14"/>
    </row>
    <row r="1139" spans="1:22" x14ac:dyDescent="0.3">
      <c r="A1139" s="14">
        <v>1168</v>
      </c>
      <c r="B1139" s="18">
        <v>160</v>
      </c>
      <c r="C1139" s="18" t="s">
        <v>20</v>
      </c>
      <c r="D1139" s="17" t="s">
        <v>2416</v>
      </c>
      <c r="E1139" s="22">
        <v>45939</v>
      </c>
      <c r="F1139" s="25" t="s">
        <v>122</v>
      </c>
      <c r="G1139" s="52" t="s">
        <v>2417</v>
      </c>
      <c r="H1139" s="56">
        <v>410661.32</v>
      </c>
      <c r="I1139" s="22">
        <v>45939</v>
      </c>
      <c r="J1139" s="36">
        <v>45955</v>
      </c>
      <c r="K1139" s="17">
        <v>288</v>
      </c>
      <c r="L1139" s="34">
        <v>288</v>
      </c>
      <c r="M1139" s="34">
        <v>24</v>
      </c>
      <c r="N1139" s="22">
        <v>45939</v>
      </c>
      <c r="O1139" s="14" t="s">
        <v>2339</v>
      </c>
      <c r="P1139" s="17" t="s">
        <v>1456</v>
      </c>
      <c r="Q1139" s="18" t="s">
        <v>378</v>
      </c>
      <c r="R1139" s="17" t="s">
        <v>102</v>
      </c>
      <c r="S1139" s="18" t="s">
        <v>1623</v>
      </c>
      <c r="T1139" s="18" t="s">
        <v>804</v>
      </c>
      <c r="U1139" s="14"/>
      <c r="V1139" s="14"/>
    </row>
    <row r="1140" spans="1:22" x14ac:dyDescent="0.3">
      <c r="A1140" s="14">
        <v>1168</v>
      </c>
      <c r="B1140" s="18">
        <v>160</v>
      </c>
      <c r="C1140" s="18" t="s">
        <v>20</v>
      </c>
      <c r="D1140" s="17" t="s">
        <v>2418</v>
      </c>
      <c r="E1140" s="22">
        <v>45939</v>
      </c>
      <c r="F1140" s="21" t="s">
        <v>1207</v>
      </c>
      <c r="G1140" s="52" t="s">
        <v>2419</v>
      </c>
      <c r="H1140" s="56">
        <v>1169314.3999999999</v>
      </c>
      <c r="I1140" s="22">
        <v>45939</v>
      </c>
      <c r="J1140" s="36">
        <v>45955</v>
      </c>
      <c r="K1140" s="17">
        <v>780</v>
      </c>
      <c r="L1140" s="34">
        <v>780</v>
      </c>
      <c r="M1140" s="34">
        <v>65</v>
      </c>
      <c r="N1140" s="22">
        <v>45939</v>
      </c>
      <c r="O1140" s="14" t="s">
        <v>2350</v>
      </c>
      <c r="P1140" s="17" t="s">
        <v>1456</v>
      </c>
      <c r="Q1140" s="18" t="s">
        <v>378</v>
      </c>
      <c r="R1140" s="17" t="s">
        <v>102</v>
      </c>
      <c r="S1140" s="18" t="s">
        <v>1623</v>
      </c>
      <c r="T1140" s="18" t="s">
        <v>804</v>
      </c>
      <c r="U1140" s="14"/>
      <c r="V1140" s="14"/>
    </row>
    <row r="1141" spans="1:22" x14ac:dyDescent="0.3">
      <c r="A1141" s="14">
        <v>1168</v>
      </c>
      <c r="B1141" s="18">
        <v>160</v>
      </c>
      <c r="C1141" s="18" t="s">
        <v>20</v>
      </c>
      <c r="D1141" s="17" t="s">
        <v>2420</v>
      </c>
      <c r="E1141" s="22">
        <v>45939</v>
      </c>
      <c r="F1141" s="44" t="s">
        <v>2208</v>
      </c>
      <c r="G1141" s="52" t="s">
        <v>2421</v>
      </c>
      <c r="H1141" s="56">
        <v>366792.33</v>
      </c>
      <c r="I1141" s="22">
        <v>45939</v>
      </c>
      <c r="J1141" s="36">
        <v>45955</v>
      </c>
      <c r="K1141" s="17">
        <v>240</v>
      </c>
      <c r="L1141" s="34">
        <v>240</v>
      </c>
      <c r="M1141" s="34">
        <v>20</v>
      </c>
      <c r="N1141" s="22">
        <v>45939</v>
      </c>
      <c r="O1141" s="14" t="s">
        <v>2350</v>
      </c>
      <c r="P1141" s="17" t="s">
        <v>1456</v>
      </c>
      <c r="Q1141" s="18" t="s">
        <v>378</v>
      </c>
      <c r="R1141" s="17" t="s">
        <v>102</v>
      </c>
      <c r="S1141" s="18" t="s">
        <v>1623</v>
      </c>
      <c r="T1141" s="18" t="s">
        <v>804</v>
      </c>
      <c r="U1141" s="14"/>
      <c r="V1141" s="14"/>
    </row>
    <row r="1142" spans="1:22" x14ac:dyDescent="0.3">
      <c r="A1142" s="14">
        <v>1168</v>
      </c>
      <c r="B1142" s="18">
        <v>160</v>
      </c>
      <c r="C1142" s="18" t="s">
        <v>20</v>
      </c>
      <c r="D1142" s="17" t="s">
        <v>2422</v>
      </c>
      <c r="E1142" s="22">
        <v>45939</v>
      </c>
      <c r="F1142" s="21" t="s">
        <v>33</v>
      </c>
      <c r="G1142" s="52" t="s">
        <v>2423</v>
      </c>
      <c r="H1142" s="56">
        <v>151724</v>
      </c>
      <c r="I1142" s="22">
        <v>45939</v>
      </c>
      <c r="J1142" s="36">
        <v>45955</v>
      </c>
      <c r="K1142" s="17">
        <v>96</v>
      </c>
      <c r="L1142" s="34">
        <v>96</v>
      </c>
      <c r="M1142" s="34">
        <v>8</v>
      </c>
      <c r="N1142" s="22">
        <v>45939</v>
      </c>
      <c r="O1142" s="14" t="s">
        <v>2362</v>
      </c>
      <c r="P1142" s="17" t="s">
        <v>1456</v>
      </c>
      <c r="Q1142" s="18" t="s">
        <v>378</v>
      </c>
      <c r="R1142" s="17" t="s">
        <v>102</v>
      </c>
      <c r="S1142" s="18" t="s">
        <v>1623</v>
      </c>
      <c r="T1142" s="18" t="s">
        <v>804</v>
      </c>
      <c r="U1142" s="14"/>
      <c r="V1142" s="14"/>
    </row>
    <row r="1143" spans="1:22" x14ac:dyDescent="0.3">
      <c r="A1143" s="14">
        <v>1168</v>
      </c>
      <c r="B1143" s="18">
        <v>160</v>
      </c>
      <c r="C1143" s="18" t="s">
        <v>20</v>
      </c>
      <c r="D1143" s="17" t="s">
        <v>2424</v>
      </c>
      <c r="E1143" s="22">
        <v>45939</v>
      </c>
      <c r="F1143" s="21" t="s">
        <v>84</v>
      </c>
      <c r="G1143" s="52" t="s">
        <v>2425</v>
      </c>
      <c r="H1143" s="56">
        <v>144752</v>
      </c>
      <c r="I1143" s="22">
        <v>45939</v>
      </c>
      <c r="J1143" s="36">
        <v>45955</v>
      </c>
      <c r="K1143" s="17">
        <v>96</v>
      </c>
      <c r="L1143" s="34">
        <v>96</v>
      </c>
      <c r="M1143" s="34">
        <v>8</v>
      </c>
      <c r="N1143" s="22">
        <v>45939</v>
      </c>
      <c r="O1143" s="14" t="s">
        <v>2308</v>
      </c>
      <c r="P1143" s="17" t="s">
        <v>1456</v>
      </c>
      <c r="Q1143" s="18" t="s">
        <v>378</v>
      </c>
      <c r="R1143" s="17" t="s">
        <v>102</v>
      </c>
      <c r="S1143" s="18" t="s">
        <v>1623</v>
      </c>
      <c r="T1143" s="18" t="s">
        <v>804</v>
      </c>
      <c r="U1143" s="14"/>
      <c r="V1143" s="14"/>
    </row>
    <row r="1144" spans="1:22" x14ac:dyDescent="0.3">
      <c r="A1144" s="14">
        <v>1169</v>
      </c>
      <c r="B1144" s="18">
        <v>161</v>
      </c>
      <c r="C1144" s="18" t="s">
        <v>20</v>
      </c>
      <c r="D1144" s="17" t="s">
        <v>2426</v>
      </c>
      <c r="E1144" s="22">
        <v>45940</v>
      </c>
      <c r="F1144" s="21" t="s">
        <v>123</v>
      </c>
      <c r="G1144" s="52" t="s">
        <v>2427</v>
      </c>
      <c r="H1144" s="56">
        <v>594282.69999999995</v>
      </c>
      <c r="I1144" s="22">
        <v>45940</v>
      </c>
      <c r="J1144" s="36">
        <v>45955</v>
      </c>
      <c r="K1144" s="17">
        <v>396</v>
      </c>
      <c r="L1144" s="34">
        <v>396</v>
      </c>
      <c r="M1144" s="34">
        <v>33</v>
      </c>
      <c r="N1144" s="22">
        <v>45940</v>
      </c>
      <c r="O1144" s="14" t="s">
        <v>2339</v>
      </c>
      <c r="P1144" s="17" t="s">
        <v>1456</v>
      </c>
      <c r="Q1144" s="18" t="s">
        <v>140</v>
      </c>
      <c r="R1144" s="17" t="s">
        <v>102</v>
      </c>
      <c r="S1144" s="18" t="s">
        <v>1623</v>
      </c>
      <c r="T1144" s="18" t="s">
        <v>804</v>
      </c>
      <c r="U1144" s="14"/>
      <c r="V1144" s="14"/>
    </row>
    <row r="1145" spans="1:22" x14ac:dyDescent="0.3">
      <c r="A1145" s="14">
        <v>1169</v>
      </c>
      <c r="B1145" s="18">
        <v>161</v>
      </c>
      <c r="C1145" s="18" t="s">
        <v>20</v>
      </c>
      <c r="D1145" s="17" t="s">
        <v>2428</v>
      </c>
      <c r="E1145" s="22">
        <v>45940</v>
      </c>
      <c r="F1145" s="21" t="s">
        <v>118</v>
      </c>
      <c r="G1145" s="52" t="s">
        <v>2429</v>
      </c>
      <c r="H1145" s="56">
        <v>261254.98</v>
      </c>
      <c r="I1145" s="22">
        <v>45940</v>
      </c>
      <c r="J1145" s="36">
        <v>45955</v>
      </c>
      <c r="K1145" s="17">
        <v>192</v>
      </c>
      <c r="L1145" s="34">
        <v>192</v>
      </c>
      <c r="M1145" s="34">
        <v>16</v>
      </c>
      <c r="N1145" s="22">
        <v>45940</v>
      </c>
      <c r="O1145" s="14" t="s">
        <v>2343</v>
      </c>
      <c r="P1145" s="17" t="s">
        <v>1456</v>
      </c>
      <c r="Q1145" s="18" t="s">
        <v>140</v>
      </c>
      <c r="R1145" s="17" t="s">
        <v>102</v>
      </c>
      <c r="S1145" s="18" t="s">
        <v>1623</v>
      </c>
      <c r="T1145" s="18" t="s">
        <v>804</v>
      </c>
      <c r="U1145" s="14"/>
      <c r="V1145" s="14"/>
    </row>
    <row r="1146" spans="1:22" x14ac:dyDescent="0.3">
      <c r="A1146" s="14">
        <v>1169</v>
      </c>
      <c r="B1146" s="18">
        <v>161</v>
      </c>
      <c r="C1146" s="18" t="s">
        <v>20</v>
      </c>
      <c r="D1146" s="17" t="s">
        <v>2430</v>
      </c>
      <c r="E1146" s="22">
        <v>45940</v>
      </c>
      <c r="F1146" s="21" t="s">
        <v>58</v>
      </c>
      <c r="G1146" s="52" t="s">
        <v>2431</v>
      </c>
      <c r="H1146" s="56">
        <v>10571.64</v>
      </c>
      <c r="I1146" s="22">
        <v>45940</v>
      </c>
      <c r="J1146" s="36">
        <v>45955</v>
      </c>
      <c r="K1146" s="17">
        <v>140</v>
      </c>
      <c r="L1146" s="34">
        <v>140</v>
      </c>
      <c r="M1146" s="34">
        <v>14</v>
      </c>
      <c r="N1146" s="22">
        <v>45940</v>
      </c>
      <c r="O1146" s="14" t="s">
        <v>2308</v>
      </c>
      <c r="P1146" s="17" t="s">
        <v>1456</v>
      </c>
      <c r="Q1146" s="18" t="s">
        <v>140</v>
      </c>
      <c r="R1146" s="17" t="s">
        <v>102</v>
      </c>
      <c r="S1146" s="18" t="s">
        <v>1623</v>
      </c>
      <c r="T1146" s="18" t="s">
        <v>804</v>
      </c>
      <c r="U1146" s="14"/>
      <c r="V1146" s="14"/>
    </row>
    <row r="1147" spans="1:22" x14ac:dyDescent="0.3">
      <c r="A1147" s="14">
        <v>1169</v>
      </c>
      <c r="B1147" s="18">
        <v>161</v>
      </c>
      <c r="C1147" s="18" t="s">
        <v>20</v>
      </c>
      <c r="D1147" s="17" t="s">
        <v>2432</v>
      </c>
      <c r="E1147" s="22">
        <v>45940</v>
      </c>
      <c r="F1147" s="21" t="s">
        <v>28</v>
      </c>
      <c r="G1147" s="52" t="s">
        <v>2433</v>
      </c>
      <c r="H1147" s="56">
        <v>812741.96</v>
      </c>
      <c r="I1147" s="22">
        <v>45940</v>
      </c>
      <c r="J1147" s="36">
        <v>45955</v>
      </c>
      <c r="K1147" s="17">
        <v>576</v>
      </c>
      <c r="L1147" s="34">
        <v>576</v>
      </c>
      <c r="M1147" s="34">
        <v>48</v>
      </c>
      <c r="N1147" s="22">
        <v>45940</v>
      </c>
      <c r="O1147" s="14" t="s">
        <v>2350</v>
      </c>
      <c r="P1147" s="17" t="s">
        <v>1456</v>
      </c>
      <c r="Q1147" s="18" t="s">
        <v>140</v>
      </c>
      <c r="R1147" s="17" t="s">
        <v>102</v>
      </c>
      <c r="S1147" s="18" t="s">
        <v>1623</v>
      </c>
      <c r="T1147" s="18" t="s">
        <v>804</v>
      </c>
      <c r="U1147" s="14"/>
      <c r="V1147" s="14"/>
    </row>
    <row r="1148" spans="1:22" x14ac:dyDescent="0.3">
      <c r="A1148" s="14">
        <v>1169</v>
      </c>
      <c r="B1148" s="18">
        <v>161</v>
      </c>
      <c r="C1148" s="18" t="s">
        <v>20</v>
      </c>
      <c r="D1148" s="17" t="s">
        <v>2434</v>
      </c>
      <c r="E1148" s="22">
        <v>45940</v>
      </c>
      <c r="F1148" s="21" t="s">
        <v>47</v>
      </c>
      <c r="G1148" s="52" t="s">
        <v>2435</v>
      </c>
      <c r="H1148" s="56">
        <v>1031371.99</v>
      </c>
      <c r="I1148" s="22">
        <v>45940</v>
      </c>
      <c r="J1148" s="36">
        <v>45955</v>
      </c>
      <c r="K1148" s="17">
        <v>612</v>
      </c>
      <c r="L1148" s="34">
        <v>612</v>
      </c>
      <c r="M1148" s="34">
        <v>51</v>
      </c>
      <c r="N1148" s="22">
        <v>45940</v>
      </c>
      <c r="O1148" s="14" t="s">
        <v>2403</v>
      </c>
      <c r="P1148" s="17" t="s">
        <v>1456</v>
      </c>
      <c r="Q1148" s="18" t="s">
        <v>140</v>
      </c>
      <c r="R1148" s="17" t="s">
        <v>102</v>
      </c>
      <c r="S1148" s="18" t="s">
        <v>1623</v>
      </c>
      <c r="T1148" s="18" t="s">
        <v>804</v>
      </c>
      <c r="U1148" s="14"/>
      <c r="V1148" s="14"/>
    </row>
    <row r="1149" spans="1:22" x14ac:dyDescent="0.3">
      <c r="A1149" s="14">
        <v>1169</v>
      </c>
      <c r="B1149" s="18">
        <v>161</v>
      </c>
      <c r="C1149" s="18" t="s">
        <v>20</v>
      </c>
      <c r="D1149" s="17" t="s">
        <v>2436</v>
      </c>
      <c r="E1149" s="22">
        <v>45940</v>
      </c>
      <c r="F1149" s="21" t="s">
        <v>2193</v>
      </c>
      <c r="G1149" s="52" t="s">
        <v>2437</v>
      </c>
      <c r="H1149" s="56">
        <v>429716.41</v>
      </c>
      <c r="I1149" s="22">
        <v>45940</v>
      </c>
      <c r="J1149" s="36">
        <v>45955</v>
      </c>
      <c r="K1149" s="17">
        <v>324</v>
      </c>
      <c r="L1149" s="34">
        <v>324</v>
      </c>
      <c r="M1149" s="34">
        <v>27</v>
      </c>
      <c r="N1149" s="22">
        <v>45940</v>
      </c>
      <c r="O1149" s="14" t="s">
        <v>21</v>
      </c>
      <c r="P1149" s="17" t="s">
        <v>1456</v>
      </c>
      <c r="Q1149" s="18" t="s">
        <v>140</v>
      </c>
      <c r="R1149" s="17" t="s">
        <v>102</v>
      </c>
      <c r="S1149" s="18" t="s">
        <v>1623</v>
      </c>
      <c r="T1149" s="18" t="s">
        <v>804</v>
      </c>
      <c r="U1149" s="14"/>
      <c r="V1149" s="14"/>
    </row>
    <row r="1150" spans="1:22" x14ac:dyDescent="0.3">
      <c r="A1150" s="14">
        <v>1169</v>
      </c>
      <c r="B1150" s="18">
        <v>161</v>
      </c>
      <c r="C1150" s="18" t="s">
        <v>20</v>
      </c>
      <c r="D1150" s="17" t="s">
        <v>2438</v>
      </c>
      <c r="E1150" s="22">
        <v>45940</v>
      </c>
      <c r="F1150" s="21" t="s">
        <v>1207</v>
      </c>
      <c r="G1150" s="52" t="s">
        <v>2439</v>
      </c>
      <c r="H1150" s="56">
        <v>678399.4</v>
      </c>
      <c r="I1150" s="22">
        <v>45940</v>
      </c>
      <c r="J1150" s="36">
        <v>45955</v>
      </c>
      <c r="K1150" s="17">
        <v>480</v>
      </c>
      <c r="L1150" s="34">
        <v>480</v>
      </c>
      <c r="M1150" s="34">
        <v>40</v>
      </c>
      <c r="N1150" s="22">
        <v>45940</v>
      </c>
      <c r="O1150" s="14" t="s">
        <v>2350</v>
      </c>
      <c r="P1150" s="17" t="s">
        <v>1456</v>
      </c>
      <c r="Q1150" s="18" t="s">
        <v>140</v>
      </c>
      <c r="R1150" s="17" t="s">
        <v>102</v>
      </c>
      <c r="S1150" s="18" t="s">
        <v>1623</v>
      </c>
      <c r="T1150" s="18" t="s">
        <v>804</v>
      </c>
      <c r="U1150" s="14"/>
      <c r="V1150" s="14"/>
    </row>
    <row r="1151" spans="1:22" x14ac:dyDescent="0.3">
      <c r="A1151" s="14">
        <v>1169</v>
      </c>
      <c r="B1151" s="18">
        <v>161</v>
      </c>
      <c r="C1151" s="18" t="s">
        <v>20</v>
      </c>
      <c r="D1151" s="17" t="s">
        <v>2440</v>
      </c>
      <c r="E1151" s="22">
        <v>45941</v>
      </c>
      <c r="F1151" s="21" t="s">
        <v>113</v>
      </c>
      <c r="G1151" s="52" t="s">
        <v>2441</v>
      </c>
      <c r="H1151" s="56">
        <v>237638.59</v>
      </c>
      <c r="I1151" s="22">
        <v>45941</v>
      </c>
      <c r="J1151" s="36">
        <v>45955</v>
      </c>
      <c r="K1151" s="17">
        <v>180</v>
      </c>
      <c r="L1151" s="34">
        <v>180</v>
      </c>
      <c r="M1151" s="34">
        <v>15</v>
      </c>
      <c r="N1151" s="22">
        <v>45941</v>
      </c>
      <c r="O1151" s="14" t="s">
        <v>2344</v>
      </c>
      <c r="P1151" s="17" t="s">
        <v>1456</v>
      </c>
      <c r="Q1151" s="18" t="s">
        <v>140</v>
      </c>
      <c r="R1151" s="17" t="s">
        <v>102</v>
      </c>
      <c r="S1151" s="18" t="s">
        <v>1623</v>
      </c>
      <c r="T1151" s="18" t="s">
        <v>804</v>
      </c>
      <c r="U1151" s="14"/>
      <c r="V1151" s="14"/>
    </row>
    <row r="1152" spans="1:22" x14ac:dyDescent="0.3">
      <c r="A1152" s="14">
        <v>1170</v>
      </c>
      <c r="B1152" s="18">
        <v>162</v>
      </c>
      <c r="C1152" s="18" t="s">
        <v>20</v>
      </c>
      <c r="D1152" s="17" t="s">
        <v>2442</v>
      </c>
      <c r="E1152" s="22">
        <v>45940</v>
      </c>
      <c r="F1152" s="21" t="s">
        <v>58</v>
      </c>
      <c r="G1152" s="52" t="s">
        <v>2443</v>
      </c>
      <c r="H1152" s="56">
        <v>120818.72</v>
      </c>
      <c r="I1152" s="22">
        <v>45940</v>
      </c>
      <c r="J1152" s="36">
        <v>45955</v>
      </c>
      <c r="K1152" s="17">
        <v>80</v>
      </c>
      <c r="L1152" s="34">
        <v>80</v>
      </c>
      <c r="M1152" s="34">
        <v>8</v>
      </c>
      <c r="N1152" s="22">
        <v>45940</v>
      </c>
      <c r="O1152" s="14" t="s">
        <v>2308</v>
      </c>
      <c r="P1152" s="17" t="s">
        <v>1456</v>
      </c>
      <c r="Q1152" s="18" t="s">
        <v>2444</v>
      </c>
      <c r="R1152" s="17" t="s">
        <v>102</v>
      </c>
      <c r="S1152" s="18" t="s">
        <v>1623</v>
      </c>
      <c r="T1152" s="18" t="s">
        <v>804</v>
      </c>
      <c r="U1152" s="14"/>
      <c r="V1152" s="14"/>
    </row>
    <row r="1153" spans="1:22" x14ac:dyDescent="0.3">
      <c r="A1153" s="14">
        <v>1170</v>
      </c>
      <c r="B1153" s="18">
        <v>162</v>
      </c>
      <c r="C1153" s="18" t="s">
        <v>20</v>
      </c>
      <c r="D1153" s="17" t="s">
        <v>2445</v>
      </c>
      <c r="E1153" s="22">
        <v>45940</v>
      </c>
      <c r="F1153" s="21" t="s">
        <v>58</v>
      </c>
      <c r="G1153" s="52" t="s">
        <v>2446</v>
      </c>
      <c r="H1153" s="56">
        <v>2765771.88</v>
      </c>
      <c r="I1153" s="22">
        <v>45940</v>
      </c>
      <c r="J1153" s="36">
        <v>45955</v>
      </c>
      <c r="K1153" s="17">
        <v>2016</v>
      </c>
      <c r="L1153" s="34">
        <v>2016</v>
      </c>
      <c r="M1153" s="34">
        <v>168</v>
      </c>
      <c r="N1153" s="22">
        <v>45940</v>
      </c>
      <c r="O1153" s="14" t="s">
        <v>2308</v>
      </c>
      <c r="P1153" s="17" t="s">
        <v>1456</v>
      </c>
      <c r="Q1153" s="18" t="s">
        <v>2444</v>
      </c>
      <c r="R1153" s="17" t="s">
        <v>126</v>
      </c>
      <c r="S1153" s="18" t="s">
        <v>1623</v>
      </c>
      <c r="T1153" s="18" t="s">
        <v>804</v>
      </c>
      <c r="U1153" s="14"/>
      <c r="V1153" s="14"/>
    </row>
    <row r="1154" spans="1:22" x14ac:dyDescent="0.3">
      <c r="A1154" s="14">
        <v>1170</v>
      </c>
      <c r="B1154" s="18">
        <v>162</v>
      </c>
      <c r="C1154" s="18" t="s">
        <v>20</v>
      </c>
      <c r="D1154" s="17" t="s">
        <v>2447</v>
      </c>
      <c r="E1154" s="22">
        <v>45940</v>
      </c>
      <c r="F1154" s="21" t="s">
        <v>64</v>
      </c>
      <c r="G1154" s="52" t="s">
        <v>2448</v>
      </c>
      <c r="H1154" s="56">
        <v>4461112.5</v>
      </c>
      <c r="I1154" s="22">
        <v>45940</v>
      </c>
      <c r="J1154" s="36">
        <v>45955</v>
      </c>
      <c r="K1154" s="17">
        <v>3360</v>
      </c>
      <c r="L1154" s="34">
        <v>3360</v>
      </c>
      <c r="M1154" s="34">
        <v>280</v>
      </c>
      <c r="N1154" s="22">
        <v>45940</v>
      </c>
      <c r="O1154" s="14" t="s">
        <v>2344</v>
      </c>
      <c r="P1154" s="17" t="s">
        <v>1456</v>
      </c>
      <c r="Q1154" s="18" t="s">
        <v>2444</v>
      </c>
      <c r="R1154" s="17" t="s">
        <v>126</v>
      </c>
      <c r="S1154" s="18" t="s">
        <v>1623</v>
      </c>
      <c r="T1154" s="18" t="s">
        <v>804</v>
      </c>
      <c r="U1154" s="14"/>
      <c r="V1154" s="14"/>
    </row>
    <row r="1155" spans="1:22" x14ac:dyDescent="0.3">
      <c r="A1155" s="14">
        <v>1171</v>
      </c>
      <c r="B1155" s="18">
        <v>163</v>
      </c>
      <c r="C1155" s="18" t="s">
        <v>20</v>
      </c>
      <c r="D1155" s="17" t="s">
        <v>2449</v>
      </c>
      <c r="E1155" s="22">
        <v>45941</v>
      </c>
      <c r="F1155" s="21" t="s">
        <v>35</v>
      </c>
      <c r="G1155" s="52" t="s">
        <v>2450</v>
      </c>
      <c r="H1155" s="56">
        <v>446050.32</v>
      </c>
      <c r="I1155" s="22">
        <v>45941</v>
      </c>
      <c r="J1155" s="36">
        <v>45955</v>
      </c>
      <c r="K1155" s="17">
        <v>300</v>
      </c>
      <c r="L1155" s="34">
        <v>300</v>
      </c>
      <c r="M1155" s="34">
        <v>25</v>
      </c>
      <c r="N1155" s="22">
        <v>45941</v>
      </c>
      <c r="O1155" s="14" t="s">
        <v>2396</v>
      </c>
      <c r="P1155" s="17" t="s">
        <v>1456</v>
      </c>
      <c r="Q1155" s="18" t="s">
        <v>2451</v>
      </c>
      <c r="R1155" s="17" t="s">
        <v>102</v>
      </c>
      <c r="S1155" s="18" t="s">
        <v>1623</v>
      </c>
      <c r="T1155" s="18" t="s">
        <v>804</v>
      </c>
      <c r="U1155" s="14"/>
      <c r="V1155" s="14"/>
    </row>
    <row r="1156" spans="1:22" x14ac:dyDescent="0.3">
      <c r="A1156" s="14">
        <v>1171</v>
      </c>
      <c r="B1156" s="18">
        <v>163</v>
      </c>
      <c r="C1156" s="18" t="s">
        <v>20</v>
      </c>
      <c r="D1156" s="14" t="s">
        <v>2452</v>
      </c>
      <c r="E1156" s="22">
        <v>45941</v>
      </c>
      <c r="F1156" s="21" t="s">
        <v>35</v>
      </c>
      <c r="G1156" s="52" t="s">
        <v>2453</v>
      </c>
      <c r="H1156" s="56">
        <v>399730.81</v>
      </c>
      <c r="I1156" s="22">
        <v>45941</v>
      </c>
      <c r="J1156" s="36">
        <v>45955</v>
      </c>
      <c r="K1156" s="17">
        <v>300</v>
      </c>
      <c r="L1156" s="34">
        <v>300</v>
      </c>
      <c r="M1156" s="34">
        <v>25</v>
      </c>
      <c r="N1156" s="22">
        <v>45941</v>
      </c>
      <c r="O1156" s="14" t="s">
        <v>2396</v>
      </c>
      <c r="P1156" s="17" t="s">
        <v>1456</v>
      </c>
      <c r="Q1156" s="18" t="s">
        <v>2451</v>
      </c>
      <c r="R1156" s="17" t="s">
        <v>102</v>
      </c>
      <c r="S1156" s="18" t="s">
        <v>1623</v>
      </c>
      <c r="T1156" s="18" t="s">
        <v>804</v>
      </c>
      <c r="U1156" s="14"/>
      <c r="V1156" s="14"/>
    </row>
    <row r="1157" spans="1:22" x14ac:dyDescent="0.3">
      <c r="A1157" s="14">
        <v>1171</v>
      </c>
      <c r="B1157" s="18">
        <v>163</v>
      </c>
      <c r="C1157" s="18" t="s">
        <v>20</v>
      </c>
      <c r="D1157" s="17" t="s">
        <v>2454</v>
      </c>
      <c r="E1157" s="22">
        <v>45941</v>
      </c>
      <c r="F1157" s="44" t="s">
        <v>2208</v>
      </c>
      <c r="G1157" s="52" t="s">
        <v>2455</v>
      </c>
      <c r="H1157" s="56">
        <v>358367.27</v>
      </c>
      <c r="I1157" s="22">
        <v>45941</v>
      </c>
      <c r="J1157" s="36">
        <v>45955</v>
      </c>
      <c r="K1157" s="17">
        <v>276</v>
      </c>
      <c r="L1157" s="34">
        <v>276</v>
      </c>
      <c r="M1157" s="34">
        <v>23</v>
      </c>
      <c r="N1157" s="22">
        <v>45941</v>
      </c>
      <c r="O1157" s="14" t="s">
        <v>2350</v>
      </c>
      <c r="P1157" s="17" t="s">
        <v>1456</v>
      </c>
      <c r="Q1157" s="18" t="s">
        <v>2451</v>
      </c>
      <c r="R1157" s="17" t="s">
        <v>102</v>
      </c>
      <c r="S1157" s="18" t="s">
        <v>1623</v>
      </c>
      <c r="T1157" s="18" t="s">
        <v>804</v>
      </c>
      <c r="U1157" s="14"/>
      <c r="V1157" s="14"/>
    </row>
    <row r="1158" spans="1:22" x14ac:dyDescent="0.3">
      <c r="A1158" s="14">
        <v>1171</v>
      </c>
      <c r="B1158" s="18">
        <v>163</v>
      </c>
      <c r="C1158" s="18" t="s">
        <v>20</v>
      </c>
      <c r="D1158" s="17" t="s">
        <v>2456</v>
      </c>
      <c r="E1158" s="22">
        <v>45941</v>
      </c>
      <c r="F1158" s="21" t="s">
        <v>129</v>
      </c>
      <c r="G1158" s="52" t="s">
        <v>2457</v>
      </c>
      <c r="H1158" s="56">
        <v>1799338.81</v>
      </c>
      <c r="I1158" s="22">
        <v>45941</v>
      </c>
      <c r="J1158" s="36">
        <v>45955</v>
      </c>
      <c r="K1158" s="17">
        <v>1032</v>
      </c>
      <c r="L1158" s="34">
        <v>1032</v>
      </c>
      <c r="M1158" s="34">
        <v>86</v>
      </c>
      <c r="N1158" s="22">
        <v>45941</v>
      </c>
      <c r="O1158" s="14" t="s">
        <v>2353</v>
      </c>
      <c r="P1158" s="17" t="s">
        <v>1456</v>
      </c>
      <c r="Q1158" s="18" t="s">
        <v>2451</v>
      </c>
      <c r="R1158" s="17" t="s">
        <v>102</v>
      </c>
      <c r="S1158" s="18" t="s">
        <v>1623</v>
      </c>
      <c r="T1158" s="18" t="s">
        <v>804</v>
      </c>
      <c r="U1158" s="14"/>
      <c r="V1158" s="14"/>
    </row>
    <row r="1159" spans="1:22" x14ac:dyDescent="0.3">
      <c r="A1159" s="14">
        <v>1171</v>
      </c>
      <c r="B1159" s="18">
        <v>163</v>
      </c>
      <c r="C1159" s="18" t="s">
        <v>20</v>
      </c>
      <c r="D1159" s="17" t="s">
        <v>2458</v>
      </c>
      <c r="E1159" s="22">
        <v>45941</v>
      </c>
      <c r="F1159" s="25" t="s">
        <v>122</v>
      </c>
      <c r="G1159" s="52" t="s">
        <v>2459</v>
      </c>
      <c r="H1159" s="56">
        <v>427911.86</v>
      </c>
      <c r="I1159" s="22">
        <v>45941</v>
      </c>
      <c r="J1159" s="36">
        <v>45955</v>
      </c>
      <c r="K1159" s="17">
        <v>312</v>
      </c>
      <c r="L1159" s="34">
        <v>312</v>
      </c>
      <c r="M1159" s="34">
        <v>26</v>
      </c>
      <c r="N1159" s="22">
        <v>45941</v>
      </c>
      <c r="O1159" s="14" t="s">
        <v>2339</v>
      </c>
      <c r="P1159" s="17" t="s">
        <v>1456</v>
      </c>
      <c r="Q1159" s="18" t="s">
        <v>2451</v>
      </c>
      <c r="R1159" s="17" t="s">
        <v>102</v>
      </c>
      <c r="S1159" s="18" t="s">
        <v>1623</v>
      </c>
      <c r="T1159" s="18" t="s">
        <v>804</v>
      </c>
      <c r="U1159" s="14"/>
      <c r="V1159" s="14"/>
    </row>
    <row r="1160" spans="1:22" x14ac:dyDescent="0.3">
      <c r="A1160" s="14">
        <v>1171</v>
      </c>
      <c r="B1160" s="18">
        <v>163</v>
      </c>
      <c r="C1160" s="18" t="s">
        <v>20</v>
      </c>
      <c r="D1160" s="17" t="s">
        <v>2460</v>
      </c>
      <c r="E1160" s="22">
        <v>45941</v>
      </c>
      <c r="F1160" s="44" t="s">
        <v>2070</v>
      </c>
      <c r="G1160" s="52" t="s">
        <v>2461</v>
      </c>
      <c r="H1160" s="56">
        <v>169432.22</v>
      </c>
      <c r="I1160" s="22">
        <v>45941</v>
      </c>
      <c r="J1160" s="36">
        <v>45955</v>
      </c>
      <c r="K1160" s="17">
        <v>120</v>
      </c>
      <c r="L1160" s="34">
        <v>120</v>
      </c>
      <c r="M1160" s="34">
        <v>10</v>
      </c>
      <c r="N1160" s="22">
        <v>45941</v>
      </c>
      <c r="O1160" s="14" t="s">
        <v>2342</v>
      </c>
      <c r="P1160" s="17" t="s">
        <v>1456</v>
      </c>
      <c r="Q1160" s="18" t="s">
        <v>2451</v>
      </c>
      <c r="R1160" s="17" t="s">
        <v>102</v>
      </c>
      <c r="S1160" s="18" t="s">
        <v>1623</v>
      </c>
      <c r="T1160" s="18" t="s">
        <v>804</v>
      </c>
      <c r="U1160" s="14"/>
      <c r="V1160" s="14"/>
    </row>
    <row r="1161" spans="1:22" x14ac:dyDescent="0.3">
      <c r="A1161" s="14">
        <v>1171</v>
      </c>
      <c r="B1161" s="18">
        <v>163</v>
      </c>
      <c r="C1161" s="18" t="s">
        <v>20</v>
      </c>
      <c r="D1161" s="17" t="s">
        <v>2462</v>
      </c>
      <c r="E1161" s="22">
        <v>45941</v>
      </c>
      <c r="F1161" s="21" t="s">
        <v>33</v>
      </c>
      <c r="G1161" s="52" t="s">
        <v>2463</v>
      </c>
      <c r="H1161" s="56">
        <v>270686.33</v>
      </c>
      <c r="I1161" s="22">
        <v>45941</v>
      </c>
      <c r="J1161" s="36">
        <v>45955</v>
      </c>
      <c r="K1161" s="17">
        <v>204</v>
      </c>
      <c r="L1161" s="34">
        <v>204</v>
      </c>
      <c r="M1161" s="34">
        <v>17</v>
      </c>
      <c r="N1161" s="22">
        <v>45941</v>
      </c>
      <c r="O1161" s="14" t="s">
        <v>2362</v>
      </c>
      <c r="P1161" s="17" t="s">
        <v>1456</v>
      </c>
      <c r="Q1161" s="18" t="s">
        <v>2451</v>
      </c>
      <c r="R1161" s="17" t="s">
        <v>102</v>
      </c>
      <c r="S1161" s="18" t="s">
        <v>1623</v>
      </c>
      <c r="T1161" s="18" t="s">
        <v>804</v>
      </c>
      <c r="U1161" s="14"/>
      <c r="V1161" s="14"/>
    </row>
    <row r="1162" spans="1:22" x14ac:dyDescent="0.3">
      <c r="A1162" s="14">
        <v>1171</v>
      </c>
      <c r="B1162" s="18">
        <v>163</v>
      </c>
      <c r="C1162" s="18" t="s">
        <v>20</v>
      </c>
      <c r="D1162" s="17" t="s">
        <v>2464</v>
      </c>
      <c r="E1162" s="22">
        <v>45941</v>
      </c>
      <c r="F1162" s="21" t="s">
        <v>84</v>
      </c>
      <c r="G1162" s="52" t="s">
        <v>2465</v>
      </c>
      <c r="H1162" s="56">
        <v>83495.149999999994</v>
      </c>
      <c r="I1162" s="22">
        <v>45941</v>
      </c>
      <c r="J1162" s="36">
        <v>45955</v>
      </c>
      <c r="K1162" s="17">
        <v>60</v>
      </c>
      <c r="L1162" s="34">
        <v>60</v>
      </c>
      <c r="M1162" s="34">
        <v>5</v>
      </c>
      <c r="N1162" s="22">
        <v>45941</v>
      </c>
      <c r="O1162" s="14" t="s">
        <v>2466</v>
      </c>
      <c r="P1162" s="17" t="s">
        <v>1456</v>
      </c>
      <c r="Q1162" s="18" t="s">
        <v>141</v>
      </c>
      <c r="R1162" s="17" t="s">
        <v>102</v>
      </c>
      <c r="S1162" s="18" t="s">
        <v>1623</v>
      </c>
      <c r="T1162" s="18" t="s">
        <v>804</v>
      </c>
      <c r="U1162" s="14"/>
      <c r="V1162" s="14"/>
    </row>
    <row r="1163" spans="1:22" x14ac:dyDescent="0.3">
      <c r="A1163" s="14">
        <v>1172</v>
      </c>
      <c r="B1163" s="18">
        <v>164</v>
      </c>
      <c r="C1163" s="18" t="s">
        <v>20</v>
      </c>
      <c r="D1163" s="17" t="s">
        <v>2467</v>
      </c>
      <c r="E1163" s="22">
        <v>45941</v>
      </c>
      <c r="F1163" s="21" t="s">
        <v>33</v>
      </c>
      <c r="G1163" s="52" t="s">
        <v>2468</v>
      </c>
      <c r="H1163" s="56">
        <v>74831.45</v>
      </c>
      <c r="I1163" s="22">
        <v>45941</v>
      </c>
      <c r="J1163" s="36">
        <v>45955</v>
      </c>
      <c r="K1163" s="17">
        <v>60</v>
      </c>
      <c r="L1163" s="34">
        <v>60</v>
      </c>
      <c r="M1163" s="34">
        <v>5</v>
      </c>
      <c r="N1163" s="22">
        <v>45941</v>
      </c>
      <c r="O1163" s="14" t="s">
        <v>2362</v>
      </c>
      <c r="P1163" s="17" t="s">
        <v>1456</v>
      </c>
      <c r="Q1163" s="18" t="s">
        <v>141</v>
      </c>
      <c r="R1163" s="17" t="s">
        <v>102</v>
      </c>
      <c r="S1163" s="18" t="s">
        <v>1623</v>
      </c>
      <c r="T1163" s="18" t="s">
        <v>804</v>
      </c>
      <c r="U1163" s="14"/>
      <c r="V1163" s="14"/>
    </row>
    <row r="1164" spans="1:22" x14ac:dyDescent="0.3">
      <c r="A1164" s="14">
        <v>1172</v>
      </c>
      <c r="B1164" s="18">
        <v>164</v>
      </c>
      <c r="C1164" s="18" t="s">
        <v>20</v>
      </c>
      <c r="D1164" s="17" t="s">
        <v>2469</v>
      </c>
      <c r="E1164" s="22">
        <v>45941</v>
      </c>
      <c r="F1164" s="21" t="s">
        <v>129</v>
      </c>
      <c r="G1164" s="52" t="s">
        <v>2470</v>
      </c>
      <c r="H1164" s="56">
        <v>1030375.6</v>
      </c>
      <c r="I1164" s="22">
        <v>45941</v>
      </c>
      <c r="J1164" s="36">
        <v>45955</v>
      </c>
      <c r="K1164" s="17">
        <v>480</v>
      </c>
      <c r="L1164" s="34">
        <v>480</v>
      </c>
      <c r="M1164" s="34">
        <v>40</v>
      </c>
      <c r="N1164" s="22">
        <v>45941</v>
      </c>
      <c r="O1164" s="14" t="s">
        <v>2353</v>
      </c>
      <c r="P1164" s="17" t="s">
        <v>1456</v>
      </c>
      <c r="Q1164" s="18" t="s">
        <v>141</v>
      </c>
      <c r="R1164" s="17" t="s">
        <v>102</v>
      </c>
      <c r="S1164" s="18" t="s">
        <v>1623</v>
      </c>
      <c r="T1164" s="18" t="s">
        <v>804</v>
      </c>
      <c r="U1164" s="14"/>
      <c r="V1164" s="14"/>
    </row>
    <row r="1165" spans="1:22" x14ac:dyDescent="0.3">
      <c r="A1165" s="14">
        <v>1172</v>
      </c>
      <c r="B1165" s="18">
        <v>164</v>
      </c>
      <c r="C1165" s="18" t="s">
        <v>20</v>
      </c>
      <c r="D1165" s="17" t="s">
        <v>2471</v>
      </c>
      <c r="E1165" s="22">
        <v>45941</v>
      </c>
      <c r="F1165" s="21" t="s">
        <v>49</v>
      </c>
      <c r="G1165" s="52" t="s">
        <v>2472</v>
      </c>
      <c r="H1165" s="56">
        <v>96728.7</v>
      </c>
      <c r="I1165" s="22">
        <v>45941</v>
      </c>
      <c r="J1165" s="36">
        <v>45955</v>
      </c>
      <c r="K1165" s="17">
        <v>72</v>
      </c>
      <c r="L1165" s="34">
        <v>72</v>
      </c>
      <c r="M1165" s="34">
        <v>6</v>
      </c>
      <c r="N1165" s="22">
        <v>45941</v>
      </c>
      <c r="O1165" s="14" t="s">
        <v>2350</v>
      </c>
      <c r="P1165" s="17" t="s">
        <v>1456</v>
      </c>
      <c r="Q1165" s="18" t="s">
        <v>141</v>
      </c>
      <c r="R1165" s="17" t="s">
        <v>102</v>
      </c>
      <c r="S1165" s="18" t="s">
        <v>1623</v>
      </c>
      <c r="T1165" s="18" t="s">
        <v>804</v>
      </c>
      <c r="U1165" s="14"/>
      <c r="V1165" s="14"/>
    </row>
    <row r="1166" spans="1:22" x14ac:dyDescent="0.3">
      <c r="A1166" s="14">
        <v>1172</v>
      </c>
      <c r="B1166" s="18">
        <v>164</v>
      </c>
      <c r="C1166" s="18" t="s">
        <v>20</v>
      </c>
      <c r="D1166" s="17" t="s">
        <v>2473</v>
      </c>
      <c r="E1166" s="22">
        <v>45941</v>
      </c>
      <c r="F1166" s="21" t="s">
        <v>89</v>
      </c>
      <c r="G1166" s="52" t="s">
        <v>2474</v>
      </c>
      <c r="H1166" s="56">
        <v>83495.149999999994</v>
      </c>
      <c r="I1166" s="22">
        <v>45941</v>
      </c>
      <c r="J1166" s="36">
        <v>45955</v>
      </c>
      <c r="K1166" s="17">
        <v>60</v>
      </c>
      <c r="L1166" s="34">
        <v>60</v>
      </c>
      <c r="M1166" s="34">
        <v>5</v>
      </c>
      <c r="N1166" s="22">
        <v>45941</v>
      </c>
      <c r="O1166" s="14" t="s">
        <v>2355</v>
      </c>
      <c r="P1166" s="17" t="s">
        <v>1456</v>
      </c>
      <c r="Q1166" s="18" t="s">
        <v>141</v>
      </c>
      <c r="R1166" s="17" t="s">
        <v>102</v>
      </c>
      <c r="S1166" s="18" t="s">
        <v>1623</v>
      </c>
      <c r="T1166" s="18" t="s">
        <v>804</v>
      </c>
      <c r="U1166" s="14"/>
      <c r="V1166" s="14"/>
    </row>
    <row r="1167" spans="1:22" x14ac:dyDescent="0.3">
      <c r="A1167" s="14">
        <v>1172</v>
      </c>
      <c r="B1167" s="18">
        <v>164</v>
      </c>
      <c r="C1167" s="18" t="s">
        <v>20</v>
      </c>
      <c r="D1167" s="17" t="s">
        <v>2475</v>
      </c>
      <c r="E1167" s="22">
        <v>45941</v>
      </c>
      <c r="F1167" s="21" t="s">
        <v>132</v>
      </c>
      <c r="G1167" s="52" t="s">
        <v>2476</v>
      </c>
      <c r="H1167" s="56">
        <v>494925.23</v>
      </c>
      <c r="I1167" s="22">
        <v>45941</v>
      </c>
      <c r="J1167" s="36">
        <v>45955</v>
      </c>
      <c r="K1167" s="17">
        <v>360</v>
      </c>
      <c r="L1167" s="34">
        <v>360</v>
      </c>
      <c r="M1167" s="34">
        <v>30</v>
      </c>
      <c r="N1167" s="22">
        <v>45941</v>
      </c>
      <c r="O1167" s="14" t="s">
        <v>2344</v>
      </c>
      <c r="P1167" s="17" t="s">
        <v>1456</v>
      </c>
      <c r="Q1167" s="18" t="s">
        <v>141</v>
      </c>
      <c r="R1167" s="17" t="s">
        <v>102</v>
      </c>
      <c r="S1167" s="18" t="s">
        <v>1623</v>
      </c>
      <c r="T1167" s="18" t="s">
        <v>804</v>
      </c>
      <c r="U1167" s="14"/>
      <c r="V1167" s="14"/>
    </row>
    <row r="1168" spans="1:22" x14ac:dyDescent="0.3">
      <c r="A1168" s="14">
        <v>1172</v>
      </c>
      <c r="B1168" s="18">
        <v>164</v>
      </c>
      <c r="C1168" s="18" t="s">
        <v>20</v>
      </c>
      <c r="D1168" s="17" t="s">
        <v>2477</v>
      </c>
      <c r="E1168" s="22">
        <v>45941</v>
      </c>
      <c r="F1168" s="21" t="s">
        <v>117</v>
      </c>
      <c r="G1168" s="52" t="s">
        <v>2478</v>
      </c>
      <c r="H1168" s="56">
        <v>303400.37</v>
      </c>
      <c r="I1168" s="22">
        <v>45941</v>
      </c>
      <c r="J1168" s="36">
        <v>45955</v>
      </c>
      <c r="K1168" s="17">
        <v>204</v>
      </c>
      <c r="L1168" s="34">
        <v>204</v>
      </c>
      <c r="M1168" s="34">
        <v>17</v>
      </c>
      <c r="N1168" s="22">
        <v>45941</v>
      </c>
      <c r="O1168" s="14" t="s">
        <v>2343</v>
      </c>
      <c r="P1168" s="17" t="s">
        <v>1456</v>
      </c>
      <c r="Q1168" s="18" t="s">
        <v>141</v>
      </c>
      <c r="R1168" s="17" t="s">
        <v>102</v>
      </c>
      <c r="S1168" s="18" t="s">
        <v>1623</v>
      </c>
      <c r="T1168" s="18" t="s">
        <v>804</v>
      </c>
      <c r="U1168" s="14"/>
      <c r="V1168" s="14"/>
    </row>
    <row r="1169" spans="1:22" x14ac:dyDescent="0.3">
      <c r="A1169" s="14">
        <v>1172</v>
      </c>
      <c r="B1169" s="18">
        <v>164</v>
      </c>
      <c r="C1169" s="18" t="s">
        <v>20</v>
      </c>
      <c r="D1169" s="17" t="s">
        <v>2479</v>
      </c>
      <c r="E1169" s="22">
        <v>45941</v>
      </c>
      <c r="F1169" s="21" t="s">
        <v>84</v>
      </c>
      <c r="G1169" s="52" t="s">
        <v>2480</v>
      </c>
      <c r="H1169" s="56">
        <v>298997.59000000003</v>
      </c>
      <c r="I1169" s="22">
        <v>45941</v>
      </c>
      <c r="J1169" s="36">
        <v>45955</v>
      </c>
      <c r="K1169" s="17">
        <v>228</v>
      </c>
      <c r="L1169" s="34">
        <v>228</v>
      </c>
      <c r="M1169" s="34">
        <v>19</v>
      </c>
      <c r="N1169" s="22">
        <v>45941</v>
      </c>
      <c r="O1169" s="14" t="s">
        <v>2466</v>
      </c>
      <c r="P1169" s="17" t="s">
        <v>1456</v>
      </c>
      <c r="Q1169" s="18" t="s">
        <v>141</v>
      </c>
      <c r="R1169" s="17" t="s">
        <v>102</v>
      </c>
      <c r="S1169" s="18" t="s">
        <v>1623</v>
      </c>
      <c r="T1169" s="18" t="s">
        <v>804</v>
      </c>
      <c r="U1169" s="14"/>
      <c r="V1169" s="14"/>
    </row>
    <row r="1170" spans="1:22" x14ac:dyDescent="0.3">
      <c r="A1170" s="14">
        <v>1172</v>
      </c>
      <c r="B1170" s="18">
        <v>164</v>
      </c>
      <c r="C1170" s="18" t="s">
        <v>20</v>
      </c>
      <c r="D1170" s="17" t="s">
        <v>2481</v>
      </c>
      <c r="E1170" s="22">
        <v>45941</v>
      </c>
      <c r="F1170" s="23" t="s">
        <v>68</v>
      </c>
      <c r="G1170" s="52" t="s">
        <v>2482</v>
      </c>
      <c r="H1170" s="56">
        <v>555408.35</v>
      </c>
      <c r="I1170" s="22">
        <v>45941</v>
      </c>
      <c r="J1170" s="36">
        <v>45955</v>
      </c>
      <c r="K1170" s="17">
        <v>396</v>
      </c>
      <c r="L1170" s="34">
        <v>396</v>
      </c>
      <c r="M1170" s="34">
        <v>33</v>
      </c>
      <c r="N1170" s="22">
        <v>45941</v>
      </c>
      <c r="O1170" s="14" t="s">
        <v>2343</v>
      </c>
      <c r="P1170" s="17" t="s">
        <v>1456</v>
      </c>
      <c r="Q1170" s="18" t="s">
        <v>141</v>
      </c>
      <c r="R1170" s="17" t="s">
        <v>102</v>
      </c>
      <c r="S1170" s="18" t="s">
        <v>1623</v>
      </c>
      <c r="T1170" s="18" t="s">
        <v>804</v>
      </c>
      <c r="U1170" s="14"/>
      <c r="V1170" s="14"/>
    </row>
    <row r="1171" spans="1:22" x14ac:dyDescent="0.3">
      <c r="A1171" s="14">
        <v>1172</v>
      </c>
      <c r="B1171" s="18">
        <v>164</v>
      </c>
      <c r="C1171" s="18" t="s">
        <v>20</v>
      </c>
      <c r="D1171" s="17" t="s">
        <v>2483</v>
      </c>
      <c r="E1171" s="22">
        <v>45941</v>
      </c>
      <c r="F1171" s="21" t="s">
        <v>53</v>
      </c>
      <c r="G1171" s="52" t="s">
        <v>2484</v>
      </c>
      <c r="H1171" s="56">
        <v>323542.40000000002</v>
      </c>
      <c r="I1171" s="22">
        <v>45941</v>
      </c>
      <c r="J1171" s="36">
        <v>45955</v>
      </c>
      <c r="K1171" s="17">
        <v>240</v>
      </c>
      <c r="L1171" s="34">
        <v>240</v>
      </c>
      <c r="M1171" s="34">
        <v>20</v>
      </c>
      <c r="N1171" s="22">
        <v>45941</v>
      </c>
      <c r="O1171" s="14" t="s">
        <v>21</v>
      </c>
      <c r="P1171" s="17" t="s">
        <v>1456</v>
      </c>
      <c r="Q1171" s="18" t="s">
        <v>141</v>
      </c>
      <c r="R1171" s="17" t="s">
        <v>102</v>
      </c>
      <c r="S1171" s="18" t="s">
        <v>1623</v>
      </c>
      <c r="T1171" s="18" t="s">
        <v>804</v>
      </c>
      <c r="U1171" s="14"/>
      <c r="V1171" s="14"/>
    </row>
    <row r="1172" spans="1:22" x14ac:dyDescent="0.3">
      <c r="A1172" s="14">
        <v>1172</v>
      </c>
      <c r="B1172" s="18">
        <v>164</v>
      </c>
      <c r="C1172" s="18" t="s">
        <v>20</v>
      </c>
      <c r="D1172" s="17" t="s">
        <v>2485</v>
      </c>
      <c r="E1172" s="22">
        <v>45941</v>
      </c>
      <c r="F1172" s="21" t="s">
        <v>84</v>
      </c>
      <c r="G1172" s="52" t="s">
        <v>2486</v>
      </c>
      <c r="H1172" s="56">
        <v>100194.18</v>
      </c>
      <c r="I1172" s="22">
        <v>45941</v>
      </c>
      <c r="J1172" s="36">
        <v>45955</v>
      </c>
      <c r="K1172" s="17">
        <v>72</v>
      </c>
      <c r="L1172" s="34">
        <v>72</v>
      </c>
      <c r="M1172" s="34">
        <v>6</v>
      </c>
      <c r="N1172" s="22">
        <v>45941</v>
      </c>
      <c r="O1172" s="14" t="s">
        <v>2308</v>
      </c>
      <c r="P1172" s="17" t="s">
        <v>1456</v>
      </c>
      <c r="Q1172" s="18" t="s">
        <v>141</v>
      </c>
      <c r="R1172" s="17" t="s">
        <v>102</v>
      </c>
      <c r="S1172" s="18" t="s">
        <v>1623</v>
      </c>
      <c r="T1172" s="18" t="s">
        <v>804</v>
      </c>
      <c r="U1172" s="14"/>
      <c r="V1172" s="14"/>
    </row>
    <row r="1173" spans="1:22" x14ac:dyDescent="0.3">
      <c r="A1173" s="14">
        <v>1172</v>
      </c>
      <c r="B1173" s="18">
        <v>164</v>
      </c>
      <c r="C1173" s="18" t="s">
        <v>20</v>
      </c>
      <c r="D1173" s="17" t="s">
        <v>2487</v>
      </c>
      <c r="E1173" s="22">
        <v>45941</v>
      </c>
      <c r="F1173" s="21" t="s">
        <v>133</v>
      </c>
      <c r="G1173" s="52" t="s">
        <v>2488</v>
      </c>
      <c r="H1173" s="56">
        <v>258877.18</v>
      </c>
      <c r="I1173" s="22">
        <v>45941</v>
      </c>
      <c r="J1173" s="36">
        <v>45955</v>
      </c>
      <c r="K1173" s="17">
        <v>168</v>
      </c>
      <c r="L1173" s="34">
        <v>168</v>
      </c>
      <c r="M1173" s="34">
        <v>14</v>
      </c>
      <c r="N1173" s="22">
        <v>45941</v>
      </c>
      <c r="O1173" s="14" t="s">
        <v>21</v>
      </c>
      <c r="P1173" s="17" t="s">
        <v>1456</v>
      </c>
      <c r="Q1173" s="18" t="s">
        <v>141</v>
      </c>
      <c r="R1173" s="17" t="s">
        <v>102</v>
      </c>
      <c r="S1173" s="18" t="s">
        <v>1623</v>
      </c>
      <c r="T1173" s="18" t="s">
        <v>804</v>
      </c>
      <c r="U1173" s="14"/>
      <c r="V1173" s="14"/>
    </row>
    <row r="1174" spans="1:22" x14ac:dyDescent="0.3">
      <c r="A1174" s="14">
        <v>1172</v>
      </c>
      <c r="B1174" s="18">
        <v>164</v>
      </c>
      <c r="C1174" s="18" t="s">
        <v>20</v>
      </c>
      <c r="D1174" s="17" t="s">
        <v>2489</v>
      </c>
      <c r="E1174" s="22">
        <v>45941</v>
      </c>
      <c r="F1174" s="21" t="s">
        <v>119</v>
      </c>
      <c r="G1174" s="52" t="s">
        <v>2490</v>
      </c>
      <c r="H1174" s="56">
        <v>352120.37</v>
      </c>
      <c r="I1174" s="22">
        <v>45941</v>
      </c>
      <c r="J1174" s="36">
        <v>45955</v>
      </c>
      <c r="K1174" s="17">
        <v>228</v>
      </c>
      <c r="L1174" s="34">
        <v>228</v>
      </c>
      <c r="M1174" s="34">
        <v>19</v>
      </c>
      <c r="N1174" s="22">
        <v>45941</v>
      </c>
      <c r="O1174" s="14" t="s">
        <v>2353</v>
      </c>
      <c r="P1174" s="17" t="s">
        <v>1456</v>
      </c>
      <c r="Q1174" s="18" t="s">
        <v>141</v>
      </c>
      <c r="R1174" s="17" t="s">
        <v>102</v>
      </c>
      <c r="S1174" s="18" t="s">
        <v>1623</v>
      </c>
      <c r="T1174" s="18" t="s">
        <v>804</v>
      </c>
      <c r="U1174" s="14"/>
      <c r="V1174" s="14"/>
    </row>
    <row r="1175" spans="1:22" x14ac:dyDescent="0.3">
      <c r="A1175" s="14">
        <v>1172</v>
      </c>
      <c r="B1175" s="18">
        <v>164</v>
      </c>
      <c r="C1175" s="18" t="s">
        <v>20</v>
      </c>
      <c r="D1175" s="17" t="s">
        <v>2491</v>
      </c>
      <c r="E1175" s="22">
        <v>45941</v>
      </c>
      <c r="F1175" s="21" t="s">
        <v>58</v>
      </c>
      <c r="G1175" s="52" t="s">
        <v>2492</v>
      </c>
      <c r="H1175" s="56">
        <v>68944.75</v>
      </c>
      <c r="I1175" s="22">
        <v>45941</v>
      </c>
      <c r="J1175" s="36">
        <v>45955</v>
      </c>
      <c r="K1175" s="17">
        <v>50</v>
      </c>
      <c r="L1175" s="34">
        <v>50</v>
      </c>
      <c r="M1175" s="34">
        <v>5</v>
      </c>
      <c r="N1175" s="22">
        <v>45941</v>
      </c>
      <c r="O1175" s="14" t="s">
        <v>2308</v>
      </c>
      <c r="P1175" s="17" t="s">
        <v>1456</v>
      </c>
      <c r="Q1175" s="18" t="s">
        <v>141</v>
      </c>
      <c r="R1175" s="17" t="s">
        <v>102</v>
      </c>
      <c r="S1175" s="18" t="s">
        <v>1623</v>
      </c>
      <c r="T1175" s="18" t="s">
        <v>804</v>
      </c>
      <c r="U1175" s="14"/>
      <c r="V1175" s="14"/>
    </row>
    <row r="1176" spans="1:22" x14ac:dyDescent="0.3">
      <c r="A1176" s="14">
        <v>1173</v>
      </c>
      <c r="B1176" s="18">
        <v>165</v>
      </c>
      <c r="C1176" s="18" t="s">
        <v>20</v>
      </c>
      <c r="D1176" s="17" t="s">
        <v>2493</v>
      </c>
      <c r="E1176" s="22">
        <v>45941</v>
      </c>
      <c r="F1176" s="21" t="s">
        <v>2494</v>
      </c>
      <c r="G1176" s="52" t="s">
        <v>2495</v>
      </c>
      <c r="H1176" s="56">
        <v>654915.56999999995</v>
      </c>
      <c r="I1176" s="22">
        <v>45941</v>
      </c>
      <c r="J1176" s="36">
        <v>45955</v>
      </c>
      <c r="K1176" s="17">
        <v>468</v>
      </c>
      <c r="L1176" s="34">
        <v>468</v>
      </c>
      <c r="M1176" s="34">
        <v>39</v>
      </c>
      <c r="N1176" s="22">
        <v>45941</v>
      </c>
      <c r="O1176" s="14" t="s">
        <v>2350</v>
      </c>
      <c r="P1176" s="17" t="s">
        <v>1456</v>
      </c>
      <c r="Q1176" s="18" t="s">
        <v>2496</v>
      </c>
      <c r="R1176" s="17" t="s">
        <v>102</v>
      </c>
      <c r="S1176" s="18" t="s">
        <v>1623</v>
      </c>
      <c r="T1176" s="18" t="s">
        <v>804</v>
      </c>
      <c r="U1176" s="14"/>
      <c r="V1176" s="14"/>
    </row>
    <row r="1177" spans="1:22" x14ac:dyDescent="0.3">
      <c r="A1177" s="14">
        <v>1173</v>
      </c>
      <c r="B1177" s="18">
        <v>165</v>
      </c>
      <c r="C1177" s="18" t="s">
        <v>20</v>
      </c>
      <c r="D1177" s="17" t="s">
        <v>2497</v>
      </c>
      <c r="E1177" s="22">
        <v>45941</v>
      </c>
      <c r="F1177" s="21" t="s">
        <v>2494</v>
      </c>
      <c r="G1177" s="52" t="s">
        <v>2498</v>
      </c>
      <c r="H1177" s="56">
        <v>612327.91</v>
      </c>
      <c r="I1177" s="22">
        <v>45941</v>
      </c>
      <c r="J1177" s="36">
        <v>45955</v>
      </c>
      <c r="K1177" s="17">
        <v>480</v>
      </c>
      <c r="L1177" s="34">
        <v>480</v>
      </c>
      <c r="M1177" s="34">
        <v>40</v>
      </c>
      <c r="N1177" s="22">
        <v>45941</v>
      </c>
      <c r="O1177" s="14" t="s">
        <v>2350</v>
      </c>
      <c r="P1177" s="17" t="s">
        <v>1456</v>
      </c>
      <c r="Q1177" s="18" t="s">
        <v>2496</v>
      </c>
      <c r="R1177" s="17" t="s">
        <v>102</v>
      </c>
      <c r="S1177" s="18" t="s">
        <v>1623</v>
      </c>
      <c r="T1177" s="18" t="s">
        <v>804</v>
      </c>
      <c r="U1177" s="14"/>
      <c r="V1177" s="14"/>
    </row>
    <row r="1178" spans="1:22" x14ac:dyDescent="0.3">
      <c r="A1178" s="14">
        <v>1173</v>
      </c>
      <c r="B1178" s="18">
        <v>165</v>
      </c>
      <c r="C1178" s="18" t="s">
        <v>20</v>
      </c>
      <c r="D1178" s="17" t="s">
        <v>2499</v>
      </c>
      <c r="E1178" s="22">
        <v>45941</v>
      </c>
      <c r="F1178" s="21" t="s">
        <v>137</v>
      </c>
      <c r="G1178" s="52" t="s">
        <v>2500</v>
      </c>
      <c r="H1178" s="56">
        <v>216461.11</v>
      </c>
      <c r="I1178" s="22">
        <v>45941</v>
      </c>
      <c r="J1178" s="36">
        <v>45955</v>
      </c>
      <c r="K1178" s="17">
        <v>156</v>
      </c>
      <c r="L1178" s="34">
        <v>156</v>
      </c>
      <c r="M1178" s="34">
        <v>13</v>
      </c>
      <c r="N1178" s="22">
        <v>45941</v>
      </c>
      <c r="O1178" s="14" t="s">
        <v>2355</v>
      </c>
      <c r="P1178" s="17" t="s">
        <v>1456</v>
      </c>
      <c r="Q1178" s="18" t="s">
        <v>2496</v>
      </c>
      <c r="R1178" s="17" t="s">
        <v>102</v>
      </c>
      <c r="S1178" s="18" t="s">
        <v>1623</v>
      </c>
      <c r="T1178" s="18" t="s">
        <v>804</v>
      </c>
      <c r="U1178" s="14"/>
      <c r="V1178" s="14"/>
    </row>
    <row r="1179" spans="1:22" x14ac:dyDescent="0.3">
      <c r="A1179" s="14">
        <v>1173</v>
      </c>
      <c r="B1179" s="18">
        <v>165</v>
      </c>
      <c r="C1179" s="18" t="s">
        <v>20</v>
      </c>
      <c r="D1179" s="17" t="s">
        <v>2501</v>
      </c>
      <c r="E1179" s="22">
        <v>45941</v>
      </c>
      <c r="F1179" s="21" t="s">
        <v>131</v>
      </c>
      <c r="G1179" s="52" t="s">
        <v>2502</v>
      </c>
      <c r="H1179" s="56">
        <v>213974.72</v>
      </c>
      <c r="I1179" s="22">
        <v>45941</v>
      </c>
      <c r="J1179" s="36">
        <v>45955</v>
      </c>
      <c r="K1179" s="17">
        <v>168</v>
      </c>
      <c r="L1179" s="34">
        <v>168</v>
      </c>
      <c r="M1179" s="34">
        <v>14</v>
      </c>
      <c r="N1179" s="22">
        <v>45941</v>
      </c>
      <c r="O1179" s="14" t="s">
        <v>2342</v>
      </c>
      <c r="P1179" s="17" t="s">
        <v>1456</v>
      </c>
      <c r="Q1179" s="18" t="s">
        <v>2496</v>
      </c>
      <c r="R1179" s="17" t="s">
        <v>102</v>
      </c>
      <c r="S1179" s="18" t="s">
        <v>1623</v>
      </c>
      <c r="T1179" s="18" t="s">
        <v>804</v>
      </c>
      <c r="U1179" s="14"/>
      <c r="V1179" s="14"/>
    </row>
    <row r="1180" spans="1:22" x14ac:dyDescent="0.3">
      <c r="A1180" s="14">
        <v>1173</v>
      </c>
      <c r="B1180" s="18">
        <v>165</v>
      </c>
      <c r="C1180" s="18" t="s">
        <v>20</v>
      </c>
      <c r="D1180" s="17" t="s">
        <v>2503</v>
      </c>
      <c r="E1180" s="22">
        <v>45941</v>
      </c>
      <c r="F1180" s="21" t="s">
        <v>49</v>
      </c>
      <c r="G1180" s="52" t="s">
        <v>2504</v>
      </c>
      <c r="H1180" s="56">
        <v>195473.93</v>
      </c>
      <c r="I1180" s="22">
        <v>45941</v>
      </c>
      <c r="J1180" s="36">
        <v>45955</v>
      </c>
      <c r="K1180" s="17">
        <v>144</v>
      </c>
      <c r="L1180" s="34">
        <v>144</v>
      </c>
      <c r="M1180" s="34">
        <v>12</v>
      </c>
      <c r="N1180" s="22">
        <v>45941</v>
      </c>
      <c r="O1180" s="14" t="s">
        <v>2350</v>
      </c>
      <c r="P1180" s="17" t="s">
        <v>1456</v>
      </c>
      <c r="Q1180" s="18" t="s">
        <v>2496</v>
      </c>
      <c r="R1180" s="17" t="s">
        <v>102</v>
      </c>
      <c r="S1180" s="18" t="s">
        <v>1623</v>
      </c>
      <c r="T1180" s="18" t="s">
        <v>804</v>
      </c>
      <c r="U1180" s="14"/>
      <c r="V1180" s="14"/>
    </row>
    <row r="1181" spans="1:22" x14ac:dyDescent="0.3">
      <c r="A1181" s="14">
        <v>1173</v>
      </c>
      <c r="B1181" s="18">
        <v>165</v>
      </c>
      <c r="C1181" s="18" t="s">
        <v>20</v>
      </c>
      <c r="D1181" s="17" t="s">
        <v>2505</v>
      </c>
      <c r="E1181" s="22">
        <v>45941</v>
      </c>
      <c r="F1181" s="21" t="s">
        <v>89</v>
      </c>
      <c r="G1181" s="52" t="s">
        <v>2506</v>
      </c>
      <c r="H1181" s="56">
        <v>201807.96</v>
      </c>
      <c r="I1181" s="22">
        <v>45941</v>
      </c>
      <c r="J1181" s="36">
        <v>45955</v>
      </c>
      <c r="K1181" s="17">
        <v>144</v>
      </c>
      <c r="L1181" s="34">
        <v>144</v>
      </c>
      <c r="M1181" s="34">
        <v>12</v>
      </c>
      <c r="N1181" s="22">
        <v>45941</v>
      </c>
      <c r="O1181" s="14" t="s">
        <v>2355</v>
      </c>
      <c r="P1181" s="17" t="s">
        <v>1456</v>
      </c>
      <c r="Q1181" s="18" t="s">
        <v>2496</v>
      </c>
      <c r="R1181" s="17" t="s">
        <v>102</v>
      </c>
      <c r="S1181" s="18" t="s">
        <v>1623</v>
      </c>
      <c r="T1181" s="18" t="s">
        <v>804</v>
      </c>
      <c r="U1181" s="14"/>
      <c r="V1181" s="14"/>
    </row>
    <row r="1182" spans="1:22" x14ac:dyDescent="0.3">
      <c r="A1182" s="14">
        <v>1173</v>
      </c>
      <c r="B1182" s="18">
        <v>165</v>
      </c>
      <c r="C1182" s="18" t="s">
        <v>20</v>
      </c>
      <c r="D1182" s="17" t="s">
        <v>2507</v>
      </c>
      <c r="E1182" s="22">
        <v>45941</v>
      </c>
      <c r="F1182" s="21" t="s">
        <v>129</v>
      </c>
      <c r="G1182" s="52" t="s">
        <v>2508</v>
      </c>
      <c r="H1182" s="56">
        <v>515187.8</v>
      </c>
      <c r="I1182" s="22">
        <v>45941</v>
      </c>
      <c r="J1182" s="36">
        <v>45955</v>
      </c>
      <c r="K1182" s="17">
        <v>240</v>
      </c>
      <c r="L1182" s="34">
        <v>240</v>
      </c>
      <c r="M1182" s="34">
        <v>20</v>
      </c>
      <c r="N1182" s="22">
        <v>45941</v>
      </c>
      <c r="O1182" s="14" t="s">
        <v>2353</v>
      </c>
      <c r="P1182" s="17" t="s">
        <v>1456</v>
      </c>
      <c r="Q1182" s="18" t="s">
        <v>2496</v>
      </c>
      <c r="R1182" s="17" t="s">
        <v>102</v>
      </c>
      <c r="S1182" s="18" t="s">
        <v>1623</v>
      </c>
      <c r="T1182" s="18" t="s">
        <v>804</v>
      </c>
      <c r="U1182" s="14"/>
      <c r="V1182" s="14"/>
    </row>
    <row r="1183" spans="1:22" x14ac:dyDescent="0.3">
      <c r="A1183" s="14">
        <v>1173</v>
      </c>
      <c r="B1183" s="18">
        <v>165</v>
      </c>
      <c r="C1183" s="18" t="s">
        <v>20</v>
      </c>
      <c r="D1183" s="17" t="s">
        <v>2509</v>
      </c>
      <c r="E1183" s="22">
        <v>45941</v>
      </c>
      <c r="F1183" s="21" t="s">
        <v>64</v>
      </c>
      <c r="G1183" s="52" t="s">
        <v>2510</v>
      </c>
      <c r="H1183" s="56">
        <v>386390.85</v>
      </c>
      <c r="I1183" s="22">
        <v>45941</v>
      </c>
      <c r="J1183" s="36">
        <v>45955</v>
      </c>
      <c r="K1183" s="17">
        <v>180</v>
      </c>
      <c r="L1183" s="34">
        <v>180</v>
      </c>
      <c r="M1183" s="34">
        <v>15</v>
      </c>
      <c r="N1183" s="22">
        <v>45941</v>
      </c>
      <c r="O1183" s="14" t="s">
        <v>2344</v>
      </c>
      <c r="P1183" s="17" t="s">
        <v>1456</v>
      </c>
      <c r="Q1183" s="18" t="s">
        <v>2496</v>
      </c>
      <c r="R1183" s="17" t="s">
        <v>102</v>
      </c>
      <c r="S1183" s="18" t="s">
        <v>1623</v>
      </c>
      <c r="T1183" s="18" t="s">
        <v>804</v>
      </c>
      <c r="U1183" s="14"/>
      <c r="V1183" s="14"/>
    </row>
    <row r="1184" spans="1:22" x14ac:dyDescent="0.3">
      <c r="A1184" s="14">
        <v>1173</v>
      </c>
      <c r="B1184" s="18">
        <v>165</v>
      </c>
      <c r="C1184" s="18" t="s">
        <v>20</v>
      </c>
      <c r="D1184" s="17" t="s">
        <v>2511</v>
      </c>
      <c r="E1184" s="22">
        <v>45941</v>
      </c>
      <c r="F1184" s="21" t="s">
        <v>47</v>
      </c>
      <c r="G1184" s="52" t="s">
        <v>2512</v>
      </c>
      <c r="H1184" s="56">
        <v>121896.95</v>
      </c>
      <c r="I1184" s="22">
        <v>45941</v>
      </c>
      <c r="J1184" s="36">
        <v>45955</v>
      </c>
      <c r="K1184" s="17">
        <v>60</v>
      </c>
      <c r="L1184" s="34">
        <v>60</v>
      </c>
      <c r="M1184" s="34">
        <v>5</v>
      </c>
      <c r="N1184" s="22">
        <v>45941</v>
      </c>
      <c r="O1184" s="14" t="s">
        <v>2403</v>
      </c>
      <c r="P1184" s="17" t="s">
        <v>1456</v>
      </c>
      <c r="Q1184" s="18" t="s">
        <v>2496</v>
      </c>
      <c r="R1184" s="17" t="s">
        <v>102</v>
      </c>
      <c r="S1184" s="18" t="s">
        <v>1623</v>
      </c>
      <c r="T1184" s="18" t="s">
        <v>804</v>
      </c>
      <c r="U1184" s="14"/>
      <c r="V1184" s="14"/>
    </row>
    <row r="1185" spans="1:22" x14ac:dyDescent="0.3">
      <c r="A1185" s="17">
        <v>1173</v>
      </c>
      <c r="B1185" s="18">
        <v>165</v>
      </c>
      <c r="C1185" s="18" t="s">
        <v>20</v>
      </c>
      <c r="D1185" s="17" t="s">
        <v>2513</v>
      </c>
      <c r="E1185" s="22">
        <v>45941</v>
      </c>
      <c r="F1185" s="44" t="s">
        <v>2208</v>
      </c>
      <c r="G1185" s="52" t="s">
        <v>2514</v>
      </c>
      <c r="H1185" s="56">
        <v>77278.17</v>
      </c>
      <c r="I1185" s="22">
        <v>45941</v>
      </c>
      <c r="J1185" s="36">
        <v>45955</v>
      </c>
      <c r="K1185" s="17">
        <v>36</v>
      </c>
      <c r="L1185" s="34">
        <v>36</v>
      </c>
      <c r="M1185" s="34">
        <v>3</v>
      </c>
      <c r="N1185" s="22">
        <v>45941</v>
      </c>
      <c r="O1185" s="14" t="s">
        <v>2350</v>
      </c>
      <c r="P1185" s="17" t="s">
        <v>1456</v>
      </c>
      <c r="Q1185" s="18" t="s">
        <v>2496</v>
      </c>
      <c r="R1185" s="17" t="s">
        <v>102</v>
      </c>
      <c r="S1185" s="18" t="s">
        <v>1623</v>
      </c>
      <c r="T1185" s="18" t="s">
        <v>804</v>
      </c>
      <c r="U1185" s="14"/>
      <c r="V1185" s="14"/>
    </row>
    <row r="1186" spans="1:22" x14ac:dyDescent="0.3">
      <c r="A1186" s="17">
        <v>1174</v>
      </c>
      <c r="B1186" s="18">
        <v>166</v>
      </c>
      <c r="C1186" s="18" t="s">
        <v>20</v>
      </c>
      <c r="D1186" s="17" t="s">
        <v>2515</v>
      </c>
      <c r="E1186" s="22">
        <v>45943</v>
      </c>
      <c r="F1186" s="21" t="s">
        <v>58</v>
      </c>
      <c r="G1186" s="52" t="s">
        <v>2516</v>
      </c>
      <c r="H1186" s="56">
        <v>2550357.21</v>
      </c>
      <c r="I1186" s="22">
        <v>45943</v>
      </c>
      <c r="J1186" s="36">
        <v>45955</v>
      </c>
      <c r="K1186" s="17">
        <v>1752</v>
      </c>
      <c r="L1186" s="34">
        <v>1752</v>
      </c>
      <c r="M1186" s="34">
        <v>147</v>
      </c>
      <c r="N1186" s="22">
        <v>45944</v>
      </c>
      <c r="O1186" s="14" t="s">
        <v>2308</v>
      </c>
      <c r="P1186" s="17" t="s">
        <v>1456</v>
      </c>
      <c r="Q1186" s="18" t="s">
        <v>2517</v>
      </c>
      <c r="R1186" s="17" t="s">
        <v>126</v>
      </c>
      <c r="S1186" s="18" t="s">
        <v>1623</v>
      </c>
      <c r="T1186" s="18" t="s">
        <v>804</v>
      </c>
      <c r="U1186" s="18" t="s">
        <v>2518</v>
      </c>
      <c r="V1186" s="14"/>
    </row>
    <row r="1187" spans="1:22" x14ac:dyDescent="0.3">
      <c r="A1187" s="17">
        <v>1174</v>
      </c>
      <c r="B1187" s="18">
        <v>166</v>
      </c>
      <c r="C1187" s="18" t="s">
        <v>20</v>
      </c>
      <c r="D1187" s="17" t="s">
        <v>2519</v>
      </c>
      <c r="E1187" s="22">
        <v>45943</v>
      </c>
      <c r="F1187" s="21" t="s">
        <v>64</v>
      </c>
      <c r="G1187" s="52" t="s">
        <v>2520</v>
      </c>
      <c r="H1187" s="56">
        <v>1988236.75</v>
      </c>
      <c r="I1187" s="22">
        <v>45943</v>
      </c>
      <c r="J1187" s="36">
        <v>45955</v>
      </c>
      <c r="K1187" s="17">
        <v>1380</v>
      </c>
      <c r="L1187" s="34">
        <v>1380</v>
      </c>
      <c r="M1187" s="34">
        <v>115</v>
      </c>
      <c r="N1187" s="22">
        <v>45944</v>
      </c>
      <c r="O1187" s="14" t="s">
        <v>2344</v>
      </c>
      <c r="P1187" s="17" t="s">
        <v>1456</v>
      </c>
      <c r="Q1187" s="18" t="s">
        <v>2517</v>
      </c>
      <c r="R1187" s="17" t="s">
        <v>126</v>
      </c>
      <c r="S1187" s="18" t="s">
        <v>1623</v>
      </c>
      <c r="T1187" s="18" t="s">
        <v>804</v>
      </c>
      <c r="U1187" s="18" t="s">
        <v>2518</v>
      </c>
      <c r="V1187" s="14"/>
    </row>
    <row r="1188" spans="1:22" x14ac:dyDescent="0.3">
      <c r="A1188" s="17">
        <v>1174</v>
      </c>
      <c r="B1188" s="18">
        <v>166</v>
      </c>
      <c r="C1188" s="18" t="s">
        <v>20</v>
      </c>
      <c r="D1188" s="17" t="s">
        <v>2521</v>
      </c>
      <c r="E1188" s="22">
        <v>45943</v>
      </c>
      <c r="F1188" s="21" t="s">
        <v>64</v>
      </c>
      <c r="G1188" s="52" t="s">
        <v>2522</v>
      </c>
      <c r="H1188" s="56">
        <v>710498.96</v>
      </c>
      <c r="I1188" s="22">
        <v>45944</v>
      </c>
      <c r="J1188" s="36">
        <v>45955</v>
      </c>
      <c r="K1188" s="17">
        <v>528</v>
      </c>
      <c r="L1188" s="34">
        <v>528</v>
      </c>
      <c r="M1188" s="34">
        <v>44</v>
      </c>
      <c r="N1188" s="22">
        <v>45944</v>
      </c>
      <c r="O1188" s="14" t="s">
        <v>2344</v>
      </c>
      <c r="P1188" s="17" t="s">
        <v>1456</v>
      </c>
      <c r="Q1188" s="18" t="s">
        <v>2517</v>
      </c>
      <c r="R1188" s="17" t="s">
        <v>126</v>
      </c>
      <c r="S1188" s="18" t="s">
        <v>1623</v>
      </c>
      <c r="T1188" s="18" t="s">
        <v>804</v>
      </c>
      <c r="U1188" s="18" t="s">
        <v>2518</v>
      </c>
      <c r="V1188" s="14"/>
    </row>
    <row r="1189" spans="1:22" x14ac:dyDescent="0.3">
      <c r="A1189" s="17">
        <v>1174</v>
      </c>
      <c r="B1189" s="18">
        <v>166</v>
      </c>
      <c r="C1189" s="18" t="s">
        <v>20</v>
      </c>
      <c r="D1189" s="17" t="s">
        <v>2523</v>
      </c>
      <c r="E1189" s="22">
        <v>45944</v>
      </c>
      <c r="F1189" s="21" t="s">
        <v>58</v>
      </c>
      <c r="G1189" s="52" t="s">
        <v>2524</v>
      </c>
      <c r="H1189" s="56">
        <v>734717.01</v>
      </c>
      <c r="I1189" s="22">
        <v>45944</v>
      </c>
      <c r="J1189" s="36">
        <v>45955</v>
      </c>
      <c r="K1189" s="17">
        <v>612</v>
      </c>
      <c r="L1189" s="34">
        <v>612</v>
      </c>
      <c r="M1189" s="34">
        <v>51</v>
      </c>
      <c r="N1189" s="22">
        <v>45944</v>
      </c>
      <c r="O1189" s="14" t="s">
        <v>2344</v>
      </c>
      <c r="P1189" s="17" t="s">
        <v>1456</v>
      </c>
      <c r="Q1189" s="18" t="s">
        <v>2517</v>
      </c>
      <c r="R1189" s="17" t="s">
        <v>126</v>
      </c>
      <c r="S1189" s="18" t="s">
        <v>1623</v>
      </c>
      <c r="T1189" s="18" t="s">
        <v>804</v>
      </c>
      <c r="U1189" s="18" t="s">
        <v>2518</v>
      </c>
      <c r="V1189" s="14"/>
    </row>
    <row r="1190" spans="1:22" x14ac:dyDescent="0.3">
      <c r="A1190" s="17">
        <v>1174</v>
      </c>
      <c r="B1190" s="18">
        <v>166</v>
      </c>
      <c r="C1190" s="18" t="s">
        <v>20</v>
      </c>
      <c r="D1190" s="17" t="s">
        <v>2525</v>
      </c>
      <c r="E1190" s="22">
        <v>45944</v>
      </c>
      <c r="F1190" s="21" t="s">
        <v>64</v>
      </c>
      <c r="G1190" s="52" t="s">
        <v>2526</v>
      </c>
      <c r="H1190" s="56">
        <v>327091.40000000002</v>
      </c>
      <c r="I1190" s="22">
        <v>45944</v>
      </c>
      <c r="J1190" s="36">
        <v>45955</v>
      </c>
      <c r="K1190" s="17">
        <v>240</v>
      </c>
      <c r="L1190" s="34">
        <v>240</v>
      </c>
      <c r="M1190" s="34">
        <v>20</v>
      </c>
      <c r="N1190" s="22">
        <v>45944</v>
      </c>
      <c r="O1190" s="14" t="s">
        <v>2344</v>
      </c>
      <c r="P1190" s="17" t="s">
        <v>1456</v>
      </c>
      <c r="Q1190" s="18" t="s">
        <v>2517</v>
      </c>
      <c r="R1190" s="17" t="s">
        <v>126</v>
      </c>
      <c r="S1190" s="18" t="s">
        <v>1623</v>
      </c>
      <c r="T1190" s="18" t="s">
        <v>804</v>
      </c>
      <c r="U1190" s="18" t="s">
        <v>2518</v>
      </c>
      <c r="V1190" s="14"/>
    </row>
    <row r="1191" spans="1:22" x14ac:dyDescent="0.3">
      <c r="A1191" s="17">
        <v>1174</v>
      </c>
      <c r="B1191" s="18">
        <v>166</v>
      </c>
      <c r="C1191" s="18" t="s">
        <v>20</v>
      </c>
      <c r="D1191" s="17" t="s">
        <v>2527</v>
      </c>
      <c r="E1191" s="22">
        <v>45944</v>
      </c>
      <c r="F1191" s="21" t="s">
        <v>58</v>
      </c>
      <c r="G1191" s="52" t="s">
        <v>2528</v>
      </c>
      <c r="H1191" s="56">
        <v>224988.36</v>
      </c>
      <c r="I1191" s="22">
        <v>45944</v>
      </c>
      <c r="J1191" s="36">
        <v>45955</v>
      </c>
      <c r="K1191" s="17">
        <v>528</v>
      </c>
      <c r="L1191" s="34">
        <v>528</v>
      </c>
      <c r="M1191" s="34">
        <v>22</v>
      </c>
      <c r="N1191" s="22">
        <v>45944</v>
      </c>
      <c r="O1191" s="14" t="s">
        <v>2308</v>
      </c>
      <c r="P1191" s="17" t="s">
        <v>1456</v>
      </c>
      <c r="Q1191" s="18" t="s">
        <v>2517</v>
      </c>
      <c r="R1191" s="17" t="s">
        <v>126</v>
      </c>
      <c r="S1191" s="18" t="s">
        <v>1623</v>
      </c>
      <c r="T1191" s="18" t="s">
        <v>804</v>
      </c>
      <c r="U1191" s="18" t="s">
        <v>2518</v>
      </c>
      <c r="V1191" s="14"/>
    </row>
    <row r="1192" spans="1:22" x14ac:dyDescent="0.3">
      <c r="A1192" s="17">
        <v>1174</v>
      </c>
      <c r="B1192" s="18">
        <v>166</v>
      </c>
      <c r="C1192" s="18" t="s">
        <v>20</v>
      </c>
      <c r="D1192" s="17" t="s">
        <v>2529</v>
      </c>
      <c r="E1192" s="22">
        <v>45943</v>
      </c>
      <c r="F1192" s="21" t="s">
        <v>137</v>
      </c>
      <c r="G1192" s="52" t="s">
        <v>2530</v>
      </c>
      <c r="H1192" s="56">
        <v>93931.26</v>
      </c>
      <c r="I1192" s="22">
        <v>45943</v>
      </c>
      <c r="J1192" s="36">
        <v>45955</v>
      </c>
      <c r="K1192" s="17">
        <v>72</v>
      </c>
      <c r="L1192" s="34">
        <v>72</v>
      </c>
      <c r="M1192" s="34">
        <v>6</v>
      </c>
      <c r="N1192" s="22">
        <v>45944</v>
      </c>
      <c r="O1192" s="14" t="s">
        <v>2355</v>
      </c>
      <c r="P1192" s="17" t="s">
        <v>1456</v>
      </c>
      <c r="Q1192" s="18" t="s">
        <v>2517</v>
      </c>
      <c r="R1192" s="17" t="s">
        <v>126</v>
      </c>
      <c r="S1192" s="18" t="s">
        <v>1623</v>
      </c>
      <c r="T1192" s="18" t="s">
        <v>804</v>
      </c>
      <c r="U1192" s="18" t="s">
        <v>2518</v>
      </c>
      <c r="V1192" s="14"/>
    </row>
    <row r="1193" spans="1:22" x14ac:dyDescent="0.3">
      <c r="A1193" s="17">
        <v>1174</v>
      </c>
      <c r="B1193" s="18">
        <v>166</v>
      </c>
      <c r="C1193" s="18" t="s">
        <v>20</v>
      </c>
      <c r="D1193" s="17" t="s">
        <v>2531</v>
      </c>
      <c r="E1193" s="22">
        <v>45943</v>
      </c>
      <c r="F1193" s="21" t="s">
        <v>35</v>
      </c>
      <c r="G1193" s="52" t="s">
        <v>2532</v>
      </c>
      <c r="H1193" s="56">
        <v>253543.71</v>
      </c>
      <c r="I1193" s="22">
        <v>45943</v>
      </c>
      <c r="J1193" s="36">
        <v>45955</v>
      </c>
      <c r="K1193" s="17">
        <v>204</v>
      </c>
      <c r="L1193" s="34">
        <v>204</v>
      </c>
      <c r="M1193" s="34">
        <v>17</v>
      </c>
      <c r="N1193" s="22">
        <v>45944</v>
      </c>
      <c r="O1193" s="14" t="s">
        <v>2396</v>
      </c>
      <c r="P1193" s="17" t="s">
        <v>1456</v>
      </c>
      <c r="Q1193" s="18" t="s">
        <v>378</v>
      </c>
      <c r="R1193" s="17" t="s">
        <v>102</v>
      </c>
      <c r="S1193" s="18" t="s">
        <v>1623</v>
      </c>
      <c r="T1193" s="18" t="s">
        <v>804</v>
      </c>
      <c r="U1193" s="18" t="s">
        <v>2518</v>
      </c>
      <c r="V1193" s="14"/>
    </row>
    <row r="1194" spans="1:22" x14ac:dyDescent="0.3">
      <c r="A1194" s="17">
        <v>1174</v>
      </c>
      <c r="B1194" s="18">
        <v>166</v>
      </c>
      <c r="C1194" s="18" t="s">
        <v>20</v>
      </c>
      <c r="D1194" s="17" t="s">
        <v>2533</v>
      </c>
      <c r="E1194" s="22">
        <v>45943</v>
      </c>
      <c r="F1194" s="21" t="s">
        <v>33</v>
      </c>
      <c r="G1194" s="52" t="s">
        <v>2534</v>
      </c>
      <c r="H1194" s="56">
        <v>84351.7</v>
      </c>
      <c r="I1194" s="22">
        <v>45943</v>
      </c>
      <c r="J1194" s="36">
        <v>45955</v>
      </c>
      <c r="K1194" s="17">
        <v>48</v>
      </c>
      <c r="L1194" s="34">
        <v>48</v>
      </c>
      <c r="M1194" s="34">
        <v>4</v>
      </c>
      <c r="N1194" s="22">
        <v>45944</v>
      </c>
      <c r="O1194" s="14" t="s">
        <v>2362</v>
      </c>
      <c r="P1194" s="17" t="s">
        <v>1456</v>
      </c>
      <c r="Q1194" s="18" t="s">
        <v>378</v>
      </c>
      <c r="R1194" s="17" t="s">
        <v>102</v>
      </c>
      <c r="S1194" s="18" t="s">
        <v>1623</v>
      </c>
      <c r="T1194" s="18" t="s">
        <v>804</v>
      </c>
      <c r="U1194" s="18" t="s">
        <v>2518</v>
      </c>
      <c r="V1194" s="14"/>
    </row>
    <row r="1195" spans="1:22" x14ac:dyDescent="0.3">
      <c r="A1195" s="17">
        <v>1174</v>
      </c>
      <c r="B1195" s="18">
        <v>166</v>
      </c>
      <c r="C1195" s="18" t="s">
        <v>20</v>
      </c>
      <c r="D1195" s="17" t="s">
        <v>2535</v>
      </c>
      <c r="E1195" s="22">
        <v>45944</v>
      </c>
      <c r="F1195" s="21" t="s">
        <v>129</v>
      </c>
      <c r="G1195" s="52" t="s">
        <v>2536</v>
      </c>
      <c r="H1195" s="56">
        <v>1287969.5</v>
      </c>
      <c r="I1195" s="22">
        <v>45944</v>
      </c>
      <c r="J1195" s="36">
        <v>45955</v>
      </c>
      <c r="K1195" s="17">
        <v>600</v>
      </c>
      <c r="L1195" s="34">
        <v>600</v>
      </c>
      <c r="M1195" s="34">
        <v>50</v>
      </c>
      <c r="N1195" s="22">
        <v>45944</v>
      </c>
      <c r="O1195" s="14" t="s">
        <v>2353</v>
      </c>
      <c r="P1195" s="17" t="s">
        <v>1456</v>
      </c>
      <c r="Q1195" s="18" t="s">
        <v>378</v>
      </c>
      <c r="R1195" s="17" t="s">
        <v>102</v>
      </c>
      <c r="S1195" s="18" t="s">
        <v>1623</v>
      </c>
      <c r="T1195" s="18" t="s">
        <v>804</v>
      </c>
      <c r="U1195" s="18" t="s">
        <v>2518</v>
      </c>
      <c r="V1195" s="14"/>
    </row>
    <row r="1196" spans="1:22" x14ac:dyDescent="0.3">
      <c r="A1196" s="17">
        <v>1174</v>
      </c>
      <c r="B1196" s="18">
        <v>166</v>
      </c>
      <c r="C1196" s="18" t="s">
        <v>20</v>
      </c>
      <c r="D1196" s="17" t="s">
        <v>2537</v>
      </c>
      <c r="E1196" s="22">
        <v>45944</v>
      </c>
      <c r="F1196" s="21" t="s">
        <v>33</v>
      </c>
      <c r="G1196" s="52" t="s">
        <v>2538</v>
      </c>
      <c r="H1196" s="56">
        <v>109962.25</v>
      </c>
      <c r="I1196" s="22">
        <v>45944</v>
      </c>
      <c r="J1196" s="36">
        <v>45955</v>
      </c>
      <c r="K1196" s="17">
        <v>84</v>
      </c>
      <c r="L1196" s="34">
        <v>84</v>
      </c>
      <c r="M1196" s="34">
        <v>7</v>
      </c>
      <c r="N1196" s="22">
        <v>45944</v>
      </c>
      <c r="O1196" s="14" t="s">
        <v>2362</v>
      </c>
      <c r="P1196" s="17" t="s">
        <v>1456</v>
      </c>
      <c r="Q1196" s="18" t="s">
        <v>378</v>
      </c>
      <c r="R1196" s="17" t="s">
        <v>102</v>
      </c>
      <c r="S1196" s="18" t="s">
        <v>1623</v>
      </c>
      <c r="T1196" s="18" t="s">
        <v>804</v>
      </c>
      <c r="U1196" s="18" t="s">
        <v>2518</v>
      </c>
      <c r="V1196" s="14"/>
    </row>
    <row r="1197" spans="1:22" x14ac:dyDescent="0.3">
      <c r="A1197" s="17">
        <v>1174</v>
      </c>
      <c r="B1197" s="18">
        <v>166</v>
      </c>
      <c r="C1197" s="18" t="s">
        <v>20</v>
      </c>
      <c r="D1197" s="17" t="s">
        <v>2539</v>
      </c>
      <c r="E1197" s="22">
        <v>45944</v>
      </c>
      <c r="F1197" s="21" t="s">
        <v>28</v>
      </c>
      <c r="G1197" s="52" t="s">
        <v>2540</v>
      </c>
      <c r="H1197" s="56">
        <v>250485.45</v>
      </c>
      <c r="I1197" s="22">
        <v>45944</v>
      </c>
      <c r="J1197" s="36">
        <v>45955</v>
      </c>
      <c r="K1197" s="17">
        <v>180</v>
      </c>
      <c r="L1197" s="34">
        <v>180</v>
      </c>
      <c r="M1197" s="34">
        <v>15</v>
      </c>
      <c r="N1197" s="22">
        <v>45944</v>
      </c>
      <c r="O1197" s="14" t="s">
        <v>2350</v>
      </c>
      <c r="P1197" s="17" t="s">
        <v>1456</v>
      </c>
      <c r="Q1197" s="18" t="s">
        <v>378</v>
      </c>
      <c r="R1197" s="17" t="s">
        <v>102</v>
      </c>
      <c r="S1197" s="18" t="s">
        <v>1623</v>
      </c>
      <c r="T1197" s="18" t="s">
        <v>804</v>
      </c>
      <c r="U1197" s="18" t="s">
        <v>2518</v>
      </c>
      <c r="V1197" s="14"/>
    </row>
    <row r="1198" spans="1:22" x14ac:dyDescent="0.3">
      <c r="A1198" s="17">
        <v>1174</v>
      </c>
      <c r="B1198" s="18">
        <v>166</v>
      </c>
      <c r="C1198" s="18" t="s">
        <v>20</v>
      </c>
      <c r="D1198" s="17" t="s">
        <v>2541</v>
      </c>
      <c r="E1198" s="22">
        <v>45944</v>
      </c>
      <c r="F1198" s="21" t="s">
        <v>28</v>
      </c>
      <c r="G1198" s="52" t="s">
        <v>2542</v>
      </c>
      <c r="H1198" s="56">
        <v>1064571</v>
      </c>
      <c r="I1198" s="22">
        <v>45944</v>
      </c>
      <c r="J1198" s="36">
        <v>45955</v>
      </c>
      <c r="K1198" s="17">
        <v>720</v>
      </c>
      <c r="L1198" s="34">
        <v>720</v>
      </c>
      <c r="M1198" s="34">
        <v>60</v>
      </c>
      <c r="N1198" s="22">
        <v>45944</v>
      </c>
      <c r="O1198" s="14" t="s">
        <v>2350</v>
      </c>
      <c r="P1198" s="17" t="s">
        <v>1456</v>
      </c>
      <c r="Q1198" s="18" t="s">
        <v>378</v>
      </c>
      <c r="R1198" s="17" t="s">
        <v>102</v>
      </c>
      <c r="S1198" s="18" t="s">
        <v>1623</v>
      </c>
      <c r="T1198" s="18" t="s">
        <v>804</v>
      </c>
      <c r="U1198" s="18" t="s">
        <v>2518</v>
      </c>
      <c r="V1198" s="14"/>
    </row>
    <row r="1199" spans="1:22" x14ac:dyDescent="0.3">
      <c r="A1199" s="17">
        <v>1174</v>
      </c>
      <c r="B1199" s="18">
        <v>166</v>
      </c>
      <c r="C1199" s="18" t="s">
        <v>20</v>
      </c>
      <c r="D1199" s="17" t="s">
        <v>2543</v>
      </c>
      <c r="E1199" s="22">
        <v>45944</v>
      </c>
      <c r="F1199" s="21" t="s">
        <v>1207</v>
      </c>
      <c r="G1199" s="52" t="s">
        <v>2544</v>
      </c>
      <c r="H1199" s="56">
        <v>163545.70000000001</v>
      </c>
      <c r="I1199" s="22">
        <v>45944</v>
      </c>
      <c r="J1199" s="36">
        <v>45955</v>
      </c>
      <c r="K1199" s="17">
        <v>120</v>
      </c>
      <c r="L1199" s="34">
        <v>120</v>
      </c>
      <c r="M1199" s="34">
        <v>10</v>
      </c>
      <c r="N1199" s="22">
        <v>45944</v>
      </c>
      <c r="O1199" s="14" t="s">
        <v>2350</v>
      </c>
      <c r="P1199" s="17" t="s">
        <v>1456</v>
      </c>
      <c r="Q1199" s="18" t="s">
        <v>378</v>
      </c>
      <c r="R1199" s="17" t="s">
        <v>102</v>
      </c>
      <c r="S1199" s="18" t="s">
        <v>1623</v>
      </c>
      <c r="T1199" s="18" t="s">
        <v>804</v>
      </c>
      <c r="U1199" s="18" t="s">
        <v>2518</v>
      </c>
      <c r="V1199" s="14"/>
    </row>
    <row r="1200" spans="1:22" x14ac:dyDescent="0.3">
      <c r="A1200" s="17">
        <v>1174</v>
      </c>
      <c r="B1200" s="18">
        <v>166</v>
      </c>
      <c r="C1200" s="18" t="s">
        <v>20</v>
      </c>
      <c r="D1200" s="17" t="s">
        <v>2545</v>
      </c>
      <c r="E1200" s="22">
        <v>45944</v>
      </c>
      <c r="F1200" s="44" t="s">
        <v>2208</v>
      </c>
      <c r="G1200" s="52" t="s">
        <v>2546</v>
      </c>
      <c r="H1200" s="56">
        <v>125972.36</v>
      </c>
      <c r="I1200" s="22">
        <v>45944</v>
      </c>
      <c r="J1200" s="36">
        <v>45955</v>
      </c>
      <c r="K1200" s="17">
        <v>96</v>
      </c>
      <c r="L1200" s="34">
        <v>96</v>
      </c>
      <c r="M1200" s="34">
        <v>8</v>
      </c>
      <c r="N1200" s="22">
        <v>45944</v>
      </c>
      <c r="O1200" s="14" t="s">
        <v>2350</v>
      </c>
      <c r="P1200" s="17" t="s">
        <v>1456</v>
      </c>
      <c r="Q1200" s="18" t="s">
        <v>378</v>
      </c>
      <c r="R1200" s="17" t="s">
        <v>102</v>
      </c>
      <c r="S1200" s="18" t="s">
        <v>1623</v>
      </c>
      <c r="T1200" s="18" t="s">
        <v>804</v>
      </c>
      <c r="U1200" s="18" t="s">
        <v>2518</v>
      </c>
      <c r="V1200" s="14"/>
    </row>
    <row r="1201" spans="1:22" x14ac:dyDescent="0.3">
      <c r="A1201" s="17">
        <v>1174</v>
      </c>
      <c r="B1201" s="18">
        <v>166</v>
      </c>
      <c r="C1201" s="18" t="s">
        <v>20</v>
      </c>
      <c r="D1201" s="17" t="s">
        <v>2547</v>
      </c>
      <c r="E1201" s="22">
        <v>45944</v>
      </c>
      <c r="F1201" s="21" t="s">
        <v>53</v>
      </c>
      <c r="G1201" s="52" t="s">
        <v>2548</v>
      </c>
      <c r="H1201" s="56">
        <v>135700.76</v>
      </c>
      <c r="I1201" s="22">
        <v>45944</v>
      </c>
      <c r="J1201" s="36">
        <v>45955</v>
      </c>
      <c r="K1201" s="17">
        <v>96</v>
      </c>
      <c r="L1201" s="34">
        <v>96</v>
      </c>
      <c r="M1201" s="34">
        <v>8</v>
      </c>
      <c r="N1201" s="22">
        <v>45944</v>
      </c>
      <c r="O1201" s="14" t="s">
        <v>21</v>
      </c>
      <c r="P1201" s="17" t="s">
        <v>1456</v>
      </c>
      <c r="Q1201" s="18" t="s">
        <v>378</v>
      </c>
      <c r="R1201" s="17" t="s">
        <v>102</v>
      </c>
      <c r="S1201" s="18" t="s">
        <v>1623</v>
      </c>
      <c r="T1201" s="18" t="s">
        <v>804</v>
      </c>
      <c r="U1201" s="18" t="s">
        <v>2518</v>
      </c>
      <c r="V1201" s="14"/>
    </row>
    <row r="1202" spans="1:22" x14ac:dyDescent="0.3">
      <c r="A1202" s="18">
        <v>1174</v>
      </c>
      <c r="B1202" s="18">
        <v>166</v>
      </c>
      <c r="C1202" s="18" t="s">
        <v>20</v>
      </c>
      <c r="D1202" s="18" t="s">
        <v>2549</v>
      </c>
      <c r="E1202" s="19">
        <v>45944</v>
      </c>
      <c r="F1202" s="21" t="s">
        <v>47</v>
      </c>
      <c r="G1202" s="52" t="s">
        <v>2550</v>
      </c>
      <c r="H1202" s="56">
        <v>98127.42</v>
      </c>
      <c r="I1202" s="22">
        <v>45944</v>
      </c>
      <c r="J1202" s="36">
        <v>45955</v>
      </c>
      <c r="K1202" s="17">
        <v>72</v>
      </c>
      <c r="L1202" s="34">
        <v>72</v>
      </c>
      <c r="M1202" s="34">
        <v>6</v>
      </c>
      <c r="N1202" s="22">
        <v>45944</v>
      </c>
      <c r="O1202" s="14" t="s">
        <v>2403</v>
      </c>
      <c r="P1202" s="17" t="s">
        <v>1456</v>
      </c>
      <c r="Q1202" s="18" t="s">
        <v>378</v>
      </c>
      <c r="R1202" s="17" t="s">
        <v>102</v>
      </c>
      <c r="S1202" s="18" t="s">
        <v>1623</v>
      </c>
      <c r="T1202" s="18" t="s">
        <v>804</v>
      </c>
      <c r="U1202" s="18" t="s">
        <v>2518</v>
      </c>
      <c r="V1202" s="14"/>
    </row>
    <row r="1203" spans="1:22" x14ac:dyDescent="0.3">
      <c r="A1203" s="18">
        <v>1175</v>
      </c>
      <c r="B1203" s="18">
        <v>167</v>
      </c>
      <c r="C1203" s="18" t="s">
        <v>20</v>
      </c>
      <c r="D1203" s="18" t="s">
        <v>2551</v>
      </c>
      <c r="E1203" s="19">
        <v>45943</v>
      </c>
      <c r="F1203" s="44" t="s">
        <v>123</v>
      </c>
      <c r="G1203" s="29" t="s">
        <v>2552</v>
      </c>
      <c r="H1203" s="56">
        <v>20948.72</v>
      </c>
      <c r="I1203" s="19">
        <v>45943</v>
      </c>
      <c r="J1203" s="36">
        <v>45955</v>
      </c>
      <c r="K1203" s="18">
        <v>144</v>
      </c>
      <c r="L1203" s="61">
        <v>144</v>
      </c>
      <c r="M1203" s="61">
        <v>12</v>
      </c>
      <c r="N1203" s="19">
        <v>45946</v>
      </c>
      <c r="O1203" s="18" t="s">
        <v>2339</v>
      </c>
      <c r="P1203" s="18" t="s">
        <v>1456</v>
      </c>
      <c r="Q1203" s="18" t="s">
        <v>124</v>
      </c>
      <c r="R1203" s="18" t="s">
        <v>102</v>
      </c>
      <c r="S1203" s="18" t="s">
        <v>1623</v>
      </c>
      <c r="T1203" s="18" t="s">
        <v>804</v>
      </c>
      <c r="U1203" s="18" t="s">
        <v>2518</v>
      </c>
      <c r="V1203" s="14"/>
    </row>
    <row r="1204" spans="1:22" x14ac:dyDescent="0.3">
      <c r="A1204" s="18">
        <v>1175</v>
      </c>
      <c r="B1204" s="18">
        <v>167</v>
      </c>
      <c r="C1204" s="18" t="s">
        <v>20</v>
      </c>
      <c r="D1204" s="18" t="s">
        <v>2553</v>
      </c>
      <c r="E1204" s="19">
        <v>45917</v>
      </c>
      <c r="F1204" s="44" t="s">
        <v>129</v>
      </c>
      <c r="G1204" s="29" t="s">
        <v>2554</v>
      </c>
      <c r="H1204" s="56">
        <v>51518.78</v>
      </c>
      <c r="I1204" s="19">
        <v>45945</v>
      </c>
      <c r="J1204" s="36">
        <v>45955</v>
      </c>
      <c r="K1204" s="18">
        <v>24</v>
      </c>
      <c r="L1204" s="61">
        <v>24</v>
      </c>
      <c r="M1204" s="61">
        <v>2</v>
      </c>
      <c r="N1204" s="19">
        <v>45917</v>
      </c>
      <c r="O1204" s="18" t="s">
        <v>2353</v>
      </c>
      <c r="P1204" s="18" t="s">
        <v>2555</v>
      </c>
      <c r="Q1204" s="18" t="s">
        <v>2556</v>
      </c>
      <c r="R1204" s="18" t="s">
        <v>2557</v>
      </c>
      <c r="S1204" s="18" t="s">
        <v>19</v>
      </c>
      <c r="T1204" s="18" t="s">
        <v>804</v>
      </c>
      <c r="U1204" s="18" t="s">
        <v>2558</v>
      </c>
      <c r="V1204" s="14" t="s">
        <v>2559</v>
      </c>
    </row>
    <row r="1205" spans="1:22" x14ac:dyDescent="0.3">
      <c r="A1205" s="18">
        <v>1175</v>
      </c>
      <c r="B1205" s="18">
        <v>167</v>
      </c>
      <c r="C1205" s="18" t="s">
        <v>20</v>
      </c>
      <c r="D1205" s="18" t="s">
        <v>2560</v>
      </c>
      <c r="E1205" s="19">
        <v>45945</v>
      </c>
      <c r="F1205" s="44" t="s">
        <v>1207</v>
      </c>
      <c r="G1205" s="29" t="s">
        <v>2561</v>
      </c>
      <c r="H1205" s="56">
        <v>595602.06999999995</v>
      </c>
      <c r="I1205" s="19">
        <v>45945</v>
      </c>
      <c r="J1205" s="36">
        <v>45955</v>
      </c>
      <c r="K1205" s="18">
        <v>444</v>
      </c>
      <c r="L1205" s="61">
        <v>444</v>
      </c>
      <c r="M1205" s="61">
        <v>37</v>
      </c>
      <c r="N1205" s="19">
        <v>45946</v>
      </c>
      <c r="O1205" s="18" t="s">
        <v>2350</v>
      </c>
      <c r="P1205" s="18" t="s">
        <v>1456</v>
      </c>
      <c r="Q1205" s="18" t="s">
        <v>124</v>
      </c>
      <c r="R1205" s="18" t="s">
        <v>102</v>
      </c>
      <c r="S1205" s="18" t="s">
        <v>1623</v>
      </c>
      <c r="T1205" s="18" t="s">
        <v>804</v>
      </c>
      <c r="U1205" s="18" t="s">
        <v>2518</v>
      </c>
      <c r="V1205" s="14"/>
    </row>
    <row r="1206" spans="1:22" x14ac:dyDescent="0.3">
      <c r="A1206" s="18">
        <v>1175</v>
      </c>
      <c r="B1206" s="18">
        <v>167</v>
      </c>
      <c r="C1206" s="18" t="s">
        <v>20</v>
      </c>
      <c r="D1206" s="18" t="s">
        <v>2562</v>
      </c>
      <c r="E1206" s="19">
        <v>45945</v>
      </c>
      <c r="F1206" s="44" t="s">
        <v>28</v>
      </c>
      <c r="G1206" s="29" t="s">
        <v>2563</v>
      </c>
      <c r="H1206" s="56">
        <v>288785.28999999998</v>
      </c>
      <c r="I1206" s="19">
        <v>45945</v>
      </c>
      <c r="J1206" s="36">
        <v>45955</v>
      </c>
      <c r="K1206" s="18">
        <v>228</v>
      </c>
      <c r="L1206" s="61">
        <v>228</v>
      </c>
      <c r="M1206" s="61">
        <v>19</v>
      </c>
      <c r="N1206" s="19">
        <v>45946</v>
      </c>
      <c r="O1206" s="18" t="s">
        <v>2350</v>
      </c>
      <c r="P1206" s="18" t="s">
        <v>1456</v>
      </c>
      <c r="Q1206" s="18" t="s">
        <v>124</v>
      </c>
      <c r="R1206" s="18" t="s">
        <v>102</v>
      </c>
      <c r="S1206" s="18" t="s">
        <v>1623</v>
      </c>
      <c r="T1206" s="18" t="s">
        <v>804</v>
      </c>
      <c r="U1206" s="18" t="s">
        <v>2518</v>
      </c>
      <c r="V1206" s="14"/>
    </row>
    <row r="1207" spans="1:22" x14ac:dyDescent="0.3">
      <c r="A1207" s="18">
        <v>1175</v>
      </c>
      <c r="B1207" s="18">
        <v>167</v>
      </c>
      <c r="C1207" s="18" t="s">
        <v>20</v>
      </c>
      <c r="D1207" s="18" t="s">
        <v>2564</v>
      </c>
      <c r="E1207" s="19">
        <v>45945</v>
      </c>
      <c r="F1207" s="44" t="s">
        <v>2494</v>
      </c>
      <c r="G1207" s="29" t="s">
        <v>2565</v>
      </c>
      <c r="H1207" s="56">
        <v>74476.55</v>
      </c>
      <c r="I1207" s="19">
        <v>45945</v>
      </c>
      <c r="J1207" s="36">
        <v>45955</v>
      </c>
      <c r="K1207" s="18">
        <v>60</v>
      </c>
      <c r="L1207" s="61">
        <v>60</v>
      </c>
      <c r="M1207" s="61">
        <v>5</v>
      </c>
      <c r="N1207" s="19">
        <v>45946</v>
      </c>
      <c r="O1207" s="18" t="s">
        <v>2350</v>
      </c>
      <c r="P1207" s="18" t="s">
        <v>1456</v>
      </c>
      <c r="Q1207" s="18" t="s">
        <v>124</v>
      </c>
      <c r="R1207" s="18" t="s">
        <v>102</v>
      </c>
      <c r="S1207" s="18" t="s">
        <v>1623</v>
      </c>
      <c r="T1207" s="18" t="s">
        <v>804</v>
      </c>
      <c r="U1207" s="18" t="s">
        <v>2518</v>
      </c>
      <c r="V1207" s="14"/>
    </row>
    <row r="1208" spans="1:22" x14ac:dyDescent="0.3">
      <c r="A1208" s="18">
        <v>1175</v>
      </c>
      <c r="B1208" s="18">
        <v>167</v>
      </c>
      <c r="C1208" s="18" t="s">
        <v>20</v>
      </c>
      <c r="D1208" s="18" t="s">
        <v>2566</v>
      </c>
      <c r="E1208" s="19">
        <v>45945</v>
      </c>
      <c r="F1208" s="21" t="s">
        <v>33</v>
      </c>
      <c r="G1208" s="29" t="s">
        <v>2567</v>
      </c>
      <c r="H1208" s="56">
        <v>93263.22</v>
      </c>
      <c r="I1208" s="19">
        <v>45945</v>
      </c>
      <c r="J1208" s="36">
        <v>45955</v>
      </c>
      <c r="K1208" s="18">
        <v>72</v>
      </c>
      <c r="L1208" s="61">
        <v>72</v>
      </c>
      <c r="M1208" s="61">
        <v>6</v>
      </c>
      <c r="N1208" s="19">
        <v>45946</v>
      </c>
      <c r="O1208" s="18" t="s">
        <v>2362</v>
      </c>
      <c r="P1208" s="18" t="s">
        <v>1456</v>
      </c>
      <c r="Q1208" s="18" t="s">
        <v>124</v>
      </c>
      <c r="R1208" s="18" t="s">
        <v>102</v>
      </c>
      <c r="S1208" s="18" t="s">
        <v>1623</v>
      </c>
      <c r="T1208" s="18" t="s">
        <v>804</v>
      </c>
      <c r="U1208" s="18" t="s">
        <v>2518</v>
      </c>
      <c r="V1208" s="14"/>
    </row>
    <row r="1209" spans="1:22" x14ac:dyDescent="0.3">
      <c r="A1209" s="18">
        <v>1175</v>
      </c>
      <c r="B1209" s="18">
        <v>167</v>
      </c>
      <c r="C1209" s="18" t="s">
        <v>20</v>
      </c>
      <c r="D1209" s="18" t="s">
        <v>2568</v>
      </c>
      <c r="E1209" s="19">
        <v>45945</v>
      </c>
      <c r="F1209" s="44" t="s">
        <v>2070</v>
      </c>
      <c r="G1209" s="29" t="s">
        <v>2569</v>
      </c>
      <c r="H1209" s="56">
        <v>74446.55</v>
      </c>
      <c r="I1209" s="19">
        <v>45945</v>
      </c>
      <c r="J1209" s="36">
        <v>45955</v>
      </c>
      <c r="K1209" s="18">
        <v>60</v>
      </c>
      <c r="L1209" s="61">
        <v>60</v>
      </c>
      <c r="M1209" s="61">
        <v>5</v>
      </c>
      <c r="N1209" s="19">
        <v>45946</v>
      </c>
      <c r="O1209" s="18" t="s">
        <v>2342</v>
      </c>
      <c r="P1209" s="18" t="s">
        <v>1456</v>
      </c>
      <c r="Q1209" s="18" t="s">
        <v>124</v>
      </c>
      <c r="R1209" s="18" t="s">
        <v>102</v>
      </c>
      <c r="S1209" s="18" t="s">
        <v>1623</v>
      </c>
      <c r="T1209" s="18" t="s">
        <v>804</v>
      </c>
      <c r="U1209" s="18" t="s">
        <v>2518</v>
      </c>
      <c r="V1209" s="14"/>
    </row>
    <row r="1210" spans="1:22" x14ac:dyDescent="0.3">
      <c r="A1210" s="18">
        <v>1175</v>
      </c>
      <c r="B1210" s="18">
        <v>167</v>
      </c>
      <c r="C1210" s="18" t="s">
        <v>20</v>
      </c>
      <c r="D1210" s="18" t="s">
        <v>2570</v>
      </c>
      <c r="E1210" s="19">
        <v>45945</v>
      </c>
      <c r="F1210" s="44" t="s">
        <v>129</v>
      </c>
      <c r="G1210" s="29" t="s">
        <v>2571</v>
      </c>
      <c r="H1210" s="56">
        <v>55689.88</v>
      </c>
      <c r="I1210" s="19">
        <v>45945</v>
      </c>
      <c r="J1210" s="36">
        <v>45955</v>
      </c>
      <c r="K1210" s="18">
        <v>48</v>
      </c>
      <c r="L1210" s="61">
        <v>48</v>
      </c>
      <c r="M1210" s="61">
        <v>4</v>
      </c>
      <c r="N1210" s="19">
        <v>45946</v>
      </c>
      <c r="O1210" s="18" t="s">
        <v>2353</v>
      </c>
      <c r="P1210" s="18" t="s">
        <v>1456</v>
      </c>
      <c r="Q1210" s="18" t="s">
        <v>124</v>
      </c>
      <c r="R1210" s="18" t="s">
        <v>102</v>
      </c>
      <c r="S1210" s="18" t="s">
        <v>1623</v>
      </c>
      <c r="T1210" s="18" t="s">
        <v>804</v>
      </c>
      <c r="U1210" s="18" t="s">
        <v>2518</v>
      </c>
      <c r="V1210" s="14"/>
    </row>
    <row r="1211" spans="1:22" x14ac:dyDescent="0.3">
      <c r="A1211" s="18">
        <v>1175</v>
      </c>
      <c r="B1211" s="18">
        <v>167</v>
      </c>
      <c r="C1211" s="18" t="s">
        <v>20</v>
      </c>
      <c r="D1211" s="18" t="s">
        <v>2572</v>
      </c>
      <c r="E1211" s="19">
        <v>45945</v>
      </c>
      <c r="F1211" s="44" t="s">
        <v>35</v>
      </c>
      <c r="G1211" s="29" t="s">
        <v>2573</v>
      </c>
      <c r="H1211" s="56">
        <v>41767.410000000003</v>
      </c>
      <c r="I1211" s="19">
        <v>45945</v>
      </c>
      <c r="J1211" s="36">
        <v>45955</v>
      </c>
      <c r="K1211" s="18">
        <v>36</v>
      </c>
      <c r="L1211" s="61">
        <v>36</v>
      </c>
      <c r="M1211" s="61">
        <v>3</v>
      </c>
      <c r="N1211" s="19">
        <v>45946</v>
      </c>
      <c r="O1211" s="18" t="s">
        <v>2396</v>
      </c>
      <c r="P1211" s="18" t="s">
        <v>1456</v>
      </c>
      <c r="Q1211" s="18" t="s">
        <v>124</v>
      </c>
      <c r="R1211" s="18" t="s">
        <v>102</v>
      </c>
      <c r="S1211" s="18" t="s">
        <v>1623</v>
      </c>
      <c r="T1211" s="18" t="s">
        <v>804</v>
      </c>
      <c r="U1211" s="18" t="s">
        <v>2518</v>
      </c>
      <c r="V1211" s="14"/>
    </row>
    <row r="1212" spans="1:22" x14ac:dyDescent="0.3">
      <c r="A1212" s="18">
        <v>1175</v>
      </c>
      <c r="B1212" s="18">
        <v>167</v>
      </c>
      <c r="C1212" s="18" t="s">
        <v>20</v>
      </c>
      <c r="D1212" s="18" t="s">
        <v>2574</v>
      </c>
      <c r="E1212" s="19">
        <v>45945</v>
      </c>
      <c r="F1212" s="44" t="s">
        <v>2208</v>
      </c>
      <c r="G1212" s="29" t="s">
        <v>2575</v>
      </c>
      <c r="H1212" s="56">
        <v>69612.350000000006</v>
      </c>
      <c r="I1212" s="19">
        <v>45945</v>
      </c>
      <c r="J1212" s="36">
        <v>45955</v>
      </c>
      <c r="K1212" s="18">
        <v>60</v>
      </c>
      <c r="L1212" s="61">
        <v>60</v>
      </c>
      <c r="M1212" s="61">
        <v>5</v>
      </c>
      <c r="N1212" s="19">
        <v>45946</v>
      </c>
      <c r="O1212" s="18" t="s">
        <v>2350</v>
      </c>
      <c r="P1212" s="18" t="s">
        <v>1456</v>
      </c>
      <c r="Q1212" s="18" t="s">
        <v>124</v>
      </c>
      <c r="R1212" s="18" t="s">
        <v>102</v>
      </c>
      <c r="S1212" s="18" t="s">
        <v>1623</v>
      </c>
      <c r="T1212" s="18" t="s">
        <v>804</v>
      </c>
      <c r="U1212" s="18" t="s">
        <v>2518</v>
      </c>
      <c r="V1212" s="14"/>
    </row>
    <row r="1213" spans="1:22" x14ac:dyDescent="0.3">
      <c r="A1213" s="18">
        <v>1175</v>
      </c>
      <c r="B1213" s="18">
        <v>167</v>
      </c>
      <c r="C1213" s="18" t="s">
        <v>20</v>
      </c>
      <c r="D1213" s="18" t="s">
        <v>2576</v>
      </c>
      <c r="E1213" s="19">
        <v>45945</v>
      </c>
      <c r="F1213" s="44" t="s">
        <v>123</v>
      </c>
      <c r="G1213" s="29" t="s">
        <v>2577</v>
      </c>
      <c r="H1213" s="56">
        <v>41767.410000000003</v>
      </c>
      <c r="I1213" s="19">
        <v>45945</v>
      </c>
      <c r="J1213" s="36">
        <v>45955</v>
      </c>
      <c r="K1213" s="18">
        <v>36</v>
      </c>
      <c r="L1213" s="61">
        <v>36</v>
      </c>
      <c r="M1213" s="61">
        <v>3</v>
      </c>
      <c r="N1213" s="19">
        <v>45946</v>
      </c>
      <c r="O1213" s="18" t="s">
        <v>2339</v>
      </c>
      <c r="P1213" s="18" t="s">
        <v>1456</v>
      </c>
      <c r="Q1213" s="18" t="s">
        <v>124</v>
      </c>
      <c r="R1213" s="18" t="s">
        <v>102</v>
      </c>
      <c r="S1213" s="18" t="s">
        <v>1623</v>
      </c>
      <c r="T1213" s="18" t="s">
        <v>804</v>
      </c>
      <c r="U1213" s="18" t="s">
        <v>2518</v>
      </c>
      <c r="V1213" s="14"/>
    </row>
    <row r="1214" spans="1:22" x14ac:dyDescent="0.3">
      <c r="A1214" s="18">
        <v>1175</v>
      </c>
      <c r="B1214" s="18">
        <v>167</v>
      </c>
      <c r="C1214" s="18" t="s">
        <v>20</v>
      </c>
      <c r="D1214" s="18" t="s">
        <v>2578</v>
      </c>
      <c r="E1214" s="19">
        <v>45945</v>
      </c>
      <c r="F1214" s="44" t="s">
        <v>64</v>
      </c>
      <c r="G1214" s="29" t="s">
        <v>2579</v>
      </c>
      <c r="H1214" s="56">
        <v>69612.350000000006</v>
      </c>
      <c r="I1214" s="19">
        <v>45945</v>
      </c>
      <c r="J1214" s="36">
        <v>45955</v>
      </c>
      <c r="K1214" s="18">
        <v>60</v>
      </c>
      <c r="L1214" s="61">
        <v>60</v>
      </c>
      <c r="M1214" s="61">
        <v>5</v>
      </c>
      <c r="N1214" s="19">
        <v>45946</v>
      </c>
      <c r="O1214" s="18" t="s">
        <v>2344</v>
      </c>
      <c r="P1214" s="18" t="s">
        <v>1456</v>
      </c>
      <c r="Q1214" s="18" t="s">
        <v>124</v>
      </c>
      <c r="R1214" s="18" t="s">
        <v>102</v>
      </c>
      <c r="S1214" s="18" t="s">
        <v>1623</v>
      </c>
      <c r="T1214" s="18" t="s">
        <v>804</v>
      </c>
      <c r="U1214" s="18" t="s">
        <v>2518</v>
      </c>
      <c r="V1214" s="14"/>
    </row>
    <row r="1215" spans="1:22" x14ac:dyDescent="0.3">
      <c r="A1215" s="18">
        <v>1175</v>
      </c>
      <c r="B1215" s="18">
        <v>167</v>
      </c>
      <c r="C1215" s="18" t="s">
        <v>20</v>
      </c>
      <c r="D1215" s="18" t="s">
        <v>2580</v>
      </c>
      <c r="E1215" s="19">
        <v>45945</v>
      </c>
      <c r="F1215" s="25" t="s">
        <v>122</v>
      </c>
      <c r="G1215" s="29" t="s">
        <v>2581</v>
      </c>
      <c r="H1215" s="56">
        <v>69612.350000000006</v>
      </c>
      <c r="I1215" s="19">
        <v>45945</v>
      </c>
      <c r="J1215" s="36">
        <v>45955</v>
      </c>
      <c r="K1215" s="18">
        <v>60</v>
      </c>
      <c r="L1215" s="61">
        <v>60</v>
      </c>
      <c r="M1215" s="61">
        <v>5</v>
      </c>
      <c r="N1215" s="19">
        <v>45946</v>
      </c>
      <c r="O1215" s="18" t="s">
        <v>2339</v>
      </c>
      <c r="P1215" s="18" t="s">
        <v>1456</v>
      </c>
      <c r="Q1215" s="18" t="s">
        <v>124</v>
      </c>
      <c r="R1215" s="18" t="s">
        <v>102</v>
      </c>
      <c r="S1215" s="18" t="s">
        <v>1623</v>
      </c>
      <c r="T1215" s="18" t="s">
        <v>804</v>
      </c>
      <c r="U1215" s="18" t="s">
        <v>2518</v>
      </c>
      <c r="V1215" s="14"/>
    </row>
    <row r="1216" spans="1:22" x14ac:dyDescent="0.3">
      <c r="A1216" s="18">
        <v>1175</v>
      </c>
      <c r="B1216" s="18">
        <v>167</v>
      </c>
      <c r="C1216" s="18" t="s">
        <v>20</v>
      </c>
      <c r="D1216" s="18" t="s">
        <v>2572</v>
      </c>
      <c r="E1216" s="19">
        <v>45945</v>
      </c>
      <c r="F1216" s="21" t="s">
        <v>58</v>
      </c>
      <c r="G1216" s="29" t="s">
        <v>2582</v>
      </c>
      <c r="H1216" s="56">
        <v>69612.350000000006</v>
      </c>
      <c r="I1216" s="19">
        <v>45945</v>
      </c>
      <c r="J1216" s="36">
        <v>45955</v>
      </c>
      <c r="K1216" s="18">
        <v>60</v>
      </c>
      <c r="L1216" s="61">
        <v>60</v>
      </c>
      <c r="M1216" s="61">
        <v>5</v>
      </c>
      <c r="N1216" s="19">
        <v>45946</v>
      </c>
      <c r="O1216" s="18" t="s">
        <v>2308</v>
      </c>
      <c r="P1216" s="18" t="s">
        <v>1456</v>
      </c>
      <c r="Q1216" s="18" t="s">
        <v>124</v>
      </c>
      <c r="R1216" s="18" t="s">
        <v>102</v>
      </c>
      <c r="S1216" s="18" t="s">
        <v>1623</v>
      </c>
      <c r="T1216" s="18" t="s">
        <v>804</v>
      </c>
      <c r="U1216" s="18" t="s">
        <v>2518</v>
      </c>
      <c r="V1216" s="14"/>
    </row>
    <row r="1217" spans="1:22" x14ac:dyDescent="0.3">
      <c r="A1217" s="18">
        <v>1175</v>
      </c>
      <c r="B1217" s="18">
        <v>167</v>
      </c>
      <c r="C1217" s="18" t="s">
        <v>20</v>
      </c>
      <c r="D1217" s="18" t="s">
        <v>2583</v>
      </c>
      <c r="E1217" s="19">
        <v>45945</v>
      </c>
      <c r="F1217" s="44" t="s">
        <v>119</v>
      </c>
      <c r="G1217" s="29" t="s">
        <v>2584</v>
      </c>
      <c r="H1217" s="56">
        <v>93263.22</v>
      </c>
      <c r="I1217" s="19">
        <v>45945</v>
      </c>
      <c r="J1217" s="36">
        <v>45955</v>
      </c>
      <c r="K1217" s="18">
        <v>72</v>
      </c>
      <c r="L1217" s="61">
        <v>72</v>
      </c>
      <c r="M1217" s="61">
        <v>6</v>
      </c>
      <c r="N1217" s="19">
        <v>45946</v>
      </c>
      <c r="O1217" s="18" t="s">
        <v>2353</v>
      </c>
      <c r="P1217" s="18" t="s">
        <v>1456</v>
      </c>
      <c r="Q1217" s="18" t="s">
        <v>124</v>
      </c>
      <c r="R1217" s="18" t="s">
        <v>102</v>
      </c>
      <c r="S1217" s="18" t="s">
        <v>1623</v>
      </c>
      <c r="T1217" s="18" t="s">
        <v>804</v>
      </c>
      <c r="U1217" s="18" t="s">
        <v>2518</v>
      </c>
      <c r="V1217" s="14"/>
    </row>
    <row r="1218" spans="1:22" x14ac:dyDescent="0.3">
      <c r="A1218" s="18">
        <v>1175</v>
      </c>
      <c r="B1218" s="18">
        <v>167</v>
      </c>
      <c r="C1218" s="18" t="s">
        <v>20</v>
      </c>
      <c r="D1218" s="18" t="s">
        <v>2583</v>
      </c>
      <c r="E1218" s="19">
        <v>45945</v>
      </c>
      <c r="F1218" s="44" t="s">
        <v>131</v>
      </c>
      <c r="G1218" s="29" t="s">
        <v>2585</v>
      </c>
      <c r="H1218" s="56">
        <v>83534.820000000007</v>
      </c>
      <c r="I1218" s="19">
        <v>45945</v>
      </c>
      <c r="J1218" s="36">
        <v>45955</v>
      </c>
      <c r="K1218" s="18">
        <v>72</v>
      </c>
      <c r="L1218" s="61">
        <v>72</v>
      </c>
      <c r="M1218" s="61">
        <v>6</v>
      </c>
      <c r="N1218" s="19">
        <v>45946</v>
      </c>
      <c r="O1218" s="18" t="s">
        <v>2342</v>
      </c>
      <c r="P1218" s="18" t="s">
        <v>1456</v>
      </c>
      <c r="Q1218" s="18" t="s">
        <v>124</v>
      </c>
      <c r="R1218" s="18" t="s">
        <v>102</v>
      </c>
      <c r="S1218" s="18" t="s">
        <v>1623</v>
      </c>
      <c r="T1218" s="18" t="s">
        <v>804</v>
      </c>
      <c r="U1218" s="18" t="s">
        <v>2518</v>
      </c>
      <c r="V1218" s="14"/>
    </row>
    <row r="1219" spans="1:22" x14ac:dyDescent="0.3">
      <c r="A1219" s="18">
        <v>1175</v>
      </c>
      <c r="B1219" s="18">
        <v>167</v>
      </c>
      <c r="C1219" s="18" t="s">
        <v>20</v>
      </c>
      <c r="D1219" s="18" t="s">
        <v>2586</v>
      </c>
      <c r="E1219" s="19">
        <v>45945</v>
      </c>
      <c r="F1219" s="21" t="s">
        <v>53</v>
      </c>
      <c r="G1219" s="29" t="s">
        <v>2587</v>
      </c>
      <c r="H1219" s="56">
        <v>112738.81</v>
      </c>
      <c r="I1219" s="19">
        <v>45945</v>
      </c>
      <c r="J1219" s="36">
        <v>45955</v>
      </c>
      <c r="K1219" s="18">
        <v>84</v>
      </c>
      <c r="L1219" s="61">
        <v>84</v>
      </c>
      <c r="M1219" s="61">
        <v>7</v>
      </c>
      <c r="N1219" s="19">
        <v>45946</v>
      </c>
      <c r="O1219" s="18" t="s">
        <v>21</v>
      </c>
      <c r="P1219" s="18" t="s">
        <v>1456</v>
      </c>
      <c r="Q1219" s="18" t="s">
        <v>124</v>
      </c>
      <c r="R1219" s="18" t="s">
        <v>102</v>
      </c>
      <c r="S1219" s="18" t="s">
        <v>1623</v>
      </c>
      <c r="T1219" s="18" t="s">
        <v>804</v>
      </c>
      <c r="U1219" s="18" t="s">
        <v>2518</v>
      </c>
      <c r="V1219" s="14"/>
    </row>
    <row r="1220" spans="1:22" x14ac:dyDescent="0.3">
      <c r="A1220" s="18">
        <v>1175</v>
      </c>
      <c r="B1220" s="18">
        <v>167</v>
      </c>
      <c r="C1220" s="18" t="s">
        <v>23</v>
      </c>
      <c r="D1220" s="18" t="s">
        <v>2588</v>
      </c>
      <c r="E1220" s="19">
        <v>45944</v>
      </c>
      <c r="F1220" s="44" t="s">
        <v>35</v>
      </c>
      <c r="G1220" s="29" t="s">
        <v>2589</v>
      </c>
      <c r="H1220" s="56">
        <v>82973.14</v>
      </c>
      <c r="I1220" s="19">
        <v>45946</v>
      </c>
      <c r="J1220" s="36">
        <v>45955</v>
      </c>
      <c r="K1220" s="18">
        <v>216</v>
      </c>
      <c r="L1220" s="61">
        <v>216</v>
      </c>
      <c r="M1220" s="61">
        <v>9</v>
      </c>
      <c r="N1220" s="19">
        <v>45946</v>
      </c>
      <c r="O1220" s="18" t="s">
        <v>2396</v>
      </c>
      <c r="P1220" s="18" t="s">
        <v>1456</v>
      </c>
      <c r="Q1220" s="18" t="s">
        <v>124</v>
      </c>
      <c r="R1220" s="18" t="s">
        <v>102</v>
      </c>
      <c r="S1220" s="18" t="s">
        <v>1623</v>
      </c>
      <c r="T1220" s="18" t="s">
        <v>804</v>
      </c>
      <c r="U1220" s="18" t="s">
        <v>2518</v>
      </c>
      <c r="V1220" s="14"/>
    </row>
    <row r="1221" spans="1:22" x14ac:dyDescent="0.3">
      <c r="A1221" s="18">
        <v>1175</v>
      </c>
      <c r="B1221" s="18">
        <v>167</v>
      </c>
      <c r="C1221" s="18" t="s">
        <v>23</v>
      </c>
      <c r="D1221" s="18" t="s">
        <v>2590</v>
      </c>
      <c r="E1221" s="19">
        <v>45944</v>
      </c>
      <c r="F1221" s="24" t="s">
        <v>121</v>
      </c>
      <c r="G1221" s="29" t="s">
        <v>2591</v>
      </c>
      <c r="H1221" s="56">
        <v>65154.720000000001</v>
      </c>
      <c r="I1221" s="19">
        <v>45946</v>
      </c>
      <c r="J1221" s="36">
        <v>45955</v>
      </c>
      <c r="K1221" s="18">
        <v>168</v>
      </c>
      <c r="L1221" s="61">
        <v>168</v>
      </c>
      <c r="M1221" s="61">
        <v>7</v>
      </c>
      <c r="N1221" s="19">
        <v>45946</v>
      </c>
      <c r="O1221" s="18" t="s">
        <v>2343</v>
      </c>
      <c r="P1221" s="18" t="s">
        <v>1456</v>
      </c>
      <c r="Q1221" s="18" t="s">
        <v>124</v>
      </c>
      <c r="R1221" s="18" t="s">
        <v>102</v>
      </c>
      <c r="S1221" s="18" t="s">
        <v>1623</v>
      </c>
      <c r="T1221" s="18" t="s">
        <v>804</v>
      </c>
      <c r="U1221" s="18" t="s">
        <v>2518</v>
      </c>
      <c r="V1221" s="14"/>
    </row>
    <row r="1222" spans="1:22" x14ac:dyDescent="0.3">
      <c r="A1222" s="18">
        <v>1175</v>
      </c>
      <c r="B1222" s="18">
        <v>167</v>
      </c>
      <c r="C1222" s="18" t="s">
        <v>20</v>
      </c>
      <c r="D1222" s="18" t="s">
        <v>2592</v>
      </c>
      <c r="E1222" s="19">
        <v>45944</v>
      </c>
      <c r="F1222" s="44" t="s">
        <v>35</v>
      </c>
      <c r="G1222" s="29" t="s">
        <v>2593</v>
      </c>
      <c r="H1222" s="56">
        <v>25801.200000000001</v>
      </c>
      <c r="I1222" s="19">
        <v>45946</v>
      </c>
      <c r="J1222" s="36">
        <v>45955</v>
      </c>
      <c r="K1222" s="18">
        <v>96</v>
      </c>
      <c r="L1222" s="61">
        <v>96</v>
      </c>
      <c r="M1222" s="61">
        <v>4</v>
      </c>
      <c r="N1222" s="19">
        <v>45946</v>
      </c>
      <c r="O1222" s="18" t="s">
        <v>2396</v>
      </c>
      <c r="P1222" s="18" t="s">
        <v>1456</v>
      </c>
      <c r="Q1222" s="18" t="s">
        <v>124</v>
      </c>
      <c r="R1222" s="18" t="s">
        <v>102</v>
      </c>
      <c r="S1222" s="18" t="s">
        <v>1623</v>
      </c>
      <c r="T1222" s="18" t="s">
        <v>804</v>
      </c>
      <c r="U1222" s="18" t="s">
        <v>2518</v>
      </c>
      <c r="V1222" s="14"/>
    </row>
    <row r="1223" spans="1:22" x14ac:dyDescent="0.3">
      <c r="A1223" s="18">
        <v>1175</v>
      </c>
      <c r="B1223" s="18">
        <v>167</v>
      </c>
      <c r="C1223" s="18" t="s">
        <v>20</v>
      </c>
      <c r="D1223" s="18" t="s">
        <v>2594</v>
      </c>
      <c r="E1223" s="19">
        <v>45945</v>
      </c>
      <c r="F1223" s="44" t="s">
        <v>89</v>
      </c>
      <c r="G1223" s="29" t="s">
        <v>2595</v>
      </c>
      <c r="H1223" s="56">
        <v>219550.81</v>
      </c>
      <c r="I1223" s="19">
        <v>45946</v>
      </c>
      <c r="J1223" s="36">
        <v>45955</v>
      </c>
      <c r="K1223" s="18">
        <v>156</v>
      </c>
      <c r="L1223" s="61">
        <v>156</v>
      </c>
      <c r="M1223" s="61">
        <v>13</v>
      </c>
      <c r="N1223" s="19">
        <v>45946</v>
      </c>
      <c r="O1223" s="18" t="s">
        <v>2355</v>
      </c>
      <c r="P1223" s="18" t="s">
        <v>1456</v>
      </c>
      <c r="Q1223" s="18" t="s">
        <v>124</v>
      </c>
      <c r="R1223" s="18" t="s">
        <v>102</v>
      </c>
      <c r="S1223" s="18" t="s">
        <v>1623</v>
      </c>
      <c r="T1223" s="18" t="s">
        <v>804</v>
      </c>
      <c r="U1223" s="18" t="s">
        <v>2518</v>
      </c>
      <c r="V1223" s="14"/>
    </row>
    <row r="1224" spans="1:22" x14ac:dyDescent="0.3">
      <c r="A1224" s="18">
        <v>1175</v>
      </c>
      <c r="B1224" s="18">
        <v>167</v>
      </c>
      <c r="C1224" s="18" t="s">
        <v>20</v>
      </c>
      <c r="D1224" s="18" t="s">
        <v>2596</v>
      </c>
      <c r="E1224" s="19">
        <v>45945</v>
      </c>
      <c r="F1224" s="44" t="s">
        <v>84</v>
      </c>
      <c r="G1224" s="29" t="s">
        <v>2597</v>
      </c>
      <c r="H1224" s="56">
        <v>65418.28</v>
      </c>
      <c r="I1224" s="19">
        <v>45946</v>
      </c>
      <c r="J1224" s="36">
        <v>45955</v>
      </c>
      <c r="K1224" s="18">
        <v>48</v>
      </c>
      <c r="L1224" s="61">
        <v>48</v>
      </c>
      <c r="M1224" s="61">
        <v>4</v>
      </c>
      <c r="N1224" s="19">
        <v>45946</v>
      </c>
      <c r="O1224" s="18" t="s">
        <v>2308</v>
      </c>
      <c r="P1224" s="18" t="s">
        <v>1456</v>
      </c>
      <c r="Q1224" s="18" t="s">
        <v>124</v>
      </c>
      <c r="R1224" s="18" t="s">
        <v>102</v>
      </c>
      <c r="S1224" s="18" t="s">
        <v>1623</v>
      </c>
      <c r="T1224" s="18" t="s">
        <v>804</v>
      </c>
      <c r="U1224" s="18" t="s">
        <v>2518</v>
      </c>
      <c r="V1224" s="14"/>
    </row>
    <row r="1225" spans="1:22" x14ac:dyDescent="0.3">
      <c r="A1225" s="18">
        <v>1175</v>
      </c>
      <c r="B1225" s="18">
        <v>167</v>
      </c>
      <c r="C1225" s="18" t="s">
        <v>20</v>
      </c>
      <c r="D1225" s="18" t="s">
        <v>2598</v>
      </c>
      <c r="E1225" s="19">
        <v>45945</v>
      </c>
      <c r="F1225" s="44" t="s">
        <v>129</v>
      </c>
      <c r="G1225" s="29" t="s">
        <v>2599</v>
      </c>
      <c r="H1225" s="56">
        <v>93933.35</v>
      </c>
      <c r="I1225" s="19">
        <v>45946</v>
      </c>
      <c r="J1225" s="36">
        <v>45955</v>
      </c>
      <c r="K1225" s="18">
        <v>60</v>
      </c>
      <c r="L1225" s="61">
        <v>60</v>
      </c>
      <c r="M1225" s="61">
        <v>5</v>
      </c>
      <c r="N1225" s="19">
        <v>45946</v>
      </c>
      <c r="O1225" s="18" t="s">
        <v>2353</v>
      </c>
      <c r="P1225" s="18" t="s">
        <v>1456</v>
      </c>
      <c r="Q1225" s="18" t="s">
        <v>124</v>
      </c>
      <c r="R1225" s="18" t="s">
        <v>102</v>
      </c>
      <c r="S1225" s="18" t="s">
        <v>1623</v>
      </c>
      <c r="T1225" s="18" t="s">
        <v>804</v>
      </c>
      <c r="U1225" s="18" t="s">
        <v>2518</v>
      </c>
      <c r="V1225" s="14"/>
    </row>
    <row r="1226" spans="1:22" x14ac:dyDescent="0.3">
      <c r="A1226" s="18">
        <v>1175</v>
      </c>
      <c r="B1226" s="18">
        <v>167</v>
      </c>
      <c r="C1226" s="18" t="s">
        <v>20</v>
      </c>
      <c r="D1226" s="18" t="s">
        <v>2600</v>
      </c>
      <c r="E1226" s="19">
        <v>45945</v>
      </c>
      <c r="F1226" s="44" t="s">
        <v>123</v>
      </c>
      <c r="G1226" s="29" t="s">
        <v>2601</v>
      </c>
      <c r="H1226" s="56">
        <v>79340.75</v>
      </c>
      <c r="I1226" s="19">
        <v>45946</v>
      </c>
      <c r="J1226" s="36">
        <v>45955</v>
      </c>
      <c r="K1226" s="18">
        <v>60</v>
      </c>
      <c r="L1226" s="61">
        <v>60</v>
      </c>
      <c r="M1226" s="61">
        <v>5</v>
      </c>
      <c r="N1226" s="19">
        <v>45946</v>
      </c>
      <c r="O1226" s="18" t="s">
        <v>2339</v>
      </c>
      <c r="P1226" s="18" t="s">
        <v>1456</v>
      </c>
      <c r="Q1226" s="18" t="s">
        <v>124</v>
      </c>
      <c r="R1226" s="18" t="s">
        <v>102</v>
      </c>
      <c r="S1226" s="18" t="s">
        <v>1623</v>
      </c>
      <c r="T1226" s="18" t="s">
        <v>804</v>
      </c>
      <c r="U1226" s="18" t="s">
        <v>2518</v>
      </c>
      <c r="V1226" s="14"/>
    </row>
    <row r="1227" spans="1:22" x14ac:dyDescent="0.3">
      <c r="A1227" s="18">
        <v>1175</v>
      </c>
      <c r="B1227" s="18">
        <v>167</v>
      </c>
      <c r="C1227" s="18" t="s">
        <v>20</v>
      </c>
      <c r="D1227" s="18" t="s">
        <v>2602</v>
      </c>
      <c r="E1227" s="19">
        <v>45945</v>
      </c>
      <c r="F1227" s="44" t="s">
        <v>89</v>
      </c>
      <c r="G1227" s="29" t="s">
        <v>2603</v>
      </c>
      <c r="H1227" s="56">
        <v>174330.32</v>
      </c>
      <c r="I1227" s="19">
        <v>45946</v>
      </c>
      <c r="J1227" s="36">
        <v>45955</v>
      </c>
      <c r="K1227" s="18">
        <v>132</v>
      </c>
      <c r="L1227" s="61">
        <v>132</v>
      </c>
      <c r="M1227" s="61">
        <v>11</v>
      </c>
      <c r="N1227" s="19">
        <v>45946</v>
      </c>
      <c r="O1227" s="18" t="s">
        <v>2355</v>
      </c>
      <c r="P1227" s="18" t="s">
        <v>1456</v>
      </c>
      <c r="Q1227" s="18" t="s">
        <v>124</v>
      </c>
      <c r="R1227" s="18" t="s">
        <v>102</v>
      </c>
      <c r="S1227" s="18" t="s">
        <v>1623</v>
      </c>
      <c r="T1227" s="18" t="s">
        <v>804</v>
      </c>
      <c r="U1227" s="18" t="s">
        <v>2518</v>
      </c>
      <c r="V1227" s="14"/>
    </row>
    <row r="1228" spans="1:22" x14ac:dyDescent="0.3">
      <c r="A1228" s="18">
        <v>1175</v>
      </c>
      <c r="B1228" s="18">
        <v>167</v>
      </c>
      <c r="C1228" s="18" t="s">
        <v>20</v>
      </c>
      <c r="D1228" s="18" t="s">
        <v>2604</v>
      </c>
      <c r="E1228" s="19">
        <v>45945</v>
      </c>
      <c r="F1228" s="25" t="s">
        <v>122</v>
      </c>
      <c r="G1228" s="29" t="s">
        <v>2605</v>
      </c>
      <c r="H1228" s="56">
        <v>107185.69</v>
      </c>
      <c r="I1228" s="19">
        <v>45946</v>
      </c>
      <c r="J1228" s="36">
        <v>45955</v>
      </c>
      <c r="K1228" s="18">
        <v>84</v>
      </c>
      <c r="L1228" s="61">
        <v>84</v>
      </c>
      <c r="M1228" s="61">
        <v>7</v>
      </c>
      <c r="N1228" s="19">
        <v>45946</v>
      </c>
      <c r="O1228" s="18" t="s">
        <v>2339</v>
      </c>
      <c r="P1228" s="18" t="s">
        <v>1456</v>
      </c>
      <c r="Q1228" s="18" t="s">
        <v>124</v>
      </c>
      <c r="R1228" s="18" t="s">
        <v>102</v>
      </c>
      <c r="S1228" s="18" t="s">
        <v>1623</v>
      </c>
      <c r="T1228" s="18" t="s">
        <v>804</v>
      </c>
      <c r="U1228" s="18" t="s">
        <v>2518</v>
      </c>
      <c r="V1228" s="14"/>
    </row>
    <row r="1229" spans="1:22" x14ac:dyDescent="0.3">
      <c r="A1229" s="18">
        <v>1175</v>
      </c>
      <c r="B1229" s="18">
        <v>167</v>
      </c>
      <c r="C1229" s="18" t="s">
        <v>20</v>
      </c>
      <c r="D1229" s="18" t="s">
        <v>2606</v>
      </c>
      <c r="E1229" s="19">
        <v>45945</v>
      </c>
      <c r="F1229" s="44" t="s">
        <v>28</v>
      </c>
      <c r="G1229" s="29" t="s">
        <v>2607</v>
      </c>
      <c r="H1229" s="56">
        <v>163545.70000000001</v>
      </c>
      <c r="I1229" s="19">
        <v>45946</v>
      </c>
      <c r="J1229" s="36">
        <v>45955</v>
      </c>
      <c r="K1229" s="18">
        <v>120</v>
      </c>
      <c r="L1229" s="61">
        <v>120</v>
      </c>
      <c r="M1229" s="61">
        <v>10</v>
      </c>
      <c r="N1229" s="19">
        <v>45946</v>
      </c>
      <c r="O1229" s="18" t="s">
        <v>2350</v>
      </c>
      <c r="P1229" s="18" t="s">
        <v>1456</v>
      </c>
      <c r="Q1229" s="18" t="s">
        <v>124</v>
      </c>
      <c r="R1229" s="18" t="s">
        <v>102</v>
      </c>
      <c r="S1229" s="18" t="s">
        <v>1623</v>
      </c>
      <c r="T1229" s="18" t="s">
        <v>804</v>
      </c>
      <c r="U1229" s="18" t="s">
        <v>2518</v>
      </c>
      <c r="V1229" s="14"/>
    </row>
    <row r="1230" spans="1:22" x14ac:dyDescent="0.3">
      <c r="A1230" s="18">
        <v>1175</v>
      </c>
      <c r="B1230" s="18">
        <v>167</v>
      </c>
      <c r="C1230" s="18" t="s">
        <v>20</v>
      </c>
      <c r="D1230" s="18" t="s">
        <v>2608</v>
      </c>
      <c r="E1230" s="19">
        <v>45945</v>
      </c>
      <c r="F1230" s="44" t="s">
        <v>2208</v>
      </c>
      <c r="G1230" s="29" t="s">
        <v>2609</v>
      </c>
      <c r="H1230" s="56">
        <v>133592.24</v>
      </c>
      <c r="I1230" s="19">
        <v>45946</v>
      </c>
      <c r="J1230" s="36">
        <v>45955</v>
      </c>
      <c r="K1230" s="18">
        <v>96</v>
      </c>
      <c r="L1230" s="61">
        <v>96</v>
      </c>
      <c r="M1230" s="61">
        <v>8</v>
      </c>
      <c r="N1230" s="19">
        <v>45946</v>
      </c>
      <c r="O1230" s="18" t="s">
        <v>2350</v>
      </c>
      <c r="P1230" s="18" t="s">
        <v>1456</v>
      </c>
      <c r="Q1230" s="18" t="s">
        <v>124</v>
      </c>
      <c r="R1230" s="18" t="s">
        <v>102</v>
      </c>
      <c r="S1230" s="18" t="s">
        <v>1623</v>
      </c>
      <c r="T1230" s="18" t="s">
        <v>804</v>
      </c>
      <c r="U1230" s="18" t="s">
        <v>2518</v>
      </c>
      <c r="V1230" s="14"/>
    </row>
    <row r="1231" spans="1:22" x14ac:dyDescent="0.3">
      <c r="A1231" s="18">
        <v>1175</v>
      </c>
      <c r="B1231" s="18">
        <v>167</v>
      </c>
      <c r="C1231" s="18" t="s">
        <v>20</v>
      </c>
      <c r="D1231" s="18" t="s">
        <v>2610</v>
      </c>
      <c r="E1231" s="19">
        <v>45945</v>
      </c>
      <c r="F1231" s="21" t="s">
        <v>33</v>
      </c>
      <c r="G1231" s="29" t="s">
        <v>2611</v>
      </c>
      <c r="H1231" s="56">
        <v>89797.74</v>
      </c>
      <c r="I1231" s="19">
        <v>45946</v>
      </c>
      <c r="J1231" s="36">
        <v>45955</v>
      </c>
      <c r="K1231" s="18">
        <v>72</v>
      </c>
      <c r="L1231" s="61">
        <v>72</v>
      </c>
      <c r="M1231" s="61">
        <v>6</v>
      </c>
      <c r="N1231" s="19">
        <v>45946</v>
      </c>
      <c r="O1231" s="18" t="s">
        <v>2362</v>
      </c>
      <c r="P1231" s="18" t="s">
        <v>1456</v>
      </c>
      <c r="Q1231" s="18" t="s">
        <v>124</v>
      </c>
      <c r="R1231" s="18" t="s">
        <v>102</v>
      </c>
      <c r="S1231" s="18" t="s">
        <v>1623</v>
      </c>
      <c r="T1231" s="18" t="s">
        <v>804</v>
      </c>
      <c r="U1231" s="18" t="s">
        <v>2518</v>
      </c>
      <c r="V1231" s="14"/>
    </row>
    <row r="1232" spans="1:22" x14ac:dyDescent="0.3">
      <c r="A1232" s="18">
        <v>1175</v>
      </c>
      <c r="B1232" s="18">
        <v>167</v>
      </c>
      <c r="C1232" s="18" t="s">
        <v>20</v>
      </c>
      <c r="D1232" s="18" t="s">
        <v>2612</v>
      </c>
      <c r="E1232" s="19">
        <v>45945</v>
      </c>
      <c r="F1232" s="44" t="s">
        <v>89</v>
      </c>
      <c r="G1232" s="29" t="s">
        <v>2613</v>
      </c>
      <c r="H1232" s="56">
        <v>83495.149999999994</v>
      </c>
      <c r="I1232" s="19">
        <v>45946</v>
      </c>
      <c r="J1232" s="36">
        <v>45955</v>
      </c>
      <c r="K1232" s="18">
        <v>60</v>
      </c>
      <c r="L1232" s="61">
        <v>60</v>
      </c>
      <c r="M1232" s="61">
        <v>5</v>
      </c>
      <c r="N1232" s="19">
        <v>45946</v>
      </c>
      <c r="O1232" s="18" t="s">
        <v>2355</v>
      </c>
      <c r="P1232" s="18" t="s">
        <v>1456</v>
      </c>
      <c r="Q1232" s="18" t="s">
        <v>124</v>
      </c>
      <c r="R1232" s="18" t="s">
        <v>102</v>
      </c>
      <c r="S1232" s="18" t="s">
        <v>1623</v>
      </c>
      <c r="T1232" s="18" t="s">
        <v>804</v>
      </c>
      <c r="U1232" s="18" t="s">
        <v>2518</v>
      </c>
      <c r="V1232" s="14"/>
    </row>
    <row r="1233" spans="1:22" x14ac:dyDescent="0.3">
      <c r="A1233" s="18">
        <v>1176</v>
      </c>
      <c r="B1233" s="18">
        <v>168</v>
      </c>
      <c r="C1233" s="18" t="s">
        <v>20</v>
      </c>
      <c r="D1233" s="18" t="s">
        <v>2614</v>
      </c>
      <c r="E1233" s="19">
        <v>45947</v>
      </c>
      <c r="F1233" s="21" t="s">
        <v>58</v>
      </c>
      <c r="G1233" s="29" t="s">
        <v>2615</v>
      </c>
      <c r="H1233" s="56">
        <v>1676284.55</v>
      </c>
      <c r="I1233" s="19">
        <v>45947</v>
      </c>
      <c r="J1233" s="36">
        <v>45955</v>
      </c>
      <c r="K1233" s="18">
        <v>1716</v>
      </c>
      <c r="L1233" s="61">
        <v>1716</v>
      </c>
      <c r="M1233" s="61">
        <v>143</v>
      </c>
      <c r="N1233" s="19">
        <v>45947</v>
      </c>
      <c r="O1233" s="18" t="s">
        <v>2308</v>
      </c>
      <c r="P1233" s="18" t="s">
        <v>1456</v>
      </c>
      <c r="Q1233" s="18" t="s">
        <v>2616</v>
      </c>
      <c r="R1233" s="18" t="s">
        <v>126</v>
      </c>
      <c r="S1233" s="18" t="s">
        <v>1623</v>
      </c>
      <c r="T1233" s="18" t="s">
        <v>804</v>
      </c>
      <c r="U1233" s="18"/>
      <c r="V1233" s="14"/>
    </row>
    <row r="1234" spans="1:22" x14ac:dyDescent="0.3">
      <c r="A1234" s="18">
        <v>1176</v>
      </c>
      <c r="B1234" s="18">
        <v>168</v>
      </c>
      <c r="C1234" s="18" t="s">
        <v>20</v>
      </c>
      <c r="D1234" s="18" t="s">
        <v>2617</v>
      </c>
      <c r="E1234" s="19">
        <v>45947</v>
      </c>
      <c r="F1234" s="21" t="s">
        <v>58</v>
      </c>
      <c r="G1234" s="29" t="s">
        <v>2618</v>
      </c>
      <c r="H1234" s="56">
        <v>400252.75</v>
      </c>
      <c r="I1234" s="19">
        <v>45947</v>
      </c>
      <c r="J1234" s="36">
        <v>45955</v>
      </c>
      <c r="K1234" s="18">
        <v>300</v>
      </c>
      <c r="L1234" s="61">
        <v>300</v>
      </c>
      <c r="M1234" s="61">
        <v>25</v>
      </c>
      <c r="N1234" s="19">
        <v>45947</v>
      </c>
      <c r="O1234" s="18" t="s">
        <v>2308</v>
      </c>
      <c r="P1234" s="18" t="s">
        <v>1456</v>
      </c>
      <c r="Q1234" s="18" t="s">
        <v>2616</v>
      </c>
      <c r="R1234" s="18" t="s">
        <v>126</v>
      </c>
      <c r="S1234" s="18" t="s">
        <v>1623</v>
      </c>
      <c r="T1234" s="18" t="s">
        <v>804</v>
      </c>
      <c r="U1234" s="18"/>
      <c r="V1234" s="14"/>
    </row>
    <row r="1235" spans="1:22" x14ac:dyDescent="0.3">
      <c r="A1235" s="18">
        <v>1176</v>
      </c>
      <c r="B1235" s="18">
        <v>168</v>
      </c>
      <c r="C1235" s="18" t="s">
        <v>20</v>
      </c>
      <c r="D1235" s="18" t="s">
        <v>2619</v>
      </c>
      <c r="E1235" s="19">
        <v>45947</v>
      </c>
      <c r="F1235" s="44" t="s">
        <v>64</v>
      </c>
      <c r="G1235" s="29" t="s">
        <v>2620</v>
      </c>
      <c r="H1235" s="56">
        <v>2459669.1</v>
      </c>
      <c r="I1235" s="19">
        <v>45947</v>
      </c>
      <c r="J1235" s="36">
        <v>45955</v>
      </c>
      <c r="K1235" s="18">
        <v>2220</v>
      </c>
      <c r="L1235" s="61">
        <v>2220</v>
      </c>
      <c r="M1235" s="61">
        <v>185</v>
      </c>
      <c r="N1235" s="19">
        <v>45947</v>
      </c>
      <c r="O1235" s="18" t="s">
        <v>2344</v>
      </c>
      <c r="P1235" s="18" t="s">
        <v>1456</v>
      </c>
      <c r="Q1235" s="18" t="s">
        <v>2616</v>
      </c>
      <c r="R1235" s="18" t="s">
        <v>126</v>
      </c>
      <c r="S1235" s="18" t="s">
        <v>1623</v>
      </c>
      <c r="T1235" s="18" t="s">
        <v>804</v>
      </c>
      <c r="U1235" s="18"/>
      <c r="V1235" s="14"/>
    </row>
    <row r="1236" spans="1:22" x14ac:dyDescent="0.3">
      <c r="A1236" s="18">
        <v>1177</v>
      </c>
      <c r="B1236" s="18">
        <v>169</v>
      </c>
      <c r="C1236" s="18" t="s">
        <v>20</v>
      </c>
      <c r="D1236" s="18" t="s">
        <v>2621</v>
      </c>
      <c r="E1236" s="19">
        <v>45946</v>
      </c>
      <c r="F1236" s="44" t="s">
        <v>1207</v>
      </c>
      <c r="G1236" s="29" t="s">
        <v>2622</v>
      </c>
      <c r="H1236" s="56">
        <v>2055124.75</v>
      </c>
      <c r="I1236" s="19">
        <v>45947</v>
      </c>
      <c r="J1236" s="36">
        <v>45955</v>
      </c>
      <c r="K1236" s="18">
        <v>2100</v>
      </c>
      <c r="L1236" s="61">
        <v>2100</v>
      </c>
      <c r="M1236" s="61">
        <v>175</v>
      </c>
      <c r="N1236" s="19">
        <v>45947</v>
      </c>
      <c r="O1236" s="18" t="s">
        <v>2350</v>
      </c>
      <c r="P1236" s="18" t="s">
        <v>1456</v>
      </c>
      <c r="Q1236" s="18" t="s">
        <v>124</v>
      </c>
      <c r="R1236" s="18" t="s">
        <v>102</v>
      </c>
      <c r="S1236" s="18" t="s">
        <v>1623</v>
      </c>
      <c r="T1236" s="18" t="s">
        <v>804</v>
      </c>
      <c r="U1236" s="18"/>
      <c r="V1236" s="14"/>
    </row>
    <row r="1237" spans="1:22" x14ac:dyDescent="0.3">
      <c r="A1237" s="18">
        <v>1177</v>
      </c>
      <c r="B1237" s="18">
        <v>169</v>
      </c>
      <c r="C1237" s="18" t="s">
        <v>20</v>
      </c>
      <c r="D1237" s="18" t="s">
        <v>2623</v>
      </c>
      <c r="E1237" s="19">
        <v>45946</v>
      </c>
      <c r="F1237" s="44" t="s">
        <v>84</v>
      </c>
      <c r="G1237" s="29" t="s">
        <v>2624</v>
      </c>
      <c r="H1237" s="56">
        <v>468069.7</v>
      </c>
      <c r="I1237" s="19">
        <v>45947</v>
      </c>
      <c r="J1237" s="36">
        <v>45955</v>
      </c>
      <c r="K1237" s="18">
        <v>480</v>
      </c>
      <c r="L1237" s="61">
        <v>480</v>
      </c>
      <c r="M1237" s="61">
        <v>40</v>
      </c>
      <c r="N1237" s="19">
        <v>45947</v>
      </c>
      <c r="O1237" s="18" t="s">
        <v>2308</v>
      </c>
      <c r="P1237" s="18" t="s">
        <v>1456</v>
      </c>
      <c r="Q1237" s="18" t="s">
        <v>124</v>
      </c>
      <c r="R1237" s="18" t="s">
        <v>102</v>
      </c>
      <c r="S1237" s="18" t="s">
        <v>1623</v>
      </c>
      <c r="T1237" s="18" t="s">
        <v>804</v>
      </c>
      <c r="U1237" s="18"/>
      <c r="V1237" s="14"/>
    </row>
    <row r="1238" spans="1:22" x14ac:dyDescent="0.3">
      <c r="A1238" s="18">
        <v>1177</v>
      </c>
      <c r="B1238" s="18">
        <v>169</v>
      </c>
      <c r="C1238" s="18" t="s">
        <v>20</v>
      </c>
      <c r="D1238" s="18" t="s">
        <v>2625</v>
      </c>
      <c r="E1238" s="19">
        <v>45946</v>
      </c>
      <c r="F1238" s="44" t="s">
        <v>113</v>
      </c>
      <c r="G1238" s="29" t="s">
        <v>2626</v>
      </c>
      <c r="H1238" s="56">
        <v>94678.64</v>
      </c>
      <c r="I1238" s="19">
        <v>45947</v>
      </c>
      <c r="J1238" s="36">
        <v>45955</v>
      </c>
      <c r="K1238" s="18">
        <v>96</v>
      </c>
      <c r="L1238" s="61">
        <v>96</v>
      </c>
      <c r="M1238" s="61">
        <v>8</v>
      </c>
      <c r="N1238" s="19">
        <v>45947</v>
      </c>
      <c r="O1238" s="18" t="s">
        <v>2344</v>
      </c>
      <c r="P1238" s="18" t="s">
        <v>1456</v>
      </c>
      <c r="Q1238" s="18" t="s">
        <v>124</v>
      </c>
      <c r="R1238" s="18" t="s">
        <v>102</v>
      </c>
      <c r="S1238" s="18" t="s">
        <v>1623</v>
      </c>
      <c r="T1238" s="18" t="s">
        <v>804</v>
      </c>
      <c r="U1238" s="18"/>
      <c r="V1238" s="14"/>
    </row>
    <row r="1239" spans="1:22" x14ac:dyDescent="0.3">
      <c r="A1239" s="18">
        <v>1178</v>
      </c>
      <c r="B1239" s="18">
        <v>170</v>
      </c>
      <c r="C1239" s="18" t="s">
        <v>20</v>
      </c>
      <c r="D1239" s="18" t="s">
        <v>2628</v>
      </c>
      <c r="E1239" s="19">
        <v>45947</v>
      </c>
      <c r="F1239" s="44" t="s">
        <v>129</v>
      </c>
      <c r="G1239" s="29" t="s">
        <v>2629</v>
      </c>
      <c r="H1239" s="56">
        <v>209477.94</v>
      </c>
      <c r="I1239" s="19">
        <v>45947</v>
      </c>
      <c r="J1239" s="36">
        <v>45955</v>
      </c>
      <c r="K1239" s="18">
        <v>216</v>
      </c>
      <c r="L1239" s="61">
        <v>216</v>
      </c>
      <c r="M1239" s="61">
        <v>18</v>
      </c>
      <c r="N1239" s="19">
        <v>45947</v>
      </c>
      <c r="O1239" s="18" t="s">
        <v>2353</v>
      </c>
      <c r="P1239" s="18" t="s">
        <v>1456</v>
      </c>
      <c r="Q1239" s="18" t="s">
        <v>2627</v>
      </c>
      <c r="R1239" s="18" t="s">
        <v>126</v>
      </c>
      <c r="S1239" s="18" t="s">
        <v>1623</v>
      </c>
      <c r="T1239" s="18" t="s">
        <v>804</v>
      </c>
      <c r="U1239" s="18"/>
      <c r="V1239" s="14"/>
    </row>
    <row r="1240" spans="1:22" x14ac:dyDescent="0.3">
      <c r="A1240" s="18">
        <v>1178</v>
      </c>
      <c r="B1240" s="18">
        <v>170</v>
      </c>
      <c r="C1240" s="18" t="s">
        <v>20</v>
      </c>
      <c r="D1240" s="18" t="s">
        <v>2630</v>
      </c>
      <c r="E1240" s="19">
        <v>45947</v>
      </c>
      <c r="F1240" s="44" t="s">
        <v>2193</v>
      </c>
      <c r="G1240" s="29" t="s">
        <v>2631</v>
      </c>
      <c r="H1240" s="56">
        <v>55689.88</v>
      </c>
      <c r="I1240" s="19">
        <v>45947</v>
      </c>
      <c r="J1240" s="36">
        <v>45955</v>
      </c>
      <c r="K1240" s="18">
        <v>48</v>
      </c>
      <c r="L1240" s="61">
        <v>48</v>
      </c>
      <c r="M1240" s="61">
        <v>4</v>
      </c>
      <c r="N1240" s="19">
        <v>45947</v>
      </c>
      <c r="O1240" s="18" t="s">
        <v>21</v>
      </c>
      <c r="P1240" s="18" t="s">
        <v>1456</v>
      </c>
      <c r="Q1240" s="18" t="s">
        <v>2627</v>
      </c>
      <c r="R1240" s="18" t="s">
        <v>126</v>
      </c>
      <c r="S1240" s="18" t="s">
        <v>1623</v>
      </c>
      <c r="T1240" s="18" t="s">
        <v>804</v>
      </c>
      <c r="U1240" s="18"/>
      <c r="V1240" s="14"/>
    </row>
    <row r="1241" spans="1:22" x14ac:dyDescent="0.3">
      <c r="A1241" s="18">
        <v>1178</v>
      </c>
      <c r="B1241" s="18">
        <v>170</v>
      </c>
      <c r="C1241" s="18" t="s">
        <v>20</v>
      </c>
      <c r="D1241" s="18" t="s">
        <v>2632</v>
      </c>
      <c r="E1241" s="19">
        <v>45947</v>
      </c>
      <c r="F1241" s="44" t="s">
        <v>35</v>
      </c>
      <c r="G1241" s="29" t="s">
        <v>2633</v>
      </c>
      <c r="H1241" s="56">
        <v>101723.81</v>
      </c>
      <c r="I1241" s="19">
        <v>45947</v>
      </c>
      <c r="J1241" s="36">
        <v>45955</v>
      </c>
      <c r="K1241" s="18">
        <v>82</v>
      </c>
      <c r="L1241" s="61">
        <v>82</v>
      </c>
      <c r="M1241" s="61">
        <v>7</v>
      </c>
      <c r="N1241" s="19">
        <v>45947</v>
      </c>
      <c r="O1241" s="18" t="s">
        <v>2396</v>
      </c>
      <c r="P1241" s="18" t="s">
        <v>1456</v>
      </c>
      <c r="Q1241" s="18" t="s">
        <v>2627</v>
      </c>
      <c r="R1241" s="18" t="s">
        <v>126</v>
      </c>
      <c r="S1241" s="18" t="s">
        <v>1623</v>
      </c>
      <c r="T1241" s="18" t="s">
        <v>804</v>
      </c>
      <c r="U1241" s="18"/>
      <c r="V1241" s="14"/>
    </row>
    <row r="1242" spans="1:22" x14ac:dyDescent="0.3">
      <c r="A1242" s="18">
        <v>1178</v>
      </c>
      <c r="B1242" s="18">
        <v>170</v>
      </c>
      <c r="C1242" s="18" t="s">
        <v>20</v>
      </c>
      <c r="D1242" s="18" t="s">
        <v>2634</v>
      </c>
      <c r="E1242" s="19">
        <v>45947</v>
      </c>
      <c r="F1242" s="23" t="s">
        <v>68</v>
      </c>
      <c r="G1242" s="29" t="s">
        <v>2635</v>
      </c>
      <c r="H1242" s="56">
        <v>326079.56</v>
      </c>
      <c r="I1242" s="19">
        <v>45947</v>
      </c>
      <c r="J1242" s="36">
        <v>45955</v>
      </c>
      <c r="K1242" s="18">
        <v>312</v>
      </c>
      <c r="L1242" s="61">
        <v>312</v>
      </c>
      <c r="M1242" s="61">
        <v>26</v>
      </c>
      <c r="N1242" s="19">
        <v>45947</v>
      </c>
      <c r="O1242" s="18" t="s">
        <v>2343</v>
      </c>
      <c r="P1242" s="18" t="s">
        <v>1456</v>
      </c>
      <c r="Q1242" s="18" t="s">
        <v>2627</v>
      </c>
      <c r="R1242" s="18" t="s">
        <v>126</v>
      </c>
      <c r="S1242" s="18" t="s">
        <v>1623</v>
      </c>
      <c r="T1242" s="18" t="s">
        <v>804</v>
      </c>
      <c r="U1242" s="18"/>
      <c r="V1242" s="14"/>
    </row>
    <row r="1243" spans="1:22" x14ac:dyDescent="0.3">
      <c r="A1243" s="18">
        <v>1178</v>
      </c>
      <c r="B1243" s="18">
        <v>170</v>
      </c>
      <c r="C1243" s="18" t="s">
        <v>20</v>
      </c>
      <c r="D1243" s="18" t="s">
        <v>2636</v>
      </c>
      <c r="E1243" s="19">
        <v>45947</v>
      </c>
      <c r="F1243" s="21" t="s">
        <v>53</v>
      </c>
      <c r="G1243" s="29" t="s">
        <v>2637</v>
      </c>
      <c r="H1243" s="56">
        <v>468069.7</v>
      </c>
      <c r="I1243" s="19">
        <v>45947</v>
      </c>
      <c r="J1243" s="36">
        <v>45955</v>
      </c>
      <c r="K1243" s="18">
        <v>480</v>
      </c>
      <c r="L1243" s="61">
        <v>480</v>
      </c>
      <c r="M1243" s="61">
        <v>40</v>
      </c>
      <c r="N1243" s="19">
        <v>45947</v>
      </c>
      <c r="O1243" s="18" t="s">
        <v>21</v>
      </c>
      <c r="P1243" s="18" t="s">
        <v>1456</v>
      </c>
      <c r="Q1243" s="18" t="s">
        <v>2627</v>
      </c>
      <c r="R1243" s="18" t="s">
        <v>126</v>
      </c>
      <c r="S1243" s="18" t="s">
        <v>1623</v>
      </c>
      <c r="T1243" s="18" t="s">
        <v>804</v>
      </c>
      <c r="U1243" s="18"/>
      <c r="V1243" s="14"/>
    </row>
    <row r="1244" spans="1:22" x14ac:dyDescent="0.3">
      <c r="A1244" s="18">
        <v>1178</v>
      </c>
      <c r="B1244" s="18">
        <v>170</v>
      </c>
      <c r="C1244" s="18" t="s">
        <v>20</v>
      </c>
      <c r="D1244" s="18" t="s">
        <v>2638</v>
      </c>
      <c r="E1244" s="19">
        <v>45947</v>
      </c>
      <c r="F1244" s="21" t="s">
        <v>33</v>
      </c>
      <c r="G1244" s="29" t="s">
        <v>2639</v>
      </c>
      <c r="H1244" s="56">
        <v>458505.36</v>
      </c>
      <c r="I1244" s="19">
        <v>45947</v>
      </c>
      <c r="J1244" s="36">
        <v>45955</v>
      </c>
      <c r="K1244" s="18">
        <v>432</v>
      </c>
      <c r="L1244" s="61">
        <v>432</v>
      </c>
      <c r="M1244" s="61">
        <v>36</v>
      </c>
      <c r="N1244" s="19">
        <v>45947</v>
      </c>
      <c r="O1244" s="18" t="s">
        <v>2362</v>
      </c>
      <c r="P1244" s="18" t="s">
        <v>1456</v>
      </c>
      <c r="Q1244" s="18" t="s">
        <v>2627</v>
      </c>
      <c r="R1244" s="18" t="s">
        <v>126</v>
      </c>
      <c r="S1244" s="18" t="s">
        <v>1623</v>
      </c>
      <c r="T1244" s="18" t="s">
        <v>804</v>
      </c>
      <c r="U1244" s="18"/>
      <c r="V1244" s="14"/>
    </row>
    <row r="1245" spans="1:22" x14ac:dyDescent="0.3">
      <c r="A1245" s="18">
        <v>1178</v>
      </c>
      <c r="B1245" s="18">
        <v>170</v>
      </c>
      <c r="C1245" s="18" t="s">
        <v>20</v>
      </c>
      <c r="D1245" s="18" t="s">
        <v>2640</v>
      </c>
      <c r="E1245" s="19">
        <v>45947</v>
      </c>
      <c r="F1245" s="44" t="s">
        <v>119</v>
      </c>
      <c r="G1245" s="29" t="s">
        <v>2641</v>
      </c>
      <c r="H1245" s="56">
        <v>347946.9</v>
      </c>
      <c r="I1245" s="19">
        <v>45947</v>
      </c>
      <c r="J1245" s="36">
        <v>45955</v>
      </c>
      <c r="K1245" s="18">
        <v>360</v>
      </c>
      <c r="L1245" s="61">
        <v>360</v>
      </c>
      <c r="M1245" s="61">
        <v>30</v>
      </c>
      <c r="N1245" s="19">
        <v>45947</v>
      </c>
      <c r="O1245" s="18" t="s">
        <v>2353</v>
      </c>
      <c r="P1245" s="18" t="s">
        <v>1456</v>
      </c>
      <c r="Q1245" s="18" t="s">
        <v>2627</v>
      </c>
      <c r="R1245" s="18" t="s">
        <v>126</v>
      </c>
      <c r="S1245" s="18" t="s">
        <v>1623</v>
      </c>
      <c r="T1245" s="18" t="s">
        <v>804</v>
      </c>
      <c r="U1245" s="18"/>
      <c r="V1245" s="14"/>
    </row>
    <row r="1246" spans="1:22" x14ac:dyDescent="0.3">
      <c r="A1246" s="18">
        <v>1178</v>
      </c>
      <c r="B1246" s="18">
        <v>170</v>
      </c>
      <c r="C1246" s="18" t="s">
        <v>20</v>
      </c>
      <c r="D1246" s="18" t="s">
        <v>2642</v>
      </c>
      <c r="E1246" s="19">
        <v>45947</v>
      </c>
      <c r="F1246" s="44" t="s">
        <v>131</v>
      </c>
      <c r="G1246" s="29" t="s">
        <v>2643</v>
      </c>
      <c r="H1246" s="56">
        <v>442270.64</v>
      </c>
      <c r="I1246" s="19">
        <v>45947</v>
      </c>
      <c r="J1246" s="36">
        <v>45955</v>
      </c>
      <c r="K1246" s="18">
        <v>456</v>
      </c>
      <c r="L1246" s="61">
        <v>456</v>
      </c>
      <c r="M1246" s="61">
        <v>38</v>
      </c>
      <c r="N1246" s="19">
        <v>45947</v>
      </c>
      <c r="O1246" s="18" t="s">
        <v>2342</v>
      </c>
      <c r="P1246" s="18" t="s">
        <v>1456</v>
      </c>
      <c r="Q1246" s="18" t="s">
        <v>2627</v>
      </c>
      <c r="R1246" s="18" t="s">
        <v>126</v>
      </c>
      <c r="S1246" s="18" t="s">
        <v>1623</v>
      </c>
      <c r="T1246" s="18" t="s">
        <v>804</v>
      </c>
      <c r="U1246" s="18"/>
      <c r="V1246" s="14"/>
    </row>
    <row r="1247" spans="1:22" x14ac:dyDescent="0.3">
      <c r="A1247" s="18">
        <v>1178</v>
      </c>
      <c r="B1247" s="18">
        <v>170</v>
      </c>
      <c r="C1247" s="18" t="s">
        <v>20</v>
      </c>
      <c r="D1247" s="18" t="s">
        <v>2644</v>
      </c>
      <c r="E1247" s="19">
        <v>45946</v>
      </c>
      <c r="F1247" s="44" t="s">
        <v>2208</v>
      </c>
      <c r="G1247" s="29" t="s">
        <v>2645</v>
      </c>
      <c r="H1247" s="56">
        <v>978489.26</v>
      </c>
      <c r="I1247" s="19">
        <v>45946</v>
      </c>
      <c r="J1247" s="36">
        <v>45955</v>
      </c>
      <c r="K1247" s="18">
        <v>888</v>
      </c>
      <c r="L1247" s="61">
        <v>888</v>
      </c>
      <c r="M1247" s="61">
        <v>74</v>
      </c>
      <c r="N1247" s="19">
        <v>45947</v>
      </c>
      <c r="O1247" s="18" t="s">
        <v>2350</v>
      </c>
      <c r="P1247" s="18" t="s">
        <v>1456</v>
      </c>
      <c r="Q1247" s="18" t="s">
        <v>2627</v>
      </c>
      <c r="R1247" s="18" t="s">
        <v>126</v>
      </c>
      <c r="S1247" s="18" t="s">
        <v>1623</v>
      </c>
      <c r="T1247" s="18" t="s">
        <v>804</v>
      </c>
      <c r="U1247" s="18"/>
      <c r="V1247" s="14"/>
    </row>
    <row r="1248" spans="1:22" x14ac:dyDescent="0.3">
      <c r="A1248" s="18">
        <v>1178</v>
      </c>
      <c r="B1248" s="18">
        <v>170</v>
      </c>
      <c r="C1248" s="18" t="s">
        <v>20</v>
      </c>
      <c r="D1248" s="18" t="s">
        <v>2646</v>
      </c>
      <c r="E1248" s="19">
        <v>45946</v>
      </c>
      <c r="F1248" s="44" t="s">
        <v>35</v>
      </c>
      <c r="G1248" s="29" t="s">
        <v>2647</v>
      </c>
      <c r="H1248" s="56">
        <v>597897.93000000005</v>
      </c>
      <c r="I1248" s="19">
        <v>45946</v>
      </c>
      <c r="J1248" s="36">
        <v>45955</v>
      </c>
      <c r="K1248" s="18">
        <v>612</v>
      </c>
      <c r="L1248" s="61">
        <v>612</v>
      </c>
      <c r="M1248" s="61">
        <v>51</v>
      </c>
      <c r="N1248" s="19">
        <v>45947</v>
      </c>
      <c r="O1248" s="18" t="s">
        <v>2396</v>
      </c>
      <c r="P1248" s="18" t="s">
        <v>1456</v>
      </c>
      <c r="Q1248" s="18" t="s">
        <v>2627</v>
      </c>
      <c r="R1248" s="18" t="s">
        <v>126</v>
      </c>
      <c r="S1248" s="18" t="s">
        <v>1623</v>
      </c>
      <c r="T1248" s="18" t="s">
        <v>804</v>
      </c>
      <c r="U1248" s="18"/>
      <c r="V1248" s="14"/>
    </row>
    <row r="1249" spans="1:22" x14ac:dyDescent="0.3">
      <c r="A1249" s="18">
        <v>1178</v>
      </c>
      <c r="B1249" s="18">
        <v>170</v>
      </c>
      <c r="C1249" s="18" t="s">
        <v>20</v>
      </c>
      <c r="D1249" s="18" t="s">
        <v>2648</v>
      </c>
      <c r="E1249" s="19">
        <v>45946</v>
      </c>
      <c r="F1249" s="44" t="s">
        <v>123</v>
      </c>
      <c r="G1249" s="29" t="s">
        <v>2649</v>
      </c>
      <c r="H1249" s="56">
        <v>432565.21</v>
      </c>
      <c r="I1249" s="19">
        <v>45946</v>
      </c>
      <c r="J1249" s="36">
        <v>45955</v>
      </c>
      <c r="K1249" s="18">
        <v>444</v>
      </c>
      <c r="L1249" s="61">
        <v>444</v>
      </c>
      <c r="M1249" s="61">
        <v>37</v>
      </c>
      <c r="N1249" s="19">
        <v>45947</v>
      </c>
      <c r="O1249" s="18" t="s">
        <v>2339</v>
      </c>
      <c r="P1249" s="18" t="s">
        <v>1456</v>
      </c>
      <c r="Q1249" s="18" t="s">
        <v>2627</v>
      </c>
      <c r="R1249" s="18" t="s">
        <v>126</v>
      </c>
      <c r="S1249" s="18" t="s">
        <v>1623</v>
      </c>
      <c r="T1249" s="18" t="s">
        <v>804</v>
      </c>
      <c r="U1249" s="18"/>
      <c r="V1249" s="14"/>
    </row>
    <row r="1250" spans="1:22" x14ac:dyDescent="0.3">
      <c r="A1250" s="18">
        <v>1178</v>
      </c>
      <c r="B1250" s="18">
        <v>170</v>
      </c>
      <c r="C1250" s="18" t="s">
        <v>20</v>
      </c>
      <c r="D1250" s="18" t="s">
        <v>2650</v>
      </c>
      <c r="E1250" s="19">
        <v>45946</v>
      </c>
      <c r="F1250" s="25" t="s">
        <v>122</v>
      </c>
      <c r="G1250" s="29" t="s">
        <v>2651</v>
      </c>
      <c r="H1250" s="56">
        <v>374100.86</v>
      </c>
      <c r="I1250" s="19">
        <v>45946</v>
      </c>
      <c r="J1250" s="36">
        <v>45955</v>
      </c>
      <c r="K1250" s="18">
        <v>384</v>
      </c>
      <c r="L1250" s="61">
        <v>384</v>
      </c>
      <c r="M1250" s="61">
        <v>32</v>
      </c>
      <c r="N1250" s="19">
        <v>45947</v>
      </c>
      <c r="O1250" s="18" t="s">
        <v>2339</v>
      </c>
      <c r="P1250" s="18" t="s">
        <v>1456</v>
      </c>
      <c r="Q1250" s="18" t="s">
        <v>2627</v>
      </c>
      <c r="R1250" s="18" t="s">
        <v>126</v>
      </c>
      <c r="S1250" s="18" t="s">
        <v>1623</v>
      </c>
      <c r="T1250" s="18" t="s">
        <v>804</v>
      </c>
      <c r="U1250" s="18"/>
      <c r="V1250" s="14"/>
    </row>
    <row r="1251" spans="1:22" x14ac:dyDescent="0.3">
      <c r="A1251" s="18">
        <v>1178</v>
      </c>
      <c r="B1251" s="18">
        <v>170</v>
      </c>
      <c r="C1251" s="18" t="s">
        <v>20</v>
      </c>
      <c r="D1251" s="18" t="s">
        <v>2652</v>
      </c>
      <c r="E1251" s="19">
        <v>45946</v>
      </c>
      <c r="F1251" s="44" t="s">
        <v>28</v>
      </c>
      <c r="G1251" s="29" t="s">
        <v>2653</v>
      </c>
      <c r="H1251" s="56">
        <v>851521.09</v>
      </c>
      <c r="I1251" s="19">
        <v>45946</v>
      </c>
      <c r="J1251" s="36">
        <v>45955</v>
      </c>
      <c r="K1251" s="18">
        <v>876</v>
      </c>
      <c r="L1251" s="61">
        <v>876</v>
      </c>
      <c r="M1251" s="61">
        <v>73</v>
      </c>
      <c r="N1251" s="19">
        <v>45947</v>
      </c>
      <c r="O1251" s="18" t="s">
        <v>2350</v>
      </c>
      <c r="P1251" s="18" t="s">
        <v>1456</v>
      </c>
      <c r="Q1251" s="18" t="s">
        <v>2627</v>
      </c>
      <c r="R1251" s="18" t="s">
        <v>126</v>
      </c>
      <c r="S1251" s="18" t="s">
        <v>1623</v>
      </c>
      <c r="T1251" s="18" t="s">
        <v>804</v>
      </c>
      <c r="U1251" s="18"/>
      <c r="V1251" s="14"/>
    </row>
    <row r="1252" spans="1:22" x14ac:dyDescent="0.3">
      <c r="A1252" s="18">
        <v>1179</v>
      </c>
      <c r="B1252" s="18">
        <v>171</v>
      </c>
      <c r="C1252" s="18" t="s">
        <v>20</v>
      </c>
      <c r="D1252" s="18" t="s">
        <v>2654</v>
      </c>
      <c r="E1252" s="19">
        <v>45946</v>
      </c>
      <c r="F1252" s="44" t="s">
        <v>2494</v>
      </c>
      <c r="G1252" s="29" t="s">
        <v>2655</v>
      </c>
      <c r="H1252" s="56">
        <v>224861.77</v>
      </c>
      <c r="I1252" s="19">
        <v>45947</v>
      </c>
      <c r="J1252" s="36">
        <v>45955</v>
      </c>
      <c r="K1252" s="18">
        <v>228</v>
      </c>
      <c r="L1252" s="61">
        <v>228</v>
      </c>
      <c r="M1252" s="61">
        <v>19</v>
      </c>
      <c r="N1252" s="19">
        <v>45954</v>
      </c>
      <c r="O1252" s="18" t="s">
        <v>2350</v>
      </c>
      <c r="P1252" s="18" t="s">
        <v>1456</v>
      </c>
      <c r="Q1252" s="18" t="s">
        <v>141</v>
      </c>
      <c r="R1252" s="18" t="s">
        <v>102</v>
      </c>
      <c r="S1252" s="18" t="s">
        <v>1623</v>
      </c>
      <c r="T1252" s="18" t="s">
        <v>804</v>
      </c>
      <c r="U1252" s="14"/>
      <c r="V1252" s="14"/>
    </row>
    <row r="1253" spans="1:22" x14ac:dyDescent="0.3">
      <c r="A1253" s="18">
        <v>1179</v>
      </c>
      <c r="B1253" s="18">
        <v>171</v>
      </c>
      <c r="C1253" s="18" t="s">
        <v>20</v>
      </c>
      <c r="D1253" s="18" t="s">
        <v>2656</v>
      </c>
      <c r="E1253" s="19">
        <v>45946</v>
      </c>
      <c r="F1253" s="44" t="s">
        <v>2070</v>
      </c>
      <c r="G1253" s="29" t="s">
        <v>2657</v>
      </c>
      <c r="H1253" s="56">
        <v>105448.77</v>
      </c>
      <c r="I1253" s="19">
        <v>45947</v>
      </c>
      <c r="J1253" s="36">
        <v>45955</v>
      </c>
      <c r="K1253" s="18">
        <v>108</v>
      </c>
      <c r="L1253" s="61">
        <v>108</v>
      </c>
      <c r="M1253" s="61">
        <v>9</v>
      </c>
      <c r="N1253" s="19">
        <v>45954</v>
      </c>
      <c r="O1253" s="18" t="s">
        <v>2342</v>
      </c>
      <c r="P1253" s="18" t="s">
        <v>1456</v>
      </c>
      <c r="Q1253" s="18" t="s">
        <v>141</v>
      </c>
      <c r="R1253" s="18" t="s">
        <v>102</v>
      </c>
      <c r="S1253" s="18" t="s">
        <v>1623</v>
      </c>
      <c r="T1253" s="18" t="s">
        <v>804</v>
      </c>
      <c r="U1253" s="14"/>
      <c r="V1253" s="14"/>
    </row>
    <row r="1254" spans="1:22" x14ac:dyDescent="0.3">
      <c r="A1254" s="18">
        <v>1179</v>
      </c>
      <c r="B1254" s="18">
        <v>171</v>
      </c>
      <c r="C1254" s="18" t="s">
        <v>20</v>
      </c>
      <c r="D1254" s="18" t="s">
        <v>2658</v>
      </c>
      <c r="E1254" s="19">
        <v>45946</v>
      </c>
      <c r="F1254" s="44" t="s">
        <v>49</v>
      </c>
      <c r="G1254" s="29" t="s">
        <v>2659</v>
      </c>
      <c r="H1254" s="56">
        <v>59174.15</v>
      </c>
      <c r="I1254" s="19">
        <v>45947</v>
      </c>
      <c r="J1254" s="36">
        <v>45955</v>
      </c>
      <c r="K1254" s="18">
        <v>60</v>
      </c>
      <c r="L1254" s="61">
        <v>60</v>
      </c>
      <c r="M1254" s="61">
        <v>5</v>
      </c>
      <c r="N1254" s="19">
        <v>45954</v>
      </c>
      <c r="O1254" s="18" t="s">
        <v>2350</v>
      </c>
      <c r="P1254" s="18" t="s">
        <v>1456</v>
      </c>
      <c r="Q1254" s="18" t="s">
        <v>141</v>
      </c>
      <c r="R1254" s="18" t="s">
        <v>102</v>
      </c>
      <c r="S1254" s="18" t="s">
        <v>1623</v>
      </c>
      <c r="T1254" s="18" t="s">
        <v>804</v>
      </c>
      <c r="U1254" s="14"/>
      <c r="V1254" s="14"/>
    </row>
    <row r="1255" spans="1:22" x14ac:dyDescent="0.3">
      <c r="A1255" s="18">
        <v>1179</v>
      </c>
      <c r="B1255" s="18">
        <v>171</v>
      </c>
      <c r="C1255" s="18" t="s">
        <v>20</v>
      </c>
      <c r="D1255" s="18" t="s">
        <v>2660</v>
      </c>
      <c r="E1255" s="19">
        <v>45946</v>
      </c>
      <c r="F1255" s="44" t="s">
        <v>133</v>
      </c>
      <c r="G1255" s="29" t="s">
        <v>2661</v>
      </c>
      <c r="H1255" s="56">
        <v>118348.3</v>
      </c>
      <c r="I1255" s="19">
        <v>45947</v>
      </c>
      <c r="J1255" s="36">
        <v>45955</v>
      </c>
      <c r="K1255" s="18">
        <v>120</v>
      </c>
      <c r="L1255" s="61">
        <v>120</v>
      </c>
      <c r="M1255" s="61">
        <v>10</v>
      </c>
      <c r="N1255" s="19">
        <v>45954</v>
      </c>
      <c r="O1255" s="18" t="s">
        <v>21</v>
      </c>
      <c r="P1255" s="18" t="s">
        <v>1456</v>
      </c>
      <c r="Q1255" s="18" t="s">
        <v>141</v>
      </c>
      <c r="R1255" s="18" t="s">
        <v>102</v>
      </c>
      <c r="S1255" s="18" t="s">
        <v>1623</v>
      </c>
      <c r="T1255" s="18" t="s">
        <v>804</v>
      </c>
      <c r="U1255" s="14"/>
      <c r="V1255" s="14"/>
    </row>
    <row r="1256" spans="1:22" x14ac:dyDescent="0.3">
      <c r="A1256" s="18">
        <v>1179</v>
      </c>
      <c r="B1256" s="18">
        <v>171</v>
      </c>
      <c r="C1256" s="18" t="s">
        <v>20</v>
      </c>
      <c r="D1256" s="18" t="s">
        <v>2662</v>
      </c>
      <c r="E1256" s="19">
        <v>45946</v>
      </c>
      <c r="F1256" s="44" t="s">
        <v>118</v>
      </c>
      <c r="G1256" s="29" t="s">
        <v>2663</v>
      </c>
      <c r="H1256" s="56">
        <v>198352.91</v>
      </c>
      <c r="I1256" s="19">
        <v>45947</v>
      </c>
      <c r="J1256" s="36">
        <v>45955</v>
      </c>
      <c r="K1256" s="18">
        <v>204</v>
      </c>
      <c r="L1256" s="61">
        <v>204</v>
      </c>
      <c r="M1256" s="61">
        <v>17</v>
      </c>
      <c r="N1256" s="19">
        <v>45954</v>
      </c>
      <c r="O1256" s="18" t="s">
        <v>2343</v>
      </c>
      <c r="P1256" s="18" t="s">
        <v>1456</v>
      </c>
      <c r="Q1256" s="18" t="s">
        <v>141</v>
      </c>
      <c r="R1256" s="18" t="s">
        <v>102</v>
      </c>
      <c r="S1256" s="18" t="s">
        <v>1623</v>
      </c>
      <c r="T1256" s="18" t="s">
        <v>804</v>
      </c>
      <c r="U1256" s="14"/>
      <c r="V1256" s="14"/>
    </row>
    <row r="1257" spans="1:22" x14ac:dyDescent="0.3">
      <c r="A1257" s="18">
        <v>1179</v>
      </c>
      <c r="B1257" s="18">
        <v>171</v>
      </c>
      <c r="C1257" s="18" t="s">
        <v>20</v>
      </c>
      <c r="D1257" s="18" t="s">
        <v>2664</v>
      </c>
      <c r="E1257" s="19">
        <v>45946</v>
      </c>
      <c r="F1257" s="21" t="s">
        <v>47</v>
      </c>
      <c r="G1257" s="29" t="s">
        <v>2665</v>
      </c>
      <c r="H1257" s="56">
        <v>116573.8</v>
      </c>
      <c r="I1257" s="19">
        <v>45947</v>
      </c>
      <c r="J1257" s="36">
        <v>45955</v>
      </c>
      <c r="K1257" s="18">
        <v>120</v>
      </c>
      <c r="L1257" s="61">
        <v>120</v>
      </c>
      <c r="M1257" s="61">
        <v>10</v>
      </c>
      <c r="N1257" s="19">
        <v>45954</v>
      </c>
      <c r="O1257" s="18" t="s">
        <v>2403</v>
      </c>
      <c r="P1257" s="18" t="s">
        <v>1456</v>
      </c>
      <c r="Q1257" s="18" t="s">
        <v>141</v>
      </c>
      <c r="R1257" s="18" t="s">
        <v>102</v>
      </c>
      <c r="S1257" s="18" t="s">
        <v>1623</v>
      </c>
      <c r="T1257" s="18" t="s">
        <v>804</v>
      </c>
      <c r="U1257" s="14"/>
      <c r="V1257" s="14"/>
    </row>
    <row r="1258" spans="1:22" x14ac:dyDescent="0.3">
      <c r="A1258" s="18">
        <v>1179</v>
      </c>
      <c r="B1258" s="18">
        <v>171</v>
      </c>
      <c r="C1258" s="18" t="s">
        <v>20</v>
      </c>
      <c r="D1258" s="18" t="s">
        <v>2666</v>
      </c>
      <c r="E1258" s="19">
        <v>45946</v>
      </c>
      <c r="F1258" s="44" t="s">
        <v>117</v>
      </c>
      <c r="G1258" s="29" t="s">
        <v>2667</v>
      </c>
      <c r="H1258" s="56">
        <v>175038.15</v>
      </c>
      <c r="I1258" s="19">
        <v>45947</v>
      </c>
      <c r="J1258" s="36">
        <v>45955</v>
      </c>
      <c r="K1258" s="18">
        <v>180</v>
      </c>
      <c r="L1258" s="61">
        <v>180</v>
      </c>
      <c r="M1258" s="61">
        <v>15</v>
      </c>
      <c r="N1258" s="19">
        <v>45954</v>
      </c>
      <c r="O1258" s="18" t="s">
        <v>2343</v>
      </c>
      <c r="P1258" s="18" t="s">
        <v>1456</v>
      </c>
      <c r="Q1258" s="18" t="s">
        <v>141</v>
      </c>
      <c r="R1258" s="18" t="s">
        <v>102</v>
      </c>
      <c r="S1258" s="18" t="s">
        <v>1623</v>
      </c>
      <c r="T1258" s="18" t="s">
        <v>804</v>
      </c>
      <c r="U1258" s="14"/>
      <c r="V1258" s="14"/>
    </row>
    <row r="1259" spans="1:22" x14ac:dyDescent="0.3">
      <c r="A1259" s="18">
        <v>1179</v>
      </c>
      <c r="B1259" s="18">
        <v>171</v>
      </c>
      <c r="C1259" s="18" t="s">
        <v>20</v>
      </c>
      <c r="D1259" s="18" t="s">
        <v>2662</v>
      </c>
      <c r="E1259" s="19">
        <v>45946</v>
      </c>
      <c r="F1259" s="44" t="s">
        <v>41</v>
      </c>
      <c r="G1259" s="29" t="s">
        <v>2668</v>
      </c>
      <c r="H1259" s="56">
        <v>174683.25</v>
      </c>
      <c r="I1259" s="19">
        <v>45947</v>
      </c>
      <c r="J1259" s="36">
        <v>45955</v>
      </c>
      <c r="K1259" s="18">
        <v>180</v>
      </c>
      <c r="L1259" s="61">
        <v>180</v>
      </c>
      <c r="M1259" s="61">
        <v>15</v>
      </c>
      <c r="N1259" s="19">
        <v>45954</v>
      </c>
      <c r="O1259" s="18" t="s">
        <v>2669</v>
      </c>
      <c r="P1259" s="18" t="s">
        <v>1456</v>
      </c>
      <c r="Q1259" s="18" t="s">
        <v>141</v>
      </c>
      <c r="R1259" s="18" t="s">
        <v>102</v>
      </c>
      <c r="S1259" s="18" t="s">
        <v>1623</v>
      </c>
      <c r="T1259" s="18" t="s">
        <v>804</v>
      </c>
      <c r="U1259" s="14"/>
      <c r="V1259" s="14"/>
    </row>
    <row r="1260" spans="1:22" x14ac:dyDescent="0.3">
      <c r="A1260" s="18">
        <v>1179</v>
      </c>
      <c r="B1260" s="18">
        <v>171</v>
      </c>
      <c r="C1260" s="18" t="s">
        <v>20</v>
      </c>
      <c r="D1260" s="18" t="s">
        <v>2670</v>
      </c>
      <c r="E1260" s="19">
        <v>45946</v>
      </c>
      <c r="F1260" s="44" t="s">
        <v>2193</v>
      </c>
      <c r="G1260" s="29" t="s">
        <v>2671</v>
      </c>
      <c r="H1260" s="56">
        <v>281196.71999999997</v>
      </c>
      <c r="I1260" s="19">
        <v>45947</v>
      </c>
      <c r="J1260" s="36">
        <v>45955</v>
      </c>
      <c r="K1260" s="18">
        <v>288</v>
      </c>
      <c r="L1260" s="61">
        <v>288</v>
      </c>
      <c r="M1260" s="61">
        <v>24</v>
      </c>
      <c r="N1260" s="19">
        <v>45954</v>
      </c>
      <c r="O1260" s="18" t="s">
        <v>21</v>
      </c>
      <c r="P1260" s="18" t="s">
        <v>1456</v>
      </c>
      <c r="Q1260" s="18" t="s">
        <v>141</v>
      </c>
      <c r="R1260" s="18" t="s">
        <v>102</v>
      </c>
      <c r="S1260" s="18" t="s">
        <v>1623</v>
      </c>
      <c r="T1260" s="18" t="s">
        <v>804</v>
      </c>
      <c r="U1260" s="14"/>
      <c r="V1260" s="14"/>
    </row>
    <row r="1261" spans="1:22" x14ac:dyDescent="0.3">
      <c r="A1261" s="18">
        <v>1179</v>
      </c>
      <c r="B1261" s="18">
        <v>171</v>
      </c>
      <c r="C1261" s="18" t="s">
        <v>20</v>
      </c>
      <c r="D1261" s="18" t="s">
        <v>2673</v>
      </c>
      <c r="E1261" s="19">
        <v>45946</v>
      </c>
      <c r="F1261" s="44" t="s">
        <v>1207</v>
      </c>
      <c r="G1261" s="29" t="s">
        <v>2672</v>
      </c>
      <c r="H1261" s="56">
        <v>1233926.6100000001</v>
      </c>
      <c r="I1261" s="19">
        <v>45954</v>
      </c>
      <c r="J1261" s="36">
        <v>45955</v>
      </c>
      <c r="K1261" s="18">
        <v>1044</v>
      </c>
      <c r="L1261" s="61">
        <v>1044</v>
      </c>
      <c r="M1261" s="61">
        <v>87</v>
      </c>
      <c r="N1261" s="19">
        <v>45954</v>
      </c>
      <c r="O1261" s="18" t="s">
        <v>2350</v>
      </c>
      <c r="P1261" s="18" t="s">
        <v>1456</v>
      </c>
      <c r="Q1261" s="18" t="s">
        <v>141</v>
      </c>
      <c r="R1261" s="18" t="s">
        <v>102</v>
      </c>
      <c r="S1261" s="18" t="s">
        <v>1623</v>
      </c>
      <c r="T1261" s="18" t="s">
        <v>804</v>
      </c>
      <c r="U1261" s="14"/>
      <c r="V1261" s="14"/>
    </row>
    <row r="1262" spans="1:22" x14ac:dyDescent="0.3">
      <c r="A1262" s="18">
        <v>1179</v>
      </c>
      <c r="B1262" s="18">
        <v>171</v>
      </c>
      <c r="C1262" s="18" t="s">
        <v>20</v>
      </c>
      <c r="D1262" s="18" t="s">
        <v>2674</v>
      </c>
      <c r="E1262" s="19">
        <v>45946</v>
      </c>
      <c r="F1262" s="44" t="s">
        <v>35</v>
      </c>
      <c r="G1262" s="29" t="s">
        <v>2675</v>
      </c>
      <c r="H1262" s="56">
        <v>230744.03</v>
      </c>
      <c r="I1262" s="19">
        <v>45954</v>
      </c>
      <c r="J1262" s="36">
        <v>45955</v>
      </c>
      <c r="K1262" s="18">
        <v>204</v>
      </c>
      <c r="L1262" s="61">
        <v>204</v>
      </c>
      <c r="M1262" s="61">
        <v>17</v>
      </c>
      <c r="N1262" s="19">
        <v>45954</v>
      </c>
      <c r="O1262" s="18" t="s">
        <v>2396</v>
      </c>
      <c r="P1262" s="18" t="s">
        <v>1456</v>
      </c>
      <c r="Q1262" s="18" t="s">
        <v>141</v>
      </c>
      <c r="R1262" s="18" t="s">
        <v>102</v>
      </c>
      <c r="S1262" s="18" t="s">
        <v>1623</v>
      </c>
      <c r="T1262" s="18" t="s">
        <v>804</v>
      </c>
      <c r="U1262" s="14"/>
      <c r="V1262" s="14"/>
    </row>
    <row r="1263" spans="1:22" x14ac:dyDescent="0.3">
      <c r="A1263" s="18">
        <v>1179</v>
      </c>
      <c r="B1263" s="18">
        <v>171</v>
      </c>
      <c r="C1263" s="18" t="s">
        <v>20</v>
      </c>
      <c r="D1263" s="18" t="s">
        <v>2676</v>
      </c>
      <c r="E1263" s="19">
        <v>45946</v>
      </c>
      <c r="F1263" s="44" t="s">
        <v>2494</v>
      </c>
      <c r="G1263" s="29" t="s">
        <v>2677</v>
      </c>
      <c r="H1263" s="56">
        <v>35504.49</v>
      </c>
      <c r="I1263" s="19">
        <v>45954</v>
      </c>
      <c r="J1263" s="36">
        <v>45955</v>
      </c>
      <c r="K1263" s="18">
        <v>36</v>
      </c>
      <c r="L1263" s="61">
        <v>36</v>
      </c>
      <c r="M1263" s="61">
        <v>3</v>
      </c>
      <c r="N1263" s="19">
        <v>45954</v>
      </c>
      <c r="O1263" s="18" t="s">
        <v>2350</v>
      </c>
      <c r="P1263" s="18" t="s">
        <v>1456</v>
      </c>
      <c r="Q1263" s="18" t="s">
        <v>141</v>
      </c>
      <c r="R1263" s="18" t="s">
        <v>102</v>
      </c>
      <c r="S1263" s="18" t="s">
        <v>1623</v>
      </c>
      <c r="T1263" s="18" t="s">
        <v>804</v>
      </c>
      <c r="U1263" s="14"/>
      <c r="V1263" s="14"/>
    </row>
    <row r="1264" spans="1:22" x14ac:dyDescent="0.3">
      <c r="A1264" s="18">
        <v>1179</v>
      </c>
      <c r="B1264" s="18">
        <v>171</v>
      </c>
      <c r="C1264" s="18" t="s">
        <v>20</v>
      </c>
      <c r="D1264" s="18" t="s">
        <v>2678</v>
      </c>
      <c r="E1264" s="19">
        <v>45946</v>
      </c>
      <c r="F1264" s="44" t="s">
        <v>2208</v>
      </c>
      <c r="G1264" s="29" t="s">
        <v>2679</v>
      </c>
      <c r="H1264" s="56">
        <v>59174.15</v>
      </c>
      <c r="I1264" s="19">
        <v>45954</v>
      </c>
      <c r="J1264" s="36">
        <v>45955</v>
      </c>
      <c r="K1264" s="18">
        <v>60</v>
      </c>
      <c r="L1264" s="61">
        <v>60</v>
      </c>
      <c r="M1264" s="61">
        <v>5</v>
      </c>
      <c r="N1264" s="19">
        <v>45954</v>
      </c>
      <c r="O1264" s="18" t="s">
        <v>2350</v>
      </c>
      <c r="P1264" s="18" t="s">
        <v>1456</v>
      </c>
      <c r="Q1264" s="18" t="s">
        <v>141</v>
      </c>
      <c r="R1264" s="18" t="s">
        <v>102</v>
      </c>
      <c r="S1264" s="18" t="s">
        <v>1623</v>
      </c>
      <c r="T1264" s="18" t="s">
        <v>804</v>
      </c>
      <c r="U1264" s="14"/>
      <c r="V1264" s="14"/>
    </row>
    <row r="1265" spans="1:22" x14ac:dyDescent="0.3">
      <c r="A1265" s="18">
        <v>1179</v>
      </c>
      <c r="B1265" s="18">
        <v>171</v>
      </c>
      <c r="C1265" s="18" t="s">
        <v>20</v>
      </c>
      <c r="D1265" s="18" t="s">
        <v>2680</v>
      </c>
      <c r="E1265" s="19">
        <v>45946</v>
      </c>
      <c r="F1265" s="44" t="s">
        <v>84</v>
      </c>
      <c r="G1265" s="29" t="s">
        <v>2681</v>
      </c>
      <c r="H1265" s="56">
        <v>71008.98</v>
      </c>
      <c r="I1265" s="19">
        <v>45954</v>
      </c>
      <c r="J1265" s="36">
        <v>45955</v>
      </c>
      <c r="K1265" s="18">
        <v>72</v>
      </c>
      <c r="L1265" s="61">
        <v>72</v>
      </c>
      <c r="M1265" s="61">
        <v>6</v>
      </c>
      <c r="N1265" s="19">
        <v>45954</v>
      </c>
      <c r="O1265" s="18" t="s">
        <v>2308</v>
      </c>
      <c r="P1265" s="18" t="s">
        <v>1456</v>
      </c>
      <c r="Q1265" s="18" t="s">
        <v>141</v>
      </c>
      <c r="R1265" s="18" t="s">
        <v>102</v>
      </c>
      <c r="S1265" s="18" t="s">
        <v>1623</v>
      </c>
      <c r="T1265" s="18" t="s">
        <v>804</v>
      </c>
      <c r="U1265" s="14"/>
      <c r="V1265" s="14"/>
    </row>
    <row r="1266" spans="1:22" x14ac:dyDescent="0.3">
      <c r="A1266" s="18">
        <v>1180</v>
      </c>
      <c r="B1266" s="18">
        <v>172</v>
      </c>
      <c r="C1266" s="18" t="s">
        <v>20</v>
      </c>
      <c r="D1266" s="18" t="s">
        <v>2682</v>
      </c>
      <c r="E1266" s="19">
        <v>45957</v>
      </c>
      <c r="F1266" s="44" t="s">
        <v>2208</v>
      </c>
      <c r="G1266" s="29" t="s">
        <v>2683</v>
      </c>
      <c r="H1266" s="56">
        <v>833570.46</v>
      </c>
      <c r="I1266" s="19">
        <v>45957</v>
      </c>
      <c r="J1266" s="36">
        <v>45955</v>
      </c>
      <c r="K1266" s="18">
        <v>576</v>
      </c>
      <c r="L1266" s="61">
        <v>576</v>
      </c>
      <c r="M1266" s="61">
        <v>48</v>
      </c>
      <c r="N1266" s="19">
        <v>45957</v>
      </c>
      <c r="O1266" s="18" t="s">
        <v>2350</v>
      </c>
      <c r="P1266" s="18" t="s">
        <v>1456</v>
      </c>
      <c r="Q1266" s="18" t="s">
        <v>141</v>
      </c>
      <c r="R1266" s="18" t="s">
        <v>102</v>
      </c>
      <c r="S1266" s="18" t="s">
        <v>1623</v>
      </c>
      <c r="T1266" s="18" t="s">
        <v>804</v>
      </c>
      <c r="U1266" s="14"/>
      <c r="V1266" s="14"/>
    </row>
    <row r="1267" spans="1:22" x14ac:dyDescent="0.3">
      <c r="A1267" s="18">
        <v>1180</v>
      </c>
      <c r="B1267" s="18">
        <v>172</v>
      </c>
      <c r="C1267" s="18" t="s">
        <v>20</v>
      </c>
      <c r="D1267" s="18" t="s">
        <v>2684</v>
      </c>
      <c r="E1267" s="19">
        <v>45957</v>
      </c>
      <c r="F1267" s="44" t="s">
        <v>129</v>
      </c>
      <c r="G1267" s="29" t="s">
        <v>2685</v>
      </c>
      <c r="H1267" s="56">
        <v>1510493</v>
      </c>
      <c r="I1267" s="19">
        <v>45957</v>
      </c>
      <c r="J1267" s="36">
        <v>45955</v>
      </c>
      <c r="K1267" s="18">
        <v>804</v>
      </c>
      <c r="L1267" s="61">
        <v>804</v>
      </c>
      <c r="M1267" s="61">
        <v>67</v>
      </c>
      <c r="N1267" s="19">
        <v>45957</v>
      </c>
      <c r="O1267" s="18" t="s">
        <v>2353</v>
      </c>
      <c r="P1267" s="18" t="s">
        <v>1456</v>
      </c>
      <c r="Q1267" s="18" t="s">
        <v>141</v>
      </c>
      <c r="R1267" s="18" t="s">
        <v>102</v>
      </c>
      <c r="S1267" s="18" t="s">
        <v>1623</v>
      </c>
      <c r="T1267" s="18" t="s">
        <v>804</v>
      </c>
      <c r="U1267" s="14"/>
      <c r="V1267" s="14"/>
    </row>
    <row r="1268" spans="1:22" x14ac:dyDescent="0.3">
      <c r="A1268" s="18">
        <v>1180</v>
      </c>
      <c r="B1268" s="18">
        <v>172</v>
      </c>
      <c r="C1268" s="18" t="s">
        <v>20</v>
      </c>
      <c r="D1268" s="18" t="s">
        <v>2686</v>
      </c>
      <c r="E1268" s="19">
        <v>45957</v>
      </c>
      <c r="F1268" s="21" t="s">
        <v>53</v>
      </c>
      <c r="G1268" s="29" t="s">
        <v>2687</v>
      </c>
      <c r="H1268" s="56">
        <v>119458.55</v>
      </c>
      <c r="I1268" s="19">
        <v>45957</v>
      </c>
      <c r="J1268" s="36">
        <v>45955</v>
      </c>
      <c r="K1268" s="18">
        <v>84</v>
      </c>
      <c r="L1268" s="61">
        <v>84</v>
      </c>
      <c r="M1268" s="61">
        <v>7</v>
      </c>
      <c r="N1268" s="19">
        <v>45957</v>
      </c>
      <c r="O1268" s="18" t="s">
        <v>21</v>
      </c>
      <c r="P1268" s="18" t="s">
        <v>1456</v>
      </c>
      <c r="Q1268" s="18" t="s">
        <v>141</v>
      </c>
      <c r="R1268" s="18" t="s">
        <v>102</v>
      </c>
      <c r="S1268" s="18" t="s">
        <v>1623</v>
      </c>
      <c r="T1268" s="18" t="s">
        <v>804</v>
      </c>
      <c r="U1268" s="14"/>
      <c r="V1268" s="14"/>
    </row>
    <row r="1269" spans="1:22" x14ac:dyDescent="0.3">
      <c r="A1269" s="18">
        <v>1180</v>
      </c>
      <c r="B1269" s="18">
        <v>172</v>
      </c>
      <c r="C1269" s="18" t="s">
        <v>20</v>
      </c>
      <c r="D1269" s="18" t="s">
        <v>2688</v>
      </c>
      <c r="E1269" s="19">
        <v>45957</v>
      </c>
      <c r="F1269" s="21" t="s">
        <v>33</v>
      </c>
      <c r="G1269" s="29" t="s">
        <v>2689</v>
      </c>
      <c r="H1269" s="56">
        <v>170437.42</v>
      </c>
      <c r="I1269" s="19">
        <v>45957</v>
      </c>
      <c r="J1269" s="36">
        <v>45955</v>
      </c>
      <c r="K1269" s="18">
        <v>132</v>
      </c>
      <c r="L1269" s="61">
        <v>132</v>
      </c>
      <c r="M1269" s="61">
        <v>11</v>
      </c>
      <c r="N1269" s="19">
        <v>45957</v>
      </c>
      <c r="O1269" s="18" t="s">
        <v>2362</v>
      </c>
      <c r="P1269" s="18" t="s">
        <v>1456</v>
      </c>
      <c r="Q1269" s="18" t="s">
        <v>141</v>
      </c>
      <c r="R1269" s="18" t="s">
        <v>102</v>
      </c>
      <c r="S1269" s="18" t="s">
        <v>1623</v>
      </c>
      <c r="T1269" s="18" t="s">
        <v>804</v>
      </c>
      <c r="U1269" s="14"/>
      <c r="V1269" s="14"/>
    </row>
    <row r="1270" spans="1:22" x14ac:dyDescent="0.3">
      <c r="A1270" s="18">
        <v>1180</v>
      </c>
      <c r="B1270" s="18">
        <v>172</v>
      </c>
      <c r="C1270" s="18" t="s">
        <v>23</v>
      </c>
      <c r="D1270" s="18" t="s">
        <v>2690</v>
      </c>
      <c r="E1270" s="19">
        <v>45957</v>
      </c>
      <c r="F1270" s="21" t="s">
        <v>58</v>
      </c>
      <c r="G1270" s="29" t="s">
        <v>2691</v>
      </c>
      <c r="H1270" s="56">
        <v>137677.96</v>
      </c>
      <c r="I1270" s="19">
        <v>45957</v>
      </c>
      <c r="J1270" s="36">
        <v>45955</v>
      </c>
      <c r="K1270" s="18">
        <v>336</v>
      </c>
      <c r="L1270" s="61">
        <v>336</v>
      </c>
      <c r="M1270" s="61">
        <v>14</v>
      </c>
      <c r="N1270" s="19">
        <v>45957</v>
      </c>
      <c r="O1270" s="18" t="s">
        <v>2308</v>
      </c>
      <c r="P1270" s="18" t="s">
        <v>1456</v>
      </c>
      <c r="Q1270" s="18" t="s">
        <v>141</v>
      </c>
      <c r="R1270" s="18" t="s">
        <v>102</v>
      </c>
      <c r="S1270" s="18" t="s">
        <v>1623</v>
      </c>
      <c r="T1270" s="18" t="s">
        <v>804</v>
      </c>
      <c r="U1270" s="14"/>
      <c r="V1270" s="14"/>
    </row>
    <row r="1271" spans="1:22" x14ac:dyDescent="0.3">
      <c r="A1271" s="18">
        <v>1180</v>
      </c>
      <c r="B1271" s="18">
        <v>172</v>
      </c>
      <c r="C1271" s="18" t="s">
        <v>23</v>
      </c>
      <c r="D1271" s="18" t="s">
        <v>2692</v>
      </c>
      <c r="E1271" s="19">
        <v>45957</v>
      </c>
      <c r="F1271" s="44" t="s">
        <v>28</v>
      </c>
      <c r="G1271" s="29" t="s">
        <v>2693</v>
      </c>
      <c r="H1271" s="56">
        <v>90345.15</v>
      </c>
      <c r="I1271" s="19">
        <v>45957</v>
      </c>
      <c r="J1271" s="36">
        <v>45955</v>
      </c>
      <c r="K1271" s="18">
        <v>240</v>
      </c>
      <c r="L1271" s="61">
        <v>240</v>
      </c>
      <c r="M1271" s="61">
        <v>10</v>
      </c>
      <c r="N1271" s="19">
        <v>45957</v>
      </c>
      <c r="O1271" s="18" t="s">
        <v>2350</v>
      </c>
      <c r="P1271" s="18" t="s">
        <v>1456</v>
      </c>
      <c r="Q1271" s="18" t="s">
        <v>141</v>
      </c>
      <c r="R1271" s="18" t="s">
        <v>102</v>
      </c>
      <c r="S1271" s="18" t="s">
        <v>1623</v>
      </c>
      <c r="T1271" s="18" t="s">
        <v>804</v>
      </c>
      <c r="U1271" s="14"/>
      <c r="V1271" s="14"/>
    </row>
    <row r="1272" spans="1:22" x14ac:dyDescent="0.3">
      <c r="A1272" s="18">
        <v>1180</v>
      </c>
      <c r="B1272" s="18">
        <v>172</v>
      </c>
      <c r="C1272" s="18" t="s">
        <v>20</v>
      </c>
      <c r="D1272" s="18" t="s">
        <v>2694</v>
      </c>
      <c r="E1272" s="19">
        <v>45957</v>
      </c>
      <c r="F1272" s="44" t="s">
        <v>35</v>
      </c>
      <c r="G1272" s="29" t="s">
        <v>2695</v>
      </c>
      <c r="H1272" s="56">
        <v>270283.53000000003</v>
      </c>
      <c r="I1272" s="19">
        <v>45957</v>
      </c>
      <c r="J1272" s="36">
        <v>45955</v>
      </c>
      <c r="K1272" s="18">
        <v>180</v>
      </c>
      <c r="L1272" s="61">
        <v>180</v>
      </c>
      <c r="M1272" s="61">
        <v>15</v>
      </c>
      <c r="N1272" s="19">
        <v>45957</v>
      </c>
      <c r="O1272" s="18" t="s">
        <v>2396</v>
      </c>
      <c r="P1272" s="18" t="s">
        <v>1456</v>
      </c>
      <c r="Q1272" s="18" t="s">
        <v>141</v>
      </c>
      <c r="R1272" s="18" t="s">
        <v>102</v>
      </c>
      <c r="S1272" s="18" t="s">
        <v>1623</v>
      </c>
      <c r="T1272" s="18" t="s">
        <v>804</v>
      </c>
      <c r="U1272" s="14"/>
      <c r="V1272" s="14"/>
    </row>
    <row r="1273" spans="1:22" x14ac:dyDescent="0.3">
      <c r="A1273" s="18">
        <v>1180</v>
      </c>
      <c r="B1273" s="18">
        <v>172</v>
      </c>
      <c r="C1273" s="18" t="s">
        <v>20</v>
      </c>
      <c r="D1273" s="18" t="s">
        <v>2696</v>
      </c>
      <c r="E1273" s="19">
        <v>45957</v>
      </c>
      <c r="F1273" s="44" t="s">
        <v>28</v>
      </c>
      <c r="G1273" s="29" t="s">
        <v>2697</v>
      </c>
      <c r="H1273" s="56">
        <v>275856</v>
      </c>
      <c r="I1273" s="19">
        <v>45957</v>
      </c>
      <c r="J1273" s="36">
        <v>45955</v>
      </c>
      <c r="K1273" s="18">
        <v>168</v>
      </c>
      <c r="L1273" s="61">
        <v>168</v>
      </c>
      <c r="M1273" s="61">
        <v>14</v>
      </c>
      <c r="N1273" s="19">
        <v>45957</v>
      </c>
      <c r="O1273" s="18" t="s">
        <v>2350</v>
      </c>
      <c r="P1273" s="18" t="s">
        <v>1456</v>
      </c>
      <c r="Q1273" s="18" t="s">
        <v>141</v>
      </c>
      <c r="R1273" s="18" t="s">
        <v>102</v>
      </c>
      <c r="S1273" s="18" t="s">
        <v>1623</v>
      </c>
      <c r="T1273" s="18" t="s">
        <v>804</v>
      </c>
      <c r="U1273" s="14"/>
      <c r="V1273" s="14"/>
    </row>
    <row r="1274" spans="1:22" x14ac:dyDescent="0.3">
      <c r="A1274" s="18">
        <v>1180</v>
      </c>
      <c r="B1274" s="18">
        <v>172</v>
      </c>
      <c r="C1274" s="18" t="s">
        <v>23</v>
      </c>
      <c r="D1274" s="18" t="s">
        <v>2698</v>
      </c>
      <c r="E1274" s="19">
        <v>45957</v>
      </c>
      <c r="F1274" s="44" t="s">
        <v>35</v>
      </c>
      <c r="G1274" s="29" t="s">
        <v>2699</v>
      </c>
      <c r="H1274" s="56">
        <v>61442.04</v>
      </c>
      <c r="I1274" s="19">
        <v>45957</v>
      </c>
      <c r="J1274" s="36">
        <v>45955</v>
      </c>
      <c r="K1274" s="18">
        <v>192</v>
      </c>
      <c r="L1274" s="61">
        <v>192</v>
      </c>
      <c r="M1274" s="61">
        <v>8</v>
      </c>
      <c r="N1274" s="19">
        <v>45957</v>
      </c>
      <c r="O1274" s="18" t="s">
        <v>2396</v>
      </c>
      <c r="P1274" s="18" t="s">
        <v>1456</v>
      </c>
      <c r="Q1274" s="18" t="s">
        <v>141</v>
      </c>
      <c r="R1274" s="18" t="s">
        <v>102</v>
      </c>
      <c r="S1274" s="18" t="s">
        <v>1623</v>
      </c>
      <c r="T1274" s="18" t="s">
        <v>804</v>
      </c>
      <c r="U1274" s="14"/>
      <c r="V1274" s="14"/>
    </row>
    <row r="1275" spans="1:22" x14ac:dyDescent="0.3">
      <c r="A1275" s="18">
        <v>1180</v>
      </c>
      <c r="B1275" s="18">
        <v>172</v>
      </c>
      <c r="C1275" s="18" t="s">
        <v>20</v>
      </c>
      <c r="D1275" s="18" t="s">
        <v>2700</v>
      </c>
      <c r="E1275" s="19">
        <v>45957</v>
      </c>
      <c r="F1275" s="44" t="s">
        <v>64</v>
      </c>
      <c r="G1275" s="29" t="s">
        <v>2701</v>
      </c>
      <c r="H1275" s="56">
        <v>197040</v>
      </c>
      <c r="I1275" s="19">
        <v>45957</v>
      </c>
      <c r="J1275" s="36">
        <v>45955</v>
      </c>
      <c r="K1275" s="18">
        <v>120</v>
      </c>
      <c r="L1275" s="61">
        <v>120</v>
      </c>
      <c r="M1275" s="61">
        <v>10</v>
      </c>
      <c r="N1275" s="19">
        <v>45957</v>
      </c>
      <c r="O1275" s="18" t="s">
        <v>2344</v>
      </c>
      <c r="P1275" s="18" t="s">
        <v>1456</v>
      </c>
      <c r="Q1275" s="18" t="s">
        <v>141</v>
      </c>
      <c r="R1275" s="18" t="s">
        <v>102</v>
      </c>
      <c r="S1275" s="18" t="s">
        <v>1623</v>
      </c>
      <c r="T1275" s="18" t="s">
        <v>804</v>
      </c>
      <c r="U1275" s="14"/>
      <c r="V1275" s="14"/>
    </row>
    <row r="1276" spans="1:22" x14ac:dyDescent="0.3">
      <c r="A1276" s="18">
        <v>1181</v>
      </c>
      <c r="B1276" s="18">
        <v>173</v>
      </c>
      <c r="C1276" s="18" t="s">
        <v>20</v>
      </c>
      <c r="D1276" s="18" t="s">
        <v>2702</v>
      </c>
      <c r="E1276" s="19">
        <v>45958</v>
      </c>
      <c r="F1276" s="44" t="s">
        <v>129</v>
      </c>
      <c r="G1276" s="29" t="s">
        <v>2703</v>
      </c>
      <c r="H1276" s="56">
        <v>1176162</v>
      </c>
      <c r="I1276" s="19">
        <v>45958</v>
      </c>
      <c r="J1276" s="36">
        <v>45955</v>
      </c>
      <c r="K1276" s="18">
        <v>600</v>
      </c>
      <c r="L1276" s="61">
        <v>600</v>
      </c>
      <c r="M1276" s="61">
        <v>50</v>
      </c>
      <c r="N1276" s="19">
        <v>45958</v>
      </c>
      <c r="O1276" s="18" t="s">
        <v>2353</v>
      </c>
      <c r="P1276" s="18" t="s">
        <v>1456</v>
      </c>
      <c r="Q1276" s="18" t="s">
        <v>2704</v>
      </c>
      <c r="R1276" s="18" t="s">
        <v>102</v>
      </c>
      <c r="S1276" s="18" t="s">
        <v>1623</v>
      </c>
      <c r="T1276" s="18" t="s">
        <v>804</v>
      </c>
      <c r="U1276" s="14"/>
      <c r="V1276" s="14"/>
    </row>
    <row r="1277" spans="1:22" x14ac:dyDescent="0.3">
      <c r="A1277" s="18">
        <v>1181</v>
      </c>
      <c r="B1277" s="18">
        <v>173</v>
      </c>
      <c r="C1277" s="18" t="s">
        <v>20</v>
      </c>
      <c r="D1277" s="18" t="s">
        <v>2705</v>
      </c>
      <c r="E1277" s="19">
        <v>45958</v>
      </c>
      <c r="F1277" s="44" t="s">
        <v>1207</v>
      </c>
      <c r="G1277" s="29" t="s">
        <v>2706</v>
      </c>
      <c r="H1277" s="56">
        <v>197040</v>
      </c>
      <c r="I1277" s="19">
        <v>45958</v>
      </c>
      <c r="J1277" s="36">
        <v>45955</v>
      </c>
      <c r="K1277" s="18">
        <v>120</v>
      </c>
      <c r="L1277" s="61">
        <v>120</v>
      </c>
      <c r="M1277" s="61">
        <v>10</v>
      </c>
      <c r="N1277" s="19">
        <v>45958</v>
      </c>
      <c r="O1277" s="18" t="s">
        <v>2350</v>
      </c>
      <c r="P1277" s="18" t="s">
        <v>1456</v>
      </c>
      <c r="Q1277" s="18" t="s">
        <v>2704</v>
      </c>
      <c r="R1277" s="18" t="s">
        <v>102</v>
      </c>
      <c r="S1277" s="18" t="s">
        <v>1623</v>
      </c>
      <c r="T1277" s="18" t="s">
        <v>804</v>
      </c>
      <c r="U1277" s="14"/>
      <c r="V1277" s="14"/>
    </row>
    <row r="1278" spans="1:22" x14ac:dyDescent="0.3">
      <c r="A1278" s="18">
        <v>1181</v>
      </c>
      <c r="B1278" s="18">
        <v>173</v>
      </c>
      <c r="C1278" s="18" t="s">
        <v>20</v>
      </c>
      <c r="D1278" s="18" t="s">
        <v>2707</v>
      </c>
      <c r="E1278" s="19">
        <v>45958</v>
      </c>
      <c r="F1278" s="21" t="s">
        <v>47</v>
      </c>
      <c r="G1278" s="29" t="s">
        <v>2708</v>
      </c>
      <c r="H1278" s="56">
        <v>197040</v>
      </c>
      <c r="I1278" s="19">
        <v>45958</v>
      </c>
      <c r="J1278" s="36">
        <v>45955</v>
      </c>
      <c r="K1278" s="18">
        <v>120</v>
      </c>
      <c r="L1278" s="61">
        <v>120</v>
      </c>
      <c r="M1278" s="61">
        <v>10</v>
      </c>
      <c r="N1278" s="19">
        <v>45958</v>
      </c>
      <c r="O1278" s="18" t="s">
        <v>2403</v>
      </c>
      <c r="P1278" s="18" t="s">
        <v>1456</v>
      </c>
      <c r="Q1278" s="18" t="s">
        <v>2704</v>
      </c>
      <c r="R1278" s="18" t="s">
        <v>102</v>
      </c>
      <c r="S1278" s="18" t="s">
        <v>1623</v>
      </c>
      <c r="T1278" s="18" t="s">
        <v>804</v>
      </c>
      <c r="U1278" s="14"/>
      <c r="V1278" s="14"/>
    </row>
    <row r="1279" spans="1:22" x14ac:dyDescent="0.3">
      <c r="A1279" s="18">
        <v>1181</v>
      </c>
      <c r="B1279" s="18">
        <v>173</v>
      </c>
      <c r="C1279" s="18" t="s">
        <v>20</v>
      </c>
      <c r="D1279" s="18" t="s">
        <v>2709</v>
      </c>
      <c r="E1279" s="19">
        <v>45958</v>
      </c>
      <c r="F1279" s="44" t="s">
        <v>123</v>
      </c>
      <c r="G1279" s="29" t="s">
        <v>2710</v>
      </c>
      <c r="H1279" s="56">
        <v>78816</v>
      </c>
      <c r="I1279" s="19">
        <v>45958</v>
      </c>
      <c r="J1279" s="36">
        <v>45955</v>
      </c>
      <c r="K1279" s="18">
        <v>48</v>
      </c>
      <c r="L1279" s="61">
        <v>48</v>
      </c>
      <c r="M1279" s="61">
        <v>4</v>
      </c>
      <c r="N1279" s="19">
        <v>45958</v>
      </c>
      <c r="O1279" s="18" t="s">
        <v>2339</v>
      </c>
      <c r="P1279" s="18" t="s">
        <v>1456</v>
      </c>
      <c r="Q1279" s="18" t="s">
        <v>2704</v>
      </c>
      <c r="R1279" s="18" t="s">
        <v>102</v>
      </c>
      <c r="S1279" s="18" t="s">
        <v>1623</v>
      </c>
      <c r="T1279" s="18" t="s">
        <v>804</v>
      </c>
      <c r="U1279" s="14"/>
      <c r="V1279" s="14"/>
    </row>
    <row r="1280" spans="1:22" x14ac:dyDescent="0.3">
      <c r="A1280" s="18">
        <v>1181</v>
      </c>
      <c r="B1280" s="18">
        <v>173</v>
      </c>
      <c r="C1280" s="18" t="s">
        <v>20</v>
      </c>
      <c r="D1280" s="18" t="s">
        <v>2711</v>
      </c>
      <c r="E1280" s="19">
        <v>45958</v>
      </c>
      <c r="F1280" s="21" t="s">
        <v>33</v>
      </c>
      <c r="G1280" s="29" t="s">
        <v>2712</v>
      </c>
      <c r="H1280" s="56">
        <v>78816</v>
      </c>
      <c r="I1280" s="19">
        <v>45958</v>
      </c>
      <c r="J1280" s="36">
        <v>45955</v>
      </c>
      <c r="K1280" s="18">
        <v>48</v>
      </c>
      <c r="L1280" s="61">
        <v>48</v>
      </c>
      <c r="M1280" s="61">
        <v>4</v>
      </c>
      <c r="N1280" s="19">
        <v>45958</v>
      </c>
      <c r="O1280" s="18" t="s">
        <v>2362</v>
      </c>
      <c r="P1280" s="18" t="s">
        <v>1456</v>
      </c>
      <c r="Q1280" s="18" t="s">
        <v>2704</v>
      </c>
      <c r="R1280" s="18" t="s">
        <v>102</v>
      </c>
      <c r="S1280" s="18" t="s">
        <v>1623</v>
      </c>
      <c r="T1280" s="18" t="s">
        <v>804</v>
      </c>
      <c r="U1280" s="14"/>
      <c r="V1280" s="14"/>
    </row>
    <row r="1281" spans="1:22" x14ac:dyDescent="0.3">
      <c r="A1281" s="18">
        <v>1181</v>
      </c>
      <c r="B1281" s="18">
        <v>173</v>
      </c>
      <c r="C1281" s="18" t="s">
        <v>20</v>
      </c>
      <c r="D1281" s="18" t="s">
        <v>2713</v>
      </c>
      <c r="E1281" s="19">
        <v>45958</v>
      </c>
      <c r="F1281" s="44" t="s">
        <v>113</v>
      </c>
      <c r="G1281" s="29" t="s">
        <v>2714</v>
      </c>
      <c r="H1281" s="56">
        <v>78816</v>
      </c>
      <c r="I1281" s="19">
        <v>45958</v>
      </c>
      <c r="J1281" s="36">
        <v>45955</v>
      </c>
      <c r="K1281" s="18">
        <v>48</v>
      </c>
      <c r="L1281" s="61">
        <v>48</v>
      </c>
      <c r="M1281" s="61">
        <v>4</v>
      </c>
      <c r="N1281" s="19">
        <v>45958</v>
      </c>
      <c r="O1281" s="18" t="s">
        <v>2344</v>
      </c>
      <c r="P1281" s="18" t="s">
        <v>1456</v>
      </c>
      <c r="Q1281" s="18" t="s">
        <v>2704</v>
      </c>
      <c r="R1281" s="18" t="s">
        <v>102</v>
      </c>
      <c r="S1281" s="18" t="s">
        <v>1623</v>
      </c>
      <c r="T1281" s="18" t="s">
        <v>804</v>
      </c>
      <c r="U1281" s="14"/>
      <c r="V1281" s="14"/>
    </row>
    <row r="1282" spans="1:22" x14ac:dyDescent="0.3">
      <c r="A1282" s="18">
        <v>1181</v>
      </c>
      <c r="B1282" s="18">
        <v>173</v>
      </c>
      <c r="C1282" s="18" t="s">
        <v>20</v>
      </c>
      <c r="D1282" s="18" t="s">
        <v>2715</v>
      </c>
      <c r="E1282" s="19">
        <v>45958</v>
      </c>
      <c r="F1282" s="25" t="s">
        <v>122</v>
      </c>
      <c r="G1282" s="29" t="s">
        <v>2716</v>
      </c>
      <c r="H1282" s="56">
        <v>78816</v>
      </c>
      <c r="I1282" s="19">
        <v>45958</v>
      </c>
      <c r="J1282" s="36">
        <v>45955</v>
      </c>
      <c r="K1282" s="18">
        <v>48</v>
      </c>
      <c r="L1282" s="61">
        <v>48</v>
      </c>
      <c r="M1282" s="61">
        <v>4</v>
      </c>
      <c r="N1282" s="19">
        <v>45958</v>
      </c>
      <c r="O1282" s="18" t="s">
        <v>2339</v>
      </c>
      <c r="P1282" s="18" t="s">
        <v>1456</v>
      </c>
      <c r="Q1282" s="18" t="s">
        <v>2704</v>
      </c>
      <c r="R1282" s="18" t="s">
        <v>102</v>
      </c>
      <c r="S1282" s="18" t="s">
        <v>1623</v>
      </c>
      <c r="T1282" s="18" t="s">
        <v>804</v>
      </c>
      <c r="U1282" s="14"/>
      <c r="V1282" s="14"/>
    </row>
    <row r="1283" spans="1:22" x14ac:dyDescent="0.3">
      <c r="A1283" s="18">
        <v>1181</v>
      </c>
      <c r="B1283" s="18">
        <v>173</v>
      </c>
      <c r="C1283" s="18" t="s">
        <v>20</v>
      </c>
      <c r="D1283" s="18" t="s">
        <v>2717</v>
      </c>
      <c r="E1283" s="19">
        <v>45958</v>
      </c>
      <c r="F1283" s="44" t="s">
        <v>118</v>
      </c>
      <c r="G1283" s="29" t="s">
        <v>2718</v>
      </c>
      <c r="H1283" s="56">
        <v>75223.22</v>
      </c>
      <c r="I1283" s="19">
        <v>45958</v>
      </c>
      <c r="J1283" s="36">
        <v>45955</v>
      </c>
      <c r="K1283" s="18">
        <v>60</v>
      </c>
      <c r="L1283" s="61">
        <v>60</v>
      </c>
      <c r="M1283" s="61">
        <v>5</v>
      </c>
      <c r="N1283" s="19">
        <v>45958</v>
      </c>
      <c r="O1283" s="18" t="s">
        <v>2343</v>
      </c>
      <c r="P1283" s="18" t="s">
        <v>1456</v>
      </c>
      <c r="Q1283" s="18" t="s">
        <v>2704</v>
      </c>
      <c r="R1283" s="18" t="s">
        <v>102</v>
      </c>
      <c r="S1283" s="18" t="s">
        <v>1623</v>
      </c>
      <c r="T1283" s="18" t="s">
        <v>804</v>
      </c>
      <c r="U1283" s="14"/>
      <c r="V1283" s="14"/>
    </row>
    <row r="1284" spans="1:22" x14ac:dyDescent="0.3">
      <c r="A1284" s="18">
        <v>1181</v>
      </c>
      <c r="B1284" s="18">
        <v>173</v>
      </c>
      <c r="C1284" s="18" t="s">
        <v>23</v>
      </c>
      <c r="D1284" s="18" t="s">
        <v>2719</v>
      </c>
      <c r="E1284" s="19">
        <v>45958</v>
      </c>
      <c r="F1284" s="44" t="s">
        <v>35</v>
      </c>
      <c r="G1284" s="29" t="s">
        <v>2720</v>
      </c>
      <c r="H1284" s="56">
        <v>70309.72</v>
      </c>
      <c r="I1284" s="19">
        <v>45958</v>
      </c>
      <c r="J1284" s="36">
        <v>45955</v>
      </c>
      <c r="K1284" s="18">
        <v>192</v>
      </c>
      <c r="L1284" s="61">
        <v>192</v>
      </c>
      <c r="M1284" s="61">
        <v>8</v>
      </c>
      <c r="N1284" s="19">
        <v>45958</v>
      </c>
      <c r="O1284" s="18" t="s">
        <v>2396</v>
      </c>
      <c r="P1284" s="18" t="s">
        <v>1456</v>
      </c>
      <c r="Q1284" s="18" t="s">
        <v>2704</v>
      </c>
      <c r="R1284" s="18" t="s">
        <v>102</v>
      </c>
      <c r="S1284" s="18" t="s">
        <v>1623</v>
      </c>
      <c r="T1284" s="18" t="s">
        <v>804</v>
      </c>
      <c r="U1284" s="14"/>
      <c r="V1284" s="14"/>
    </row>
    <row r="1285" spans="1:22" x14ac:dyDescent="0.3">
      <c r="A1285" s="18">
        <v>1181</v>
      </c>
      <c r="B1285" s="18">
        <v>173</v>
      </c>
      <c r="C1285" s="18" t="s">
        <v>20</v>
      </c>
      <c r="D1285" s="18" t="s">
        <v>2721</v>
      </c>
      <c r="E1285" s="19">
        <v>45958</v>
      </c>
      <c r="F1285" s="44" t="s">
        <v>1207</v>
      </c>
      <c r="G1285" s="29" t="s">
        <v>2722</v>
      </c>
      <c r="H1285" s="56">
        <v>717060.41</v>
      </c>
      <c r="I1285" s="19">
        <v>45958</v>
      </c>
      <c r="J1285" s="36">
        <v>45955</v>
      </c>
      <c r="K1285" s="18">
        <v>492</v>
      </c>
      <c r="L1285" s="61">
        <v>492</v>
      </c>
      <c r="M1285" s="61">
        <v>41</v>
      </c>
      <c r="N1285" s="19">
        <v>45958</v>
      </c>
      <c r="O1285" s="18" t="s">
        <v>2350</v>
      </c>
      <c r="P1285" s="18" t="s">
        <v>1456</v>
      </c>
      <c r="Q1285" s="18" t="s">
        <v>2704</v>
      </c>
      <c r="R1285" s="18" t="s">
        <v>102</v>
      </c>
      <c r="S1285" s="18" t="s">
        <v>1623</v>
      </c>
      <c r="T1285" s="18" t="s">
        <v>804</v>
      </c>
      <c r="U1285" s="14"/>
      <c r="V1285" s="14"/>
    </row>
    <row r="1286" spans="1:22" x14ac:dyDescent="0.3">
      <c r="A1286" s="18">
        <v>1181</v>
      </c>
      <c r="B1286" s="18">
        <v>173</v>
      </c>
      <c r="C1286" s="18" t="s">
        <v>20</v>
      </c>
      <c r="D1286" s="18" t="s">
        <v>2723</v>
      </c>
      <c r="E1286" s="19">
        <v>45958</v>
      </c>
      <c r="F1286" s="44" t="s">
        <v>1207</v>
      </c>
      <c r="G1286" s="29" t="s">
        <v>2724</v>
      </c>
      <c r="H1286" s="56">
        <v>525115.74</v>
      </c>
      <c r="I1286" s="19">
        <v>45958</v>
      </c>
      <c r="J1286" s="36">
        <v>45955</v>
      </c>
      <c r="K1286" s="18">
        <v>396</v>
      </c>
      <c r="L1286" s="61">
        <v>396</v>
      </c>
      <c r="M1286" s="61">
        <v>33</v>
      </c>
      <c r="N1286" s="19">
        <v>45958</v>
      </c>
      <c r="O1286" s="18" t="s">
        <v>2350</v>
      </c>
      <c r="P1286" s="18" t="s">
        <v>1456</v>
      </c>
      <c r="Q1286" s="18" t="s">
        <v>2704</v>
      </c>
      <c r="R1286" s="18" t="s">
        <v>102</v>
      </c>
      <c r="S1286" s="18" t="s">
        <v>1623</v>
      </c>
      <c r="T1286" s="18" t="s">
        <v>804</v>
      </c>
      <c r="U1286" s="14"/>
      <c r="V1286" s="14"/>
    </row>
    <row r="1287" spans="1:22" x14ac:dyDescent="0.3">
      <c r="A1287" s="18">
        <v>1182</v>
      </c>
      <c r="B1287" s="18">
        <v>174</v>
      </c>
      <c r="C1287" s="18" t="s">
        <v>20</v>
      </c>
      <c r="D1287" s="18" t="s">
        <v>2725</v>
      </c>
      <c r="E1287" s="19">
        <v>45959</v>
      </c>
      <c r="F1287" s="44" t="s">
        <v>129</v>
      </c>
      <c r="G1287" s="29" t="s">
        <v>2726</v>
      </c>
      <c r="H1287" s="56">
        <v>1167120</v>
      </c>
      <c r="I1287" s="19">
        <v>45959</v>
      </c>
      <c r="J1287" s="36">
        <v>45955</v>
      </c>
      <c r="K1287" s="18">
        <v>576</v>
      </c>
      <c r="L1287" s="61">
        <v>576</v>
      </c>
      <c r="M1287" s="61">
        <v>48</v>
      </c>
      <c r="N1287" s="19">
        <v>45959</v>
      </c>
      <c r="O1287" s="18" t="s">
        <v>2353</v>
      </c>
      <c r="P1287" s="18" t="s">
        <v>1456</v>
      </c>
      <c r="Q1287" s="18" t="s">
        <v>141</v>
      </c>
      <c r="R1287" s="18" t="s">
        <v>102</v>
      </c>
      <c r="S1287" s="18" t="s">
        <v>1623</v>
      </c>
      <c r="T1287" s="18" t="s">
        <v>804</v>
      </c>
      <c r="U1287" s="14"/>
      <c r="V1287" s="14"/>
    </row>
    <row r="1288" spans="1:22" x14ac:dyDescent="0.3">
      <c r="A1288" s="18">
        <v>1182</v>
      </c>
      <c r="B1288" s="18">
        <v>174</v>
      </c>
      <c r="C1288" s="18" t="s">
        <v>20</v>
      </c>
      <c r="D1288" s="18" t="s">
        <v>2727</v>
      </c>
      <c r="E1288" s="19">
        <v>45959</v>
      </c>
      <c r="F1288" s="44" t="s">
        <v>2208</v>
      </c>
      <c r="G1288" s="29" t="s">
        <v>2728</v>
      </c>
      <c r="H1288" s="56">
        <v>133592.24</v>
      </c>
      <c r="I1288" s="19">
        <v>45959</v>
      </c>
      <c r="J1288" s="36">
        <v>45955</v>
      </c>
      <c r="K1288" s="18">
        <v>96</v>
      </c>
      <c r="L1288" s="61">
        <v>96</v>
      </c>
      <c r="M1288" s="61">
        <v>8</v>
      </c>
      <c r="N1288" s="19">
        <v>45959</v>
      </c>
      <c r="O1288" s="18" t="s">
        <v>2350</v>
      </c>
      <c r="P1288" s="18" t="s">
        <v>1456</v>
      </c>
      <c r="Q1288" s="18" t="s">
        <v>141</v>
      </c>
      <c r="R1288" s="18" t="s">
        <v>102</v>
      </c>
      <c r="S1288" s="18" t="s">
        <v>1623</v>
      </c>
      <c r="T1288" s="18" t="s">
        <v>804</v>
      </c>
      <c r="U1288" s="14"/>
      <c r="V1288" s="14"/>
    </row>
    <row r="1289" spans="1:22" x14ac:dyDescent="0.3">
      <c r="A1289" s="18">
        <v>1182</v>
      </c>
      <c r="B1289" s="18">
        <v>174</v>
      </c>
      <c r="C1289" s="18" t="s">
        <v>20</v>
      </c>
      <c r="D1289" s="18" t="s">
        <v>2729</v>
      </c>
      <c r="E1289" s="19">
        <v>45959</v>
      </c>
      <c r="F1289" s="21" t="s">
        <v>33</v>
      </c>
      <c r="G1289" s="29" t="s">
        <v>2730</v>
      </c>
      <c r="H1289" s="56">
        <v>118665.62</v>
      </c>
      <c r="I1289" s="19">
        <v>45959</v>
      </c>
      <c r="J1289" s="36">
        <v>45955</v>
      </c>
      <c r="K1289" s="18">
        <v>96</v>
      </c>
      <c r="L1289" s="61">
        <v>96</v>
      </c>
      <c r="M1289" s="61">
        <v>8</v>
      </c>
      <c r="N1289" s="19">
        <v>45959</v>
      </c>
      <c r="O1289" s="18" t="s">
        <v>2362</v>
      </c>
      <c r="P1289" s="18" t="s">
        <v>1456</v>
      </c>
      <c r="Q1289" s="18" t="s">
        <v>141</v>
      </c>
      <c r="R1289" s="18" t="s">
        <v>102</v>
      </c>
      <c r="S1289" s="18" t="s">
        <v>1623</v>
      </c>
      <c r="T1289" s="18" t="s">
        <v>804</v>
      </c>
      <c r="U1289" s="14"/>
      <c r="V1289" s="14"/>
    </row>
    <row r="1290" spans="1:22" x14ac:dyDescent="0.3">
      <c r="A1290" s="18">
        <v>1182</v>
      </c>
      <c r="B1290" s="18">
        <v>174</v>
      </c>
      <c r="C1290" s="18" t="s">
        <v>20</v>
      </c>
      <c r="D1290" s="18" t="s">
        <v>2731</v>
      </c>
      <c r="E1290" s="19">
        <v>45959</v>
      </c>
      <c r="F1290" s="44" t="s">
        <v>118</v>
      </c>
      <c r="G1290" s="29" t="s">
        <v>2732</v>
      </c>
      <c r="H1290" s="56">
        <v>50097.09</v>
      </c>
      <c r="I1290" s="19">
        <v>45959</v>
      </c>
      <c r="J1290" s="36">
        <v>45955</v>
      </c>
      <c r="K1290" s="18">
        <v>36</v>
      </c>
      <c r="L1290" s="61">
        <v>36</v>
      </c>
      <c r="M1290" s="61">
        <v>3</v>
      </c>
      <c r="N1290" s="19">
        <v>45959</v>
      </c>
      <c r="O1290" s="18" t="s">
        <v>2343</v>
      </c>
      <c r="P1290" s="18" t="s">
        <v>1456</v>
      </c>
      <c r="Q1290" s="18" t="s">
        <v>141</v>
      </c>
      <c r="R1290" s="18" t="s">
        <v>102</v>
      </c>
      <c r="S1290" s="18" t="s">
        <v>1623</v>
      </c>
      <c r="T1290" s="18" t="s">
        <v>804</v>
      </c>
      <c r="U1290" s="14"/>
      <c r="V1290" s="14"/>
    </row>
    <row r="1291" spans="1:22" x14ac:dyDescent="0.3">
      <c r="A1291" s="18">
        <v>1182</v>
      </c>
      <c r="B1291" s="18">
        <v>174</v>
      </c>
      <c r="C1291" s="18" t="s">
        <v>20</v>
      </c>
      <c r="D1291" s="18" t="s">
        <v>2733</v>
      </c>
      <c r="E1291" s="19">
        <v>45959</v>
      </c>
      <c r="F1291" s="44" t="s">
        <v>2193</v>
      </c>
      <c r="G1291" s="29" t="s">
        <v>2734</v>
      </c>
      <c r="H1291" s="56">
        <v>59865.16</v>
      </c>
      <c r="I1291" s="19">
        <v>45959</v>
      </c>
      <c r="J1291" s="36">
        <v>45955</v>
      </c>
      <c r="K1291" s="18">
        <v>48</v>
      </c>
      <c r="L1291" s="61">
        <v>48</v>
      </c>
      <c r="M1291" s="61">
        <v>4</v>
      </c>
      <c r="N1291" s="19">
        <v>45959</v>
      </c>
      <c r="O1291" s="18" t="s">
        <v>21</v>
      </c>
      <c r="P1291" s="18" t="s">
        <v>1456</v>
      </c>
      <c r="Q1291" s="18" t="s">
        <v>141</v>
      </c>
      <c r="R1291" s="18" t="s">
        <v>102</v>
      </c>
      <c r="S1291" s="18" t="s">
        <v>1623</v>
      </c>
      <c r="T1291" s="18" t="s">
        <v>804</v>
      </c>
      <c r="U1291" s="14"/>
      <c r="V1291" s="14"/>
    </row>
    <row r="1292" spans="1:22" x14ac:dyDescent="0.3">
      <c r="A1292" s="18">
        <v>1182</v>
      </c>
      <c r="B1292" s="18">
        <v>174</v>
      </c>
      <c r="C1292" s="18" t="s">
        <v>20</v>
      </c>
      <c r="D1292" s="18" t="s">
        <v>2735</v>
      </c>
      <c r="E1292" s="19">
        <v>45959</v>
      </c>
      <c r="F1292" s="44" t="s">
        <v>2315</v>
      </c>
      <c r="G1292" s="29" t="s">
        <v>2736</v>
      </c>
      <c r="H1292" s="56">
        <v>33398.06</v>
      </c>
      <c r="I1292" s="19">
        <v>45959</v>
      </c>
      <c r="J1292" s="36">
        <v>45955</v>
      </c>
      <c r="K1292" s="18">
        <v>24</v>
      </c>
      <c r="L1292" s="61">
        <v>24</v>
      </c>
      <c r="M1292" s="61">
        <v>2</v>
      </c>
      <c r="N1292" s="19">
        <v>45959</v>
      </c>
      <c r="O1292" s="18" t="s">
        <v>2344</v>
      </c>
      <c r="P1292" s="18" t="s">
        <v>1456</v>
      </c>
      <c r="Q1292" s="18" t="s">
        <v>141</v>
      </c>
      <c r="R1292" s="18" t="s">
        <v>102</v>
      </c>
      <c r="S1292" s="18" t="s">
        <v>1623</v>
      </c>
      <c r="T1292" s="18" t="s">
        <v>804</v>
      </c>
      <c r="U1292" s="14"/>
      <c r="V1292" s="14"/>
    </row>
    <row r="1293" spans="1:22" x14ac:dyDescent="0.3">
      <c r="A1293" s="18">
        <v>1182</v>
      </c>
      <c r="B1293" s="18">
        <v>174</v>
      </c>
      <c r="C1293" s="18" t="s">
        <v>20</v>
      </c>
      <c r="D1293" s="18" t="s">
        <v>2737</v>
      </c>
      <c r="E1293" s="19">
        <v>45959</v>
      </c>
      <c r="F1293" s="44" t="s">
        <v>2193</v>
      </c>
      <c r="G1293" s="29" t="s">
        <v>2738</v>
      </c>
      <c r="H1293" s="56">
        <v>100194.18</v>
      </c>
      <c r="I1293" s="19">
        <v>45959</v>
      </c>
      <c r="J1293" s="36">
        <v>45955</v>
      </c>
      <c r="K1293" s="18">
        <v>72</v>
      </c>
      <c r="L1293" s="61">
        <v>72</v>
      </c>
      <c r="M1293" s="61">
        <v>6</v>
      </c>
      <c r="N1293" s="19">
        <v>45959</v>
      </c>
      <c r="O1293" s="18" t="s">
        <v>21</v>
      </c>
      <c r="P1293" s="18" t="s">
        <v>1456</v>
      </c>
      <c r="Q1293" s="18" t="s">
        <v>141</v>
      </c>
      <c r="R1293" s="18" t="s">
        <v>102</v>
      </c>
      <c r="S1293" s="18" t="s">
        <v>1623</v>
      </c>
      <c r="T1293" s="18" t="s">
        <v>804</v>
      </c>
      <c r="U1293" s="14"/>
      <c r="V1293" s="14"/>
    </row>
    <row r="1294" spans="1:22" x14ac:dyDescent="0.3">
      <c r="A1294" s="18">
        <v>1182</v>
      </c>
      <c r="B1294" s="18">
        <v>174</v>
      </c>
      <c r="C1294" s="18" t="s">
        <v>20</v>
      </c>
      <c r="D1294" s="18" t="s">
        <v>2739</v>
      </c>
      <c r="E1294" s="19">
        <v>45959</v>
      </c>
      <c r="F1294" s="44" t="s">
        <v>1207</v>
      </c>
      <c r="G1294" s="29" t="s">
        <v>2740</v>
      </c>
      <c r="H1294" s="56">
        <v>438345.88</v>
      </c>
      <c r="I1294" s="19">
        <v>45959</v>
      </c>
      <c r="J1294" s="36">
        <v>45955</v>
      </c>
      <c r="K1294" s="18">
        <v>336</v>
      </c>
      <c r="L1294" s="61">
        <v>336</v>
      </c>
      <c r="M1294" s="61">
        <v>28</v>
      </c>
      <c r="N1294" s="19">
        <v>45959</v>
      </c>
      <c r="O1294" s="18" t="s">
        <v>2350</v>
      </c>
      <c r="P1294" s="18" t="s">
        <v>1456</v>
      </c>
      <c r="Q1294" s="18" t="s">
        <v>141</v>
      </c>
      <c r="R1294" s="18" t="s">
        <v>102</v>
      </c>
      <c r="S1294" s="18" t="s">
        <v>1623</v>
      </c>
      <c r="T1294" s="18" t="s">
        <v>804</v>
      </c>
      <c r="U1294" s="14"/>
      <c r="V1294" s="14"/>
    </row>
    <row r="1295" spans="1:22" x14ac:dyDescent="0.3">
      <c r="A1295" s="18">
        <v>1182</v>
      </c>
      <c r="B1295" s="18">
        <v>174</v>
      </c>
      <c r="C1295" s="18" t="s">
        <v>20</v>
      </c>
      <c r="D1295" s="18" t="s">
        <v>2741</v>
      </c>
      <c r="E1295" s="19">
        <v>45959</v>
      </c>
      <c r="F1295" s="44" t="s">
        <v>35</v>
      </c>
      <c r="G1295" s="29" t="s">
        <v>2742</v>
      </c>
      <c r="H1295" s="56">
        <v>38086.080000000002</v>
      </c>
      <c r="I1295" s="19">
        <v>45959</v>
      </c>
      <c r="J1295" s="36">
        <v>45955</v>
      </c>
      <c r="K1295" s="18">
        <v>144</v>
      </c>
      <c r="L1295" s="61">
        <v>144</v>
      </c>
      <c r="M1295" s="61">
        <v>6</v>
      </c>
      <c r="N1295" s="19">
        <v>45959</v>
      </c>
      <c r="O1295" s="18" t="s">
        <v>2396</v>
      </c>
      <c r="P1295" s="18" t="s">
        <v>1456</v>
      </c>
      <c r="Q1295" s="18" t="s">
        <v>141</v>
      </c>
      <c r="R1295" s="18" t="s">
        <v>102</v>
      </c>
      <c r="S1295" s="18" t="s">
        <v>1623</v>
      </c>
      <c r="T1295" s="18" t="s">
        <v>804</v>
      </c>
      <c r="U1295" s="14"/>
      <c r="V1295" s="14"/>
    </row>
    <row r="1296" spans="1:22" x14ac:dyDescent="0.3">
      <c r="A1296" s="18">
        <v>1182</v>
      </c>
      <c r="B1296" s="18">
        <v>174</v>
      </c>
      <c r="C1296" s="18" t="s">
        <v>20</v>
      </c>
      <c r="D1296" s="18" t="s">
        <v>2743</v>
      </c>
      <c r="E1296" s="19">
        <v>45959</v>
      </c>
      <c r="F1296" s="21" t="s">
        <v>58</v>
      </c>
      <c r="G1296" s="29" t="s">
        <v>2744</v>
      </c>
      <c r="H1296" s="56">
        <v>156552.1</v>
      </c>
      <c r="I1296" s="19">
        <v>45959</v>
      </c>
      <c r="J1296" s="36">
        <v>45955</v>
      </c>
      <c r="K1296" s="18">
        <v>120</v>
      </c>
      <c r="L1296" s="61">
        <v>120</v>
      </c>
      <c r="M1296" s="61">
        <v>10</v>
      </c>
      <c r="N1296" s="19">
        <v>45959</v>
      </c>
      <c r="O1296" s="18" t="s">
        <v>2308</v>
      </c>
      <c r="P1296" s="18" t="s">
        <v>1456</v>
      </c>
      <c r="Q1296" s="18" t="s">
        <v>141</v>
      </c>
      <c r="R1296" s="18" t="s">
        <v>102</v>
      </c>
      <c r="S1296" s="18" t="s">
        <v>1623</v>
      </c>
      <c r="T1296" s="18" t="s">
        <v>804</v>
      </c>
      <c r="U1296" s="14"/>
      <c r="V1296" s="14"/>
    </row>
    <row r="1297" spans="1:22" x14ac:dyDescent="0.3">
      <c r="A1297" s="18">
        <v>1182</v>
      </c>
      <c r="B1297" s="18">
        <v>174</v>
      </c>
      <c r="C1297" s="18" t="s">
        <v>20</v>
      </c>
      <c r="D1297" s="18" t="s">
        <v>2745</v>
      </c>
      <c r="E1297" s="19">
        <v>45959</v>
      </c>
      <c r="F1297" s="44" t="s">
        <v>2208</v>
      </c>
      <c r="G1297" s="29" t="s">
        <v>2746</v>
      </c>
      <c r="H1297" s="56">
        <v>78276.05</v>
      </c>
      <c r="I1297" s="19">
        <v>45959</v>
      </c>
      <c r="J1297" s="36">
        <v>45955</v>
      </c>
      <c r="K1297" s="18">
        <v>60</v>
      </c>
      <c r="L1297" s="61">
        <v>60</v>
      </c>
      <c r="M1297" s="61">
        <v>5</v>
      </c>
      <c r="N1297" s="19">
        <v>45959</v>
      </c>
      <c r="O1297" s="18" t="s">
        <v>2350</v>
      </c>
      <c r="P1297" s="18" t="s">
        <v>1456</v>
      </c>
      <c r="Q1297" s="18" t="s">
        <v>141</v>
      </c>
      <c r="R1297" s="18" t="s">
        <v>102</v>
      </c>
      <c r="S1297" s="18" t="s">
        <v>1623</v>
      </c>
      <c r="T1297" s="18" t="s">
        <v>804</v>
      </c>
      <c r="U1297" s="14"/>
      <c r="V1297" s="14"/>
    </row>
    <row r="1298" spans="1:22" x14ac:dyDescent="0.3">
      <c r="A1298" s="18">
        <v>1182</v>
      </c>
      <c r="B1298" s="18">
        <v>174</v>
      </c>
      <c r="C1298" s="18" t="s">
        <v>20</v>
      </c>
      <c r="D1298" s="18" t="s">
        <v>2747</v>
      </c>
      <c r="E1298" s="19">
        <v>45959</v>
      </c>
      <c r="F1298" s="44" t="s">
        <v>41</v>
      </c>
      <c r="G1298" s="29" t="s">
        <v>2748</v>
      </c>
      <c r="H1298" s="56">
        <v>93931.26</v>
      </c>
      <c r="I1298" s="19">
        <v>45959</v>
      </c>
      <c r="J1298" s="36">
        <v>45955</v>
      </c>
      <c r="K1298" s="18">
        <v>72</v>
      </c>
      <c r="L1298" s="61">
        <v>72</v>
      </c>
      <c r="M1298" s="61">
        <v>6</v>
      </c>
      <c r="N1298" s="19">
        <v>45959</v>
      </c>
      <c r="O1298" s="18" t="s">
        <v>2669</v>
      </c>
      <c r="P1298" s="18" t="s">
        <v>1456</v>
      </c>
      <c r="Q1298" s="18" t="s">
        <v>141</v>
      </c>
      <c r="R1298" s="18" t="s">
        <v>102</v>
      </c>
      <c r="S1298" s="18" t="s">
        <v>1623</v>
      </c>
      <c r="T1298" s="18" t="s">
        <v>804</v>
      </c>
      <c r="U1298" s="14"/>
      <c r="V1298" s="14"/>
    </row>
    <row r="1299" spans="1:22" x14ac:dyDescent="0.3">
      <c r="A1299" s="18">
        <v>1182</v>
      </c>
      <c r="B1299" s="18">
        <v>174</v>
      </c>
      <c r="C1299" s="18" t="s">
        <v>20</v>
      </c>
      <c r="D1299" s="18" t="s">
        <v>2749</v>
      </c>
      <c r="E1299" s="19">
        <v>45959</v>
      </c>
      <c r="F1299" s="44" t="s">
        <v>64</v>
      </c>
      <c r="G1299" s="29" t="s">
        <v>2750</v>
      </c>
      <c r="H1299" s="56">
        <v>1180616.6499999999</v>
      </c>
      <c r="I1299" s="19">
        <v>45959</v>
      </c>
      <c r="J1299" s="36">
        <v>45955</v>
      </c>
      <c r="K1299" s="18">
        <v>876</v>
      </c>
      <c r="L1299" s="61">
        <v>876</v>
      </c>
      <c r="M1299" s="61">
        <v>73</v>
      </c>
      <c r="N1299" s="19">
        <v>45959</v>
      </c>
      <c r="O1299" s="18" t="s">
        <v>2344</v>
      </c>
      <c r="P1299" s="18" t="s">
        <v>1456</v>
      </c>
      <c r="Q1299" s="18" t="s">
        <v>141</v>
      </c>
      <c r="R1299" s="18" t="s">
        <v>102</v>
      </c>
      <c r="S1299" s="18" t="s">
        <v>1623</v>
      </c>
      <c r="T1299" s="18" t="s">
        <v>804</v>
      </c>
      <c r="U1299" s="14"/>
      <c r="V1299" s="14"/>
    </row>
    <row r="1300" spans="1:22" x14ac:dyDescent="0.3">
      <c r="A1300" s="18">
        <v>1182</v>
      </c>
      <c r="B1300" s="18">
        <v>174</v>
      </c>
      <c r="C1300" s="18" t="s">
        <v>20</v>
      </c>
      <c r="D1300" s="18" t="s">
        <v>2751</v>
      </c>
      <c r="E1300" s="19">
        <v>45959</v>
      </c>
      <c r="F1300" s="44" t="s">
        <v>2315</v>
      </c>
      <c r="G1300" s="29" t="s">
        <v>2752</v>
      </c>
      <c r="H1300" s="56">
        <v>103304.54</v>
      </c>
      <c r="I1300" s="19">
        <v>45959</v>
      </c>
      <c r="J1300" s="36">
        <v>45955</v>
      </c>
      <c r="K1300" s="18">
        <v>84</v>
      </c>
      <c r="L1300" s="61">
        <v>84</v>
      </c>
      <c r="M1300" s="61">
        <v>7</v>
      </c>
      <c r="N1300" s="19">
        <v>45959</v>
      </c>
      <c r="O1300" s="18" t="s">
        <v>2344</v>
      </c>
      <c r="P1300" s="18" t="s">
        <v>1456</v>
      </c>
      <c r="Q1300" s="18" t="s">
        <v>141</v>
      </c>
      <c r="R1300" s="18" t="s">
        <v>102</v>
      </c>
      <c r="S1300" s="18" t="s">
        <v>1623</v>
      </c>
      <c r="T1300" s="18" t="s">
        <v>804</v>
      </c>
      <c r="U1300" s="14"/>
      <c r="V1300" s="14"/>
    </row>
    <row r="1301" spans="1:22" x14ac:dyDescent="0.3">
      <c r="A1301" s="18">
        <v>1182</v>
      </c>
      <c r="B1301" s="18">
        <v>174</v>
      </c>
      <c r="C1301" s="18" t="s">
        <v>20</v>
      </c>
      <c r="D1301" s="18" t="s">
        <v>2753</v>
      </c>
      <c r="E1301" s="19">
        <v>45959</v>
      </c>
      <c r="F1301" s="44" t="s">
        <v>35</v>
      </c>
      <c r="G1301" s="29" t="s">
        <v>2754</v>
      </c>
      <c r="H1301" s="56">
        <v>59012.639999999999</v>
      </c>
      <c r="I1301" s="19">
        <v>45959</v>
      </c>
      <c r="J1301" s="36">
        <v>45955</v>
      </c>
      <c r="K1301" s="18">
        <v>144</v>
      </c>
      <c r="L1301" s="61">
        <v>144</v>
      </c>
      <c r="M1301" s="61">
        <v>6</v>
      </c>
      <c r="N1301" s="19">
        <v>45959</v>
      </c>
      <c r="O1301" s="18" t="s">
        <v>2396</v>
      </c>
      <c r="P1301" s="18" t="s">
        <v>1456</v>
      </c>
      <c r="Q1301" s="18" t="s">
        <v>141</v>
      </c>
      <c r="R1301" s="18" t="s">
        <v>102</v>
      </c>
      <c r="S1301" s="18" t="s">
        <v>1623</v>
      </c>
      <c r="T1301" s="18" t="s">
        <v>804</v>
      </c>
      <c r="U1301" s="14"/>
      <c r="V1301" s="14"/>
    </row>
    <row r="1302" spans="1:22" x14ac:dyDescent="0.3">
      <c r="A1302" s="18">
        <v>1183</v>
      </c>
      <c r="B1302" s="18">
        <v>175</v>
      </c>
      <c r="C1302" s="18" t="s">
        <v>20</v>
      </c>
      <c r="D1302" s="18" t="s">
        <v>2755</v>
      </c>
      <c r="E1302" s="22">
        <v>45960</v>
      </c>
      <c r="F1302" s="21" t="s">
        <v>1204</v>
      </c>
      <c r="G1302" s="51" t="s">
        <v>2756</v>
      </c>
      <c r="H1302" s="56">
        <v>2084925</v>
      </c>
      <c r="I1302" s="22">
        <v>45960</v>
      </c>
      <c r="J1302" s="36">
        <v>45955</v>
      </c>
      <c r="K1302" s="18">
        <v>2500</v>
      </c>
      <c r="L1302" s="61">
        <v>2500</v>
      </c>
      <c r="M1302" s="61">
        <v>250</v>
      </c>
      <c r="N1302" s="22">
        <v>45960</v>
      </c>
      <c r="O1302" s="18" t="s">
        <v>21</v>
      </c>
      <c r="P1302" s="18" t="s">
        <v>1456</v>
      </c>
      <c r="Q1302" s="18" t="s">
        <v>144</v>
      </c>
      <c r="R1302" s="18" t="s">
        <v>102</v>
      </c>
      <c r="S1302" s="18" t="s">
        <v>1623</v>
      </c>
      <c r="T1302" s="18" t="s">
        <v>804</v>
      </c>
      <c r="U1302" s="18" t="s">
        <v>2757</v>
      </c>
      <c r="V1302" s="14"/>
    </row>
    <row r="1303" spans="1:22" x14ac:dyDescent="0.3">
      <c r="A1303" s="18">
        <v>1183</v>
      </c>
      <c r="B1303" s="18">
        <v>175</v>
      </c>
      <c r="C1303" s="18" t="s">
        <v>20</v>
      </c>
      <c r="D1303" s="18" t="s">
        <v>2758</v>
      </c>
      <c r="E1303" s="22">
        <v>45960</v>
      </c>
      <c r="F1303" s="21" t="s">
        <v>1204</v>
      </c>
      <c r="G1303" s="51" t="s">
        <v>2759</v>
      </c>
      <c r="H1303" s="56">
        <v>504472.7</v>
      </c>
      <c r="I1303" s="22">
        <v>45960</v>
      </c>
      <c r="J1303" s="36">
        <v>45955</v>
      </c>
      <c r="K1303" s="18">
        <v>610</v>
      </c>
      <c r="L1303" s="61">
        <v>610</v>
      </c>
      <c r="M1303" s="61">
        <v>61</v>
      </c>
      <c r="N1303" s="22">
        <v>45960</v>
      </c>
      <c r="O1303" s="18" t="s">
        <v>21</v>
      </c>
      <c r="P1303" s="18" t="s">
        <v>1456</v>
      </c>
      <c r="Q1303" s="18" t="s">
        <v>141</v>
      </c>
      <c r="R1303" s="18" t="s">
        <v>102</v>
      </c>
      <c r="S1303" s="18" t="s">
        <v>1623</v>
      </c>
      <c r="T1303" s="18" t="s">
        <v>804</v>
      </c>
      <c r="U1303" s="17"/>
      <c r="V1303" s="14"/>
    </row>
    <row r="1304" spans="1:22" x14ac:dyDescent="0.3">
      <c r="A1304" s="18">
        <v>1184</v>
      </c>
      <c r="B1304" s="18">
        <v>176</v>
      </c>
      <c r="C1304" s="18" t="s">
        <v>20</v>
      </c>
      <c r="D1304" s="18" t="s">
        <v>2760</v>
      </c>
      <c r="E1304" s="22">
        <v>45961</v>
      </c>
      <c r="F1304" s="44" t="s">
        <v>133</v>
      </c>
      <c r="G1304" s="51" t="s">
        <v>2761</v>
      </c>
      <c r="H1304" s="56">
        <v>66796.12</v>
      </c>
      <c r="I1304" s="22">
        <v>45961</v>
      </c>
      <c r="J1304" s="36">
        <v>45955</v>
      </c>
      <c r="K1304" s="18">
        <v>48</v>
      </c>
      <c r="L1304" s="61">
        <v>48</v>
      </c>
      <c r="M1304" s="61">
        <v>4</v>
      </c>
      <c r="N1304" s="22">
        <v>45961</v>
      </c>
      <c r="O1304" s="18" t="s">
        <v>21</v>
      </c>
      <c r="P1304" s="18" t="s">
        <v>1456</v>
      </c>
      <c r="Q1304" s="18" t="s">
        <v>2762</v>
      </c>
      <c r="R1304" s="18" t="s">
        <v>102</v>
      </c>
      <c r="S1304" s="18" t="s">
        <v>1623</v>
      </c>
      <c r="T1304" s="18" t="s">
        <v>804</v>
      </c>
      <c r="U1304" s="14"/>
      <c r="V1304" s="14"/>
    </row>
    <row r="1305" spans="1:22" x14ac:dyDescent="0.3">
      <c r="A1305" s="18">
        <v>1184</v>
      </c>
      <c r="B1305" s="18">
        <v>176</v>
      </c>
      <c r="C1305" s="18" t="s">
        <v>23</v>
      </c>
      <c r="D1305" s="18" t="s">
        <v>2763</v>
      </c>
      <c r="E1305" s="22">
        <v>45961</v>
      </c>
      <c r="F1305" s="44" t="s">
        <v>580</v>
      </c>
      <c r="G1305" s="51" t="s">
        <v>2764</v>
      </c>
      <c r="H1305" s="56">
        <v>169640.46</v>
      </c>
      <c r="I1305" s="22">
        <v>45961</v>
      </c>
      <c r="J1305" s="36">
        <v>45955</v>
      </c>
      <c r="K1305" s="18">
        <v>432</v>
      </c>
      <c r="L1305" s="61">
        <v>432</v>
      </c>
      <c r="M1305" s="61">
        <v>18</v>
      </c>
      <c r="N1305" s="22">
        <v>45961</v>
      </c>
      <c r="O1305" s="18" t="s">
        <v>2765</v>
      </c>
      <c r="P1305" s="18" t="s">
        <v>1456</v>
      </c>
      <c r="Q1305" s="18" t="s">
        <v>2762</v>
      </c>
      <c r="R1305" s="18" t="s">
        <v>102</v>
      </c>
      <c r="S1305" s="18" t="s">
        <v>1623</v>
      </c>
      <c r="T1305" s="18" t="s">
        <v>804</v>
      </c>
      <c r="U1305" s="14"/>
      <c r="V1305" s="14"/>
    </row>
    <row r="1306" spans="1:22" x14ac:dyDescent="0.3">
      <c r="A1306" s="18">
        <v>1184</v>
      </c>
      <c r="B1306" s="18">
        <v>176</v>
      </c>
      <c r="C1306" s="18" t="s">
        <v>23</v>
      </c>
      <c r="D1306" s="18" t="s">
        <v>2766</v>
      </c>
      <c r="E1306" s="22">
        <v>45961</v>
      </c>
      <c r="F1306" s="44" t="s">
        <v>28</v>
      </c>
      <c r="G1306" s="51" t="s">
        <v>2767</v>
      </c>
      <c r="H1306" s="56">
        <v>82357.45</v>
      </c>
      <c r="I1306" s="22">
        <v>45961</v>
      </c>
      <c r="J1306" s="36">
        <v>45955</v>
      </c>
      <c r="K1306" s="18">
        <v>216</v>
      </c>
      <c r="L1306" s="61">
        <v>216</v>
      </c>
      <c r="M1306" s="61">
        <v>9</v>
      </c>
      <c r="N1306" s="22">
        <v>45961</v>
      </c>
      <c r="O1306" s="18" t="s">
        <v>2350</v>
      </c>
      <c r="P1306" s="18" t="s">
        <v>1456</v>
      </c>
      <c r="Q1306" s="18" t="s">
        <v>2762</v>
      </c>
      <c r="R1306" s="18" t="s">
        <v>102</v>
      </c>
      <c r="S1306" s="18" t="s">
        <v>1623</v>
      </c>
      <c r="T1306" s="18" t="s">
        <v>804</v>
      </c>
      <c r="U1306" s="14"/>
      <c r="V1306" s="14"/>
    </row>
    <row r="1307" spans="1:22" x14ac:dyDescent="0.3">
      <c r="A1307" s="18">
        <v>1184</v>
      </c>
      <c r="B1307" s="18">
        <v>176</v>
      </c>
      <c r="C1307" s="18" t="s">
        <v>20</v>
      </c>
      <c r="D1307" s="18" t="s">
        <v>2768</v>
      </c>
      <c r="E1307" s="22">
        <v>45961</v>
      </c>
      <c r="F1307" s="44" t="s">
        <v>113</v>
      </c>
      <c r="G1307" s="51" t="s">
        <v>2769</v>
      </c>
      <c r="H1307" s="56">
        <v>344068.2</v>
      </c>
      <c r="I1307" s="22">
        <v>45961</v>
      </c>
      <c r="J1307" s="36">
        <v>45955</v>
      </c>
      <c r="K1307" s="18">
        <v>324</v>
      </c>
      <c r="L1307" s="61">
        <v>324</v>
      </c>
      <c r="M1307" s="61">
        <v>27</v>
      </c>
      <c r="N1307" s="22">
        <v>45961</v>
      </c>
      <c r="O1307" s="18" t="s">
        <v>2344</v>
      </c>
      <c r="P1307" s="18" t="s">
        <v>1456</v>
      </c>
      <c r="Q1307" s="18" t="s">
        <v>2762</v>
      </c>
      <c r="R1307" s="18" t="s">
        <v>102</v>
      </c>
      <c r="S1307" s="18" t="s">
        <v>1623</v>
      </c>
      <c r="T1307" s="18" t="s">
        <v>804</v>
      </c>
      <c r="U1307" s="14"/>
      <c r="V1307" s="14"/>
    </row>
    <row r="1308" spans="1:22" x14ac:dyDescent="0.3">
      <c r="A1308" s="18">
        <v>1184</v>
      </c>
      <c r="B1308" s="18">
        <v>176</v>
      </c>
      <c r="C1308" s="18" t="s">
        <v>20</v>
      </c>
      <c r="D1308" s="18" t="s">
        <v>2770</v>
      </c>
      <c r="E1308" s="22">
        <v>45961</v>
      </c>
      <c r="F1308" s="21" t="s">
        <v>53</v>
      </c>
      <c r="G1308" s="51" t="s">
        <v>2771</v>
      </c>
      <c r="H1308" s="56">
        <v>378198</v>
      </c>
      <c r="I1308" s="22">
        <v>45961</v>
      </c>
      <c r="J1308" s="36">
        <v>45955</v>
      </c>
      <c r="K1308" s="18">
        <v>360</v>
      </c>
      <c r="L1308" s="61">
        <v>360</v>
      </c>
      <c r="M1308" s="61">
        <v>30</v>
      </c>
      <c r="N1308" s="22">
        <v>45961</v>
      </c>
      <c r="O1308" s="18" t="s">
        <v>21</v>
      </c>
      <c r="P1308" s="18" t="s">
        <v>1456</v>
      </c>
      <c r="Q1308" s="18" t="s">
        <v>2762</v>
      </c>
      <c r="R1308" s="18" t="s">
        <v>102</v>
      </c>
      <c r="S1308" s="18" t="s">
        <v>1623</v>
      </c>
      <c r="T1308" s="18" t="s">
        <v>804</v>
      </c>
      <c r="U1308" s="14"/>
      <c r="V1308" s="14"/>
    </row>
    <row r="1309" spans="1:22" x14ac:dyDescent="0.3">
      <c r="A1309" s="18">
        <v>1184</v>
      </c>
      <c r="B1309" s="18">
        <v>176</v>
      </c>
      <c r="C1309" s="18" t="s">
        <v>20</v>
      </c>
      <c r="D1309" s="18" t="s">
        <v>2772</v>
      </c>
      <c r="E1309" s="22">
        <v>45961</v>
      </c>
      <c r="F1309" s="44" t="s">
        <v>113</v>
      </c>
      <c r="G1309" s="51" t="s">
        <v>2773</v>
      </c>
      <c r="H1309" s="56">
        <v>48030.33</v>
      </c>
      <c r="I1309" s="22">
        <v>45961</v>
      </c>
      <c r="J1309" s="36">
        <v>45955</v>
      </c>
      <c r="K1309" s="18">
        <v>36</v>
      </c>
      <c r="L1309" s="61">
        <v>36</v>
      </c>
      <c r="M1309" s="61">
        <v>3</v>
      </c>
      <c r="N1309" s="22">
        <v>45961</v>
      </c>
      <c r="O1309" s="18" t="s">
        <v>2344</v>
      </c>
      <c r="P1309" s="18" t="s">
        <v>1456</v>
      </c>
      <c r="Q1309" s="18" t="s">
        <v>2762</v>
      </c>
      <c r="R1309" s="18" t="s">
        <v>102</v>
      </c>
      <c r="S1309" s="18" t="s">
        <v>1623</v>
      </c>
      <c r="T1309" s="18" t="s">
        <v>804</v>
      </c>
      <c r="U1309" s="14"/>
      <c r="V1309" s="14"/>
    </row>
    <row r="1310" spans="1:22" x14ac:dyDescent="0.3">
      <c r="A1310" s="18">
        <v>1184</v>
      </c>
      <c r="B1310" s="18">
        <v>176</v>
      </c>
      <c r="C1310" s="18" t="s">
        <v>20</v>
      </c>
      <c r="D1310" s="18" t="s">
        <v>2774</v>
      </c>
      <c r="E1310" s="22">
        <v>45961</v>
      </c>
      <c r="F1310" s="44" t="s">
        <v>2494</v>
      </c>
      <c r="G1310" s="51" t="s">
        <v>2775</v>
      </c>
      <c r="H1310" s="56">
        <v>212932.99</v>
      </c>
      <c r="I1310" s="22">
        <v>45961</v>
      </c>
      <c r="J1310" s="36">
        <v>45955</v>
      </c>
      <c r="K1310" s="18">
        <v>156</v>
      </c>
      <c r="L1310" s="61">
        <v>156</v>
      </c>
      <c r="M1310" s="61">
        <v>13</v>
      </c>
      <c r="N1310" s="22">
        <v>45961</v>
      </c>
      <c r="O1310" s="18" t="s">
        <v>2350</v>
      </c>
      <c r="P1310" s="18" t="s">
        <v>1456</v>
      </c>
      <c r="Q1310" s="18" t="s">
        <v>2762</v>
      </c>
      <c r="R1310" s="18" t="s">
        <v>102</v>
      </c>
      <c r="S1310" s="18" t="s">
        <v>1623</v>
      </c>
      <c r="T1310" s="18" t="s">
        <v>804</v>
      </c>
      <c r="U1310" s="14"/>
      <c r="V1310" s="14"/>
    </row>
    <row r="1311" spans="1:22" x14ac:dyDescent="0.3">
      <c r="A1311" s="18">
        <v>1184</v>
      </c>
      <c r="B1311" s="18">
        <v>176</v>
      </c>
      <c r="C1311" s="18" t="s">
        <v>20</v>
      </c>
      <c r="D1311" s="18" t="s">
        <v>2776</v>
      </c>
      <c r="E1311" s="22">
        <v>45961</v>
      </c>
      <c r="F1311" s="44" t="s">
        <v>1207</v>
      </c>
      <c r="G1311" s="51" t="s">
        <v>2777</v>
      </c>
      <c r="H1311" s="56">
        <v>793198.7</v>
      </c>
      <c r="I1311" s="22">
        <v>45961</v>
      </c>
      <c r="J1311" s="36">
        <v>45955</v>
      </c>
      <c r="K1311" s="18">
        <v>600</v>
      </c>
      <c r="L1311" s="61">
        <v>600</v>
      </c>
      <c r="M1311" s="61">
        <v>50</v>
      </c>
      <c r="N1311" s="22">
        <v>45961</v>
      </c>
      <c r="O1311" s="18" t="s">
        <v>2350</v>
      </c>
      <c r="P1311" s="18" t="s">
        <v>1456</v>
      </c>
      <c r="Q1311" s="18" t="s">
        <v>2762</v>
      </c>
      <c r="R1311" s="18" t="s">
        <v>102</v>
      </c>
      <c r="S1311" s="18" t="s">
        <v>1623</v>
      </c>
      <c r="T1311" s="18" t="s">
        <v>804</v>
      </c>
      <c r="U1311" s="14"/>
      <c r="V1311" s="14"/>
    </row>
    <row r="1312" spans="1:22" x14ac:dyDescent="0.3">
      <c r="A1312" s="18">
        <v>1184</v>
      </c>
      <c r="B1312" s="18">
        <v>176</v>
      </c>
      <c r="C1312" s="18" t="s">
        <v>20</v>
      </c>
      <c r="D1312" s="18" t="s">
        <v>2778</v>
      </c>
      <c r="E1312" s="22">
        <v>45961</v>
      </c>
      <c r="F1312" s="44" t="s">
        <v>2193</v>
      </c>
      <c r="G1312" s="51" t="s">
        <v>2779</v>
      </c>
      <c r="H1312" s="56">
        <v>80714.41</v>
      </c>
      <c r="I1312" s="22">
        <v>45961</v>
      </c>
      <c r="J1312" s="36">
        <v>45955</v>
      </c>
      <c r="K1312" s="18">
        <v>84</v>
      </c>
      <c r="L1312" s="61">
        <v>84</v>
      </c>
      <c r="M1312" s="61">
        <v>7</v>
      </c>
      <c r="N1312" s="22">
        <v>45961</v>
      </c>
      <c r="O1312" s="18" t="s">
        <v>21</v>
      </c>
      <c r="P1312" s="18" t="s">
        <v>1456</v>
      </c>
      <c r="Q1312" s="18" t="s">
        <v>2762</v>
      </c>
      <c r="R1312" s="18" t="s">
        <v>102</v>
      </c>
      <c r="S1312" s="18" t="s">
        <v>1623</v>
      </c>
      <c r="T1312" s="18" t="s">
        <v>804</v>
      </c>
      <c r="U1312" s="14"/>
      <c r="V1312" s="14"/>
    </row>
    <row r="1313" spans="1:23" x14ac:dyDescent="0.3">
      <c r="A1313" s="18">
        <v>1184</v>
      </c>
      <c r="B1313" s="18">
        <v>176</v>
      </c>
      <c r="C1313" s="18" t="s">
        <v>20</v>
      </c>
      <c r="D1313" s="18" t="s">
        <v>2780</v>
      </c>
      <c r="E1313" s="22">
        <v>45961</v>
      </c>
      <c r="F1313" s="21" t="s">
        <v>53</v>
      </c>
      <c r="G1313" s="51" t="s">
        <v>2781</v>
      </c>
      <c r="H1313" s="56">
        <v>330136.83</v>
      </c>
      <c r="I1313" s="22">
        <v>45961</v>
      </c>
      <c r="J1313" s="36">
        <v>45955</v>
      </c>
      <c r="K1313" s="18">
        <v>252</v>
      </c>
      <c r="L1313" s="61">
        <v>252</v>
      </c>
      <c r="M1313" s="61">
        <v>21</v>
      </c>
      <c r="N1313" s="22">
        <v>45961</v>
      </c>
      <c r="O1313" s="18" t="s">
        <v>21</v>
      </c>
      <c r="P1313" s="18" t="s">
        <v>1456</v>
      </c>
      <c r="Q1313" s="18" t="s">
        <v>2762</v>
      </c>
      <c r="R1313" s="18" t="s">
        <v>102</v>
      </c>
      <c r="S1313" s="18" t="s">
        <v>1623</v>
      </c>
      <c r="T1313" s="18" t="s">
        <v>804</v>
      </c>
      <c r="U1313" s="14"/>
      <c r="V1313" s="14"/>
    </row>
    <row r="1314" spans="1:23" x14ac:dyDescent="0.3">
      <c r="A1314" s="18">
        <v>1184</v>
      </c>
      <c r="B1314" s="18">
        <v>176</v>
      </c>
      <c r="C1314" s="18" t="s">
        <v>20</v>
      </c>
      <c r="D1314" s="18" t="s">
        <v>2562</v>
      </c>
      <c r="E1314" s="22">
        <v>45961</v>
      </c>
      <c r="F1314" s="21" t="s">
        <v>132</v>
      </c>
      <c r="G1314" s="51" t="s">
        <v>2782</v>
      </c>
      <c r="H1314" s="56">
        <v>134605.32</v>
      </c>
      <c r="I1314" s="22">
        <v>45961</v>
      </c>
      <c r="J1314" s="36">
        <v>45955</v>
      </c>
      <c r="K1314" s="18">
        <v>84</v>
      </c>
      <c r="L1314" s="61">
        <v>84</v>
      </c>
      <c r="M1314" s="61">
        <v>7</v>
      </c>
      <c r="N1314" s="22">
        <v>45961</v>
      </c>
      <c r="O1314" s="18" t="s">
        <v>2344</v>
      </c>
      <c r="P1314" s="18" t="s">
        <v>1456</v>
      </c>
      <c r="Q1314" s="18" t="s">
        <v>2762</v>
      </c>
      <c r="R1314" s="18" t="s">
        <v>102</v>
      </c>
      <c r="S1314" s="18" t="s">
        <v>1623</v>
      </c>
      <c r="T1314" s="18" t="s">
        <v>804</v>
      </c>
      <c r="U1314" s="14"/>
      <c r="V1314" s="14"/>
    </row>
    <row r="1315" spans="1:23" x14ac:dyDescent="0.3">
      <c r="A1315" s="18">
        <v>1184</v>
      </c>
      <c r="B1315" s="18">
        <v>176</v>
      </c>
      <c r="C1315" s="18" t="s">
        <v>20</v>
      </c>
      <c r="D1315" s="18" t="s">
        <v>2783</v>
      </c>
      <c r="E1315" s="22">
        <v>45961</v>
      </c>
      <c r="F1315" s="44" t="s">
        <v>130</v>
      </c>
      <c r="G1315" s="51" t="s">
        <v>2784</v>
      </c>
      <c r="H1315" s="56">
        <v>382048.51</v>
      </c>
      <c r="I1315" s="22">
        <v>45961</v>
      </c>
      <c r="J1315" s="36">
        <v>45955</v>
      </c>
      <c r="K1315" s="18">
        <v>300</v>
      </c>
      <c r="L1315" s="61">
        <v>300</v>
      </c>
      <c r="M1315" s="61">
        <v>25</v>
      </c>
      <c r="N1315" s="22">
        <v>45961</v>
      </c>
      <c r="O1315" s="18" t="s">
        <v>2785</v>
      </c>
      <c r="P1315" s="18" t="s">
        <v>1456</v>
      </c>
      <c r="Q1315" s="18" t="s">
        <v>2762</v>
      </c>
      <c r="R1315" s="18" t="s">
        <v>102</v>
      </c>
      <c r="S1315" s="18" t="s">
        <v>1623</v>
      </c>
      <c r="T1315" s="18" t="s">
        <v>804</v>
      </c>
      <c r="U1315" s="14"/>
      <c r="V1315" s="14"/>
    </row>
    <row r="1316" spans="1:23" x14ac:dyDescent="0.3">
      <c r="A1316" s="18">
        <v>1184</v>
      </c>
      <c r="B1316" s="18">
        <v>176</v>
      </c>
      <c r="C1316" s="18" t="s">
        <v>20</v>
      </c>
      <c r="D1316" s="18" t="s">
        <v>2786</v>
      </c>
      <c r="E1316" s="22">
        <v>45961</v>
      </c>
      <c r="F1316" s="44" t="s">
        <v>1207</v>
      </c>
      <c r="G1316" s="51" t="s">
        <v>2787</v>
      </c>
      <c r="H1316" s="56">
        <v>447972.27</v>
      </c>
      <c r="I1316" s="22">
        <v>45961</v>
      </c>
      <c r="J1316" s="36">
        <v>45955</v>
      </c>
      <c r="K1316" s="18">
        <v>324</v>
      </c>
      <c r="L1316" s="61">
        <v>324</v>
      </c>
      <c r="M1316" s="61">
        <v>27</v>
      </c>
      <c r="N1316" s="22">
        <v>45961</v>
      </c>
      <c r="O1316" s="18" t="s">
        <v>2350</v>
      </c>
      <c r="P1316" s="18" t="s">
        <v>1456</v>
      </c>
      <c r="Q1316" s="18" t="s">
        <v>2762</v>
      </c>
      <c r="R1316" s="18" t="s">
        <v>102</v>
      </c>
      <c r="S1316" s="18" t="s">
        <v>1623</v>
      </c>
      <c r="T1316" s="18" t="s">
        <v>804</v>
      </c>
      <c r="U1316" s="14"/>
      <c r="V1316" s="14"/>
    </row>
    <row r="1317" spans="1:23" x14ac:dyDescent="0.3">
      <c r="A1317" s="18">
        <v>1184</v>
      </c>
      <c r="B1317" s="18">
        <v>176</v>
      </c>
      <c r="C1317" s="18" t="s">
        <v>23</v>
      </c>
      <c r="D1317" s="18" t="s">
        <v>2788</v>
      </c>
      <c r="E1317" s="22">
        <v>45961</v>
      </c>
      <c r="F1317" s="44" t="s">
        <v>28</v>
      </c>
      <c r="G1317" s="51" t="s">
        <v>2789</v>
      </c>
      <c r="H1317" s="56">
        <v>36855.360000000001</v>
      </c>
      <c r="I1317" s="22">
        <v>45961</v>
      </c>
      <c r="J1317" s="36">
        <v>45955</v>
      </c>
      <c r="K1317" s="18">
        <v>144</v>
      </c>
      <c r="L1317" s="61">
        <v>144</v>
      </c>
      <c r="M1317" s="61">
        <v>6</v>
      </c>
      <c r="N1317" s="22">
        <v>45961</v>
      </c>
      <c r="O1317" s="18" t="s">
        <v>2805</v>
      </c>
      <c r="P1317" s="18" t="s">
        <v>1456</v>
      </c>
      <c r="Q1317" s="18" t="s">
        <v>2762</v>
      </c>
      <c r="R1317" s="18" t="s">
        <v>102</v>
      </c>
      <c r="S1317" s="18" t="s">
        <v>1623</v>
      </c>
      <c r="T1317" s="18" t="s">
        <v>804</v>
      </c>
      <c r="U1317" s="14"/>
      <c r="V1317" s="14"/>
    </row>
    <row r="1318" spans="1:23" x14ac:dyDescent="0.3">
      <c r="A1318" s="18">
        <v>1185</v>
      </c>
      <c r="B1318" s="18">
        <v>177</v>
      </c>
      <c r="C1318" s="18" t="s">
        <v>20</v>
      </c>
      <c r="D1318" s="18" t="s">
        <v>2790</v>
      </c>
      <c r="E1318" s="22">
        <v>45961</v>
      </c>
      <c r="F1318" s="44" t="s">
        <v>64</v>
      </c>
      <c r="G1318" s="51" t="s">
        <v>2791</v>
      </c>
      <c r="H1318" s="56">
        <v>803865.8</v>
      </c>
      <c r="I1318" s="22">
        <v>45961</v>
      </c>
      <c r="J1318" s="36">
        <v>45955</v>
      </c>
      <c r="K1318" s="18">
        <v>600</v>
      </c>
      <c r="L1318" s="61">
        <v>600</v>
      </c>
      <c r="M1318" s="61">
        <v>50</v>
      </c>
      <c r="N1318" s="22">
        <v>45962</v>
      </c>
      <c r="O1318" s="18" t="s">
        <v>2344</v>
      </c>
      <c r="P1318" s="18" t="s">
        <v>1456</v>
      </c>
      <c r="Q1318" s="18" t="s">
        <v>2792</v>
      </c>
      <c r="R1318" s="18" t="s">
        <v>102</v>
      </c>
      <c r="S1318" s="18" t="s">
        <v>1623</v>
      </c>
      <c r="T1318" s="18" t="s">
        <v>804</v>
      </c>
      <c r="U1318" s="14"/>
      <c r="V1318" s="14"/>
    </row>
    <row r="1319" spans="1:23" x14ac:dyDescent="0.3">
      <c r="A1319" s="18">
        <v>1185</v>
      </c>
      <c r="B1319" s="18">
        <v>177</v>
      </c>
      <c r="C1319" s="18" t="s">
        <v>20</v>
      </c>
      <c r="D1319" s="18" t="s">
        <v>2793</v>
      </c>
      <c r="E1319" s="22">
        <v>45961</v>
      </c>
      <c r="F1319" s="44" t="s">
        <v>1207</v>
      </c>
      <c r="G1319" s="51" t="s">
        <v>2794</v>
      </c>
      <c r="H1319" s="56">
        <v>663010.17000000004</v>
      </c>
      <c r="I1319" s="22">
        <v>45961</v>
      </c>
      <c r="J1319" s="36">
        <v>45955</v>
      </c>
      <c r="K1319" s="18">
        <v>540</v>
      </c>
      <c r="L1319" s="61">
        <v>540</v>
      </c>
      <c r="M1319" s="61">
        <v>45</v>
      </c>
      <c r="N1319" s="22">
        <v>45962</v>
      </c>
      <c r="O1319" s="18" t="s">
        <v>2350</v>
      </c>
      <c r="P1319" s="18" t="s">
        <v>1456</v>
      </c>
      <c r="Q1319" s="18" t="s">
        <v>2792</v>
      </c>
      <c r="R1319" s="18" t="s">
        <v>102</v>
      </c>
      <c r="S1319" s="18" t="s">
        <v>1623</v>
      </c>
      <c r="T1319" s="18" t="s">
        <v>804</v>
      </c>
      <c r="U1319" s="14"/>
      <c r="V1319" s="14"/>
    </row>
    <row r="1320" spans="1:23" x14ac:dyDescent="0.3">
      <c r="A1320" s="18">
        <v>1185</v>
      </c>
      <c r="B1320" s="18">
        <v>177</v>
      </c>
      <c r="C1320" s="18" t="s">
        <v>20</v>
      </c>
      <c r="D1320" s="18" t="s">
        <v>2795</v>
      </c>
      <c r="E1320" s="22">
        <v>45961</v>
      </c>
      <c r="F1320" s="44" t="s">
        <v>35</v>
      </c>
      <c r="G1320" s="51" t="s">
        <v>2796</v>
      </c>
      <c r="H1320" s="56">
        <v>263468.32</v>
      </c>
      <c r="I1320" s="22">
        <v>45961</v>
      </c>
      <c r="J1320" s="36">
        <v>45955</v>
      </c>
      <c r="K1320" s="18">
        <v>192</v>
      </c>
      <c r="L1320" s="61">
        <v>192</v>
      </c>
      <c r="M1320" s="61">
        <v>16</v>
      </c>
      <c r="N1320" s="22">
        <v>45962</v>
      </c>
      <c r="O1320" s="18" t="s">
        <v>2396</v>
      </c>
      <c r="P1320" s="18" t="s">
        <v>1456</v>
      </c>
      <c r="Q1320" s="18" t="s">
        <v>2792</v>
      </c>
      <c r="R1320" s="18" t="s">
        <v>102</v>
      </c>
      <c r="S1320" s="18" t="s">
        <v>1623</v>
      </c>
      <c r="T1320" s="18" t="s">
        <v>804</v>
      </c>
      <c r="U1320" s="14"/>
      <c r="V1320" s="14"/>
    </row>
    <row r="1321" spans="1:23" x14ac:dyDescent="0.3">
      <c r="A1321" s="18">
        <v>1185</v>
      </c>
      <c r="B1321" s="18">
        <v>177</v>
      </c>
      <c r="C1321" s="18" t="s">
        <v>20</v>
      </c>
      <c r="D1321" s="18" t="s">
        <v>2797</v>
      </c>
      <c r="E1321" s="22">
        <v>45961</v>
      </c>
      <c r="F1321" s="44" t="s">
        <v>117</v>
      </c>
      <c r="G1321" s="51" t="s">
        <v>2798</v>
      </c>
      <c r="H1321" s="56">
        <v>166780.06</v>
      </c>
      <c r="I1321" s="22">
        <v>45961</v>
      </c>
      <c r="J1321" s="36">
        <v>45955</v>
      </c>
      <c r="K1321" s="18">
        <v>120</v>
      </c>
      <c r="L1321" s="61">
        <v>120</v>
      </c>
      <c r="M1321" s="61">
        <v>10</v>
      </c>
      <c r="N1321" s="22">
        <v>45962</v>
      </c>
      <c r="O1321" s="18" t="s">
        <v>2343</v>
      </c>
      <c r="P1321" s="18" t="s">
        <v>1456</v>
      </c>
      <c r="Q1321" s="18" t="s">
        <v>2792</v>
      </c>
      <c r="R1321" s="18" t="s">
        <v>102</v>
      </c>
      <c r="S1321" s="18" t="s">
        <v>1623</v>
      </c>
      <c r="T1321" s="18" t="s">
        <v>804</v>
      </c>
      <c r="U1321" s="14"/>
      <c r="V1321" s="14"/>
    </row>
    <row r="1322" spans="1:23" x14ac:dyDescent="0.3">
      <c r="A1322" s="18">
        <v>1185</v>
      </c>
      <c r="B1322" s="18">
        <v>177</v>
      </c>
      <c r="C1322" s="18" t="s">
        <v>20</v>
      </c>
      <c r="D1322" s="18" t="s">
        <v>2799</v>
      </c>
      <c r="E1322" s="22">
        <v>45961</v>
      </c>
      <c r="F1322" s="44" t="s">
        <v>28</v>
      </c>
      <c r="G1322" s="51" t="s">
        <v>2800</v>
      </c>
      <c r="H1322" s="56">
        <v>492214.84</v>
      </c>
      <c r="I1322" s="22">
        <v>45961</v>
      </c>
      <c r="J1322" s="36">
        <v>45955</v>
      </c>
      <c r="K1322" s="18">
        <v>408</v>
      </c>
      <c r="L1322" s="61">
        <v>408</v>
      </c>
      <c r="M1322" s="61">
        <v>34</v>
      </c>
      <c r="N1322" s="22">
        <v>45962</v>
      </c>
      <c r="O1322" s="18" t="s">
        <v>2350</v>
      </c>
      <c r="P1322" s="18" t="s">
        <v>1456</v>
      </c>
      <c r="Q1322" s="18" t="s">
        <v>2792</v>
      </c>
      <c r="R1322" s="18" t="s">
        <v>102</v>
      </c>
      <c r="S1322" s="18" t="s">
        <v>1623</v>
      </c>
      <c r="T1322" s="18" t="s">
        <v>804</v>
      </c>
      <c r="U1322" s="14"/>
      <c r="V1322" s="14"/>
    </row>
    <row r="1323" spans="1:23" x14ac:dyDescent="0.3">
      <c r="A1323" s="18">
        <v>1186</v>
      </c>
      <c r="B1323" s="18">
        <v>178</v>
      </c>
      <c r="C1323" s="18" t="s">
        <v>20</v>
      </c>
      <c r="D1323" s="18" t="s">
        <v>2801</v>
      </c>
      <c r="E1323" s="22">
        <v>45961</v>
      </c>
      <c r="F1323" s="21" t="s">
        <v>1204</v>
      </c>
      <c r="G1323" s="51" t="s">
        <v>2802</v>
      </c>
      <c r="H1323" s="56">
        <v>2084925</v>
      </c>
      <c r="I1323" s="22">
        <v>45961</v>
      </c>
      <c r="J1323" s="36">
        <v>45955</v>
      </c>
      <c r="K1323" s="18">
        <v>2500</v>
      </c>
      <c r="L1323" s="61">
        <v>2500</v>
      </c>
      <c r="M1323" s="61">
        <v>250</v>
      </c>
      <c r="N1323" s="22">
        <v>45961</v>
      </c>
      <c r="O1323" s="18" t="s">
        <v>21</v>
      </c>
      <c r="P1323" s="18" t="s">
        <v>1456</v>
      </c>
      <c r="Q1323" s="18" t="s">
        <v>2496</v>
      </c>
      <c r="R1323" s="18" t="s">
        <v>102</v>
      </c>
      <c r="S1323" s="18" t="s">
        <v>1623</v>
      </c>
      <c r="T1323" s="18" t="s">
        <v>804</v>
      </c>
      <c r="U1323" s="14"/>
      <c r="V1323" s="14"/>
    </row>
    <row r="1324" spans="1:23" s="1" customFormat="1" x14ac:dyDescent="0.3">
      <c r="A1324" s="18">
        <v>1187</v>
      </c>
      <c r="B1324" s="18">
        <v>179</v>
      </c>
      <c r="C1324" s="18" t="s">
        <v>20</v>
      </c>
      <c r="D1324" s="18" t="s">
        <v>2803</v>
      </c>
      <c r="E1324" s="22">
        <v>45961</v>
      </c>
      <c r="F1324" s="17" t="s">
        <v>1204</v>
      </c>
      <c r="G1324" s="51" t="s">
        <v>2804</v>
      </c>
      <c r="H1324" s="56">
        <v>2168322</v>
      </c>
      <c r="I1324" s="22">
        <v>45961</v>
      </c>
      <c r="J1324" s="36">
        <v>45955</v>
      </c>
      <c r="K1324" s="18">
        <v>2600</v>
      </c>
      <c r="L1324" s="61">
        <v>2600</v>
      </c>
      <c r="M1324" s="61">
        <v>260</v>
      </c>
      <c r="N1324" s="22">
        <v>45961</v>
      </c>
      <c r="O1324" s="18" t="s">
        <v>21</v>
      </c>
      <c r="P1324" s="18" t="s">
        <v>1456</v>
      </c>
      <c r="Q1324" s="18" t="s">
        <v>2451</v>
      </c>
      <c r="R1324" s="18" t="s">
        <v>102</v>
      </c>
      <c r="S1324" s="18" t="s">
        <v>1623</v>
      </c>
      <c r="T1324" s="18" t="s">
        <v>804</v>
      </c>
      <c r="U1324" s="17"/>
      <c r="V1324" s="17"/>
      <c r="W1324" s="10"/>
    </row>
    <row r="1325" spans="1:23" s="1" customFormat="1" x14ac:dyDescent="0.3">
      <c r="A1325" s="18">
        <v>1188</v>
      </c>
      <c r="B1325" s="18">
        <v>180</v>
      </c>
      <c r="C1325" s="18" t="s">
        <v>20</v>
      </c>
      <c r="D1325" s="18" t="s">
        <v>2818</v>
      </c>
      <c r="E1325" s="22">
        <v>45961</v>
      </c>
      <c r="F1325" s="18" t="s">
        <v>119</v>
      </c>
      <c r="G1325" s="51" t="s">
        <v>2819</v>
      </c>
      <c r="H1325" s="56">
        <v>210841.17</v>
      </c>
      <c r="I1325" s="22">
        <v>45961</v>
      </c>
      <c r="J1325" s="36">
        <v>45955</v>
      </c>
      <c r="K1325" s="18">
        <v>180</v>
      </c>
      <c r="L1325" s="61">
        <v>180</v>
      </c>
      <c r="M1325" s="61">
        <v>15</v>
      </c>
      <c r="N1325" s="22">
        <v>45964</v>
      </c>
      <c r="O1325" s="18" t="s">
        <v>2353</v>
      </c>
      <c r="P1325" s="18" t="s">
        <v>1456</v>
      </c>
      <c r="Q1325" s="17" t="s">
        <v>127</v>
      </c>
      <c r="R1325" s="18" t="s">
        <v>102</v>
      </c>
      <c r="S1325" s="18" t="s">
        <v>1623</v>
      </c>
      <c r="T1325" s="18" t="s">
        <v>804</v>
      </c>
      <c r="U1325" s="17"/>
      <c r="V1325" s="17"/>
      <c r="W1325" s="10"/>
    </row>
    <row r="1326" spans="1:23" s="1" customFormat="1" x14ac:dyDescent="0.3">
      <c r="A1326" s="18">
        <v>1188</v>
      </c>
      <c r="B1326" s="18">
        <v>180</v>
      </c>
      <c r="C1326" s="18" t="s">
        <v>20</v>
      </c>
      <c r="D1326" s="18" t="s">
        <v>2820</v>
      </c>
      <c r="E1326" s="22">
        <v>45961</v>
      </c>
      <c r="F1326" s="18" t="s">
        <v>2208</v>
      </c>
      <c r="G1326" s="51" t="s">
        <v>2821</v>
      </c>
      <c r="H1326" s="56">
        <v>372633.25</v>
      </c>
      <c r="I1326" s="22">
        <v>45961</v>
      </c>
      <c r="J1326" s="36">
        <v>45955</v>
      </c>
      <c r="K1326" s="18">
        <v>300</v>
      </c>
      <c r="L1326" s="61">
        <v>300</v>
      </c>
      <c r="M1326" s="61">
        <v>25</v>
      </c>
      <c r="N1326" s="22">
        <v>45965</v>
      </c>
      <c r="O1326" s="18" t="s">
        <v>2350</v>
      </c>
      <c r="P1326" s="18" t="s">
        <v>1456</v>
      </c>
      <c r="Q1326" s="17" t="s">
        <v>141</v>
      </c>
      <c r="R1326" s="18" t="s">
        <v>102</v>
      </c>
      <c r="S1326" s="18" t="s">
        <v>1623</v>
      </c>
      <c r="T1326" s="18" t="s">
        <v>804</v>
      </c>
      <c r="U1326" s="17" t="s">
        <v>2832</v>
      </c>
      <c r="V1326" s="17"/>
      <c r="W1326" s="10"/>
    </row>
    <row r="1327" spans="1:23" s="1" customFormat="1" x14ac:dyDescent="0.3">
      <c r="A1327" s="18">
        <v>1188</v>
      </c>
      <c r="B1327" s="18">
        <v>180</v>
      </c>
      <c r="C1327" s="18" t="s">
        <v>20</v>
      </c>
      <c r="D1327" s="18" t="s">
        <v>2822</v>
      </c>
      <c r="E1327" s="22">
        <v>45961</v>
      </c>
      <c r="F1327" s="18" t="s">
        <v>33</v>
      </c>
      <c r="G1327" s="51" t="s">
        <v>2823</v>
      </c>
      <c r="H1327" s="56">
        <v>166780.06</v>
      </c>
      <c r="I1327" s="22">
        <v>45961</v>
      </c>
      <c r="J1327" s="36">
        <v>45955</v>
      </c>
      <c r="K1327" s="18">
        <v>120</v>
      </c>
      <c r="L1327" s="61">
        <v>120</v>
      </c>
      <c r="M1327" s="61">
        <v>10</v>
      </c>
      <c r="N1327" s="22">
        <v>45965</v>
      </c>
      <c r="O1327" s="18" t="s">
        <v>2362</v>
      </c>
      <c r="P1327" s="18" t="s">
        <v>1456</v>
      </c>
      <c r="Q1327" s="17" t="s">
        <v>141</v>
      </c>
      <c r="R1327" s="18" t="s">
        <v>102</v>
      </c>
      <c r="S1327" s="17" t="s">
        <v>1623</v>
      </c>
      <c r="T1327" s="18" t="s">
        <v>804</v>
      </c>
      <c r="U1327" s="17"/>
      <c r="V1327" s="17"/>
      <c r="W1327" s="10"/>
    </row>
    <row r="1328" spans="1:23" s="1" customFormat="1" x14ac:dyDescent="0.3">
      <c r="A1328" s="18">
        <v>1188</v>
      </c>
      <c r="B1328" s="18">
        <v>180</v>
      </c>
      <c r="C1328" s="18" t="s">
        <v>20</v>
      </c>
      <c r="D1328" s="18" t="s">
        <v>2824</v>
      </c>
      <c r="E1328" s="22">
        <v>45961</v>
      </c>
      <c r="F1328" s="18" t="s">
        <v>53</v>
      </c>
      <c r="G1328" s="51" t="s">
        <v>2825</v>
      </c>
      <c r="H1328" s="56">
        <v>414592.22</v>
      </c>
      <c r="I1328" s="22">
        <v>45961</v>
      </c>
      <c r="J1328" s="36">
        <v>45955</v>
      </c>
      <c r="K1328" s="18">
        <v>312</v>
      </c>
      <c r="L1328" s="61">
        <v>312</v>
      </c>
      <c r="M1328" s="61">
        <v>26</v>
      </c>
      <c r="N1328" s="22">
        <v>45964</v>
      </c>
      <c r="O1328" s="18" t="s">
        <v>21</v>
      </c>
      <c r="P1328" s="18" t="s">
        <v>1456</v>
      </c>
      <c r="Q1328" s="17" t="s">
        <v>127</v>
      </c>
      <c r="R1328" s="18" t="s">
        <v>102</v>
      </c>
      <c r="S1328" s="17" t="s">
        <v>1623</v>
      </c>
      <c r="T1328" s="18" t="s">
        <v>804</v>
      </c>
      <c r="U1328" s="17"/>
      <c r="V1328" s="17"/>
      <c r="W1328" s="10"/>
    </row>
    <row r="1329" spans="1:23" s="1" customFormat="1" x14ac:dyDescent="0.3">
      <c r="A1329" s="18">
        <v>1188</v>
      </c>
      <c r="B1329" s="18">
        <v>180</v>
      </c>
      <c r="C1329" s="18" t="s">
        <v>20</v>
      </c>
      <c r="D1329" s="18" t="s">
        <v>2826</v>
      </c>
      <c r="E1329" s="22">
        <v>45961</v>
      </c>
      <c r="F1329" s="18" t="s">
        <v>122</v>
      </c>
      <c r="G1329" s="51" t="s">
        <v>2827</v>
      </c>
      <c r="H1329" s="56">
        <v>244262.2</v>
      </c>
      <c r="I1329" s="22">
        <v>45961</v>
      </c>
      <c r="J1329" s="36">
        <v>45955</v>
      </c>
      <c r="K1329" s="18">
        <v>192</v>
      </c>
      <c r="L1329" s="61">
        <v>192</v>
      </c>
      <c r="M1329" s="61">
        <v>16</v>
      </c>
      <c r="N1329" s="22">
        <v>45964</v>
      </c>
      <c r="O1329" s="18" t="s">
        <v>2339</v>
      </c>
      <c r="P1329" s="18" t="s">
        <v>1456</v>
      </c>
      <c r="Q1329" s="17" t="s">
        <v>127</v>
      </c>
      <c r="R1329" s="18" t="s">
        <v>102</v>
      </c>
      <c r="S1329" s="17" t="s">
        <v>1623</v>
      </c>
      <c r="T1329" s="18" t="s">
        <v>804</v>
      </c>
      <c r="U1329" s="17"/>
      <c r="V1329" s="17"/>
      <c r="W1329" s="10"/>
    </row>
    <row r="1330" spans="1:23" s="1" customFormat="1" x14ac:dyDescent="0.3">
      <c r="A1330" s="18">
        <v>1188</v>
      </c>
      <c r="B1330" s="18">
        <v>180</v>
      </c>
      <c r="C1330" s="18" t="s">
        <v>20</v>
      </c>
      <c r="D1330" s="18" t="s">
        <v>2828</v>
      </c>
      <c r="E1330" s="22">
        <v>45961</v>
      </c>
      <c r="F1330" s="18" t="s">
        <v>129</v>
      </c>
      <c r="G1330" s="51" t="s">
        <v>2829</v>
      </c>
      <c r="H1330" s="56">
        <v>344931</v>
      </c>
      <c r="I1330" s="22">
        <v>45961</v>
      </c>
      <c r="J1330" s="36">
        <v>45955</v>
      </c>
      <c r="K1330" s="18">
        <v>180</v>
      </c>
      <c r="L1330" s="61">
        <v>180</v>
      </c>
      <c r="M1330" s="61">
        <v>15</v>
      </c>
      <c r="N1330" s="22">
        <v>45964</v>
      </c>
      <c r="O1330" s="18" t="s">
        <v>2353</v>
      </c>
      <c r="P1330" s="18" t="s">
        <v>1456</v>
      </c>
      <c r="Q1330" s="17" t="s">
        <v>127</v>
      </c>
      <c r="R1330" s="18" t="s">
        <v>102</v>
      </c>
      <c r="S1330" s="17" t="s">
        <v>1623</v>
      </c>
      <c r="T1330" s="18" t="s">
        <v>804</v>
      </c>
      <c r="U1330" s="17"/>
      <c r="V1330" s="17"/>
      <c r="W1330" s="10"/>
    </row>
    <row r="1331" spans="1:23" s="1" customFormat="1" x14ac:dyDescent="0.3">
      <c r="A1331" s="18">
        <v>1188</v>
      </c>
      <c r="B1331" s="18">
        <v>180</v>
      </c>
      <c r="C1331" s="18" t="s">
        <v>20</v>
      </c>
      <c r="D1331" s="18" t="s">
        <v>2830</v>
      </c>
      <c r="E1331" s="22">
        <v>45961</v>
      </c>
      <c r="F1331" s="18" t="s">
        <v>2494</v>
      </c>
      <c r="G1331" s="51" t="s">
        <v>2831</v>
      </c>
      <c r="H1331" s="56">
        <v>201780.81</v>
      </c>
      <c r="I1331" s="22">
        <v>45961</v>
      </c>
      <c r="J1331" s="36">
        <v>45955</v>
      </c>
      <c r="K1331" s="18">
        <v>180</v>
      </c>
      <c r="L1331" s="61">
        <v>180</v>
      </c>
      <c r="M1331" s="61">
        <v>15</v>
      </c>
      <c r="N1331" s="22">
        <v>45964</v>
      </c>
      <c r="O1331" s="18" t="s">
        <v>2350</v>
      </c>
      <c r="P1331" s="18" t="s">
        <v>1456</v>
      </c>
      <c r="Q1331" s="17" t="s">
        <v>127</v>
      </c>
      <c r="R1331" s="18" t="s">
        <v>102</v>
      </c>
      <c r="S1331" s="17" t="s">
        <v>1623</v>
      </c>
      <c r="T1331" s="18" t="s">
        <v>804</v>
      </c>
      <c r="U1331" s="17"/>
      <c r="V1331" s="17"/>
      <c r="W1331" s="10"/>
    </row>
    <row r="1332" spans="1:23" s="1" customFormat="1" x14ac:dyDescent="0.3">
      <c r="A1332" s="18">
        <v>1189</v>
      </c>
      <c r="B1332" s="18">
        <v>181</v>
      </c>
      <c r="C1332" s="18" t="s">
        <v>20</v>
      </c>
      <c r="D1332" s="18" t="s">
        <v>2833</v>
      </c>
      <c r="E1332" s="22">
        <v>45962</v>
      </c>
      <c r="F1332" s="18" t="s">
        <v>1204</v>
      </c>
      <c r="G1332" s="51" t="s">
        <v>2834</v>
      </c>
      <c r="H1332" s="56">
        <v>77651.759999999995</v>
      </c>
      <c r="I1332" s="22">
        <v>45962</v>
      </c>
      <c r="J1332" s="36">
        <v>45962</v>
      </c>
      <c r="K1332" s="18">
        <v>108</v>
      </c>
      <c r="L1332" s="61">
        <v>108</v>
      </c>
      <c r="M1332" s="61">
        <v>9</v>
      </c>
      <c r="N1332" s="22">
        <v>45964</v>
      </c>
      <c r="O1332" s="18" t="s">
        <v>21</v>
      </c>
      <c r="P1332" s="18" t="s">
        <v>1456</v>
      </c>
      <c r="Q1332" s="17" t="s">
        <v>127</v>
      </c>
      <c r="R1332" s="18" t="s">
        <v>102</v>
      </c>
      <c r="S1332" s="18" t="s">
        <v>1623</v>
      </c>
      <c r="T1332" s="18" t="s">
        <v>804</v>
      </c>
      <c r="U1332" s="17"/>
      <c r="V1332" s="17"/>
      <c r="W1332" s="10"/>
    </row>
    <row r="1333" spans="1:23" s="1" customFormat="1" x14ac:dyDescent="0.3">
      <c r="A1333" s="18">
        <v>1189</v>
      </c>
      <c r="B1333" s="18">
        <v>181</v>
      </c>
      <c r="C1333" s="18" t="s">
        <v>20</v>
      </c>
      <c r="D1333" s="18" t="s">
        <v>1203</v>
      </c>
      <c r="E1333" s="22">
        <v>45962</v>
      </c>
      <c r="F1333" s="18" t="s">
        <v>1204</v>
      </c>
      <c r="G1333" s="51" t="s">
        <v>2835</v>
      </c>
      <c r="H1333" s="56">
        <v>325510.32</v>
      </c>
      <c r="I1333" s="22">
        <v>45962</v>
      </c>
      <c r="J1333" s="36">
        <v>45962</v>
      </c>
      <c r="K1333" s="18">
        <v>384</v>
      </c>
      <c r="L1333" s="61">
        <v>384</v>
      </c>
      <c r="M1333" s="61">
        <v>32</v>
      </c>
      <c r="N1333" s="22">
        <v>45964</v>
      </c>
      <c r="O1333" s="18" t="s">
        <v>21</v>
      </c>
      <c r="P1333" s="18" t="s">
        <v>1456</v>
      </c>
      <c r="Q1333" s="17" t="s">
        <v>127</v>
      </c>
      <c r="R1333" s="18" t="s">
        <v>102</v>
      </c>
      <c r="S1333" s="18" t="s">
        <v>1623</v>
      </c>
      <c r="T1333" s="18" t="s">
        <v>804</v>
      </c>
      <c r="U1333" s="17"/>
      <c r="V1333" s="17"/>
      <c r="W1333" s="10"/>
    </row>
    <row r="1334" spans="1:23" s="1" customFormat="1" x14ac:dyDescent="0.3">
      <c r="A1334" s="18">
        <v>1189</v>
      </c>
      <c r="B1334" s="18">
        <v>181</v>
      </c>
      <c r="C1334" s="18" t="s">
        <v>20</v>
      </c>
      <c r="D1334" s="18" t="s">
        <v>2836</v>
      </c>
      <c r="E1334" s="22">
        <v>45961</v>
      </c>
      <c r="F1334" s="18" t="s">
        <v>113</v>
      </c>
      <c r="G1334" s="51" t="s">
        <v>2838</v>
      </c>
      <c r="H1334" s="56">
        <v>201027.3</v>
      </c>
      <c r="I1334" s="22">
        <v>45961</v>
      </c>
      <c r="J1334" s="36">
        <v>45955</v>
      </c>
      <c r="K1334" s="18">
        <v>180</v>
      </c>
      <c r="L1334" s="61">
        <v>180</v>
      </c>
      <c r="M1334" s="61">
        <v>15</v>
      </c>
      <c r="N1334" s="22">
        <v>45964</v>
      </c>
      <c r="O1334" s="18" t="s">
        <v>2344</v>
      </c>
      <c r="P1334" s="18" t="s">
        <v>1456</v>
      </c>
      <c r="Q1334" s="17" t="s">
        <v>127</v>
      </c>
      <c r="R1334" s="18" t="s">
        <v>102</v>
      </c>
      <c r="S1334" s="18" t="s">
        <v>1623</v>
      </c>
      <c r="T1334" s="18" t="s">
        <v>804</v>
      </c>
      <c r="U1334" s="17"/>
      <c r="V1334" s="17"/>
      <c r="W1334" s="10"/>
    </row>
    <row r="1335" spans="1:23" s="1" customFormat="1" x14ac:dyDescent="0.3">
      <c r="A1335" s="18">
        <v>1189</v>
      </c>
      <c r="B1335" s="18">
        <v>181</v>
      </c>
      <c r="C1335" s="18" t="s">
        <v>20</v>
      </c>
      <c r="D1335" s="18" t="s">
        <v>2839</v>
      </c>
      <c r="E1335" s="22">
        <v>45962</v>
      </c>
      <c r="F1335" s="18" t="s">
        <v>64</v>
      </c>
      <c r="G1335" s="51" t="s">
        <v>2840</v>
      </c>
      <c r="H1335" s="56">
        <v>166990.29999999999</v>
      </c>
      <c r="I1335" s="22">
        <v>45962</v>
      </c>
      <c r="J1335" s="36">
        <v>45962</v>
      </c>
      <c r="K1335" s="18">
        <v>120</v>
      </c>
      <c r="L1335" s="61">
        <v>120</v>
      </c>
      <c r="M1335" s="61">
        <v>10</v>
      </c>
      <c r="N1335" s="22">
        <v>45964</v>
      </c>
      <c r="O1335" s="18" t="s">
        <v>2344</v>
      </c>
      <c r="P1335" s="18" t="s">
        <v>1456</v>
      </c>
      <c r="Q1335" s="17" t="s">
        <v>127</v>
      </c>
      <c r="R1335" s="18" t="s">
        <v>102</v>
      </c>
      <c r="S1335" s="18" t="s">
        <v>1623</v>
      </c>
      <c r="T1335" s="18" t="s">
        <v>804</v>
      </c>
      <c r="U1335" s="17"/>
      <c r="V1335" s="17"/>
      <c r="W1335" s="10"/>
    </row>
    <row r="1336" spans="1:23" s="1" customFormat="1" x14ac:dyDescent="0.3">
      <c r="A1336" s="18">
        <v>1189</v>
      </c>
      <c r="B1336" s="18">
        <v>181</v>
      </c>
      <c r="C1336" s="18" t="s">
        <v>20</v>
      </c>
      <c r="D1336" s="18" t="s">
        <v>2841</v>
      </c>
      <c r="E1336" s="22">
        <v>45962</v>
      </c>
      <c r="F1336" s="18" t="s">
        <v>2494</v>
      </c>
      <c r="G1336" s="51" t="s">
        <v>2842</v>
      </c>
      <c r="H1336" s="56">
        <v>63330.64</v>
      </c>
      <c r="I1336" s="22">
        <v>45962</v>
      </c>
      <c r="J1336" s="36">
        <v>45962</v>
      </c>
      <c r="K1336" s="18">
        <v>48</v>
      </c>
      <c r="L1336" s="61">
        <v>48</v>
      </c>
      <c r="M1336" s="61">
        <v>4</v>
      </c>
      <c r="N1336" s="22">
        <v>45964</v>
      </c>
      <c r="O1336" s="18" t="s">
        <v>2350</v>
      </c>
      <c r="P1336" s="18" t="s">
        <v>1456</v>
      </c>
      <c r="Q1336" s="17" t="s">
        <v>127</v>
      </c>
      <c r="R1336" s="18" t="s">
        <v>102</v>
      </c>
      <c r="S1336" s="18" t="s">
        <v>1623</v>
      </c>
      <c r="T1336" s="18" t="s">
        <v>804</v>
      </c>
      <c r="U1336" s="17"/>
      <c r="V1336" s="17"/>
      <c r="W1336" s="10"/>
    </row>
    <row r="1337" spans="1:23" s="1" customFormat="1" x14ac:dyDescent="0.3">
      <c r="A1337" s="18">
        <v>1189</v>
      </c>
      <c r="B1337" s="18">
        <v>181</v>
      </c>
      <c r="C1337" s="18" t="s">
        <v>20</v>
      </c>
      <c r="D1337" s="18" t="s">
        <v>2843</v>
      </c>
      <c r="E1337" s="22">
        <v>45962</v>
      </c>
      <c r="F1337" s="18" t="s">
        <v>133</v>
      </c>
      <c r="G1337" s="51" t="s">
        <v>2844</v>
      </c>
      <c r="H1337" s="56">
        <v>66796.12</v>
      </c>
      <c r="I1337" s="22">
        <v>45962</v>
      </c>
      <c r="J1337" s="36">
        <v>45962</v>
      </c>
      <c r="K1337" s="18">
        <v>48</v>
      </c>
      <c r="L1337" s="61">
        <v>48</v>
      </c>
      <c r="M1337" s="61">
        <v>4</v>
      </c>
      <c r="N1337" s="22">
        <v>45964</v>
      </c>
      <c r="O1337" s="18" t="s">
        <v>21</v>
      </c>
      <c r="P1337" s="18" t="s">
        <v>1456</v>
      </c>
      <c r="Q1337" s="17" t="s">
        <v>127</v>
      </c>
      <c r="R1337" s="18" t="s">
        <v>102</v>
      </c>
      <c r="S1337" s="18" t="s">
        <v>1623</v>
      </c>
      <c r="T1337" s="18" t="s">
        <v>804</v>
      </c>
      <c r="U1337" s="17"/>
      <c r="V1337" s="17"/>
      <c r="W1337" s="10"/>
    </row>
    <row r="1338" spans="1:23" s="1" customFormat="1" x14ac:dyDescent="0.3">
      <c r="A1338" s="18">
        <v>1189</v>
      </c>
      <c r="B1338" s="18">
        <v>181</v>
      </c>
      <c r="C1338" s="18" t="s">
        <v>20</v>
      </c>
      <c r="D1338" s="18" t="s">
        <v>2837</v>
      </c>
      <c r="E1338" s="22">
        <v>45962</v>
      </c>
      <c r="F1338" s="18" t="s">
        <v>64</v>
      </c>
      <c r="G1338" s="51" t="s">
        <v>2845</v>
      </c>
      <c r="H1338" s="56">
        <v>500970.9</v>
      </c>
      <c r="I1338" s="22">
        <v>45962</v>
      </c>
      <c r="J1338" s="36">
        <v>45962</v>
      </c>
      <c r="K1338" s="18">
        <v>360</v>
      </c>
      <c r="L1338" s="61">
        <v>360</v>
      </c>
      <c r="M1338" s="61">
        <v>30</v>
      </c>
      <c r="N1338" s="22">
        <v>45964</v>
      </c>
      <c r="O1338" s="18" t="s">
        <v>2344</v>
      </c>
      <c r="P1338" s="18" t="s">
        <v>1456</v>
      </c>
      <c r="Q1338" s="17" t="s">
        <v>127</v>
      </c>
      <c r="R1338" s="18" t="s">
        <v>102</v>
      </c>
      <c r="S1338" s="18" t="s">
        <v>1623</v>
      </c>
      <c r="T1338" s="18" t="s">
        <v>804</v>
      </c>
      <c r="U1338" s="17"/>
      <c r="V1338" s="17"/>
      <c r="W1338" s="10"/>
    </row>
    <row r="1339" spans="1:23" s="1" customFormat="1" x14ac:dyDescent="0.3">
      <c r="A1339" s="18">
        <v>1189</v>
      </c>
      <c r="B1339" s="18">
        <v>181</v>
      </c>
      <c r="C1339" s="18" t="s">
        <v>20</v>
      </c>
      <c r="D1339" s="18" t="s">
        <v>2846</v>
      </c>
      <c r="E1339" s="22">
        <v>45962</v>
      </c>
      <c r="F1339" s="18" t="s">
        <v>53</v>
      </c>
      <c r="G1339" s="51" t="s">
        <v>2847</v>
      </c>
      <c r="H1339" s="56">
        <v>304093.39</v>
      </c>
      <c r="I1339" s="22">
        <v>45962</v>
      </c>
      <c r="J1339" s="36">
        <v>45962</v>
      </c>
      <c r="K1339" s="18">
        <v>204</v>
      </c>
      <c r="L1339" s="61">
        <v>204</v>
      </c>
      <c r="M1339" s="61">
        <v>17</v>
      </c>
      <c r="N1339" s="22">
        <v>45964</v>
      </c>
      <c r="O1339" s="18" t="s">
        <v>21</v>
      </c>
      <c r="P1339" s="18" t="s">
        <v>1456</v>
      </c>
      <c r="Q1339" s="17" t="s">
        <v>127</v>
      </c>
      <c r="R1339" s="18" t="s">
        <v>102</v>
      </c>
      <c r="S1339" s="18" t="s">
        <v>1623</v>
      </c>
      <c r="T1339" s="18" t="s">
        <v>804</v>
      </c>
      <c r="U1339" s="17"/>
      <c r="V1339" s="17"/>
      <c r="W1339" s="10"/>
    </row>
    <row r="1340" spans="1:23" s="1" customFormat="1" x14ac:dyDescent="0.3">
      <c r="A1340" s="18">
        <v>1189</v>
      </c>
      <c r="B1340" s="18">
        <v>181</v>
      </c>
      <c r="C1340" s="18" t="s">
        <v>20</v>
      </c>
      <c r="D1340" s="18" t="s">
        <v>2848</v>
      </c>
      <c r="E1340" s="22">
        <v>45962</v>
      </c>
      <c r="F1340" s="18" t="s">
        <v>132</v>
      </c>
      <c r="G1340" s="51" t="s">
        <v>2849</v>
      </c>
      <c r="H1340" s="56">
        <v>75836.27</v>
      </c>
      <c r="I1340" s="22">
        <v>45962</v>
      </c>
      <c r="J1340" s="36">
        <v>45962</v>
      </c>
      <c r="K1340" s="18">
        <v>60</v>
      </c>
      <c r="L1340" s="61">
        <v>60</v>
      </c>
      <c r="M1340" s="61">
        <v>5</v>
      </c>
      <c r="N1340" s="22">
        <v>45964</v>
      </c>
      <c r="O1340" s="18" t="s">
        <v>2344</v>
      </c>
      <c r="P1340" s="18" t="s">
        <v>1456</v>
      </c>
      <c r="Q1340" s="17" t="s">
        <v>127</v>
      </c>
      <c r="R1340" s="18" t="s">
        <v>102</v>
      </c>
      <c r="S1340" s="18" t="s">
        <v>1623</v>
      </c>
      <c r="T1340" s="18" t="s">
        <v>804</v>
      </c>
      <c r="U1340" s="17"/>
      <c r="V1340" s="17"/>
      <c r="W1340" s="10"/>
    </row>
    <row r="1341" spans="1:23" s="1" customFormat="1" x14ac:dyDescent="0.3">
      <c r="A1341" s="18">
        <v>1189</v>
      </c>
      <c r="B1341" s="18">
        <v>181</v>
      </c>
      <c r="C1341" s="18" t="s">
        <v>20</v>
      </c>
      <c r="D1341" s="18" t="s">
        <v>2850</v>
      </c>
      <c r="E1341" s="22">
        <v>45962</v>
      </c>
      <c r="F1341" s="18" t="s">
        <v>33</v>
      </c>
      <c r="G1341" s="51" t="s">
        <v>2851</v>
      </c>
      <c r="H1341" s="56">
        <v>38428.589999999997</v>
      </c>
      <c r="I1341" s="22">
        <v>45962</v>
      </c>
      <c r="J1341" s="36">
        <v>45962</v>
      </c>
      <c r="K1341" s="18">
        <v>36</v>
      </c>
      <c r="L1341" s="61">
        <v>36</v>
      </c>
      <c r="M1341" s="61">
        <v>3</v>
      </c>
      <c r="N1341" s="22">
        <v>45964</v>
      </c>
      <c r="O1341" s="18" t="s">
        <v>2362</v>
      </c>
      <c r="P1341" s="18" t="s">
        <v>1456</v>
      </c>
      <c r="Q1341" s="17" t="s">
        <v>127</v>
      </c>
      <c r="R1341" s="18" t="s">
        <v>102</v>
      </c>
      <c r="S1341" s="18" t="s">
        <v>1623</v>
      </c>
      <c r="T1341" s="18" t="s">
        <v>804</v>
      </c>
      <c r="U1341" s="17"/>
      <c r="V1341" s="17"/>
      <c r="W1341" s="10"/>
    </row>
    <row r="1342" spans="1:23" s="1" customFormat="1" x14ac:dyDescent="0.3">
      <c r="A1342" s="18">
        <v>1189</v>
      </c>
      <c r="B1342" s="18">
        <v>181</v>
      </c>
      <c r="C1342" s="18" t="s">
        <v>20</v>
      </c>
      <c r="D1342" s="18" t="s">
        <v>2852</v>
      </c>
      <c r="E1342" s="22">
        <v>45962</v>
      </c>
      <c r="F1342" s="18" t="s">
        <v>35</v>
      </c>
      <c r="G1342" s="51" t="s">
        <v>2853</v>
      </c>
      <c r="H1342" s="56">
        <v>59865.16</v>
      </c>
      <c r="I1342" s="22">
        <v>45964</v>
      </c>
      <c r="J1342" s="36">
        <v>45962</v>
      </c>
      <c r="K1342" s="18">
        <v>48</v>
      </c>
      <c r="L1342" s="61">
        <v>48</v>
      </c>
      <c r="M1342" s="61">
        <v>4</v>
      </c>
      <c r="N1342" s="22">
        <v>45964</v>
      </c>
      <c r="O1342" s="18" t="s">
        <v>2396</v>
      </c>
      <c r="P1342" s="18" t="s">
        <v>1456</v>
      </c>
      <c r="Q1342" s="17" t="s">
        <v>127</v>
      </c>
      <c r="R1342" s="18" t="s">
        <v>102</v>
      </c>
      <c r="S1342" s="18" t="s">
        <v>1623</v>
      </c>
      <c r="T1342" s="18" t="s">
        <v>804</v>
      </c>
      <c r="U1342" s="17"/>
      <c r="V1342" s="17"/>
      <c r="W1342" s="10"/>
    </row>
    <row r="1343" spans="1:23" x14ac:dyDescent="0.3">
      <c r="A1343" s="18">
        <v>1190</v>
      </c>
      <c r="B1343" s="18">
        <v>182</v>
      </c>
      <c r="C1343" s="18" t="s">
        <v>20</v>
      </c>
      <c r="D1343" s="18" t="s">
        <v>2854</v>
      </c>
      <c r="E1343" s="22">
        <v>45962</v>
      </c>
      <c r="F1343" s="18" t="s">
        <v>1204</v>
      </c>
      <c r="G1343" s="51" t="s">
        <v>2855</v>
      </c>
      <c r="H1343" s="56">
        <v>2084925</v>
      </c>
      <c r="I1343" s="22">
        <v>45964</v>
      </c>
      <c r="J1343" s="36">
        <v>45962</v>
      </c>
      <c r="K1343" s="18">
        <v>2500</v>
      </c>
      <c r="L1343" s="61">
        <v>2500</v>
      </c>
      <c r="M1343" s="61">
        <v>250</v>
      </c>
      <c r="N1343" s="22">
        <v>45964</v>
      </c>
      <c r="O1343" s="18" t="s">
        <v>21</v>
      </c>
      <c r="P1343" s="18" t="s">
        <v>1456</v>
      </c>
      <c r="Q1343" s="17" t="s">
        <v>140</v>
      </c>
      <c r="R1343" s="18" t="s">
        <v>102</v>
      </c>
      <c r="S1343" s="18" t="s">
        <v>1623</v>
      </c>
      <c r="T1343" s="18" t="s">
        <v>804</v>
      </c>
      <c r="U1343" s="17"/>
      <c r="V1343" s="17"/>
    </row>
    <row r="1344" spans="1:23" x14ac:dyDescent="0.3">
      <c r="A1344" s="18">
        <v>1191</v>
      </c>
      <c r="B1344" s="18">
        <v>183</v>
      </c>
      <c r="C1344" s="18" t="s">
        <v>20</v>
      </c>
      <c r="D1344" s="18" t="s">
        <v>2856</v>
      </c>
      <c r="E1344" s="22">
        <v>45961</v>
      </c>
      <c r="F1344" s="18" t="s">
        <v>47</v>
      </c>
      <c r="G1344" s="51" t="s">
        <v>2857</v>
      </c>
      <c r="H1344" s="56">
        <v>146881.54</v>
      </c>
      <c r="I1344" s="22">
        <v>45961</v>
      </c>
      <c r="J1344" s="36">
        <v>45955</v>
      </c>
      <c r="K1344" s="18">
        <v>120</v>
      </c>
      <c r="L1344" s="61">
        <v>120</v>
      </c>
      <c r="M1344" s="61">
        <v>10</v>
      </c>
      <c r="N1344" s="22">
        <v>45965</v>
      </c>
      <c r="O1344" s="18" t="s">
        <v>2403</v>
      </c>
      <c r="P1344" s="18" t="s">
        <v>1456</v>
      </c>
      <c r="Q1344" s="17" t="s">
        <v>141</v>
      </c>
      <c r="R1344" s="18" t="s">
        <v>102</v>
      </c>
      <c r="S1344" s="18" t="s">
        <v>1623</v>
      </c>
      <c r="T1344" s="18" t="s">
        <v>804</v>
      </c>
      <c r="U1344" s="14"/>
      <c r="V1344" s="14"/>
    </row>
    <row r="1345" spans="1:22" x14ac:dyDescent="0.3">
      <c r="A1345" s="18">
        <v>1191</v>
      </c>
      <c r="B1345" s="18">
        <v>183</v>
      </c>
      <c r="C1345" s="18" t="s">
        <v>20</v>
      </c>
      <c r="D1345" s="18" t="s">
        <v>2858</v>
      </c>
      <c r="E1345" s="22">
        <v>45962</v>
      </c>
      <c r="F1345" s="18" t="s">
        <v>47</v>
      </c>
      <c r="G1345" s="51" t="s">
        <v>2859</v>
      </c>
      <c r="H1345" s="56">
        <v>131859.5</v>
      </c>
      <c r="I1345" s="22">
        <v>45962</v>
      </c>
      <c r="J1345" s="36">
        <v>45962</v>
      </c>
      <c r="K1345" s="18">
        <v>96</v>
      </c>
      <c r="L1345" s="61">
        <v>96</v>
      </c>
      <c r="M1345" s="61">
        <v>8</v>
      </c>
      <c r="N1345" s="22">
        <v>45965</v>
      </c>
      <c r="O1345" s="18" t="s">
        <v>2403</v>
      </c>
      <c r="P1345" s="18" t="s">
        <v>1456</v>
      </c>
      <c r="Q1345" s="17" t="s">
        <v>141</v>
      </c>
      <c r="R1345" s="18" t="s">
        <v>102</v>
      </c>
      <c r="S1345" s="18" t="s">
        <v>1623</v>
      </c>
      <c r="T1345" s="18" t="s">
        <v>804</v>
      </c>
      <c r="U1345" s="14"/>
      <c r="V1345" s="14"/>
    </row>
    <row r="1346" spans="1:22" x14ac:dyDescent="0.3">
      <c r="A1346" s="18">
        <v>1191</v>
      </c>
      <c r="B1346" s="18">
        <v>183</v>
      </c>
      <c r="C1346" s="18" t="s">
        <v>20</v>
      </c>
      <c r="D1346" s="18" t="s">
        <v>2860</v>
      </c>
      <c r="E1346" s="22">
        <v>45965</v>
      </c>
      <c r="F1346" s="18" t="s">
        <v>2208</v>
      </c>
      <c r="G1346" s="51" t="s">
        <v>2861</v>
      </c>
      <c r="H1346" s="56">
        <v>78276.05</v>
      </c>
      <c r="I1346" s="22">
        <v>45965</v>
      </c>
      <c r="J1346" s="36">
        <v>45962</v>
      </c>
      <c r="K1346" s="18">
        <v>60</v>
      </c>
      <c r="L1346" s="61">
        <v>60</v>
      </c>
      <c r="M1346" s="61">
        <v>5</v>
      </c>
      <c r="N1346" s="22">
        <v>45965</v>
      </c>
      <c r="O1346" s="18" t="s">
        <v>2350</v>
      </c>
      <c r="P1346" s="18" t="s">
        <v>1456</v>
      </c>
      <c r="Q1346" s="17" t="s">
        <v>141</v>
      </c>
      <c r="R1346" s="18" t="s">
        <v>102</v>
      </c>
      <c r="S1346" s="18" t="s">
        <v>1623</v>
      </c>
      <c r="T1346" s="18" t="s">
        <v>804</v>
      </c>
      <c r="U1346" s="14"/>
      <c r="V1346" s="14"/>
    </row>
    <row r="1347" spans="1:22" x14ac:dyDescent="0.3">
      <c r="A1347" s="18">
        <v>1191</v>
      </c>
      <c r="B1347" s="18">
        <v>183</v>
      </c>
      <c r="C1347" s="18" t="s">
        <v>20</v>
      </c>
      <c r="D1347" s="18" t="s">
        <v>2862</v>
      </c>
      <c r="E1347" s="22">
        <v>45965</v>
      </c>
      <c r="F1347" s="18" t="s">
        <v>2208</v>
      </c>
      <c r="G1347" s="51" t="s">
        <v>2863</v>
      </c>
      <c r="H1347" s="56">
        <v>78276.05</v>
      </c>
      <c r="I1347" s="22">
        <v>45965</v>
      </c>
      <c r="J1347" s="36">
        <v>45962</v>
      </c>
      <c r="K1347" s="18">
        <v>60</v>
      </c>
      <c r="L1347" s="61">
        <v>60</v>
      </c>
      <c r="M1347" s="61">
        <v>5</v>
      </c>
      <c r="N1347" s="22">
        <v>45965</v>
      </c>
      <c r="O1347" s="18" t="s">
        <v>2350</v>
      </c>
      <c r="P1347" s="18" t="s">
        <v>1456</v>
      </c>
      <c r="Q1347" s="17" t="s">
        <v>141</v>
      </c>
      <c r="R1347" s="18" t="s">
        <v>102</v>
      </c>
      <c r="S1347" s="18" t="s">
        <v>1623</v>
      </c>
      <c r="T1347" s="18" t="s">
        <v>804</v>
      </c>
      <c r="U1347" s="14"/>
      <c r="V1347" s="14"/>
    </row>
    <row r="1348" spans="1:22" x14ac:dyDescent="0.3">
      <c r="A1348" s="18">
        <v>1191</v>
      </c>
      <c r="B1348" s="18">
        <v>183</v>
      </c>
      <c r="C1348" s="18" t="s">
        <v>20</v>
      </c>
      <c r="D1348" s="18" t="s">
        <v>2864</v>
      </c>
      <c r="E1348" s="22">
        <v>45965</v>
      </c>
      <c r="F1348" s="18" t="s">
        <v>47</v>
      </c>
      <c r="G1348" s="51" t="s">
        <v>2865</v>
      </c>
      <c r="H1348" s="56">
        <v>66796.12</v>
      </c>
      <c r="I1348" s="22">
        <v>45965</v>
      </c>
      <c r="J1348" s="36">
        <v>45962</v>
      </c>
      <c r="K1348" s="18">
        <v>48</v>
      </c>
      <c r="L1348" s="61">
        <v>48</v>
      </c>
      <c r="M1348" s="61">
        <v>4</v>
      </c>
      <c r="N1348" s="22">
        <v>45965</v>
      </c>
      <c r="O1348" s="18" t="s">
        <v>2403</v>
      </c>
      <c r="P1348" s="18" t="s">
        <v>1456</v>
      </c>
      <c r="Q1348" s="17" t="s">
        <v>141</v>
      </c>
      <c r="R1348" s="18" t="s">
        <v>102</v>
      </c>
      <c r="S1348" s="18" t="s">
        <v>1623</v>
      </c>
      <c r="T1348" s="18" t="s">
        <v>804</v>
      </c>
      <c r="U1348" s="14"/>
      <c r="V1348" s="14"/>
    </row>
    <row r="1349" spans="1:22" x14ac:dyDescent="0.3">
      <c r="A1349" s="18">
        <v>1191</v>
      </c>
      <c r="B1349" s="18">
        <v>183</v>
      </c>
      <c r="C1349" s="18" t="s">
        <v>20</v>
      </c>
      <c r="D1349" s="18" t="s">
        <v>2866</v>
      </c>
      <c r="E1349" s="22">
        <v>45965</v>
      </c>
      <c r="F1349" s="18" t="s">
        <v>35</v>
      </c>
      <c r="G1349" s="51" t="s">
        <v>2867</v>
      </c>
      <c r="H1349" s="56">
        <v>178256.61</v>
      </c>
      <c r="I1349" s="22">
        <v>45965</v>
      </c>
      <c r="J1349" s="36">
        <v>45962</v>
      </c>
      <c r="K1349" s="18">
        <v>276</v>
      </c>
      <c r="L1349" s="61">
        <v>276</v>
      </c>
      <c r="M1349" s="61">
        <v>16</v>
      </c>
      <c r="N1349" s="22">
        <v>45965</v>
      </c>
      <c r="O1349" s="18" t="s">
        <v>2396</v>
      </c>
      <c r="P1349" s="18" t="s">
        <v>1456</v>
      </c>
      <c r="Q1349" s="17" t="s">
        <v>141</v>
      </c>
      <c r="R1349" s="18" t="s">
        <v>102</v>
      </c>
      <c r="S1349" s="18" t="s">
        <v>1623</v>
      </c>
      <c r="T1349" s="18" t="s">
        <v>804</v>
      </c>
      <c r="U1349" s="14"/>
      <c r="V1349" s="14"/>
    </row>
    <row r="1350" spans="1:22" x14ac:dyDescent="0.3">
      <c r="A1350" s="18">
        <v>1191</v>
      </c>
      <c r="B1350" s="18">
        <v>183</v>
      </c>
      <c r="C1350" s="18" t="s">
        <v>20</v>
      </c>
      <c r="D1350" s="18" t="s">
        <v>2868</v>
      </c>
      <c r="E1350" s="22">
        <v>45965</v>
      </c>
      <c r="F1350" s="18" t="s">
        <v>28</v>
      </c>
      <c r="G1350" s="51" t="s">
        <v>2869</v>
      </c>
      <c r="H1350" s="56">
        <v>390380.28</v>
      </c>
      <c r="I1350" s="22">
        <v>45965</v>
      </c>
      <c r="J1350" s="36">
        <v>45962</v>
      </c>
      <c r="K1350" s="18">
        <v>288</v>
      </c>
      <c r="L1350" s="61">
        <v>288</v>
      </c>
      <c r="M1350" s="61">
        <v>24</v>
      </c>
      <c r="N1350" s="22">
        <v>45965</v>
      </c>
      <c r="O1350" s="18" t="s">
        <v>2350</v>
      </c>
      <c r="P1350" s="18" t="s">
        <v>1456</v>
      </c>
      <c r="Q1350" s="17" t="s">
        <v>141</v>
      </c>
      <c r="R1350" s="18" t="s">
        <v>102</v>
      </c>
      <c r="S1350" s="18" t="s">
        <v>1623</v>
      </c>
      <c r="T1350" s="18" t="s">
        <v>804</v>
      </c>
      <c r="U1350" s="14"/>
      <c r="V1350" s="14"/>
    </row>
    <row r="1351" spans="1:22" x14ac:dyDescent="0.3">
      <c r="A1351" s="18">
        <v>1191</v>
      </c>
      <c r="B1351" s="18">
        <v>183</v>
      </c>
      <c r="C1351" s="18" t="s">
        <v>20</v>
      </c>
      <c r="D1351" s="18" t="s">
        <v>1415</v>
      </c>
      <c r="E1351" s="22">
        <v>45965</v>
      </c>
      <c r="F1351" s="18" t="s">
        <v>1204</v>
      </c>
      <c r="G1351" s="51" t="s">
        <v>2870</v>
      </c>
      <c r="H1351" s="56">
        <v>595489.80000000005</v>
      </c>
      <c r="I1351" s="22">
        <v>45965</v>
      </c>
      <c r="J1351" s="36">
        <v>45962</v>
      </c>
      <c r="K1351" s="18">
        <v>744</v>
      </c>
      <c r="L1351" s="61">
        <v>744</v>
      </c>
      <c r="M1351" s="61">
        <v>62</v>
      </c>
      <c r="N1351" s="22">
        <v>45965</v>
      </c>
      <c r="O1351" s="18" t="s">
        <v>21</v>
      </c>
      <c r="P1351" s="18" t="s">
        <v>1456</v>
      </c>
      <c r="Q1351" s="17" t="s">
        <v>141</v>
      </c>
      <c r="R1351" s="18" t="s">
        <v>102</v>
      </c>
      <c r="S1351" s="18" t="s">
        <v>1623</v>
      </c>
      <c r="T1351" s="18" t="s">
        <v>804</v>
      </c>
      <c r="U1351" s="14"/>
      <c r="V1351" s="14"/>
    </row>
    <row r="1352" spans="1:22" x14ac:dyDescent="0.3">
      <c r="A1352" s="18">
        <v>1192</v>
      </c>
      <c r="B1352" s="18">
        <v>184</v>
      </c>
      <c r="C1352" s="18" t="s">
        <v>20</v>
      </c>
      <c r="D1352" s="18" t="s">
        <v>2871</v>
      </c>
      <c r="E1352" s="22">
        <v>45965</v>
      </c>
      <c r="F1352" s="18" t="s">
        <v>1204</v>
      </c>
      <c r="G1352" s="51" t="s">
        <v>2872</v>
      </c>
      <c r="H1352" s="56">
        <v>1943150.1</v>
      </c>
      <c r="I1352" s="22">
        <v>45965</v>
      </c>
      <c r="J1352" s="36">
        <v>45962</v>
      </c>
      <c r="K1352" s="18">
        <v>2330</v>
      </c>
      <c r="L1352" s="61">
        <v>2330</v>
      </c>
      <c r="M1352" s="61">
        <v>233</v>
      </c>
      <c r="N1352" s="22">
        <v>45965</v>
      </c>
      <c r="O1352" s="18" t="s">
        <v>21</v>
      </c>
      <c r="P1352" s="18" t="s">
        <v>1456</v>
      </c>
      <c r="Q1352" s="17" t="s">
        <v>2873</v>
      </c>
      <c r="R1352" s="18" t="s">
        <v>102</v>
      </c>
      <c r="S1352" s="18" t="s">
        <v>1623</v>
      </c>
      <c r="T1352" s="18" t="s">
        <v>804</v>
      </c>
      <c r="U1352" s="14"/>
      <c r="V1352" s="14"/>
    </row>
    <row r="1353" spans="1:22" x14ac:dyDescent="0.3">
      <c r="A1353" s="18">
        <v>1192</v>
      </c>
      <c r="B1353" s="18">
        <v>184</v>
      </c>
      <c r="C1353" s="18" t="s">
        <v>20</v>
      </c>
      <c r="D1353" s="18" t="s">
        <v>2874</v>
      </c>
      <c r="E1353" s="22">
        <v>45965</v>
      </c>
      <c r="F1353" s="18" t="s">
        <v>1204</v>
      </c>
      <c r="G1353" s="51" t="s">
        <v>2875</v>
      </c>
      <c r="H1353" s="56">
        <v>833970</v>
      </c>
      <c r="I1353" s="22">
        <v>45965</v>
      </c>
      <c r="J1353" s="36">
        <v>45962</v>
      </c>
      <c r="K1353" s="18">
        <v>1000</v>
      </c>
      <c r="L1353" s="61">
        <v>1000</v>
      </c>
      <c r="M1353" s="61">
        <v>100</v>
      </c>
      <c r="N1353" s="22">
        <v>45965</v>
      </c>
      <c r="O1353" s="18" t="s">
        <v>21</v>
      </c>
      <c r="P1353" s="18" t="s">
        <v>1456</v>
      </c>
      <c r="Q1353" s="17" t="s">
        <v>141</v>
      </c>
      <c r="R1353" s="18" t="s">
        <v>102</v>
      </c>
      <c r="S1353" s="18" t="s">
        <v>1623</v>
      </c>
      <c r="T1353" s="18" t="s">
        <v>804</v>
      </c>
      <c r="U1353" s="14"/>
      <c r="V1353" s="14"/>
    </row>
    <row r="1354" spans="1:22" x14ac:dyDescent="0.3">
      <c r="A1354" s="18">
        <v>1193</v>
      </c>
      <c r="B1354" s="18">
        <v>185</v>
      </c>
      <c r="C1354" s="18" t="s">
        <v>20</v>
      </c>
      <c r="D1354" s="18" t="s">
        <v>2876</v>
      </c>
      <c r="E1354" s="22">
        <v>45966</v>
      </c>
      <c r="F1354" s="18" t="s">
        <v>1204</v>
      </c>
      <c r="G1354" s="51" t="s">
        <v>2877</v>
      </c>
      <c r="H1354" s="56">
        <v>1501146</v>
      </c>
      <c r="I1354" s="22">
        <v>45966</v>
      </c>
      <c r="J1354" s="36">
        <v>45962</v>
      </c>
      <c r="K1354" s="18">
        <v>1800</v>
      </c>
      <c r="L1354" s="61">
        <v>1800</v>
      </c>
      <c r="M1354" s="61">
        <v>180</v>
      </c>
      <c r="N1354" s="22">
        <v>45966</v>
      </c>
      <c r="O1354" s="18" t="s">
        <v>21</v>
      </c>
      <c r="P1354" s="18" t="s">
        <v>1456</v>
      </c>
      <c r="Q1354" s="17" t="s">
        <v>2878</v>
      </c>
      <c r="R1354" s="18" t="s">
        <v>82</v>
      </c>
      <c r="S1354" s="18" t="s">
        <v>1623</v>
      </c>
      <c r="T1354" s="18" t="s">
        <v>804</v>
      </c>
      <c r="U1354" s="14"/>
      <c r="V1354" s="14"/>
    </row>
    <row r="1355" spans="1:22" x14ac:dyDescent="0.3">
      <c r="A1355" s="18">
        <v>1194</v>
      </c>
      <c r="B1355" s="18">
        <v>186</v>
      </c>
      <c r="C1355" s="18" t="s">
        <v>20</v>
      </c>
      <c r="D1355" s="18" t="s">
        <v>2879</v>
      </c>
      <c r="E1355" s="22">
        <v>45966</v>
      </c>
      <c r="F1355" s="18" t="s">
        <v>53</v>
      </c>
      <c r="G1355" s="51" t="s">
        <v>2880</v>
      </c>
      <c r="H1355" s="56">
        <v>1059958.8</v>
      </c>
      <c r="I1355" s="22">
        <v>45966</v>
      </c>
      <c r="J1355" s="36">
        <v>45962</v>
      </c>
      <c r="K1355" s="18">
        <v>1010</v>
      </c>
      <c r="L1355" s="61">
        <v>1010</v>
      </c>
      <c r="M1355" s="61">
        <v>101</v>
      </c>
      <c r="N1355" s="22">
        <v>45966</v>
      </c>
      <c r="O1355" s="18" t="s">
        <v>21</v>
      </c>
      <c r="P1355" s="18" t="s">
        <v>1456</v>
      </c>
      <c r="Q1355" s="17" t="s">
        <v>140</v>
      </c>
      <c r="R1355" s="18" t="s">
        <v>102</v>
      </c>
      <c r="S1355" s="18" t="s">
        <v>1623</v>
      </c>
      <c r="T1355" s="18" t="s">
        <v>804</v>
      </c>
      <c r="U1355" s="14"/>
      <c r="V1355" s="14"/>
    </row>
    <row r="1356" spans="1:22" x14ac:dyDescent="0.3">
      <c r="A1356" s="18">
        <v>1194</v>
      </c>
      <c r="B1356" s="18">
        <v>186</v>
      </c>
      <c r="C1356" s="18" t="s">
        <v>20</v>
      </c>
      <c r="D1356" s="18" t="s">
        <v>2881</v>
      </c>
      <c r="E1356" s="22">
        <v>45966</v>
      </c>
      <c r="F1356" s="18" t="s">
        <v>580</v>
      </c>
      <c r="G1356" s="51" t="s">
        <v>2882</v>
      </c>
      <c r="H1356" s="56">
        <v>424279.25</v>
      </c>
      <c r="I1356" s="22">
        <v>45966</v>
      </c>
      <c r="J1356" s="36">
        <v>45962</v>
      </c>
      <c r="K1356" s="18">
        <v>344</v>
      </c>
      <c r="L1356" s="61">
        <v>344</v>
      </c>
      <c r="M1356" s="61">
        <v>29</v>
      </c>
      <c r="N1356" s="22">
        <v>45966</v>
      </c>
      <c r="O1356" s="18" t="s">
        <v>2765</v>
      </c>
      <c r="P1356" s="18" t="s">
        <v>1456</v>
      </c>
      <c r="Q1356" s="17" t="s">
        <v>140</v>
      </c>
      <c r="R1356" s="18" t="s">
        <v>102</v>
      </c>
      <c r="S1356" s="18" t="s">
        <v>1623</v>
      </c>
      <c r="T1356" s="18" t="s">
        <v>804</v>
      </c>
      <c r="U1356" s="14"/>
      <c r="V1356" s="14"/>
    </row>
    <row r="1357" spans="1:22" x14ac:dyDescent="0.3">
      <c r="A1357" s="18">
        <v>1194</v>
      </c>
      <c r="B1357" s="18">
        <v>186</v>
      </c>
      <c r="C1357" s="18" t="s">
        <v>23</v>
      </c>
      <c r="D1357" s="18" t="s">
        <v>2883</v>
      </c>
      <c r="E1357" s="22">
        <v>45966</v>
      </c>
      <c r="F1357" s="18" t="s">
        <v>58</v>
      </c>
      <c r="G1357" s="51" t="s">
        <v>2884</v>
      </c>
      <c r="H1357" s="56">
        <v>253148.16</v>
      </c>
      <c r="I1357" s="22">
        <v>45966</v>
      </c>
      <c r="J1357" s="36">
        <v>45962</v>
      </c>
      <c r="K1357" s="18">
        <v>600</v>
      </c>
      <c r="L1357" s="61">
        <v>600</v>
      </c>
      <c r="M1357" s="61">
        <v>25</v>
      </c>
      <c r="N1357" s="22">
        <v>45966</v>
      </c>
      <c r="O1357" s="18" t="s">
        <v>2308</v>
      </c>
      <c r="P1357" s="18" t="s">
        <v>1456</v>
      </c>
      <c r="Q1357" s="17" t="s">
        <v>140</v>
      </c>
      <c r="R1357" s="18" t="s">
        <v>102</v>
      </c>
      <c r="S1357" s="18" t="s">
        <v>1623</v>
      </c>
      <c r="T1357" s="18" t="s">
        <v>804</v>
      </c>
      <c r="U1357" s="14"/>
      <c r="V1357" s="14"/>
    </row>
    <row r="1358" spans="1:22" x14ac:dyDescent="0.3">
      <c r="A1358" s="18">
        <v>1194</v>
      </c>
      <c r="B1358" s="18">
        <v>186</v>
      </c>
      <c r="C1358" s="18" t="s">
        <v>20</v>
      </c>
      <c r="D1358" s="18" t="s">
        <v>2885</v>
      </c>
      <c r="E1358" s="22">
        <v>45966</v>
      </c>
      <c r="F1358" s="18" t="s">
        <v>53</v>
      </c>
      <c r="G1358" s="51" t="s">
        <v>2886</v>
      </c>
      <c r="H1358" s="56">
        <v>779066.4</v>
      </c>
      <c r="I1358" s="22">
        <v>45966</v>
      </c>
      <c r="J1358" s="36">
        <v>45962</v>
      </c>
      <c r="K1358" s="18">
        <v>780</v>
      </c>
      <c r="L1358" s="61">
        <v>780</v>
      </c>
      <c r="M1358" s="61">
        <v>78</v>
      </c>
      <c r="N1358" s="22">
        <v>45966</v>
      </c>
      <c r="O1358" s="18" t="s">
        <v>21</v>
      </c>
      <c r="P1358" s="18" t="s">
        <v>1456</v>
      </c>
      <c r="Q1358" s="17" t="s">
        <v>140</v>
      </c>
      <c r="R1358" s="18" t="s">
        <v>102</v>
      </c>
      <c r="S1358" s="18" t="s">
        <v>1623</v>
      </c>
      <c r="T1358" s="18" t="s">
        <v>804</v>
      </c>
      <c r="U1358" s="14"/>
      <c r="V1358" s="14"/>
    </row>
    <row r="1359" spans="1:22" x14ac:dyDescent="0.3">
      <c r="A1359" s="18">
        <v>1194</v>
      </c>
      <c r="B1359" s="18">
        <v>186</v>
      </c>
      <c r="C1359" s="18" t="s">
        <v>20</v>
      </c>
      <c r="D1359" s="18" t="s">
        <v>2887</v>
      </c>
      <c r="E1359" s="22">
        <v>45966</v>
      </c>
      <c r="F1359" s="18" t="s">
        <v>53</v>
      </c>
      <c r="G1359" s="51" t="s">
        <v>2888</v>
      </c>
      <c r="H1359" s="56">
        <v>334519.2</v>
      </c>
      <c r="I1359" s="22">
        <v>45966</v>
      </c>
      <c r="J1359" s="36">
        <v>45962</v>
      </c>
      <c r="K1359" s="18">
        <v>340</v>
      </c>
      <c r="L1359" s="61">
        <v>340</v>
      </c>
      <c r="M1359" s="61">
        <v>34</v>
      </c>
      <c r="N1359" s="22">
        <v>45966</v>
      </c>
      <c r="O1359" s="18" t="s">
        <v>21</v>
      </c>
      <c r="P1359" s="18" t="s">
        <v>1456</v>
      </c>
      <c r="Q1359" s="17" t="s">
        <v>140</v>
      </c>
      <c r="R1359" s="18" t="s">
        <v>102</v>
      </c>
      <c r="S1359" s="18" t="s">
        <v>1623</v>
      </c>
      <c r="T1359" s="18" t="s">
        <v>804</v>
      </c>
      <c r="U1359" s="14"/>
      <c r="V1359" s="14"/>
    </row>
    <row r="1360" spans="1:22" x14ac:dyDescent="0.3">
      <c r="A1360" s="18">
        <v>1195</v>
      </c>
      <c r="B1360" s="18">
        <v>187</v>
      </c>
      <c r="C1360" s="18" t="s">
        <v>20</v>
      </c>
      <c r="D1360" s="18" t="s">
        <v>2890</v>
      </c>
      <c r="E1360" s="22">
        <v>45967</v>
      </c>
      <c r="F1360" s="18" t="s">
        <v>1204</v>
      </c>
      <c r="G1360" s="51" t="s">
        <v>2889</v>
      </c>
      <c r="H1360" s="56">
        <v>1667940</v>
      </c>
      <c r="I1360" s="22">
        <v>45967</v>
      </c>
      <c r="J1360" s="36">
        <v>45962</v>
      </c>
      <c r="K1360" s="18">
        <v>2000</v>
      </c>
      <c r="L1360" s="61">
        <v>2000</v>
      </c>
      <c r="M1360" s="61">
        <v>200</v>
      </c>
      <c r="N1360" s="22">
        <v>45967</v>
      </c>
      <c r="O1360" s="18" t="s">
        <v>21</v>
      </c>
      <c r="P1360" s="18" t="s">
        <v>1456</v>
      </c>
      <c r="Q1360" s="17" t="s">
        <v>135</v>
      </c>
      <c r="R1360" s="18" t="s">
        <v>102</v>
      </c>
      <c r="S1360" s="18" t="s">
        <v>1623</v>
      </c>
      <c r="T1360" s="18" t="s">
        <v>804</v>
      </c>
      <c r="U1360" s="14"/>
      <c r="V1360" s="14"/>
    </row>
    <row r="1361" spans="1:22" x14ac:dyDescent="0.3">
      <c r="A1361" s="18">
        <v>1196</v>
      </c>
      <c r="B1361" s="18">
        <v>188</v>
      </c>
      <c r="C1361" s="18" t="s">
        <v>23</v>
      </c>
      <c r="D1361" s="18" t="s">
        <v>2891</v>
      </c>
      <c r="E1361" s="22">
        <v>45967</v>
      </c>
      <c r="F1361" s="18" t="s">
        <v>1204</v>
      </c>
      <c r="G1361" s="51" t="s">
        <v>2892</v>
      </c>
      <c r="H1361" s="56">
        <v>107055.48</v>
      </c>
      <c r="I1361" s="22">
        <v>45967</v>
      </c>
      <c r="J1361" s="36">
        <v>45962</v>
      </c>
      <c r="K1361" s="18">
        <v>408</v>
      </c>
      <c r="L1361" s="61">
        <v>408</v>
      </c>
      <c r="M1361" s="61">
        <v>16</v>
      </c>
      <c r="N1361" s="22">
        <v>45968</v>
      </c>
      <c r="O1361" s="18" t="s">
        <v>21</v>
      </c>
      <c r="P1361" s="18" t="s">
        <v>1456</v>
      </c>
      <c r="Q1361" s="17" t="s">
        <v>140</v>
      </c>
      <c r="R1361" s="18" t="s">
        <v>102</v>
      </c>
      <c r="S1361" s="18" t="s">
        <v>1623</v>
      </c>
      <c r="T1361" s="18" t="s">
        <v>804</v>
      </c>
      <c r="U1361" s="14"/>
      <c r="V1361" s="14"/>
    </row>
    <row r="1362" spans="1:22" x14ac:dyDescent="0.3">
      <c r="A1362" s="18">
        <v>1196</v>
      </c>
      <c r="B1362" s="18">
        <v>188</v>
      </c>
      <c r="C1362" s="18" t="s">
        <v>23</v>
      </c>
      <c r="D1362" s="18" t="s">
        <v>2893</v>
      </c>
      <c r="E1362" s="22">
        <v>45968</v>
      </c>
      <c r="F1362" s="18" t="s">
        <v>1204</v>
      </c>
      <c r="G1362" s="51" t="s">
        <v>2894</v>
      </c>
      <c r="H1362" s="56">
        <v>788144.6</v>
      </c>
      <c r="I1362" s="22">
        <v>45968</v>
      </c>
      <c r="J1362" s="36">
        <v>45962</v>
      </c>
      <c r="K1362" s="18">
        <v>2928</v>
      </c>
      <c r="L1362" s="61">
        <v>2928</v>
      </c>
      <c r="M1362" s="61">
        <v>124</v>
      </c>
      <c r="N1362" s="22">
        <v>45968</v>
      </c>
      <c r="O1362" s="18" t="s">
        <v>21</v>
      </c>
      <c r="P1362" s="18" t="s">
        <v>1456</v>
      </c>
      <c r="Q1362" s="17" t="s">
        <v>140</v>
      </c>
      <c r="R1362" s="18" t="s">
        <v>102</v>
      </c>
      <c r="S1362" s="18" t="s">
        <v>1623</v>
      </c>
      <c r="T1362" s="18" t="s">
        <v>804</v>
      </c>
      <c r="U1362" s="14"/>
      <c r="V1362" s="14"/>
    </row>
    <row r="1363" spans="1:22" x14ac:dyDescent="0.3">
      <c r="A1363" s="18">
        <v>1196</v>
      </c>
      <c r="B1363" s="18">
        <v>188</v>
      </c>
      <c r="C1363" s="18" t="s">
        <v>20</v>
      </c>
      <c r="D1363" s="18" t="s">
        <v>2895</v>
      </c>
      <c r="E1363" s="22">
        <v>45968</v>
      </c>
      <c r="F1363" s="18" t="s">
        <v>129</v>
      </c>
      <c r="G1363" s="51" t="s">
        <v>2896</v>
      </c>
      <c r="H1363" s="56">
        <v>1777439</v>
      </c>
      <c r="I1363" s="22">
        <v>45968</v>
      </c>
      <c r="J1363" s="36">
        <v>45962</v>
      </c>
      <c r="K1363" s="18">
        <v>900</v>
      </c>
      <c r="L1363" s="61">
        <v>900</v>
      </c>
      <c r="M1363" s="61">
        <v>75</v>
      </c>
      <c r="N1363" s="22">
        <v>45968</v>
      </c>
      <c r="O1363" s="18" t="s">
        <v>2353</v>
      </c>
      <c r="P1363" s="18" t="s">
        <v>1456</v>
      </c>
      <c r="Q1363" s="17" t="s">
        <v>140</v>
      </c>
      <c r="R1363" s="18" t="s">
        <v>102</v>
      </c>
      <c r="S1363" s="18" t="s">
        <v>1623</v>
      </c>
      <c r="T1363" s="18" t="s">
        <v>804</v>
      </c>
      <c r="U1363" s="14"/>
      <c r="V1363" s="14"/>
    </row>
    <row r="1364" spans="1:22" x14ac:dyDescent="0.3">
      <c r="A1364" s="18">
        <v>1197</v>
      </c>
      <c r="B1364" s="18">
        <v>189</v>
      </c>
      <c r="C1364" s="18" t="s">
        <v>20</v>
      </c>
      <c r="D1364" s="18" t="s">
        <v>2897</v>
      </c>
      <c r="E1364" s="22">
        <v>45968</v>
      </c>
      <c r="F1364" s="18" t="s">
        <v>131</v>
      </c>
      <c r="G1364" s="51" t="s">
        <v>2898</v>
      </c>
      <c r="H1364" s="56">
        <v>64746</v>
      </c>
      <c r="I1364" s="22">
        <v>45968</v>
      </c>
      <c r="J1364" s="36">
        <v>45962</v>
      </c>
      <c r="K1364" s="18">
        <v>72</v>
      </c>
      <c r="L1364" s="61">
        <v>72</v>
      </c>
      <c r="M1364" s="61">
        <v>6</v>
      </c>
      <c r="N1364" s="22">
        <v>45968</v>
      </c>
      <c r="O1364" s="18" t="s">
        <v>2342</v>
      </c>
      <c r="P1364" s="18" t="s">
        <v>1456</v>
      </c>
      <c r="Q1364" s="17" t="s">
        <v>127</v>
      </c>
      <c r="R1364" s="18" t="s">
        <v>102</v>
      </c>
      <c r="S1364" s="18" t="s">
        <v>1623</v>
      </c>
      <c r="T1364" s="18" t="s">
        <v>804</v>
      </c>
      <c r="U1364" s="14"/>
      <c r="V1364" s="14"/>
    </row>
    <row r="1365" spans="1:22" x14ac:dyDescent="0.3">
      <c r="A1365" s="18">
        <v>1197</v>
      </c>
      <c r="B1365" s="18">
        <v>189</v>
      </c>
      <c r="C1365" s="18" t="s">
        <v>20</v>
      </c>
      <c r="D1365" s="18" t="s">
        <v>2899</v>
      </c>
      <c r="E1365" s="22">
        <v>45968</v>
      </c>
      <c r="F1365" s="18" t="s">
        <v>2494</v>
      </c>
      <c r="G1365" s="51" t="s">
        <v>2900</v>
      </c>
      <c r="H1365" s="56">
        <v>64746</v>
      </c>
      <c r="I1365" s="22">
        <v>45968</v>
      </c>
      <c r="J1365" s="36">
        <v>45962</v>
      </c>
      <c r="K1365" s="18">
        <v>72</v>
      </c>
      <c r="L1365" s="61">
        <v>72</v>
      </c>
      <c r="M1365" s="61">
        <v>6</v>
      </c>
      <c r="N1365" s="22">
        <v>45968</v>
      </c>
      <c r="O1365" s="18" t="s">
        <v>2350</v>
      </c>
      <c r="P1365" s="18" t="s">
        <v>1456</v>
      </c>
      <c r="Q1365" s="17" t="s">
        <v>127</v>
      </c>
      <c r="R1365" s="18" t="s">
        <v>102</v>
      </c>
      <c r="S1365" s="18" t="s">
        <v>1623</v>
      </c>
      <c r="T1365" s="18" t="s">
        <v>804</v>
      </c>
      <c r="U1365" s="14"/>
      <c r="V1365" s="14"/>
    </row>
    <row r="1366" spans="1:22" x14ac:dyDescent="0.3">
      <c r="A1366" s="18">
        <v>1197</v>
      </c>
      <c r="B1366" s="18">
        <v>189</v>
      </c>
      <c r="C1366" s="18" t="s">
        <v>20</v>
      </c>
      <c r="D1366" s="18" t="s">
        <v>2901</v>
      </c>
      <c r="E1366" s="22">
        <v>45968</v>
      </c>
      <c r="F1366" s="18" t="s">
        <v>129</v>
      </c>
      <c r="G1366" s="51" t="s">
        <v>2902</v>
      </c>
      <c r="H1366" s="56">
        <v>100503.78</v>
      </c>
      <c r="I1366" s="22">
        <v>45968</v>
      </c>
      <c r="J1366" s="36">
        <v>45962</v>
      </c>
      <c r="K1366" s="18">
        <v>72</v>
      </c>
      <c r="L1366" s="61">
        <v>72</v>
      </c>
      <c r="M1366" s="61">
        <v>6</v>
      </c>
      <c r="N1366" s="22">
        <v>45968</v>
      </c>
      <c r="O1366" s="18" t="s">
        <v>2353</v>
      </c>
      <c r="P1366" s="18" t="s">
        <v>1456</v>
      </c>
      <c r="Q1366" s="17" t="s">
        <v>127</v>
      </c>
      <c r="R1366" s="18" t="s">
        <v>102</v>
      </c>
      <c r="S1366" s="18" t="s">
        <v>1623</v>
      </c>
      <c r="T1366" s="18" t="s">
        <v>804</v>
      </c>
      <c r="U1366" s="14"/>
      <c r="V1366" s="14"/>
    </row>
    <row r="1367" spans="1:22" x14ac:dyDescent="0.3">
      <c r="A1367" s="18">
        <v>1197</v>
      </c>
      <c r="B1367" s="18">
        <v>189</v>
      </c>
      <c r="C1367" s="18" t="s">
        <v>20</v>
      </c>
      <c r="D1367" s="18" t="s">
        <v>2903</v>
      </c>
      <c r="E1367" s="22">
        <v>45968</v>
      </c>
      <c r="F1367" s="18" t="s">
        <v>117</v>
      </c>
      <c r="G1367" s="51" t="s">
        <v>2904</v>
      </c>
      <c r="H1367" s="56">
        <v>64746</v>
      </c>
      <c r="I1367" s="22">
        <v>45968</v>
      </c>
      <c r="J1367" s="36">
        <v>45962</v>
      </c>
      <c r="K1367" s="18">
        <v>72</v>
      </c>
      <c r="L1367" s="61">
        <v>72</v>
      </c>
      <c r="M1367" s="61">
        <v>6</v>
      </c>
      <c r="N1367" s="22">
        <v>45968</v>
      </c>
      <c r="O1367" s="18" t="s">
        <v>2343</v>
      </c>
      <c r="P1367" s="18" t="s">
        <v>1456</v>
      </c>
      <c r="Q1367" s="17" t="s">
        <v>127</v>
      </c>
      <c r="R1367" s="18" t="s">
        <v>102</v>
      </c>
      <c r="S1367" s="18" t="s">
        <v>1623</v>
      </c>
      <c r="T1367" s="18" t="s">
        <v>804</v>
      </c>
      <c r="U1367" s="14"/>
      <c r="V1367" s="14"/>
    </row>
    <row r="1368" spans="1:22" x14ac:dyDescent="0.3">
      <c r="A1368" s="18">
        <v>1197</v>
      </c>
      <c r="B1368" s="18">
        <v>189</v>
      </c>
      <c r="C1368" s="18" t="s">
        <v>20</v>
      </c>
      <c r="D1368" s="18" t="s">
        <v>2905</v>
      </c>
      <c r="E1368" s="22">
        <v>45968</v>
      </c>
      <c r="F1368" s="18" t="s">
        <v>123</v>
      </c>
      <c r="G1368" s="51" t="s">
        <v>2906</v>
      </c>
      <c r="H1368" s="56">
        <v>97119</v>
      </c>
      <c r="I1368" s="22">
        <v>45968</v>
      </c>
      <c r="J1368" s="36">
        <v>45962</v>
      </c>
      <c r="K1368" s="18">
        <v>108</v>
      </c>
      <c r="L1368" s="61">
        <v>108</v>
      </c>
      <c r="M1368" s="61">
        <v>9</v>
      </c>
      <c r="N1368" s="22">
        <v>45968</v>
      </c>
      <c r="O1368" s="18" t="s">
        <v>2339</v>
      </c>
      <c r="P1368" s="18" t="s">
        <v>1456</v>
      </c>
      <c r="Q1368" s="17" t="s">
        <v>127</v>
      </c>
      <c r="R1368" s="18" t="s">
        <v>102</v>
      </c>
      <c r="S1368" s="18" t="s">
        <v>1623</v>
      </c>
      <c r="T1368" s="18" t="s">
        <v>804</v>
      </c>
      <c r="U1368" s="14"/>
      <c r="V1368" s="14"/>
    </row>
    <row r="1369" spans="1:22" x14ac:dyDescent="0.3">
      <c r="A1369" s="18">
        <v>1197</v>
      </c>
      <c r="B1369" s="18">
        <v>189</v>
      </c>
      <c r="C1369" s="18" t="s">
        <v>20</v>
      </c>
      <c r="D1369" s="18" t="s">
        <v>2907</v>
      </c>
      <c r="E1369" s="22">
        <v>45968</v>
      </c>
      <c r="F1369" s="18" t="s">
        <v>119</v>
      </c>
      <c r="G1369" s="51" t="s">
        <v>2908</v>
      </c>
      <c r="H1369" s="56">
        <v>64746</v>
      </c>
      <c r="I1369" s="22">
        <v>45968</v>
      </c>
      <c r="J1369" s="36">
        <v>45962</v>
      </c>
      <c r="K1369" s="18">
        <v>72</v>
      </c>
      <c r="L1369" s="61">
        <v>72</v>
      </c>
      <c r="M1369" s="61">
        <v>6</v>
      </c>
      <c r="N1369" s="22">
        <v>45968</v>
      </c>
      <c r="O1369" s="18" t="s">
        <v>2353</v>
      </c>
      <c r="P1369" s="18" t="s">
        <v>1456</v>
      </c>
      <c r="Q1369" s="17" t="s">
        <v>127</v>
      </c>
      <c r="R1369" s="18" t="s">
        <v>102</v>
      </c>
      <c r="S1369" s="18" t="s">
        <v>1623</v>
      </c>
      <c r="T1369" s="18" t="s">
        <v>804</v>
      </c>
      <c r="U1369" s="14"/>
      <c r="V1369" s="14"/>
    </row>
    <row r="1370" spans="1:22" x14ac:dyDescent="0.3">
      <c r="A1370" s="18">
        <v>1197</v>
      </c>
      <c r="B1370" s="18">
        <v>189</v>
      </c>
      <c r="C1370" s="18" t="s">
        <v>20</v>
      </c>
      <c r="D1370" s="18" t="s">
        <v>2909</v>
      </c>
      <c r="E1370" s="22">
        <v>45968</v>
      </c>
      <c r="F1370" s="18" t="s">
        <v>53</v>
      </c>
      <c r="G1370" s="51" t="s">
        <v>2910</v>
      </c>
      <c r="H1370" s="56">
        <v>161865</v>
      </c>
      <c r="I1370" s="22">
        <v>45968</v>
      </c>
      <c r="J1370" s="36">
        <v>45962</v>
      </c>
      <c r="K1370" s="18">
        <v>180</v>
      </c>
      <c r="L1370" s="61">
        <v>180</v>
      </c>
      <c r="M1370" s="61">
        <v>15</v>
      </c>
      <c r="N1370" s="22">
        <v>45968</v>
      </c>
      <c r="O1370" s="18" t="s">
        <v>21</v>
      </c>
      <c r="P1370" s="18" t="s">
        <v>1456</v>
      </c>
      <c r="Q1370" s="17" t="s">
        <v>127</v>
      </c>
      <c r="R1370" s="18" t="s">
        <v>102</v>
      </c>
      <c r="S1370" s="18" t="s">
        <v>1623</v>
      </c>
      <c r="T1370" s="18" t="s">
        <v>804</v>
      </c>
      <c r="U1370" s="14"/>
      <c r="V1370" s="14"/>
    </row>
    <row r="1371" spans="1:22" x14ac:dyDescent="0.3">
      <c r="A1371" s="18">
        <v>1197</v>
      </c>
      <c r="B1371" s="18">
        <v>189</v>
      </c>
      <c r="C1371" s="18" t="s">
        <v>20</v>
      </c>
      <c r="D1371" s="18" t="s">
        <v>2911</v>
      </c>
      <c r="E1371" s="22">
        <v>45968</v>
      </c>
      <c r="F1371" s="18" t="s">
        <v>47</v>
      </c>
      <c r="G1371" s="51" t="s">
        <v>2912</v>
      </c>
      <c r="H1371" s="56">
        <v>97119</v>
      </c>
      <c r="I1371" s="22">
        <v>45968</v>
      </c>
      <c r="J1371" s="36">
        <v>45962</v>
      </c>
      <c r="K1371" s="18">
        <v>108</v>
      </c>
      <c r="L1371" s="61">
        <v>108</v>
      </c>
      <c r="M1371" s="61">
        <v>9</v>
      </c>
      <c r="N1371" s="22">
        <v>45968</v>
      </c>
      <c r="O1371" s="18" t="s">
        <v>2403</v>
      </c>
      <c r="P1371" s="18" t="s">
        <v>1456</v>
      </c>
      <c r="Q1371" s="17" t="s">
        <v>127</v>
      </c>
      <c r="R1371" s="18" t="s">
        <v>102</v>
      </c>
      <c r="S1371" s="18" t="s">
        <v>1623</v>
      </c>
      <c r="T1371" s="18" t="s">
        <v>804</v>
      </c>
      <c r="U1371" s="14"/>
      <c r="V1371" s="14"/>
    </row>
    <row r="1372" spans="1:22" x14ac:dyDescent="0.3">
      <c r="A1372" s="18">
        <v>1197</v>
      </c>
      <c r="B1372" s="18">
        <v>189</v>
      </c>
      <c r="C1372" s="18" t="s">
        <v>20</v>
      </c>
      <c r="D1372" s="18" t="s">
        <v>2913</v>
      </c>
      <c r="E1372" s="22">
        <v>45968</v>
      </c>
      <c r="F1372" s="18" t="s">
        <v>2193</v>
      </c>
      <c r="G1372" s="51" t="s">
        <v>2914</v>
      </c>
      <c r="H1372" s="56">
        <v>64746</v>
      </c>
      <c r="I1372" s="22">
        <v>45968</v>
      </c>
      <c r="J1372" s="36">
        <v>45962</v>
      </c>
      <c r="K1372" s="18">
        <v>72</v>
      </c>
      <c r="L1372" s="61">
        <v>72</v>
      </c>
      <c r="M1372" s="61">
        <v>6</v>
      </c>
      <c r="N1372" s="22">
        <v>45968</v>
      </c>
      <c r="O1372" s="18" t="s">
        <v>21</v>
      </c>
      <c r="P1372" s="18" t="s">
        <v>1456</v>
      </c>
      <c r="Q1372" s="17" t="s">
        <v>127</v>
      </c>
      <c r="R1372" s="18" t="s">
        <v>102</v>
      </c>
      <c r="S1372" s="18" t="s">
        <v>1623</v>
      </c>
      <c r="T1372" s="18" t="s">
        <v>804</v>
      </c>
      <c r="U1372" s="14"/>
      <c r="V1372" s="14"/>
    </row>
    <row r="1373" spans="1:22" x14ac:dyDescent="0.3">
      <c r="A1373" s="18">
        <v>1197</v>
      </c>
      <c r="B1373" s="18">
        <v>189</v>
      </c>
      <c r="C1373" s="18" t="s">
        <v>20</v>
      </c>
      <c r="D1373" s="18" t="s">
        <v>2915</v>
      </c>
      <c r="E1373" s="22">
        <v>45968</v>
      </c>
      <c r="F1373" s="18" t="s">
        <v>58</v>
      </c>
      <c r="G1373" s="51" t="s">
        <v>2916</v>
      </c>
      <c r="H1373" s="56">
        <v>356103</v>
      </c>
      <c r="I1373" s="22">
        <v>45968</v>
      </c>
      <c r="J1373" s="36">
        <v>45962</v>
      </c>
      <c r="K1373" s="18">
        <v>396</v>
      </c>
      <c r="L1373" s="61">
        <v>396</v>
      </c>
      <c r="M1373" s="61">
        <v>33</v>
      </c>
      <c r="N1373" s="22">
        <v>45968</v>
      </c>
      <c r="O1373" s="18" t="s">
        <v>2308</v>
      </c>
      <c r="P1373" s="18" t="s">
        <v>1456</v>
      </c>
      <c r="Q1373" s="17" t="s">
        <v>127</v>
      </c>
      <c r="R1373" s="18" t="s">
        <v>102</v>
      </c>
      <c r="S1373" s="18" t="s">
        <v>1623</v>
      </c>
      <c r="T1373" s="18" t="s">
        <v>804</v>
      </c>
      <c r="U1373" s="14"/>
      <c r="V1373" s="14"/>
    </row>
    <row r="1374" spans="1:22" x14ac:dyDescent="0.3">
      <c r="A1374" s="18">
        <v>1197</v>
      </c>
      <c r="B1374" s="18">
        <v>189</v>
      </c>
      <c r="C1374" s="18" t="s">
        <v>20</v>
      </c>
      <c r="D1374" s="18" t="s">
        <v>2917</v>
      </c>
      <c r="E1374" s="22">
        <v>45968</v>
      </c>
      <c r="F1374" s="18" t="s">
        <v>28</v>
      </c>
      <c r="G1374" s="51" t="s">
        <v>2918</v>
      </c>
      <c r="H1374" s="56">
        <v>161865</v>
      </c>
      <c r="I1374" s="22">
        <v>45968</v>
      </c>
      <c r="J1374" s="36">
        <v>45962</v>
      </c>
      <c r="K1374" s="18">
        <v>180</v>
      </c>
      <c r="L1374" s="61">
        <v>180</v>
      </c>
      <c r="M1374" s="61">
        <v>15</v>
      </c>
      <c r="N1374" s="22">
        <v>45968</v>
      </c>
      <c r="O1374" s="18" t="s">
        <v>2350</v>
      </c>
      <c r="P1374" s="18" t="s">
        <v>1456</v>
      </c>
      <c r="Q1374" s="17" t="s">
        <v>127</v>
      </c>
      <c r="R1374" s="18" t="s">
        <v>102</v>
      </c>
      <c r="S1374" s="18" t="s">
        <v>1623</v>
      </c>
      <c r="T1374" s="18" t="s">
        <v>804</v>
      </c>
      <c r="U1374" s="14"/>
      <c r="V1374" s="14"/>
    </row>
    <row r="1375" spans="1:22" x14ac:dyDescent="0.3">
      <c r="A1375" s="18">
        <v>1197</v>
      </c>
      <c r="B1375" s="18">
        <v>189</v>
      </c>
      <c r="C1375" s="18" t="s">
        <v>20</v>
      </c>
      <c r="D1375" s="18" t="s">
        <v>2919</v>
      </c>
      <c r="E1375" s="22">
        <v>45968</v>
      </c>
      <c r="F1375" s="18" t="s">
        <v>122</v>
      </c>
      <c r="G1375" s="51" t="s">
        <v>2920</v>
      </c>
      <c r="H1375" s="56">
        <v>161865</v>
      </c>
      <c r="I1375" s="22">
        <v>45968</v>
      </c>
      <c r="J1375" s="36">
        <v>45962</v>
      </c>
      <c r="K1375" s="18">
        <v>180</v>
      </c>
      <c r="L1375" s="61">
        <v>180</v>
      </c>
      <c r="M1375" s="61">
        <v>15</v>
      </c>
      <c r="N1375" s="22">
        <v>45968</v>
      </c>
      <c r="O1375" s="18" t="s">
        <v>2339</v>
      </c>
      <c r="P1375" s="18" t="s">
        <v>1456</v>
      </c>
      <c r="Q1375" s="17" t="s">
        <v>127</v>
      </c>
      <c r="R1375" s="18" t="s">
        <v>102</v>
      </c>
      <c r="S1375" s="18" t="s">
        <v>1623</v>
      </c>
      <c r="T1375" s="18" t="s">
        <v>804</v>
      </c>
      <c r="U1375" s="14"/>
      <c r="V1375" s="14"/>
    </row>
    <row r="1376" spans="1:22" x14ac:dyDescent="0.3">
      <c r="A1376" s="18">
        <v>1197</v>
      </c>
      <c r="B1376" s="18">
        <v>189</v>
      </c>
      <c r="C1376" s="18" t="s">
        <v>20</v>
      </c>
      <c r="D1376" s="18" t="s">
        <v>2921</v>
      </c>
      <c r="E1376" s="22">
        <v>45968</v>
      </c>
      <c r="F1376" s="18" t="s">
        <v>35</v>
      </c>
      <c r="G1376" s="51" t="s">
        <v>2922</v>
      </c>
      <c r="H1376" s="56">
        <v>224485.84</v>
      </c>
      <c r="I1376" s="22">
        <v>45968</v>
      </c>
      <c r="J1376" s="36">
        <v>45962</v>
      </c>
      <c r="K1376" s="18">
        <v>228</v>
      </c>
      <c r="L1376" s="61">
        <v>228</v>
      </c>
      <c r="M1376" s="61">
        <v>19</v>
      </c>
      <c r="N1376" s="22">
        <v>45968</v>
      </c>
      <c r="O1376" s="18" t="s">
        <v>2396</v>
      </c>
      <c r="P1376" s="18" t="s">
        <v>1456</v>
      </c>
      <c r="Q1376" s="17" t="s">
        <v>127</v>
      </c>
      <c r="R1376" s="18" t="s">
        <v>102</v>
      </c>
      <c r="S1376" s="18" t="s">
        <v>1623</v>
      </c>
      <c r="T1376" s="18" t="s">
        <v>804</v>
      </c>
      <c r="U1376" s="14"/>
      <c r="V1376" s="14"/>
    </row>
    <row r="1377" spans="1:22" x14ac:dyDescent="0.3">
      <c r="A1377" s="18">
        <v>1197</v>
      </c>
      <c r="B1377" s="18">
        <v>189</v>
      </c>
      <c r="C1377" s="18" t="s">
        <v>20</v>
      </c>
      <c r="D1377" s="18" t="s">
        <v>2923</v>
      </c>
      <c r="E1377" s="22">
        <v>45968</v>
      </c>
      <c r="F1377" s="18" t="s">
        <v>2208</v>
      </c>
      <c r="G1377" s="51" t="s">
        <v>2924</v>
      </c>
      <c r="H1377" s="56">
        <v>161865</v>
      </c>
      <c r="I1377" s="22">
        <v>45968</v>
      </c>
      <c r="J1377" s="36">
        <v>45962</v>
      </c>
      <c r="K1377" s="18">
        <v>180</v>
      </c>
      <c r="L1377" s="61">
        <v>180</v>
      </c>
      <c r="M1377" s="61">
        <v>15</v>
      </c>
      <c r="N1377" s="22">
        <v>45968</v>
      </c>
      <c r="O1377" s="18" t="s">
        <v>2350</v>
      </c>
      <c r="P1377" s="18" t="s">
        <v>1456</v>
      </c>
      <c r="Q1377" s="17" t="s">
        <v>127</v>
      </c>
      <c r="R1377" s="18" t="s">
        <v>102</v>
      </c>
      <c r="S1377" s="18" t="s">
        <v>1623</v>
      </c>
      <c r="T1377" s="18" t="s">
        <v>804</v>
      </c>
      <c r="U1377" s="14"/>
      <c r="V1377" s="14"/>
    </row>
    <row r="1378" spans="1:22" x14ac:dyDescent="0.3">
      <c r="A1378" s="18">
        <v>1197</v>
      </c>
      <c r="B1378" s="18">
        <v>189</v>
      </c>
      <c r="C1378" s="18" t="s">
        <v>20</v>
      </c>
      <c r="D1378" s="18" t="s">
        <v>2925</v>
      </c>
      <c r="E1378" s="22">
        <v>45968</v>
      </c>
      <c r="F1378" s="18" t="s">
        <v>1207</v>
      </c>
      <c r="G1378" s="51" t="s">
        <v>2926</v>
      </c>
      <c r="H1378" s="56">
        <v>431640</v>
      </c>
      <c r="I1378" s="22">
        <v>45968</v>
      </c>
      <c r="J1378" s="36">
        <v>45962</v>
      </c>
      <c r="K1378" s="18">
        <v>480</v>
      </c>
      <c r="L1378" s="61">
        <v>480</v>
      </c>
      <c r="M1378" s="61">
        <v>40</v>
      </c>
      <c r="N1378" s="22">
        <v>45968</v>
      </c>
      <c r="O1378" s="18" t="s">
        <v>2350</v>
      </c>
      <c r="P1378" s="18" t="s">
        <v>1456</v>
      </c>
      <c r="Q1378" s="17" t="s">
        <v>127</v>
      </c>
      <c r="R1378" s="18" t="s">
        <v>102</v>
      </c>
      <c r="S1378" s="18" t="s">
        <v>1623</v>
      </c>
      <c r="T1378" s="18" t="s">
        <v>804</v>
      </c>
      <c r="U1378" s="14"/>
      <c r="V1378" s="14"/>
    </row>
    <row r="1379" spans="1:22" x14ac:dyDescent="0.3">
      <c r="A1379" s="18">
        <v>1197</v>
      </c>
      <c r="B1379" s="18">
        <v>189</v>
      </c>
      <c r="C1379" s="18" t="s">
        <v>20</v>
      </c>
      <c r="D1379" s="18" t="s">
        <v>2927</v>
      </c>
      <c r="E1379" s="22">
        <v>45968</v>
      </c>
      <c r="F1379" s="18" t="s">
        <v>64</v>
      </c>
      <c r="G1379" s="51" t="s">
        <v>2928</v>
      </c>
      <c r="H1379" s="56">
        <v>485595</v>
      </c>
      <c r="I1379" s="22">
        <v>45968</v>
      </c>
      <c r="J1379" s="36">
        <v>45962</v>
      </c>
      <c r="K1379" s="18">
        <v>540</v>
      </c>
      <c r="L1379" s="61">
        <v>540</v>
      </c>
      <c r="M1379" s="61">
        <v>45</v>
      </c>
      <c r="N1379" s="22">
        <v>45968</v>
      </c>
      <c r="O1379" s="18" t="s">
        <v>2344</v>
      </c>
      <c r="P1379" s="18" t="s">
        <v>1456</v>
      </c>
      <c r="Q1379" s="17" t="s">
        <v>127</v>
      </c>
      <c r="R1379" s="18" t="s">
        <v>102</v>
      </c>
      <c r="S1379" s="18" t="s">
        <v>1623</v>
      </c>
      <c r="T1379" s="18" t="s">
        <v>804</v>
      </c>
      <c r="U1379" s="14"/>
      <c r="V1379" s="14"/>
    </row>
    <row r="1380" spans="1:22" x14ac:dyDescent="0.3">
      <c r="A1380" s="18">
        <v>1197</v>
      </c>
      <c r="B1380" s="18">
        <v>189</v>
      </c>
      <c r="C1380" s="18" t="s">
        <v>20</v>
      </c>
      <c r="D1380" s="18" t="s">
        <v>2929</v>
      </c>
      <c r="E1380" s="22">
        <v>45968</v>
      </c>
      <c r="F1380" s="18" t="s">
        <v>33</v>
      </c>
      <c r="G1380" s="51" t="s">
        <v>2930</v>
      </c>
      <c r="H1380" s="56">
        <v>64746</v>
      </c>
      <c r="I1380" s="22">
        <v>45968</v>
      </c>
      <c r="J1380" s="36">
        <v>45962</v>
      </c>
      <c r="K1380" s="18">
        <v>72</v>
      </c>
      <c r="L1380" s="61">
        <v>72</v>
      </c>
      <c r="M1380" s="61">
        <v>6</v>
      </c>
      <c r="N1380" s="22">
        <v>45968</v>
      </c>
      <c r="O1380" s="18" t="s">
        <v>2362</v>
      </c>
      <c r="P1380" s="18" t="s">
        <v>1456</v>
      </c>
      <c r="Q1380" s="17" t="s">
        <v>127</v>
      </c>
      <c r="R1380" s="18" t="s">
        <v>102</v>
      </c>
      <c r="S1380" s="18" t="s">
        <v>1623</v>
      </c>
      <c r="T1380" s="18" t="s">
        <v>804</v>
      </c>
      <c r="U1380" s="14"/>
      <c r="V1380" s="14"/>
    </row>
    <row r="1381" spans="1:22" x14ac:dyDescent="0.3">
      <c r="A1381" s="18">
        <v>1197</v>
      </c>
      <c r="B1381" s="18">
        <v>189</v>
      </c>
      <c r="C1381" s="18" t="s">
        <v>20</v>
      </c>
      <c r="D1381" s="18" t="s">
        <v>2931</v>
      </c>
      <c r="E1381" s="22">
        <v>45968</v>
      </c>
      <c r="F1381" s="18" t="s">
        <v>35</v>
      </c>
      <c r="G1381" s="51" t="s">
        <v>2932</v>
      </c>
      <c r="H1381" s="56">
        <v>87212.07</v>
      </c>
      <c r="I1381" s="22">
        <v>45968</v>
      </c>
      <c r="J1381" s="36">
        <v>45962</v>
      </c>
      <c r="K1381" s="18">
        <v>72</v>
      </c>
      <c r="L1381" s="61">
        <v>72</v>
      </c>
      <c r="M1381" s="61">
        <v>6</v>
      </c>
      <c r="N1381" s="22">
        <v>45968</v>
      </c>
      <c r="O1381" s="18" t="s">
        <v>2396</v>
      </c>
      <c r="P1381" s="18" t="s">
        <v>1456</v>
      </c>
      <c r="Q1381" s="17" t="s">
        <v>127</v>
      </c>
      <c r="R1381" s="18" t="s">
        <v>102</v>
      </c>
      <c r="S1381" s="18" t="s">
        <v>1623</v>
      </c>
      <c r="T1381" s="18" t="s">
        <v>804</v>
      </c>
      <c r="U1381" s="14"/>
      <c r="V1381" s="14"/>
    </row>
    <row r="1382" spans="1:22" x14ac:dyDescent="0.3">
      <c r="A1382" s="18">
        <v>1197</v>
      </c>
      <c r="B1382" s="18">
        <v>189</v>
      </c>
      <c r="C1382" s="18" t="s">
        <v>20</v>
      </c>
      <c r="D1382" s="18" t="s">
        <v>2933</v>
      </c>
      <c r="E1382" s="22">
        <v>45968</v>
      </c>
      <c r="F1382" s="18" t="s">
        <v>129</v>
      </c>
      <c r="G1382" s="51" t="s">
        <v>2934</v>
      </c>
      <c r="H1382" s="56">
        <v>135298.47</v>
      </c>
      <c r="I1382" s="22">
        <v>45968</v>
      </c>
      <c r="J1382" s="36">
        <v>45962</v>
      </c>
      <c r="K1382" s="18">
        <v>108</v>
      </c>
      <c r="L1382" s="61">
        <v>108</v>
      </c>
      <c r="M1382" s="61">
        <v>9</v>
      </c>
      <c r="N1382" s="22">
        <v>45968</v>
      </c>
      <c r="O1382" s="18" t="s">
        <v>2353</v>
      </c>
      <c r="P1382" s="18" t="s">
        <v>1456</v>
      </c>
      <c r="Q1382" s="17" t="s">
        <v>127</v>
      </c>
      <c r="R1382" s="18" t="s">
        <v>102</v>
      </c>
      <c r="S1382" s="18" t="s">
        <v>1623</v>
      </c>
      <c r="T1382" s="18" t="s">
        <v>804</v>
      </c>
      <c r="U1382" s="14"/>
      <c r="V1382" s="14"/>
    </row>
  </sheetData>
  <autoFilter ref="A2:W1382" xr:uid="{00000000-0001-0000-0000-000000000000}"/>
  <conditionalFormatting sqref="G929:G949 G2:G836 G840:G863 G866:G914 G1084:G1154 G1302:G1048576">
    <cfRule type="duplicateValues" dxfId="61" priority="80"/>
  </conditionalFormatting>
  <conditionalFormatting sqref="G655:G678">
    <cfRule type="duplicateValues" dxfId="60" priority="57"/>
  </conditionalFormatting>
  <conditionalFormatting sqref="G679:G718">
    <cfRule type="duplicateValues" dxfId="59" priority="60"/>
  </conditionalFormatting>
  <conditionalFormatting sqref="G719:G733 G742:G811">
    <cfRule type="duplicateValues" dxfId="58" priority="79"/>
  </conditionalFormatting>
  <conditionalFormatting sqref="G734">
    <cfRule type="duplicateValues" dxfId="57" priority="53"/>
  </conditionalFormatting>
  <conditionalFormatting sqref="G735">
    <cfRule type="duplicateValues" dxfId="56" priority="52"/>
  </conditionalFormatting>
  <conditionalFormatting sqref="G736">
    <cfRule type="duplicateValues" dxfId="55" priority="51"/>
  </conditionalFormatting>
  <conditionalFormatting sqref="G737">
    <cfRule type="duplicateValues" dxfId="54" priority="50"/>
  </conditionalFormatting>
  <conditionalFormatting sqref="G738">
    <cfRule type="duplicateValues" dxfId="53" priority="49"/>
  </conditionalFormatting>
  <conditionalFormatting sqref="G739">
    <cfRule type="duplicateValues" dxfId="52" priority="48"/>
  </conditionalFormatting>
  <conditionalFormatting sqref="G740">
    <cfRule type="duplicateValues" dxfId="51" priority="47"/>
  </conditionalFormatting>
  <conditionalFormatting sqref="G741">
    <cfRule type="duplicateValues" dxfId="50" priority="46"/>
  </conditionalFormatting>
  <conditionalFormatting sqref="G812:G829">
    <cfRule type="duplicateValues" dxfId="49" priority="44"/>
  </conditionalFormatting>
  <conditionalFormatting sqref="G830:G833">
    <cfRule type="duplicateValues" dxfId="48" priority="39"/>
  </conditionalFormatting>
  <conditionalFormatting sqref="G834:G835">
    <cfRule type="duplicateValues" dxfId="47" priority="40"/>
  </conditionalFormatting>
  <conditionalFormatting sqref="G840:G842">
    <cfRule type="duplicateValues" dxfId="46" priority="33"/>
  </conditionalFormatting>
  <conditionalFormatting sqref="G843:G863">
    <cfRule type="duplicateValues" dxfId="45" priority="32"/>
  </conditionalFormatting>
  <conditionalFormatting sqref="G864:G865">
    <cfRule type="duplicateValues" dxfId="44" priority="15"/>
    <cfRule type="duplicateValues" dxfId="43" priority="16"/>
  </conditionalFormatting>
  <conditionalFormatting sqref="G866:G914">
    <cfRule type="duplicateValues" dxfId="42" priority="13"/>
  </conditionalFormatting>
  <conditionalFormatting sqref="G970 G951:G967 G1027:G1083">
    <cfRule type="duplicateValues" dxfId="41" priority="3"/>
  </conditionalFormatting>
  <conditionalFormatting sqref="G1155:G1301">
    <cfRule type="duplicateValues" dxfId="40" priority="2"/>
  </conditionalFormatting>
  <conditionalFormatting sqref="H932">
    <cfRule type="duplicateValues" dxfId="39" priority="4"/>
  </conditionalFormatting>
  <conditionalFormatting sqref="K843:K852">
    <cfRule type="duplicateValues" dxfId="38" priority="34"/>
  </conditionalFormatting>
  <conditionalFormatting sqref="K853">
    <cfRule type="duplicateValues" dxfId="37" priority="18"/>
  </conditionalFormatting>
  <conditionalFormatting sqref="K837:L839 N837:N839">
    <cfRule type="duplicateValues" dxfId="36" priority="38"/>
  </conditionalFormatting>
  <conditionalFormatting sqref="L850">
    <cfRule type="duplicateValues" dxfId="35" priority="22"/>
  </conditionalFormatting>
  <conditionalFormatting sqref="L851">
    <cfRule type="duplicateValues" dxfId="34" priority="21"/>
  </conditionalFormatting>
  <conditionalFormatting sqref="L852">
    <cfRule type="duplicateValues" dxfId="33" priority="20"/>
  </conditionalFormatting>
  <conditionalFormatting sqref="G1:G1048576">
    <cfRule type="duplicateValues" dxfId="3" priority="1"/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C88A5-E6B4-412D-9562-2A3C05369073}">
  <dimension ref="A1:V6"/>
  <sheetViews>
    <sheetView workbookViewId="0">
      <selection activeCell="A5" sqref="A5:XFD6"/>
    </sheetView>
  </sheetViews>
  <sheetFormatPr defaultRowHeight="14.4" x14ac:dyDescent="0.3"/>
  <sheetData>
    <row r="1" spans="1:22" s="2" customFormat="1" x14ac:dyDescent="0.3">
      <c r="A1" s="18" t="e">
        <v>#REF!</v>
      </c>
      <c r="B1" s="17">
        <v>66</v>
      </c>
      <c r="C1" s="22" t="s">
        <v>20</v>
      </c>
      <c r="D1" s="20" t="s">
        <v>441</v>
      </c>
      <c r="E1" s="20">
        <v>45688</v>
      </c>
      <c r="F1" s="21" t="s">
        <v>47</v>
      </c>
      <c r="G1" s="49" t="s">
        <v>442</v>
      </c>
      <c r="H1" s="57">
        <v>160456</v>
      </c>
      <c r="I1" s="20">
        <v>45691</v>
      </c>
      <c r="J1" s="18"/>
      <c r="K1" s="18" t="s">
        <v>19</v>
      </c>
      <c r="L1" s="61">
        <v>44</v>
      </c>
      <c r="M1" s="61">
        <v>5</v>
      </c>
      <c r="N1" s="19">
        <v>45692</v>
      </c>
      <c r="O1" s="18" t="s">
        <v>21</v>
      </c>
      <c r="P1" s="18" t="s">
        <v>25</v>
      </c>
      <c r="Q1" s="18" t="s">
        <v>127</v>
      </c>
      <c r="R1" s="18" t="s">
        <v>102</v>
      </c>
      <c r="S1" s="18">
        <v>6976</v>
      </c>
      <c r="T1" s="18" t="s">
        <v>22</v>
      </c>
      <c r="U1" s="18" t="s">
        <v>19</v>
      </c>
      <c r="V1" s="17" t="s">
        <v>1019</v>
      </c>
    </row>
    <row r="2" spans="1:22" s="2" customFormat="1" x14ac:dyDescent="0.3">
      <c r="A2" s="18" t="e">
        <v>#REF!</v>
      </c>
      <c r="B2" s="17">
        <v>67</v>
      </c>
      <c r="C2" s="22" t="s">
        <v>20</v>
      </c>
      <c r="D2" s="20" t="s">
        <v>469</v>
      </c>
      <c r="E2" s="20">
        <v>45689</v>
      </c>
      <c r="F2" s="24" t="s">
        <v>41</v>
      </c>
      <c r="G2" s="49" t="s">
        <v>442</v>
      </c>
      <c r="H2" s="57">
        <v>160456</v>
      </c>
      <c r="I2" s="20">
        <v>45691</v>
      </c>
      <c r="J2" s="18"/>
      <c r="K2" s="18" t="s">
        <v>19</v>
      </c>
      <c r="L2" s="61">
        <v>20</v>
      </c>
      <c r="M2" s="61">
        <v>2</v>
      </c>
      <c r="N2" s="19">
        <v>45693</v>
      </c>
      <c r="O2" s="18" t="s">
        <v>21</v>
      </c>
      <c r="P2" s="18" t="s">
        <v>25</v>
      </c>
      <c r="Q2" s="18" t="s">
        <v>127</v>
      </c>
      <c r="R2" s="18" t="s">
        <v>102</v>
      </c>
      <c r="S2" s="18">
        <v>6987</v>
      </c>
      <c r="T2" s="18" t="s">
        <v>22</v>
      </c>
      <c r="U2" s="18" t="s">
        <v>19</v>
      </c>
      <c r="V2" s="17"/>
    </row>
    <row r="5" spans="1:22" x14ac:dyDescent="0.3">
      <c r="A5" s="18" t="e">
        <v>#REF!</v>
      </c>
      <c r="B5" s="18">
        <v>136</v>
      </c>
      <c r="C5" s="18" t="s">
        <v>23</v>
      </c>
      <c r="D5" s="18" t="s">
        <v>2048</v>
      </c>
      <c r="E5" s="20">
        <v>45899</v>
      </c>
      <c r="F5" s="44" t="s">
        <v>41</v>
      </c>
      <c r="G5" s="29" t="s">
        <v>2054</v>
      </c>
      <c r="H5" s="57">
        <v>792039.84</v>
      </c>
      <c r="I5" s="20">
        <v>45901</v>
      </c>
      <c r="J5" s="36">
        <v>45925</v>
      </c>
      <c r="K5" s="18">
        <v>1848</v>
      </c>
      <c r="L5" s="61">
        <v>1848</v>
      </c>
      <c r="M5" s="61">
        <v>77</v>
      </c>
      <c r="N5" s="20">
        <v>45902</v>
      </c>
      <c r="O5" s="18" t="s">
        <v>21</v>
      </c>
      <c r="P5" s="18" t="s">
        <v>1456</v>
      </c>
      <c r="Q5" s="18" t="s">
        <v>140</v>
      </c>
      <c r="R5" s="18" t="s">
        <v>136</v>
      </c>
      <c r="S5" s="18" t="s">
        <v>1623</v>
      </c>
      <c r="T5" s="18" t="s">
        <v>804</v>
      </c>
      <c r="U5" s="18"/>
      <c r="V5" s="18"/>
    </row>
    <row r="6" spans="1:22" x14ac:dyDescent="0.3">
      <c r="A6" s="18" t="e">
        <v>#REF!</v>
      </c>
      <c r="B6" s="18">
        <v>136</v>
      </c>
      <c r="C6" s="18" t="s">
        <v>23</v>
      </c>
      <c r="D6" s="18" t="s">
        <v>2048</v>
      </c>
      <c r="E6" s="20">
        <v>45899</v>
      </c>
      <c r="F6" s="44" t="s">
        <v>41</v>
      </c>
      <c r="G6" s="29" t="s">
        <v>2054</v>
      </c>
      <c r="H6" s="57">
        <v>792039.84</v>
      </c>
      <c r="I6" s="20">
        <v>45901</v>
      </c>
      <c r="J6" s="36">
        <v>45925</v>
      </c>
      <c r="K6" s="18">
        <v>1848</v>
      </c>
      <c r="L6" s="61">
        <v>1848</v>
      </c>
      <c r="M6" s="61">
        <v>77</v>
      </c>
      <c r="N6" s="20">
        <v>45902</v>
      </c>
      <c r="O6" s="18" t="s">
        <v>21</v>
      </c>
      <c r="P6" s="18" t="s">
        <v>1456</v>
      </c>
      <c r="Q6" s="18" t="s">
        <v>140</v>
      </c>
      <c r="R6" s="18" t="s">
        <v>136</v>
      </c>
      <c r="S6" s="18" t="s">
        <v>1623</v>
      </c>
      <c r="T6" s="18" t="s">
        <v>804</v>
      </c>
      <c r="U6" s="18"/>
      <c r="V6" s="18"/>
    </row>
  </sheetData>
  <conditionalFormatting sqref="G1:G2">
    <cfRule type="duplicateValues" dxfId="2" priority="3"/>
  </conditionalFormatting>
  <conditionalFormatting sqref="G1:G2">
    <cfRule type="duplicateValues" dxfId="1" priority="2"/>
  </conditionalFormatting>
  <conditionalFormatting sqref="G5:G6">
    <cfRule type="duplicateValues" dxfId="0" priority="1"/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Outward MIS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Logitech Drona</dc:creator>
  <cp:lastModifiedBy>Rintu Mondal</cp:lastModifiedBy>
  <cp:lastPrinted>2025-05-06T12:13:37Z</cp:lastPrinted>
  <dcterms:created xsi:type="dcterms:W3CDTF">2025-03-13T06:19:01Z</dcterms:created>
  <dcterms:modified xsi:type="dcterms:W3CDTF">2025-11-14T16:59:02Z</dcterms:modified>
</cp:coreProperties>
</file>